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40" documentId="13_ncr:1_{D9F1A7AF-7089-407F-B25E-2BE417098604}" xr6:coauthVersionLast="47" xr6:coauthVersionMax="47" xr10:uidLastSave="{9858B34E-8EEF-4C0F-9EC1-D1A28D42E714}"/>
  <bookViews>
    <workbookView xWindow="-38520" yWindow="-6645" windowWidth="38640" windowHeight="21120" xr2:uid="{00000000-000D-0000-FFFF-FFFF00000000}"/>
  </bookViews>
  <sheets>
    <sheet name="Leads verificados" sheetId="5" r:id="rId1"/>
    <sheet name="centraldecomunicacion.es" sheetId="2" r:id="rId2"/>
    <sheet name="Estadísticas" sheetId="3" r:id="rId3"/>
    <sheet name="Copyright" sheetId="4" r:id="rId4"/>
  </sheets>
  <definedNames>
    <definedName name="_xlnm._FilterDatabase" localSheetId="1" hidden="1">'centraldecomunicacion.es'!$A$1:$I$1491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2" i="2"/>
  <c r="H2" i="3" a="1"/>
  <c r="H2" i="3"/>
  <c r="G2" i="3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<sst xmlns="http://schemas.openxmlformats.org/spreadsheetml/2006/main" count="12929" uniqueCount="5825">
  <si>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</si>
  <si>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</si>
  <si>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</si>
  <si>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</si>
  <si>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</si>
  <si>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</si>
  <si>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</si>
  <si>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</si>
  <si>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</si>
  <si>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Mudanzas Tijeras</t>
  </si>
  <si>
    <t>Servicio de mudanzas y almacenamiento</t>
  </si>
  <si>
    <t>C. el Olivo, 3, 04230 Huércal de Almería, Almería</t>
  </si>
  <si>
    <t>Huércal de Almería</t>
  </si>
  <si>
    <t>Almería</t>
  </si>
  <si>
    <t>mudanzasytransportestijeras.es</t>
  </si>
  <si>
    <t>670 87 73 32</t>
  </si>
  <si>
    <t>mudanzastijeras@gmail.com</t>
  </si>
  <si>
    <t>Mudanzas Almería Hijo</t>
  </si>
  <si>
    <t>C. Sierra de Loja, 6, 04240 Viator, Almería</t>
  </si>
  <si>
    <t>Viator</t>
  </si>
  <si>
    <t>mudanzasalmeria.net</t>
  </si>
  <si>
    <t>689 66 80 92</t>
  </si>
  <si>
    <t>mudanzasalmeriahijo@hotmail.es</t>
  </si>
  <si>
    <t>Mudanzas GO Granada</t>
  </si>
  <si>
    <t>Servicio de mudanzas</t>
  </si>
  <si>
    <t>C. San Antón, 52, 18005 Granada</t>
  </si>
  <si>
    <t>Granada</t>
  </si>
  <si>
    <t>mudanzasgogranada.es</t>
  </si>
  <si>
    <t>858 95 23 20</t>
  </si>
  <si>
    <t>granada@mudanzasgo.es</t>
  </si>
  <si>
    <t>Portes Granada</t>
  </si>
  <si>
    <t>Pcta. Cristo Azucenas, 18010 Granada</t>
  </si>
  <si>
    <t>portesgranada.net</t>
  </si>
  <si>
    <t>687 71 35 18</t>
  </si>
  <si>
    <t>javieralbapascual@gmail.com</t>
  </si>
  <si>
    <t>MUDANZAS TRANSIV (Tienda De Embalajes)</t>
  </si>
  <si>
    <t>Tienda de material para mudanzas</t>
  </si>
  <si>
    <t>C. de Vallehermoso, 69, 28015 Madrid</t>
  </si>
  <si>
    <t>Madrid</t>
  </si>
  <si>
    <t>transiv.com</t>
  </si>
  <si>
    <t>912 87 80 64</t>
  </si>
  <si>
    <t>mudanzas@transiv.com</t>
  </si>
  <si>
    <t>Mudanzas Aparicio</t>
  </si>
  <si>
    <t>Av. de Pery Junquera, 33, 11100 San Fernando, Cádiz</t>
  </si>
  <si>
    <t>San Fernando</t>
  </si>
  <si>
    <t>Cádiz</t>
  </si>
  <si>
    <t>mudanzasaparicio.es</t>
  </si>
  <si>
    <t>956 88 30 82</t>
  </si>
  <si>
    <t>aparicio@mudanzasaparicio.es</t>
  </si>
  <si>
    <t>El Caminar Vida y Esperanza</t>
  </si>
  <si>
    <t>C. Carmen Pérez Pascual, 8, 11500 El Puerto de Sta María, Cádiz</t>
  </si>
  <si>
    <t>El Puerto de Sta María</t>
  </si>
  <si>
    <t>limpiezas-vaciados-desalojos.com</t>
  </si>
  <si>
    <t>680 26 70 04</t>
  </si>
  <si>
    <t>elcaminar_asociacion@hotmail.com</t>
  </si>
  <si>
    <t>Mudanzas en Córdoba Mudanzas Team</t>
  </si>
  <si>
    <t>Polígono de la Torrecilla, N-IV Km 405,500, 14013 Córdoba</t>
  </si>
  <si>
    <t>Córdoba</t>
  </si>
  <si>
    <t>mudanzasteam.es</t>
  </si>
  <si>
    <t>957 76 83 21</t>
  </si>
  <si>
    <t>mudanzasteam@gmail.com</t>
  </si>
  <si>
    <t>Mudanzas Isaac Cordoba</t>
  </si>
  <si>
    <t>C. Zabaleta, 13, 28002 Madrid</t>
  </si>
  <si>
    <t>mudanzasisaaccordoba.es</t>
  </si>
  <si>
    <t>914 15 59 39</t>
  </si>
  <si>
    <t>mudanzasisaaccordoba@gmail.com</t>
  </si>
  <si>
    <t>Auto Granadina Empresa Torres S.L.</t>
  </si>
  <si>
    <t>Pl. del Triunfo, 12, 18010 Granada</t>
  </si>
  <si>
    <t>autogranadina.es</t>
  </si>
  <si>
    <t>958 20 29 05</t>
  </si>
  <si>
    <t>autogranadina@autogranadina.es</t>
  </si>
  <si>
    <t>Portes Huelva Cosario</t>
  </si>
  <si>
    <t>C. Berdigón, 30, 21004 Huelva</t>
  </si>
  <si>
    <t>Huelva</t>
  </si>
  <si>
    <t>cosario.es</t>
  </si>
  <si>
    <t>677 28 60 87</t>
  </si>
  <si>
    <t>cosario.es@gmail.com</t>
  </si>
  <si>
    <t>Recogida de Muebles Huelva | El Recogedor | Vaciados de Pisos</t>
  </si>
  <si>
    <t/>
  </si>
  <si>
    <t>Alájar</t>
  </si>
  <si>
    <t>centroretohuelva.es</t>
  </si>
  <si>
    <t>603 62 49 61</t>
  </si>
  <si>
    <t>centroretohuelva@gmail.com</t>
  </si>
  <si>
    <t>MUDANZAS Y GUARDAMUEBLES LUSAN Jaén</t>
  </si>
  <si>
    <t>C. Chiclana de Segura, 10, 23009 Jaén</t>
  </si>
  <si>
    <t>Jaén</t>
  </si>
  <si>
    <t>mudanzaslusanjaen.com</t>
  </si>
  <si>
    <t>953 28 42 09</t>
  </si>
  <si>
    <t>lusanjaen@grupolusan.es</t>
  </si>
  <si>
    <t>Mudanzas &amp;quot;Mytransporte&amp;quot;</t>
  </si>
  <si>
    <t>C. Francisco Guillón, 11, 29017 Málaga</t>
  </si>
  <si>
    <t>Málaga</t>
  </si>
  <si>
    <t>mytransporte.es</t>
  </si>
  <si>
    <t>605 57 65 65</t>
  </si>
  <si>
    <t>infomytransporte@gmail.com</t>
  </si>
  <si>
    <t>Mudanzas en Malaga Elysium</t>
  </si>
  <si>
    <t>Av de Europa, 29004 Málaga</t>
  </si>
  <si>
    <t>mudanzasinternacionalesmalaga.com</t>
  </si>
  <si>
    <t>600 98 18 78</t>
  </si>
  <si>
    <t>terracargo@hotmail.com</t>
  </si>
  <si>
    <t>MUDANZAS LAYNEZ</t>
  </si>
  <si>
    <t>29003 Málaga</t>
  </si>
  <si>
    <t>mudanzaslaynez.com</t>
  </si>
  <si>
    <t>670 92 73 46</t>
  </si>
  <si>
    <t>joselaynez@hotmail.com</t>
  </si>
  <si>
    <t>Serviluxtransa S.L</t>
  </si>
  <si>
    <t>C. Francisco Guillón, Nº11, 29017 Málaga</t>
  </si>
  <si>
    <t>retro.ueniweb.com</t>
  </si>
  <si>
    <t>serviluxtransa@gmail.com</t>
  </si>
  <si>
    <t>Mudanzas Madrid</t>
  </si>
  <si>
    <t>C. Antonio Prieto, 57, LOCAL, 28026 Madrid</t>
  </si>
  <si>
    <t>mudanzasmadrid.es</t>
  </si>
  <si>
    <t>910 12 43 89</t>
  </si>
  <si>
    <t>mudanzasmadrid@gmail.com</t>
  </si>
  <si>
    <t>Mudanzas Pablo Sevilla</t>
  </si>
  <si>
    <t>C. Gladiolo, 17, 41907 Valencina de la Concepción, Sevilla</t>
  </si>
  <si>
    <t>Valencina de la Concepción</t>
  </si>
  <si>
    <t>Sevilla</t>
  </si>
  <si>
    <t>mudanzaspablosevilla.es</t>
  </si>
  <si>
    <t>955 98 03 77</t>
  </si>
  <si>
    <t>mudanzas@pabloehijos.com</t>
  </si>
  <si>
    <t>MUDANZAS EUROSEVILLA</t>
  </si>
  <si>
    <t>C. Acero, 6, 41007 Sevilla</t>
  </si>
  <si>
    <t>mudanzaseurosevilla.com</t>
  </si>
  <si>
    <t>600 53 99 59</t>
  </si>
  <si>
    <t>mudanzaseurosevilla@gmail.com</t>
  </si>
  <si>
    <t>Mudanzas ILIPA</t>
  </si>
  <si>
    <t>C. Pimienta, 26, 41200 Alcalá del Río, Sevilla</t>
  </si>
  <si>
    <t>Alcalá del Río</t>
  </si>
  <si>
    <t>mudanzaensevilla.com</t>
  </si>
  <si>
    <t>635 28 70 95</t>
  </si>
  <si>
    <t>mudanzasilipa@gmail.com</t>
  </si>
  <si>
    <t>Mudanzas Zazpi</t>
  </si>
  <si>
    <t>Polígono, Florida Auzoa, 140, 20120 Hernani, Gipuzkoa</t>
  </si>
  <si>
    <t>Hernani</t>
  </si>
  <si>
    <t>Gipuzkoa</t>
  </si>
  <si>
    <t>zazpi.com</t>
  </si>
  <si>
    <t>943 33 38 00</t>
  </si>
  <si>
    <t>zazpi@zazpi.com</t>
  </si>
  <si>
    <t>DLF Spain</t>
  </si>
  <si>
    <t>Av. Sur, 20, 28341 Valdemoro, Madrid</t>
  </si>
  <si>
    <t>Valdemoro</t>
  </si>
  <si>
    <t>dlfspain.com</t>
  </si>
  <si>
    <t>910 84 98 78</t>
  </si>
  <si>
    <t>delafuente@dlfspain.com</t>
  </si>
  <si>
    <t>Transportes Roberto Hernán S.L.</t>
  </si>
  <si>
    <t>C/ El Ardal, s/n, 28750 San Agustín del Guadalix, Madrid</t>
  </si>
  <si>
    <t>San Agustín del Guadalix</t>
  </si>
  <si>
    <t>rhernan.com</t>
  </si>
  <si>
    <t>913 81 55 77</t>
  </si>
  <si>
    <t>rhernan@rhernan.com</t>
  </si>
  <si>
    <t>Antolaketa Eta Zerbitzuak S.L.</t>
  </si>
  <si>
    <t>Polígono Industrial Errotatxu Ind., 11, BL B;Bajo(Nave 11, 48993 Algorta, Biscay</t>
  </si>
  <si>
    <t>Berango</t>
  </si>
  <si>
    <t>Biscay</t>
  </si>
  <si>
    <t>antolaketa.com</t>
  </si>
  <si>
    <t>944 91 17 44</t>
  </si>
  <si>
    <t>az@antolaketa.com</t>
  </si>
  <si>
    <t>Mudanzas Zaragoza Sangil</t>
  </si>
  <si>
    <t>C. Portugal, 57, Local, 50010 Zaragoza</t>
  </si>
  <si>
    <t>Zaragoza</t>
  </si>
  <si>
    <t>mudanzasenzaragoza.com</t>
  </si>
  <si>
    <t>876 77 13 67</t>
  </si>
  <si>
    <t>sangilmudanzas@hotmail.com</t>
  </si>
  <si>
    <t>Mudanzas grupo negredo</t>
  </si>
  <si>
    <t>C. José María Castro Calvo, 12, 50011 Zaragoza</t>
  </si>
  <si>
    <t>gruponegredo.com</t>
  </si>
  <si>
    <t>607 31 35 80</t>
  </si>
  <si>
    <t>gruponegredo@gmail.com</t>
  </si>
  <si>
    <t>Mudanzas Ebro</t>
  </si>
  <si>
    <t>C. Pedro López de Luna, 25, 50009 Zaragoza</t>
  </si>
  <si>
    <t>aemepila.es</t>
  </si>
  <si>
    <t>976 35 37 50</t>
  </si>
  <si>
    <t>dgb@agentes.catalanaoccidente.com</t>
  </si>
  <si>
    <t>Relocation Zaragoza</t>
  </si>
  <si>
    <t>C. Ibon de Plan, 66, Local 3, 50011 Zaragoza</t>
  </si>
  <si>
    <t>relocationzaragoza.es</t>
  </si>
  <si>
    <t>976 33 78 14</t>
  </si>
  <si>
    <t>zaragoza@relocationzaragoza.com</t>
  </si>
  <si>
    <t>MUDANZAS NACHO Servicio de Mudanzas en Mallorca y Península</t>
  </si>
  <si>
    <t>Alaior</t>
  </si>
  <si>
    <t>serviciodemudanzasenmallorca.es</t>
  </si>
  <si>
    <t>638 61 33 60</t>
  </si>
  <si>
    <t>vasconavas@hotmail.com</t>
  </si>
  <si>
    <t>MUDANZAS SOL-EUROPA</t>
  </si>
  <si>
    <t>Carretera Grao de Castellón-Alzamora Km 1,5 Pol. Ind. El Serrallo, nave 41, 12100 Castellón de la Plana, Castellón</t>
  </si>
  <si>
    <t>Castellón de la Plana</t>
  </si>
  <si>
    <t>Castellón</t>
  </si>
  <si>
    <t>soleuropa.com</t>
  </si>
  <si>
    <t>964 23 22 76</t>
  </si>
  <si>
    <t>mudanzas@soleuropa.com</t>
  </si>
  <si>
    <t>Encaja</t>
  </si>
  <si>
    <t>Calle Dr. Juan Domínguez Pérez, 28, 35008 Las Palmas de Gran Canaria, Las Palmas</t>
  </si>
  <si>
    <t>Las Palmas de Gran Canaria</t>
  </si>
  <si>
    <t>Las Palmas</t>
  </si>
  <si>
    <t>encaja.es</t>
  </si>
  <si>
    <t>902 26 22 33</t>
  </si>
  <si>
    <t>comercial.laspalmas@encaja.es</t>
  </si>
  <si>
    <t>Eco Clear Lanzarote</t>
  </si>
  <si>
    <t>C. Calderón de la Barca, 32, 35500 Arrecife, Las Palmas</t>
  </si>
  <si>
    <t>Arrecife</t>
  </si>
  <si>
    <t>ecoclearlanzarote.com</t>
  </si>
  <si>
    <t>616 46 85 91</t>
  </si>
  <si>
    <t>ecoclearlanzarote@gmail.com</t>
  </si>
  <si>
    <t>MUDANZAS SANTANDER - Empresa de mudanzas en Cantabria</t>
  </si>
  <si>
    <t>Travesia San Fernando, 16B, 39100 Santa Cruz de Bezana, Cantabria</t>
  </si>
  <si>
    <t>Santa Cruz de Bezana</t>
  </si>
  <si>
    <t>Cantabria</t>
  </si>
  <si>
    <t>mudanzasantander.es</t>
  </si>
  <si>
    <t>625 88 40 99</t>
  </si>
  <si>
    <t>portes@mudanzasantander.es</t>
  </si>
  <si>
    <t>Mudanzas Londoño</t>
  </si>
  <si>
    <t>Bulevar de Salburua Kalea, 56, 01003 Gasteiz, Araba</t>
  </si>
  <si>
    <t>Vitoria-Gasteiz</t>
  </si>
  <si>
    <t>Araba</t>
  </si>
  <si>
    <t>mudanzas-londono.com</t>
  </si>
  <si>
    <t>685 74 33 11</t>
  </si>
  <si>
    <t>mudanzas.londono@gmail.com</t>
  </si>
  <si>
    <t>Mudanzas ROMA S.L.</t>
  </si>
  <si>
    <t>C. Morería, 21, 2ºF, 13002 Ciudad Real, Cdad. Real</t>
  </si>
  <si>
    <t>Ciudad Real</t>
  </si>
  <si>
    <t>Cdad. Real</t>
  </si>
  <si>
    <t>mudanzasroma.com</t>
  </si>
  <si>
    <t>926 21 68 58</t>
  </si>
  <si>
    <t>roma@mudanzasroma.com</t>
  </si>
  <si>
    <t>Mudanzas Valero</t>
  </si>
  <si>
    <t>C. S. Lázaro, 8, 3º, 16002 Cuenca</t>
  </si>
  <si>
    <t>Cuenca</t>
  </si>
  <si>
    <t>mudanzasvalero.com</t>
  </si>
  <si>
    <t>969 21 23 28</t>
  </si>
  <si>
    <t>mudanzasvalerocuenca@gmail.com</t>
  </si>
  <si>
    <t>🚚 Mudanzas Sepúlveda | Mudanzas en Guadalajara, Empresa de Mudanzas, Guardamuebles 🔝📦</t>
  </si>
  <si>
    <t>C/ Francisco de Medina Mendoza, Parcela 1, Nave 59, 19171 Cabanillas del Campo, Guadalajara</t>
  </si>
  <si>
    <t>Cabanillas del Campo</t>
  </si>
  <si>
    <t>Guadalajara</t>
  </si>
  <si>
    <t>pablorsepulveda.es</t>
  </si>
  <si>
    <t>625 53 03 42</t>
  </si>
  <si>
    <t>mudanzas.sepulveda@gmail.com</t>
  </si>
  <si>
    <t>Transporte nacional e internacional joselito-joserm</t>
  </si>
  <si>
    <t>Av. de la Sagra, 75, 45230 Numancia de la Sagra, Toledo</t>
  </si>
  <si>
    <t>Numancia de la Sagra</t>
  </si>
  <si>
    <t>Toledo</t>
  </si>
  <si>
    <t>transportesjoselito.es</t>
  </si>
  <si>
    <t>630 93 63 81</t>
  </si>
  <si>
    <t>transportesjoselito@hotmail.com</t>
  </si>
  <si>
    <t>Mudanzas y Transportes Seven</t>
  </si>
  <si>
    <t>Adanero</t>
  </si>
  <si>
    <t>mudanzasytransporteseven.com</t>
  </si>
  <si>
    <t>633 23 57 41</t>
  </si>
  <si>
    <t>mudanzasytransporteseven@gmail.com</t>
  </si>
  <si>
    <t>Eleven 11 Elevación de cargas</t>
  </si>
  <si>
    <t>C. de Lain Calvo, 25, 2ºB, 09003 Burgos</t>
  </si>
  <si>
    <t>Burgos</t>
  </si>
  <si>
    <t>eleven11grupo.com</t>
  </si>
  <si>
    <t>653 89 81 53</t>
  </si>
  <si>
    <t>eleven11grupo@gmail.com</t>
  </si>
  <si>
    <t>Translogística León</t>
  </si>
  <si>
    <t>Av Pais Leones, 16, 24010 León</t>
  </si>
  <si>
    <t>León</t>
  </si>
  <si>
    <t>translogistica.webnode.es</t>
  </si>
  <si>
    <t>642 97 17 13</t>
  </si>
  <si>
    <t>translogisticaleon@gmail.com</t>
  </si>
  <si>
    <t>MUDANZAS Y GUARDAMUEBLES PEYMA</t>
  </si>
  <si>
    <t>Cañada Aguilera, 65, 47155 Santovenia de Pisuerga, Valladolid</t>
  </si>
  <si>
    <t>Santovenia de Pisuerga</t>
  </si>
  <si>
    <t>Valladolid</t>
  </si>
  <si>
    <t>trasterovalladolid.es</t>
  </si>
  <si>
    <t>983 32 01 79</t>
  </si>
  <si>
    <t>peyma@mudanzaspeyma.com</t>
  </si>
  <si>
    <t>Mudanzas Matías | Empresa de Mudanzas Madrid</t>
  </si>
  <si>
    <t>Tr.ª Mesón, 3, 1ºA, 28411 Moralzarzal, Madrid</t>
  </si>
  <si>
    <t>Moralzarzal</t>
  </si>
  <si>
    <t>mudanzasmatias.com</t>
  </si>
  <si>
    <t>629 80 74 80</t>
  </si>
  <si>
    <t>mudanzasrmatias@gmail.com</t>
  </si>
  <si>
    <t>Mudanzas y Transportes Lázaro en Collado Villalba</t>
  </si>
  <si>
    <t>Urbanización La Chopera, 53, 28400 Collado Villalba, Madrid</t>
  </si>
  <si>
    <t>Collado Villalba</t>
  </si>
  <si>
    <t>mudanzaslazaro.com</t>
  </si>
  <si>
    <t>918 51 61 12</t>
  </si>
  <si>
    <t>mudanzaslazaro@telefonica.net</t>
  </si>
  <si>
    <t>Mudanzas GB</t>
  </si>
  <si>
    <t>C/ Holanda, 11. Políg. Ind. Plà de Llerona, 08520, Barcelona</t>
  </si>
  <si>
    <t>Corró d&amp;apos;Avall</t>
  </si>
  <si>
    <t>Barcelona</t>
  </si>
  <si>
    <t>mudanzasgb.com</t>
  </si>
  <si>
    <t>938 49 68 89</t>
  </si>
  <si>
    <t>mudanzasgb@mudanzasgb.com</t>
  </si>
  <si>
    <t>Mudanzas Carrera</t>
  </si>
  <si>
    <t>C. Boltaña, 42, 28022 Madrid</t>
  </si>
  <si>
    <t>portesmudanzasmadrid.es</t>
  </si>
  <si>
    <t>911 01 09 82</t>
  </si>
  <si>
    <t>transcarrera7@hotmail.com</t>
  </si>
  <si>
    <t>Mudanzas Del Olmo</t>
  </si>
  <si>
    <t>C. Hernán Cortés, 4, 49019 Zamora</t>
  </si>
  <si>
    <t>Zamora</t>
  </si>
  <si>
    <t>mudanzasenzamora.com</t>
  </si>
  <si>
    <t>686 98 48 88</t>
  </si>
  <si>
    <t>delolmomudanzas@gmail.com</t>
  </si>
  <si>
    <t>MUDANZAS ZAMORA</t>
  </si>
  <si>
    <t>Av. Zamora, 60, 49027 Zamora</t>
  </si>
  <si>
    <t>mudanzaszamora.es</t>
  </si>
  <si>
    <t>980 52 03 16</t>
  </si>
  <si>
    <t>euphorbia@euphorbia.es</t>
  </si>
  <si>
    <t>BCN MUDANZAS | Empresa de Mudanzas Barcelona</t>
  </si>
  <si>
    <t>Carrer de la Maquinista, 50 PRINCIPAL, 2, 08003 Barcelona</t>
  </si>
  <si>
    <t>bcnmudanzas.com</t>
  </si>
  <si>
    <t>667 27 56 60</t>
  </si>
  <si>
    <t>bcnmudanzas@bcnmudanzas.com</t>
  </si>
  <si>
    <t>Mudanzas Barcelona Iron</t>
  </si>
  <si>
    <t>Carrer de Llorens i Barba, 61, Esc D 1º 1ª, 08025 Barcelona</t>
  </si>
  <si>
    <t>mudanzasiron.es</t>
  </si>
  <si>
    <t>644 79 72 58</t>
  </si>
  <si>
    <t>ironmudanzas@gmail.com</t>
  </si>
  <si>
    <t>Todo mudanzas 24h - Mudanzas Económicas para Particulares y Empresas en Barcelona</t>
  </si>
  <si>
    <t>08923 Santa Coloma de Gramenet, Barcelona</t>
  </si>
  <si>
    <t>Sta Coloma de Gramanet</t>
  </si>
  <si>
    <t>todomudanzas24h.com</t>
  </si>
  <si>
    <t>665 25 52 26</t>
  </si>
  <si>
    <t>todomudanzas24h@gmail.com</t>
  </si>
  <si>
    <t>Mudanzas J. Ventós</t>
  </si>
  <si>
    <t>C. de Villarroel, 80, Bajos, 08011 Barcelona</t>
  </si>
  <si>
    <t>mudanzasventos.com</t>
  </si>
  <si>
    <t>693 10 01 35</t>
  </si>
  <si>
    <t>mudancesj.ventos@telefonica.net</t>
  </si>
  <si>
    <t>Mudanzas Sant Mori</t>
  </si>
  <si>
    <t>Avinguda del Marquès de Sant Mori, 80, 08914 Badalona, Barcelona</t>
  </si>
  <si>
    <t>Badalona</t>
  </si>
  <si>
    <t>mudanzassantmori.com</t>
  </si>
  <si>
    <t>933 99 83 55</t>
  </si>
  <si>
    <t>mudanzas@sant-mori.com</t>
  </si>
  <si>
    <t>Mudanzas super_ecom</t>
  </si>
  <si>
    <t>Carrer ende vallada, 20, 08173 Sant Cugat del Vallès, Barcelona</t>
  </si>
  <si>
    <t>Sant Cugat del Vallès</t>
  </si>
  <si>
    <t>mudanzasprofesionalessuperecom.es</t>
  </si>
  <si>
    <t>933 96 94 74</t>
  </si>
  <si>
    <t>mudanzasuperecom@gmail.com</t>
  </si>
  <si>
    <t>MUDANZAS Y TRANSPORTES FC</t>
  </si>
  <si>
    <t>Carrer de Berlín, 15, 08014 Barcelona</t>
  </si>
  <si>
    <t>mudanzasytransportesfc.com</t>
  </si>
  <si>
    <t>640 84 89 50</t>
  </si>
  <si>
    <t>mudanzasytransportesfc@gmail.com</t>
  </si>
  <si>
    <t>Perfect Mudanzas</t>
  </si>
  <si>
    <t>Avinguda del Marquès de Mont-Roig, 239-D, 08918 Badalona, Barcelona</t>
  </si>
  <si>
    <t>perfectmudanzas.es</t>
  </si>
  <si>
    <t>662 48 66 64</t>
  </si>
  <si>
    <t>perfectmudanzas@gmail.com</t>
  </si>
  <si>
    <t>Global Mudanzas</t>
  </si>
  <si>
    <t>Carrer de Dante Alighieri, 55, 08032 Barcelona</t>
  </si>
  <si>
    <t>global-mudanzas.com</t>
  </si>
  <si>
    <t>664 09 16 78</t>
  </si>
  <si>
    <t>jose@global-mudanzas.com</t>
  </si>
  <si>
    <t>Mudanzas corullón Barcelona</t>
  </si>
  <si>
    <t>Carrer de Tuset, 19 ático, 6, 08006 Barcelona</t>
  </si>
  <si>
    <t>mudanzasytransportescorullon.com</t>
  </si>
  <si>
    <t>937 17 29 84</t>
  </si>
  <si>
    <t>transportesymudanzascorullon@gmail.com</t>
  </si>
  <si>
    <t>Mudanzas rapid bcn</t>
  </si>
  <si>
    <t>Carrer del Taquígraf Serra, 16, 08029 Barcelona</t>
  </si>
  <si>
    <t>barcelona-mudanza.es</t>
  </si>
  <si>
    <t>632 05 88 22</t>
  </si>
  <si>
    <t>mudanzarapidbcn2007@gmail.com</t>
  </si>
  <si>
    <t>Mudanzas en Barcelona Ubermovers.es</t>
  </si>
  <si>
    <t>Abrera</t>
  </si>
  <si>
    <t>ubermovers.es</t>
  </si>
  <si>
    <t>674 13 01 30</t>
  </si>
  <si>
    <t>barcelona@ubermovers.es</t>
  </si>
  <si>
    <t>MUDANZAS EXPRESS 365</t>
  </si>
  <si>
    <t>Carrer Ripollès, 9, 2º1º, 08401 Granollers, Barcelona</t>
  </si>
  <si>
    <t>Granollers</t>
  </si>
  <si>
    <t>mudanzasexpress365.com</t>
  </si>
  <si>
    <t>631 88 98 35</t>
  </si>
  <si>
    <t>mudanzasexpress365@gmail.com</t>
  </si>
  <si>
    <t>MUDANCES RAPID</t>
  </si>
  <si>
    <t>Carrer Ramón Llull, 8, 17144 Colomers, Girona</t>
  </si>
  <si>
    <t>Colomers</t>
  </si>
  <si>
    <t>Girona</t>
  </si>
  <si>
    <t>mudancesrapid.com</t>
  </si>
  <si>
    <t>606 87 67 70</t>
  </si>
  <si>
    <t>adm.transportsmd@gmail.com</t>
  </si>
  <si>
    <t>MUDANZAS DOLCET</t>
  </si>
  <si>
    <t>Gran Passeig de Ronda, 3, 8;1, 25002 Lleida</t>
  </si>
  <si>
    <t>Lérida</t>
  </si>
  <si>
    <t>Lleida</t>
  </si>
  <si>
    <t>mudancesdolcet.com</t>
  </si>
  <si>
    <t>973 26 01 85</t>
  </si>
  <si>
    <t>francescdolcet@hotmail.com</t>
  </si>
  <si>
    <t>Mudanzas Llambrich</t>
  </si>
  <si>
    <t>C. de Mallorca, 34, 43005 Tarragona</t>
  </si>
  <si>
    <t>Tarragona</t>
  </si>
  <si>
    <t>mudanzastarragonallambrich.com</t>
  </si>
  <si>
    <t>977 54 29 39</t>
  </si>
  <si>
    <t>mudanzasllambrich@gmail.com</t>
  </si>
  <si>
    <t>Mudanzas y guardamuebles en Alicante. El Mudancero</t>
  </si>
  <si>
    <t>C. de las Herrerías, 4, 03690 Sant Vicent del Raspeig, Alicante</t>
  </si>
  <si>
    <t>San Vicente del Raspeig</t>
  </si>
  <si>
    <t>Alicante</t>
  </si>
  <si>
    <t>elmudancero.com</t>
  </si>
  <si>
    <t>965 66 05 79</t>
  </si>
  <si>
    <t>mudanzas@elmudancero.com</t>
  </si>
  <si>
    <t>MUDANZAS Y GUARDAMUEBLES ENRYTRANS</t>
  </si>
  <si>
    <t>P.I. Canastell, C. del Yunque, 9, 03690 Sant Vicent del Raspeig, Alicante</t>
  </si>
  <si>
    <t>enrytrans.com</t>
  </si>
  <si>
    <t>965 66 69 07</t>
  </si>
  <si>
    <t>correo@enrytrans.com</t>
  </si>
  <si>
    <t>MUDANZAS Y GUARDAMUEBLES GUIRAO</t>
  </si>
  <si>
    <t>Nº, Calle Belando, 30, 03004 Alacant</t>
  </si>
  <si>
    <t>Alicante (Alacant)</t>
  </si>
  <si>
    <t>Alacant</t>
  </si>
  <si>
    <t>mudanzas-en-murcia.es</t>
  </si>
  <si>
    <t>609 47 42 02</t>
  </si>
  <si>
    <t>mudanzasguirao@gmail.com</t>
  </si>
  <si>
    <t>Mudanzas La Plana</t>
  </si>
  <si>
    <t>Carrer del Doctor Fleming, 4, 12005 Castelló de la Plana, Castelló</t>
  </si>
  <si>
    <t>Castelló</t>
  </si>
  <si>
    <t>mudanzaslaplana.com</t>
  </si>
  <si>
    <t>964 20 41 10</t>
  </si>
  <si>
    <t>mudanzaslaplana@gmail.com</t>
  </si>
  <si>
    <t>Mudanzas Mariocas</t>
  </si>
  <si>
    <t>Carrer Rambla de la Viuda, Nave 2, 12006 Castelló de la Plana, Castelló</t>
  </si>
  <si>
    <t>mudanzasmariocas.com</t>
  </si>
  <si>
    <t>610 85 46 22</t>
  </si>
  <si>
    <t>mudanzasmariocas@gmail.com</t>
  </si>
  <si>
    <t>Transportes y Mudanzas Paco Valls S.L.</t>
  </si>
  <si>
    <t>Ciudad del transporte, cuadra saboner 134, C. Cuadra Saboner Ctr, 134, 12006 Castellón de la Plana, Castellón</t>
  </si>
  <si>
    <t>mudanzaspacovalls.com</t>
  </si>
  <si>
    <t>608 04 81 92</t>
  </si>
  <si>
    <t>mudanzaspacovalls@hotmail.com</t>
  </si>
  <si>
    <t>Mudanzas en Valencia J.G.</t>
  </si>
  <si>
    <t>C/ de Pere Andreu, 1, 46017 València, Valencia</t>
  </si>
  <si>
    <t>Valencia</t>
  </si>
  <si>
    <t>mudanzasjg.es</t>
  </si>
  <si>
    <t>963 28 09 25</t>
  </si>
  <si>
    <t>mudanzasjg@gmail.com</t>
  </si>
  <si>
    <t>Mudanzas Martín</t>
  </si>
  <si>
    <t>Carrer de la Pilota, 5, 46035 València, Valencia</t>
  </si>
  <si>
    <t>mudanzasmartin.es</t>
  </si>
  <si>
    <t>656 87 48 97</t>
  </si>
  <si>
    <t>mudanzasmartin75@gmail.com</t>
  </si>
  <si>
    <t>Servicio Mudanzas Valero Logistik Valencia</t>
  </si>
  <si>
    <t>Carrer dels Escultors, 24, 46120 Alboraia, Valencia</t>
  </si>
  <si>
    <t>Alboraya</t>
  </si>
  <si>
    <t>valerosl.com</t>
  </si>
  <si>
    <t>963 91 28 93</t>
  </si>
  <si>
    <t>vlv@valerosl.com</t>
  </si>
  <si>
    <t>Plataformas Levante - Grúas de elevación por fachada para Material Reformas y Muebles</t>
  </si>
  <si>
    <t>Plaça de José M. Giménez Fayos, 6, 46025 València, Valencia</t>
  </si>
  <si>
    <t>plataformaslevante.com</t>
  </si>
  <si>
    <t>690 11 41 14</t>
  </si>
  <si>
    <t>plataformaslevante@gmail.com</t>
  </si>
  <si>
    <t>Mudanzas en Valencia MYSM</t>
  </si>
  <si>
    <t>Carrer del Mestre Serrano, 9, 46193 Montroi, Valencia</t>
  </si>
  <si>
    <t>Montroy</t>
  </si>
  <si>
    <t>mudanzasmontroy.com</t>
  </si>
  <si>
    <t>615 95 48 85</t>
  </si>
  <si>
    <t>mudanzasyserviciosmontroy@gmail.com</t>
  </si>
  <si>
    <t>Martínez - De Girolami Mudanzas Valencia</t>
  </si>
  <si>
    <t>Plaça del Príncep d&amp;apos;Astúries, 14, 46920 Mislata, Valencia</t>
  </si>
  <si>
    <t>Mislata</t>
  </si>
  <si>
    <t>martinezdegirolami.com</t>
  </si>
  <si>
    <t>661 32 01 45</t>
  </si>
  <si>
    <t>rates@mudinmar.com</t>
  </si>
  <si>
    <t>Mudanzas Valencia Rubio</t>
  </si>
  <si>
    <t>Serratella, n 34, 46650 Canals, Valencia</t>
  </si>
  <si>
    <t>Canals</t>
  </si>
  <si>
    <t>mudanzasvalenciarubio.com</t>
  </si>
  <si>
    <t>633 24 09 53</t>
  </si>
  <si>
    <t>mudanzasvalencia2015@gmail.com</t>
  </si>
  <si>
    <t>Mudanzas y transportes Nani e hijo badajoz</t>
  </si>
  <si>
    <t>Calle Somoza Rivera, 8, 06006 Badajoz</t>
  </si>
  <si>
    <t>Badajoz</t>
  </si>
  <si>
    <t>mudanzasnaniehijo.com</t>
  </si>
  <si>
    <t>647 35 52 68</t>
  </si>
  <si>
    <t>mudanzasnaniehijo@hotmail.com</t>
  </si>
  <si>
    <t>Mudanzas Moreno Martínez</t>
  </si>
  <si>
    <t>Av. de Miajadas, 4, 1º I, 06200 Almendralejo, Badajoz</t>
  </si>
  <si>
    <t>Almendralejo</t>
  </si>
  <si>
    <t>mudanzasmorenomartinez.es</t>
  </si>
  <si>
    <t>607 18 92 34</t>
  </si>
  <si>
    <t>mudanzasmorenomartinez@gmail.com</t>
  </si>
  <si>
    <t>Mudanzas Marcelo</t>
  </si>
  <si>
    <t>C. Jesus Asunción, 17, 10003 Cáceres</t>
  </si>
  <si>
    <t>Cáceres</t>
  </si>
  <si>
    <t>mudanzasmarcelo.com</t>
  </si>
  <si>
    <t>605 92 75 06</t>
  </si>
  <si>
    <t>mudanzasmarcelo@mudanzasmarcelo.com</t>
  </si>
  <si>
    <t>Calle de Lope Báez de Herrero, 9, 10600 Plasencia, Cáceres</t>
  </si>
  <si>
    <t>Plasencia</t>
  </si>
  <si>
    <t>marcelosl.com</t>
  </si>
  <si>
    <t>676 95 99 20</t>
  </si>
  <si>
    <t>mudanzasmarcelo_sl@msn.com</t>
  </si>
  <si>
    <t>Angelpianos Mudanzas y servicios</t>
  </si>
  <si>
    <t>Abadía</t>
  </si>
  <si>
    <t>angelpianos.es</t>
  </si>
  <si>
    <t>646 95 59 23</t>
  </si>
  <si>
    <t>angelpianos@hotmail.com</t>
  </si>
  <si>
    <t>Mudanzas Hércules</t>
  </si>
  <si>
    <t>Pol. Ind. La Grela, Calle de, Rúa Severo Ochoa, 35, 15008 A Coruña</t>
  </si>
  <si>
    <t>La Coruña</t>
  </si>
  <si>
    <t>A Coruña</t>
  </si>
  <si>
    <t>mudanzashercules.com</t>
  </si>
  <si>
    <t>981 25 35 12</t>
  </si>
  <si>
    <t>mudanzashercules@gmail.com</t>
  </si>
  <si>
    <t>MUDANZAS LION - Mudanzas Económicas | A Coruña</t>
  </si>
  <si>
    <t>Rúa Juan de la Cierva, 9, 15008 A Coruña</t>
  </si>
  <si>
    <t>mudanzaslion.es</t>
  </si>
  <si>
    <t>633 90 90 58</t>
  </si>
  <si>
    <t>presupuestos@mudanzaslion.es</t>
  </si>
  <si>
    <t>ASUR GLOBAL SERVICES</t>
  </si>
  <si>
    <t>Av. Lugo, 80, 33401 Avilés, Asturias</t>
  </si>
  <si>
    <t>Avilés</t>
  </si>
  <si>
    <t>Asturias</t>
  </si>
  <si>
    <t>asurglobal.com</t>
  </si>
  <si>
    <t>617 70 04 00</t>
  </si>
  <si>
    <t>asur@asurglobal.com</t>
  </si>
  <si>
    <t>Mudanzas Lugo</t>
  </si>
  <si>
    <t>Av Melchor Ocampo 1238, Zonaeste, 22000 Tijuana, B.C., México</t>
  </si>
  <si>
    <t>Tijuana, Baja California, México</t>
  </si>
  <si>
    <t>México</t>
  </si>
  <si>
    <t>mudanzasentijuana.us</t>
  </si>
  <si>
    <t>+52 664 684 9074</t>
  </si>
  <si>
    <t>mudanzaslugo@hotmail.com</t>
  </si>
  <si>
    <t>Empresa de mudanzas y transporte. Transportes Ourense Express</t>
  </si>
  <si>
    <t>Rúa Emilia Pardo Bazán, 28, 32004 Ourense</t>
  </si>
  <si>
    <t>Ourense</t>
  </si>
  <si>
    <t>transportesourenseexpress.com</t>
  </si>
  <si>
    <t>678 55 11 00</t>
  </si>
  <si>
    <t>transportes_ourenseexpress@hotmail.com</t>
  </si>
  <si>
    <t>Mudanzas Juratrans</t>
  </si>
  <si>
    <t>Sector C Calle 13 Nave 23, Naves Nido, 32901 Ourense, Province of Ourense</t>
  </si>
  <si>
    <t>Province of Ourense</t>
  </si>
  <si>
    <t>mudanzasjuratrans.com</t>
  </si>
  <si>
    <t>659 19 43 73</t>
  </si>
  <si>
    <t>juratrans@mudanzasjuratrans.com</t>
  </si>
  <si>
    <t>Mudanzas Ivana</t>
  </si>
  <si>
    <t>Rúa do Cruceiro, 32695 Trasmiras, Ourense</t>
  </si>
  <si>
    <t>Trasmiras</t>
  </si>
  <si>
    <t>mudanzas-ivana.ueniweb.com</t>
  </si>
  <si>
    <t>634 48 76 97</t>
  </si>
  <si>
    <t>ivandelafuente1978@hotmail.com</t>
  </si>
  <si>
    <t>Transportes y Mudanzas José</t>
  </si>
  <si>
    <t>Lugar ALTAMIRA, 37, 36967 Altamira, Pontevedra</t>
  </si>
  <si>
    <t>A Eirexe</t>
  </si>
  <si>
    <t>Pontevedra</t>
  </si>
  <si>
    <t>transportesymudanzasjose.com</t>
  </si>
  <si>
    <t>678 13 72 36</t>
  </si>
  <si>
    <t>francacabelosgarcia@gmail.com</t>
  </si>
  <si>
    <t>Mudanzas Vicente</t>
  </si>
  <si>
    <t>POL. IND. LA PORTALADA I) 10, C. Circunde, 26006 Logroño, La Rioja</t>
  </si>
  <si>
    <t>Logroño</t>
  </si>
  <si>
    <t>La Rioja</t>
  </si>
  <si>
    <t>mudanzasvicente.es</t>
  </si>
  <si>
    <t>645 83 91 08</t>
  </si>
  <si>
    <t>tmvicente@hotmail.es</t>
  </si>
  <si>
    <t>Mudanzas Del Barco</t>
  </si>
  <si>
    <t>Puente de Abechuco, 9, BAJO, 01013 Vitoria-Gasteiz, Álava</t>
  </si>
  <si>
    <t>Álava</t>
  </si>
  <si>
    <t>mudanzasdelbarco.net</t>
  </si>
  <si>
    <t>945 26 63 36</t>
  </si>
  <si>
    <t>mudanzasdelbarco@gmail.com</t>
  </si>
  <si>
    <t>Mudanzas Madrid 24H</t>
  </si>
  <si>
    <t>C. de Gaztambide, 35, 1º B, 28015 Madrid</t>
  </si>
  <si>
    <t>mudanzasmadrid24.com</t>
  </si>
  <si>
    <t>673 74 46 37</t>
  </si>
  <si>
    <t>adolfoespinosa62@gmail.com</t>
  </si>
  <si>
    <t>Mudanzas Corona</t>
  </si>
  <si>
    <t>Av. de Portugal, 8, 28932 Móstoles, Madrid</t>
  </si>
  <si>
    <t>Móstoles</t>
  </si>
  <si>
    <t>mudanzascorona.com</t>
  </si>
  <si>
    <t>918 62 08 35</t>
  </si>
  <si>
    <t>mudanzascorona@mudanzascorona.com</t>
  </si>
  <si>
    <t>Mudanzas y portes en Madrid | MUDANZAS ARMEL</t>
  </si>
  <si>
    <t>C. de la Avena, 45, 28914 Leganés, Madrid</t>
  </si>
  <si>
    <t>Leganés</t>
  </si>
  <si>
    <t>mudanzasarmel.com</t>
  </si>
  <si>
    <t>666 66 96 83</t>
  </si>
  <si>
    <t>mudanzas.armel@gmail.com</t>
  </si>
  <si>
    <t>Mudanzas 1 Euro x km</t>
  </si>
  <si>
    <t>C. de los Manzanos, 10, 28703 San Sebastián de los Reyes, Madrid</t>
  </si>
  <si>
    <t>San Sebastián de los Reyes</t>
  </si>
  <si>
    <t>mudanzas1euroxkm.com</t>
  </si>
  <si>
    <t>635 22 21 66</t>
  </si>
  <si>
    <t>mudanzas1euroxkm@gmail.com</t>
  </si>
  <si>
    <t>Mudanzas Luna</t>
  </si>
  <si>
    <t>C. Granada, 28935 Móstoles, Madrid</t>
  </si>
  <si>
    <t>mudanzas-luna.com</t>
  </si>
  <si>
    <t>916 17 10 92</t>
  </si>
  <si>
    <t>info.mudanzasluna@gmail.com</t>
  </si>
  <si>
    <t>Mudanzas Edytrans</t>
  </si>
  <si>
    <t>C. de Londres, 62, 28850 Torrejón de Ardoz, Madrid</t>
  </si>
  <si>
    <t>Torrejón de Ardoz</t>
  </si>
  <si>
    <t>mudanzasedytrans.com</t>
  </si>
  <si>
    <t>617 65 29 91</t>
  </si>
  <si>
    <t>mudanzasedytrans@gmail.com</t>
  </si>
  <si>
    <t>Mudanzas Transcambia. Majadahonda. Guardamuebles.</t>
  </si>
  <si>
    <t>C. Cipreses, 73, 28220 Majadahonda, Madrid</t>
  </si>
  <si>
    <t>Majadahonda</t>
  </si>
  <si>
    <t>transcambia.es</t>
  </si>
  <si>
    <t>670 72 79 74</t>
  </si>
  <si>
    <t>transcambia@gmail.com</t>
  </si>
  <si>
    <t>Mudanzas Madrid Directo</t>
  </si>
  <si>
    <t>28, Calle Ote., 10, 28901 Getafe, Madrid</t>
  </si>
  <si>
    <t>Getafe</t>
  </si>
  <si>
    <t>mudanzasmadriddirecto.es</t>
  </si>
  <si>
    <t>605 68 38 13</t>
  </si>
  <si>
    <t>mudanzasdirecto@gmail.com</t>
  </si>
  <si>
    <t>Mudanzas Bacilio</t>
  </si>
  <si>
    <t>Colonia Occidente, 4, 28022 Madrid</t>
  </si>
  <si>
    <t>mudanzas-bacilio.ueniweb.com</t>
  </si>
  <si>
    <t>625 90 27 31</t>
  </si>
  <si>
    <t>bacilio-jbg33@hotmail.com</t>
  </si>
  <si>
    <t>Portes Y Mudanzas Paul</t>
  </si>
  <si>
    <t>C. Gómez Acebo, 9, 1ºB, 28021 Madrid</t>
  </si>
  <si>
    <t>portesymudanzaspaul.com</t>
  </si>
  <si>
    <t>642 87 94 34</t>
  </si>
  <si>
    <t>paulcostache90@gmail.com</t>
  </si>
  <si>
    <t>Mudanzas F. Cárceles</t>
  </si>
  <si>
    <t>Ronda Norte, 9, 30007 Murcia</t>
  </si>
  <si>
    <t>Murcia</t>
  </si>
  <si>
    <t>mudanzasfcarceles.es</t>
  </si>
  <si>
    <t>900 102 331</t>
  </si>
  <si>
    <t>correo@mudanzasfcarceles.es</t>
  </si>
  <si>
    <t>Mudanzas Carjusan</t>
  </si>
  <si>
    <t>Calle C, 31192 Mutilva Baja, Navarra</t>
  </si>
  <si>
    <t>Mutilva Baja</t>
  </si>
  <si>
    <t>Navarra</t>
  </si>
  <si>
    <t>mudanzascarjusan.es</t>
  </si>
  <si>
    <t>610 40 38 30</t>
  </si>
  <si>
    <t>carjusan@msn.com</t>
  </si>
  <si>
    <t>MUDANZAS TUDELANAS</t>
  </si>
  <si>
    <t>C. Cascante, 23, 31500 Tudela, Navarra</t>
  </si>
  <si>
    <t>Tudela</t>
  </si>
  <si>
    <t>mudanzastudelanas.com</t>
  </si>
  <si>
    <t>948 82 15 29</t>
  </si>
  <si>
    <t>mutudelanas@hotmail.com</t>
  </si>
  <si>
    <t>Mudanzas Y Transportes Iosu</t>
  </si>
  <si>
    <t>Abáigar</t>
  </si>
  <si>
    <t>mudanzasiosu.com</t>
  </si>
  <si>
    <t>608 77 59 00</t>
  </si>
  <si>
    <t>transportesinfom@gmail.com</t>
  </si>
  <si>
    <t>PMS TRANSPORTES Y MUDANZAS S.L</t>
  </si>
  <si>
    <t>Araba Kalea, 10, 48450 Legizamon, Bizkaia</t>
  </si>
  <si>
    <t>Leguizamón</t>
  </si>
  <si>
    <t>Bizkaia</t>
  </si>
  <si>
    <t>pmsmudanzas.com</t>
  </si>
  <si>
    <t>685 30 09 92</t>
  </si>
  <si>
    <t>mudanzas@pmsinstalaciones.com</t>
  </si>
  <si>
    <t>MudanzasNoahTrans</t>
  </si>
  <si>
    <t>Av. de Londres, 5, 28500 Arganda del Rey, Madrid</t>
  </si>
  <si>
    <t>Arganda del Rey</t>
  </si>
  <si>
    <t>mudanzasnoahtrans.com</t>
  </si>
  <si>
    <t>600 37 36 51</t>
  </si>
  <si>
    <t>ciprianciprian523@gmail.com</t>
  </si>
  <si>
    <t>Mudanzas Alcazaba</t>
  </si>
  <si>
    <t>Calle Reyes Católicos, 29, 04004 Almería</t>
  </si>
  <si>
    <t>mudanzasenalmeria.es</t>
  </si>
  <si>
    <t>950 24 30 28</t>
  </si>
  <si>
    <t>-</t>
  </si>
  <si>
    <t>Mudanzas y Guardamuebles Almeria La Seda</t>
  </si>
  <si>
    <t>Plaza Carabineros, 7, 04007 Almería</t>
  </si>
  <si>
    <t>mudanzasalmeria.com</t>
  </si>
  <si>
    <t>950 50 00 29</t>
  </si>
  <si>
    <t>info@mudanzaslaseda.com</t>
  </si>
  <si>
    <t>Mudanzas Cervantes</t>
  </si>
  <si>
    <t>C. Alcalde Muñoz, 36, 04004 Almería</t>
  </si>
  <si>
    <t>mudanzascervantes.es</t>
  </si>
  <si>
    <t>625 17 93 02</t>
  </si>
  <si>
    <t>Transportes y Mudanzas MercaSaeta</t>
  </si>
  <si>
    <t>Calle el Límite nº5 (Polígono San Rafael (Almería Almería ES, 04230 Huércal de Almería</t>
  </si>
  <si>
    <t>transportesmercasaeta.com</t>
  </si>
  <si>
    <t>692 02 61 23</t>
  </si>
  <si>
    <t>Mudanzas internacionales Europa</t>
  </si>
  <si>
    <t>C. Veleta, 9, 04002 Almería</t>
  </si>
  <si>
    <t>mudanzasinternacionales.eu</t>
  </si>
  <si>
    <t>900 834 408</t>
  </si>
  <si>
    <t>MUDANZAS FERNANDEZ</t>
  </si>
  <si>
    <t>C. Rosita, 22, 04230 Huércal de Almería, Almería</t>
  </si>
  <si>
    <t>mudanzasfernandez.com</t>
  </si>
  <si>
    <t>950 23 06 00</t>
  </si>
  <si>
    <t>contacto@mudanzasfernandez.com</t>
  </si>
  <si>
    <t>Mudanzas Cañadas Almería</t>
  </si>
  <si>
    <t>Calle Calvario, 7, local 3, 04008 Almería</t>
  </si>
  <si>
    <t>mudanzascanadas.es</t>
  </si>
  <si>
    <t>958 40 11 36</t>
  </si>
  <si>
    <t>info@mudanzascanadas.es</t>
  </si>
  <si>
    <t>C. el Corro, 12, 04230 Huércal de Almería, Almería</t>
  </si>
  <si>
    <t>info@mudanzascervantes.es</t>
  </si>
  <si>
    <t>Mudanzas Almería - Fernández</t>
  </si>
  <si>
    <t>Calle Rueda López, 17, 04004 Almería</t>
  </si>
  <si>
    <t>Mudanzas y Montador de Muebles Karzi</t>
  </si>
  <si>
    <t>C. Buenavista, 12, 2-2, 04008 Almería</t>
  </si>
  <si>
    <t>642 97 46 21</t>
  </si>
  <si>
    <t>Portes Económicos Almería</t>
  </si>
  <si>
    <t>C. Pio Ⅶ, 50, 04120 La Cañada, Almería</t>
  </si>
  <si>
    <t>La Cañada</t>
  </si>
  <si>
    <t>633 34 72 48</t>
  </si>
  <si>
    <t>Mudanzas y Transporte Almerifletes</t>
  </si>
  <si>
    <t>C. Edimburgo, 18, 04720 Aguadulce, Almería</t>
  </si>
  <si>
    <t>Aguadulce</t>
  </si>
  <si>
    <t>665 90 47 46</t>
  </si>
  <si>
    <t>Mudanzas Andalucía</t>
  </si>
  <si>
    <t>950 26 97 68</t>
  </si>
  <si>
    <t>Plaza Los Álamos 4 Aguadulce, Almería, 04720 Roquetas de mar Almería, Almería</t>
  </si>
  <si>
    <t>El Campillo del Moro</t>
  </si>
  <si>
    <t>mudanzasenalmeria.com</t>
  </si>
  <si>
    <t>info@mudanzasenalmeria.com</t>
  </si>
  <si>
    <t>MUDANZAS ALMERIFLETES</t>
  </si>
  <si>
    <t>Pol. Ind. La Juaida, C. Cataluña, 12, 04240 Viator, Almería</t>
  </si>
  <si>
    <t>C. Venta Vitorino, 2, 04720 Aguadulce, Almería</t>
  </si>
  <si>
    <t>Mudanza CipTrans</t>
  </si>
  <si>
    <t>Calle/ Gloria Fuentes nr.8 Cortijos de Marin, 04738 Almeria, Almería</t>
  </si>
  <si>
    <t>Cortijos de Marín</t>
  </si>
  <si>
    <t>+40 790 354 667</t>
  </si>
  <si>
    <t>mercasaeta</t>
  </si>
  <si>
    <t>C. Dallas, 33, 04720 Aguadulce, Almería</t>
  </si>
  <si>
    <t>Abla</t>
  </si>
  <si>
    <t>Mudanzas y Guardamuebles Granada La Seda</t>
  </si>
  <si>
    <t>C. Ciego de Arjona, 3, 3A, 18012 Granada</t>
  </si>
  <si>
    <t>mudanzas-granada.es</t>
  </si>
  <si>
    <t>958 87 00 03</t>
  </si>
  <si>
    <t>Mudanzas Antonio y Carlos</t>
  </si>
  <si>
    <t>C/ Los Alacranes, 3 &amp;quot;Urbanización Los Cortijillos&amp;quot;, 18152 Dílar, Granada</t>
  </si>
  <si>
    <t>Dílar</t>
  </si>
  <si>
    <t>mudanzasantonioycarlos.com</t>
  </si>
  <si>
    <t>656 94 21 76</t>
  </si>
  <si>
    <t>mudanzas@mudanzasantonioycarlos.com</t>
  </si>
  <si>
    <t>El Corro</t>
  </si>
  <si>
    <t>C/ Policia Angel Garcia Rabadon, Nº 30, 30009 Murcia</t>
  </si>
  <si>
    <t>609 41 19 29</t>
  </si>
  <si>
    <t>Mudanzas Segovia</t>
  </si>
  <si>
    <t>C. de la Acacia, Nº1, 40391 Encinillas, Segovia</t>
  </si>
  <si>
    <t>Encinillas</t>
  </si>
  <si>
    <t>Segovia</t>
  </si>
  <si>
    <t>mudanzassegovia.org</t>
  </si>
  <si>
    <t>609 87 36 93</t>
  </si>
  <si>
    <t>info@mudanzassegovia.org</t>
  </si>
  <si>
    <t>Mudanzas CA</t>
  </si>
  <si>
    <t>C. Manuel Altolaguirre, 33, 29170 Colmenar, Málaga</t>
  </si>
  <si>
    <t>Colmenar</t>
  </si>
  <si>
    <t>mudanzas-malaga.com</t>
  </si>
  <si>
    <t>645 55 13 92</t>
  </si>
  <si>
    <t>Mudinmar Mobility Mudanzas Internacionales</t>
  </si>
  <si>
    <t>Polígono Industrial, C. N-1, 2, 46220 Picassent, Valencia</t>
  </si>
  <si>
    <t>Picassent</t>
  </si>
  <si>
    <t>mudinmar.com</t>
  </si>
  <si>
    <t>963 97 43 83</t>
  </si>
  <si>
    <t>sales@mudinmar.com</t>
  </si>
  <si>
    <t>Mudanzas Servipaq S.V.Q S.L. (Mudanzas en Sevilla y España)</t>
  </si>
  <si>
    <t>Polígono Calonge, C. Berilio, 3, 41007 Sevilla</t>
  </si>
  <si>
    <t>mudanzasytransportessevilla.com</t>
  </si>
  <si>
    <t>954 35 54 84</t>
  </si>
  <si>
    <t>Mudanzas Madrid Sierra</t>
  </si>
  <si>
    <t>mudanzasmadridsierra.es</t>
  </si>
  <si>
    <t>665 78 08 57</t>
  </si>
  <si>
    <t>info@mudanzasmadridsierra.es</t>
  </si>
  <si>
    <t>Mudanzas Baratas Madrid</t>
  </si>
  <si>
    <t>C. de Braulio Gutiérrez, 3, 28017 Madrid</t>
  </si>
  <si>
    <t>mudanzas-baratas-madrid.es</t>
  </si>
  <si>
    <t>624 83 93 55</t>
  </si>
  <si>
    <t>info@mudanzas-baratas-madrid.es</t>
  </si>
  <si>
    <t>Mudanzas Y Transportes Juan Eloy</t>
  </si>
  <si>
    <t>Pl. de Bécquer, 2, BAJO, 11010 Cádiz</t>
  </si>
  <si>
    <t>mudanzasjuaneloy.com</t>
  </si>
  <si>
    <t>956 25 31 45</t>
  </si>
  <si>
    <t>pwacompat@2.0.9</t>
  </si>
  <si>
    <t>Transportes y Mudanzas Poli,S.L.</t>
  </si>
  <si>
    <t>Pl. Mentidero, 11, 11003 Cádiz</t>
  </si>
  <si>
    <t>mudanzaspoli.com</t>
  </si>
  <si>
    <t>956 22 59 30</t>
  </si>
  <si>
    <t>info@mudanzaspoli.com</t>
  </si>
  <si>
    <t>Mudanzas y Ttes. Ponce</t>
  </si>
  <si>
    <t>C. Sacramento, 43, 11001 Cádiz</t>
  </si>
  <si>
    <t>956 97 08 16</t>
  </si>
  <si>
    <t>Mudanzas en Cadiz, guardamuebles y alquiler de trasteros en Cadiz. Gaditana</t>
  </si>
  <si>
    <t>Barbate, 62, 11012 Cádiz</t>
  </si>
  <si>
    <t>mudanzasencadiz.com</t>
  </si>
  <si>
    <t>956 53 10 10</t>
  </si>
  <si>
    <t>info@mudanzasencadiz.com</t>
  </si>
  <si>
    <t>Mudanzas Ponce</t>
  </si>
  <si>
    <t>Alcalá de los Gazules</t>
  </si>
  <si>
    <t>699 12 77 13</t>
  </si>
  <si>
    <t>Tranvía de Cádiz A San Fernando y Carraca S.A.</t>
  </si>
  <si>
    <t>C. el Bosque, s/n, 11011 Cádiz</t>
  </si>
  <si>
    <t>tranviacadiz.es</t>
  </si>
  <si>
    <t>956 28 38 04</t>
  </si>
  <si>
    <t>Moving</t>
  </si>
  <si>
    <t>La Laguna, Av. Cayetano del Toro, 16, 11010 Cádiz</t>
  </si>
  <si>
    <t>Transportes Moreno</t>
  </si>
  <si>
    <t>C. San José, 61, 11002 Cádiz</t>
  </si>
  <si>
    <t>Transportes Económicos</t>
  </si>
  <si>
    <t>Velázquez, 15, 11010 Cádiz</t>
  </si>
  <si>
    <t>transporteseconomicos.es</t>
  </si>
  <si>
    <t>956 26 26 67</t>
  </si>
  <si>
    <t>Grupo Amygo Cádiz</t>
  </si>
  <si>
    <t>Av. Almirante J M Pery Junquera, 33, 11100 San Fernando, Cádiz</t>
  </si>
  <si>
    <t>grupoamygo.com</t>
  </si>
  <si>
    <t>900 353 143</t>
  </si>
  <si>
    <t>info@grupoamygo.com</t>
  </si>
  <si>
    <t>ISLATRANS CHICLANA SL.</t>
  </si>
  <si>
    <t>Ctra. del Marquesado, km 0,4, 11130 Chiclana de la Frontera, Cádiz</t>
  </si>
  <si>
    <t>Chiclana de la Frontera</t>
  </si>
  <si>
    <t>islatrans.es</t>
  </si>
  <si>
    <t>900 112 110</t>
  </si>
  <si>
    <t>MUDANZAS ATLANTIS</t>
  </si>
  <si>
    <t>Polígono Industrial El Palmar, C. Fragua, 2, 4, 11500 El Puerto de Sta María, Cádiz</t>
  </si>
  <si>
    <t>mudanzasatlantis.es</t>
  </si>
  <si>
    <t>956 85 92 41</t>
  </si>
  <si>
    <t>comercial@transportesatlantis.es</t>
  </si>
  <si>
    <t>Transportes y Mudanzas Iván</t>
  </si>
  <si>
    <t>C. Conde de Barcelona, 0, 11620 Jédula, Cádiz</t>
  </si>
  <si>
    <t>Jédula</t>
  </si>
  <si>
    <t>615 31 75 79</t>
  </si>
  <si>
    <t>Mudanzas trasportes y cuvas Hnos carambito e hijos</t>
  </si>
  <si>
    <t>C. Portoalegre, 20, 11500 El Puerto de Sta María, Cádiz</t>
  </si>
  <si>
    <t>606 59 62 63</t>
  </si>
  <si>
    <t>Miguel Castaño Amaya</t>
  </si>
  <si>
    <t>C. San Ignacio, 14, 11510 Puerto Real, Cádiz</t>
  </si>
  <si>
    <t>Puerto Real</t>
  </si>
  <si>
    <t>956 83 02 49</t>
  </si>
  <si>
    <t>Mudanzas Pepe Sánchez</t>
  </si>
  <si>
    <t>C. Padre Patricio Jiménez Cuevas, 22, 11540 Sanlúcar de Barrameda, Cádiz</t>
  </si>
  <si>
    <t>Sanlúcar de Barrameda</t>
  </si>
  <si>
    <t>636 09 58 20</t>
  </si>
  <si>
    <t>Asociación Benéfica El Caminar Vida y Esperanza</t>
  </si>
  <si>
    <t>Av. de Valencia, 45, 11500 El Puerto de Sta María, Cádiz</t>
  </si>
  <si>
    <t>elcaminar-asociacion.es</t>
  </si>
  <si>
    <t>Alejandro@elcaminar-asociacion.es</t>
  </si>
  <si>
    <t>Mudanzas en Cádiz Gil-Stauffer</t>
  </si>
  <si>
    <t>C. Avión Cuatro Vientos, 8, 41013 Sevilla</t>
  </si>
  <si>
    <t>gil-stauffer.com</t>
  </si>
  <si>
    <t>956 54 24 01</t>
  </si>
  <si>
    <t>central@gil-stauffer.com</t>
  </si>
  <si>
    <t>Mudanzas Andalucía: Mudanzas Málaga</t>
  </si>
  <si>
    <t>C. la Gitanilla, 8, 29004 Málaga</t>
  </si>
  <si>
    <t>mudanzasandalucia.es</t>
  </si>
  <si>
    <t>952 96 09 15</t>
  </si>
  <si>
    <t>info@mudanzasandalucia.es</t>
  </si>
  <si>
    <t>Mudanzas Sevilla Gil Stauffer</t>
  </si>
  <si>
    <t>Polígono Industrial La Isla, C. Río Viejo, 80, 41703 Sevilla</t>
  </si>
  <si>
    <t>Dos Hermanas</t>
  </si>
  <si>
    <t>955 63 02 22</t>
  </si>
  <si>
    <t>Mudanzas Huelva</t>
  </si>
  <si>
    <t>C. Berdigón, 27, 21003 Huelva</t>
  </si>
  <si>
    <t>959 23 04 58</t>
  </si>
  <si>
    <t>MUDANZAS VIRGEN DE LUJÁN</t>
  </si>
  <si>
    <t>C. Virgen de Luján, 47, 41011 Sevilla</t>
  </si>
  <si>
    <t>mudanzaslujan.com</t>
  </si>
  <si>
    <t>622 15 25 66</t>
  </si>
  <si>
    <t>info@mudanzaslujan.com</t>
  </si>
  <si>
    <t>Mudanzas Híspalis</t>
  </si>
  <si>
    <t>C. Industrial la Palmera, 13b, 41703 Dos Hermanas, Sevilla</t>
  </si>
  <si>
    <t>mudanzashispalis.net</t>
  </si>
  <si>
    <t>633 78 81 95</t>
  </si>
  <si>
    <t>info@mudanzashispalis.net</t>
  </si>
  <si>
    <t>MUDANZAS FUENGIROLA</t>
  </si>
  <si>
    <t>C. Río Velillos, 19, 29651 Las Lagunas de Mijas, Málaga</t>
  </si>
  <si>
    <t>Las Lagunas de Mijas</t>
  </si>
  <si>
    <t>mudanzasfuengirola.com</t>
  </si>
  <si>
    <t>607 58 68 69</t>
  </si>
  <si>
    <t>info@mudanzasfuengirola.com</t>
  </si>
  <si>
    <t>TRANSPORTES Y MUDANZAS DANIEL PEREZ</t>
  </si>
  <si>
    <t>Av. Espartinas, 21, 41110 Bollullos de la Mitación, Sevilla</t>
  </si>
  <si>
    <t>Bollullos de la Mitación</t>
  </si>
  <si>
    <t>transportesdanielperez.com</t>
  </si>
  <si>
    <t>635 54 62 81</t>
  </si>
  <si>
    <t>Mudanzas Cooper</t>
  </si>
  <si>
    <t>Av. Ricardo Soriano, 31, 29601 Marbella, Málaga</t>
  </si>
  <si>
    <t>Marbella</t>
  </si>
  <si>
    <t>SIT Spain</t>
  </si>
  <si>
    <t>C. de la Rioja, 5, 28823 Coslada, Madrid</t>
  </si>
  <si>
    <t>Coslada</t>
  </si>
  <si>
    <t>sitspain.com</t>
  </si>
  <si>
    <t>916 71 06 08</t>
  </si>
  <si>
    <t>info@sitspain.com</t>
  </si>
  <si>
    <t>La Vascongada S.L.</t>
  </si>
  <si>
    <t>C. del Mar Mediterráneo, 20, 28830 San Fernando de Henares, Madrid</t>
  </si>
  <si>
    <t>San Fernando de Henares</t>
  </si>
  <si>
    <t>vascongada.com</t>
  </si>
  <si>
    <t>916 55 89 80</t>
  </si>
  <si>
    <t>info@vascongada.com</t>
  </si>
  <si>
    <t>Mudanzas</t>
  </si>
  <si>
    <t>C. del Amor Hermoso, 25, 28026 Madrid</t>
  </si>
  <si>
    <t>605 03 80 08</t>
  </si>
  <si>
    <t>Mudanzas Internacionales Jesmatrans</t>
  </si>
  <si>
    <t>Carrer de Pau Claris, 97, Piso 4 Puerta 1, 08009 Barcelona</t>
  </si>
  <si>
    <t>jesmatrans.es</t>
  </si>
  <si>
    <t>931 81 50 48</t>
  </si>
  <si>
    <t>comercial@jesmatrans.es</t>
  </si>
  <si>
    <t>MUDANZAS BARCELONA GIL STAUFFER</t>
  </si>
  <si>
    <t>C. de Salvador Espriu, 2, 8, 08908 L&amp;apos;Hospitalet de Llobregat, Barcelona</t>
  </si>
  <si>
    <t>L&amp;apos;Hospitalet de Llobregat</t>
  </si>
  <si>
    <t>932 15 55 55</t>
  </si>
  <si>
    <t>Port, S.L.</t>
  </si>
  <si>
    <t>Dirección de Entrega, C. Prta de Abajo, 22, 28430 Alpedrete, Madrid</t>
  </si>
  <si>
    <t>Alpedrete</t>
  </si>
  <si>
    <t>portes.es</t>
  </si>
  <si>
    <t>918 57 18 75</t>
  </si>
  <si>
    <t>info@portes.es</t>
  </si>
  <si>
    <t>Mudanzas Tasitrans-Cordobati S.L.</t>
  </si>
  <si>
    <t>Doña Berenguela, 1, portal 4 Bajo B, 14006 Córdoba</t>
  </si>
  <si>
    <t>cordobati.com</t>
  </si>
  <si>
    <t>647 96 08 75</t>
  </si>
  <si>
    <t>info@cordobati.com</t>
  </si>
  <si>
    <t>Peque Mudanzas Córdoba</t>
  </si>
  <si>
    <t>14014 Córdoba</t>
  </si>
  <si>
    <t>pequemudanzas.wixsite.com</t>
  </si>
  <si>
    <t>644 56 97 26</t>
  </si>
  <si>
    <t>CA Mudanzas en Córdoba Centro</t>
  </si>
  <si>
    <t>C. Cruz Conde, 10, 14003 Córdoba</t>
  </si>
  <si>
    <t>camudanzas.es</t>
  </si>
  <si>
    <t>Mudanzas rapidas y guardamuebles TSR</t>
  </si>
  <si>
    <t>POLIGONO INDUSTRIAL CHINALES, Av. de Chinales, 63, 14007 Córdoba</t>
  </si>
  <si>
    <t>mudanzas-cordoba.com</t>
  </si>
  <si>
    <t>957 78 97 87</t>
  </si>
  <si>
    <t>info@mudanzas-cordoba.com</t>
  </si>
  <si>
    <t>Mudanzas Sánchez y Sobrinos</t>
  </si>
  <si>
    <t>C. Ginés de Sepúlveda, 3, 14006 Córdoba</t>
  </si>
  <si>
    <t>mudanzassanchezysobrinos.es</t>
  </si>
  <si>
    <t>957 27 53 93</t>
  </si>
  <si>
    <t>info@mudanzassanchezysobrinos.com</t>
  </si>
  <si>
    <t>Mudanzas Mudarte</t>
  </si>
  <si>
    <t>Av. Agrupación Córdoba, 19, 14014 Córdoba</t>
  </si>
  <si>
    <t>mudarte.es</t>
  </si>
  <si>
    <t>957 40 10 79</t>
  </si>
  <si>
    <t>mudarte@mudarte.es</t>
  </si>
  <si>
    <t>Mudanzas Prieto e hijos</t>
  </si>
  <si>
    <t>Pol. Ind. Tecnocordoba, C. Finlandia, 28, 14014 Córdoba</t>
  </si>
  <si>
    <t>mudanzasprietoehijos.com</t>
  </si>
  <si>
    <t>957 32 26 40</t>
  </si>
  <si>
    <t>info@mudanzasprietoehijos.com</t>
  </si>
  <si>
    <t>Grupo Amygo Córdoba</t>
  </si>
  <si>
    <t>C. Ing. Barbudo, 2, 14013 Córdoba</t>
  </si>
  <si>
    <t>Mudanzas Lucena | CA Mudanzas</t>
  </si>
  <si>
    <t>Av. de Madrid, 41, 14900 Lucena, Córdoba</t>
  </si>
  <si>
    <t>Lucena</t>
  </si>
  <si>
    <t>Mudanzas Montoro | CA</t>
  </si>
  <si>
    <t>C. Herrerías, s/n, 14600 Montoro, Córdoba</t>
  </si>
  <si>
    <t>Montoro</t>
  </si>
  <si>
    <t>mudanzas la carlota</t>
  </si>
  <si>
    <t>C. Redonda de la Fuente Nueva, 14100 La Carlota, Córdoba</t>
  </si>
  <si>
    <t>La Carlota</t>
  </si>
  <si>
    <t>Mudanzas de Córdoba</t>
  </si>
  <si>
    <t>C. Prim, 7, 14200 Peñarroya-Pueblonuevo, Córdoba</t>
  </si>
  <si>
    <t>Peñarroya-Pueblonuevo</t>
  </si>
  <si>
    <t>744 60 29 98</t>
  </si>
  <si>
    <t>Helena Martín Interiorismo y Servicios Inmobiliarios Córdoba</t>
  </si>
  <si>
    <t>C. Concepción, 4, 14008 Córdoba</t>
  </si>
  <si>
    <t>609 37 55 71</t>
  </si>
  <si>
    <t>Mudanzas en Cordoba Gil-Stauffer</t>
  </si>
  <si>
    <t>C. Real, 186, 41950 Castilleja de la Cuesta, Sevilla</t>
  </si>
  <si>
    <t>Castilleja de la Cuesta</t>
  </si>
  <si>
    <t>957 47 19 15</t>
  </si>
  <si>
    <t>Mudanzas Cañadas Granada - Guardamuebles</t>
  </si>
  <si>
    <t>Pl. de Campo Verde, 2, b, 18001 Granada</t>
  </si>
  <si>
    <t>Mudanzas Luna Granada - Guardamuebles</t>
  </si>
  <si>
    <t>C. Gracia, 23, 2C, 18002 Granada</t>
  </si>
  <si>
    <t>mudanzaslunagranada.com</t>
  </si>
  <si>
    <t>638 12 25 99</t>
  </si>
  <si>
    <t>info@mudanzaslunagranada.com</t>
  </si>
  <si>
    <t>Mudanzas Granada | Cariño</t>
  </si>
  <si>
    <t>Av. de la Constitución, 42, 18012 Granada</t>
  </si>
  <si>
    <t>grupocarino.com</t>
  </si>
  <si>
    <t>958 45 90 01</t>
  </si>
  <si>
    <t>Mz Mudanzas - Granada</t>
  </si>
  <si>
    <t>Calle Dr. Enrique Hernández, 5, 2ºD, 18012 Granada</t>
  </si>
  <si>
    <t>mzmudanzas.com</t>
  </si>
  <si>
    <t>622 21 33 03</t>
  </si>
  <si>
    <t>macias@mzmudanzas.com</t>
  </si>
  <si>
    <t>Mudanzas el karzi</t>
  </si>
  <si>
    <t>Agrón</t>
  </si>
  <si>
    <t>Superportes</t>
  </si>
  <si>
    <t>622 45 42 02</t>
  </si>
  <si>
    <t>Mudanzas Guardamuebles Mario Cantos</t>
  </si>
  <si>
    <t>C. Pedro Antonio de Alarcon, 26, 18110 Las Gabias, Granada</t>
  </si>
  <si>
    <t>Las Gabias</t>
  </si>
  <si>
    <t>mudanzas-guardamuebles-granada.com</t>
  </si>
  <si>
    <t>664 85 83 67</t>
  </si>
  <si>
    <t>info@mudanzas-guardamuebles-granada.com</t>
  </si>
  <si>
    <t>Grupo Cariño</t>
  </si>
  <si>
    <t>N-432, Km 420, 18240 Pinos Puente, Granada</t>
  </si>
  <si>
    <t>Pinos Puente</t>
  </si>
  <si>
    <t>Transportes y Mudanzas Ruiz</t>
  </si>
  <si>
    <t>657 75 86 66</t>
  </si>
  <si>
    <t>José Antonio Reyes Martínez</t>
  </si>
  <si>
    <t>Av. Libertad, 41, 18198 Huétor Vega, Granada</t>
  </si>
  <si>
    <t>Huétor Vega</t>
  </si>
  <si>
    <t>958 30 07 63</t>
  </si>
  <si>
    <t>Portes y Mudanzas Ducato Granada</t>
  </si>
  <si>
    <t>arcaceleras, 8, 18370 Moraleda de Zafayona, Granada</t>
  </si>
  <si>
    <t>Moraleda de Zafayona</t>
  </si>
  <si>
    <t>661 07 20 03</t>
  </si>
  <si>
    <t>Envios a Republica Dominicana</t>
  </si>
  <si>
    <t>C. Alondra, 2, 18100 Armilla, Granada</t>
  </si>
  <si>
    <t>Armilla</t>
  </si>
  <si>
    <t>692 10 07 48</t>
  </si>
  <si>
    <t>REK2 (Mudanzas y recados en Granada y provincia)</t>
  </si>
  <si>
    <t>678 62 65 49</t>
  </si>
  <si>
    <t>Mudanzas Motril</t>
  </si>
  <si>
    <t>C. Rodríguez Acosta, 7, 18600 Motril, Granada</t>
  </si>
  <si>
    <t>Motril</t>
  </si>
  <si>
    <t>mudanzasmotril.es</t>
  </si>
  <si>
    <t>618 31 43 35</t>
  </si>
  <si>
    <t>info@mudanzasmotril.es</t>
  </si>
  <si>
    <t>Transportes Y Mudanzas Ducato</t>
  </si>
  <si>
    <t>Cam. Romilla, 10, 18339 Cijuela, Granada</t>
  </si>
  <si>
    <t>Cijuela</t>
  </si>
  <si>
    <t>Guardamuebles Cariño</t>
  </si>
  <si>
    <t>Crta de Córdoba Km, 420, 18240 Pinos Puente, Granada</t>
  </si>
  <si>
    <t>Mudanzas Javi</t>
  </si>
  <si>
    <t>C. Real, 34, 18540 Moreda, Granada</t>
  </si>
  <si>
    <t>Moreda</t>
  </si>
  <si>
    <t>666 17 94 35</t>
  </si>
  <si>
    <t>Transportes Y Mudanzas T Y M</t>
  </si>
  <si>
    <t>Poligono Espartera, BAJO, 18500 Guadix, Granada</t>
  </si>
  <si>
    <t>Guadix</t>
  </si>
  <si>
    <t>958 66 08 95</t>
  </si>
  <si>
    <t>Hakotrans Mudanzas Internacionales · Removal · Umzuege · Verhuizingen</t>
  </si>
  <si>
    <t>Pol. Ind. la Vega, Calle Camino Hera, 21 Nave 13 A, del Cañadón, 29649 Las Lagunas de Mijas, Málaga</t>
  </si>
  <si>
    <t>hakotrans.com</t>
  </si>
  <si>
    <t>952 58 76 19</t>
  </si>
  <si>
    <t>info@hakotrans.com</t>
  </si>
  <si>
    <t>Mudanzas Carretero . Empresa de Mudanzas en Huelva . Guardamuebles</t>
  </si>
  <si>
    <t>C. Pablo Rada, 2, Planta 5, 21004 Huelva</t>
  </si>
  <si>
    <t>mudanzascarretero.com</t>
  </si>
  <si>
    <t>959 23 12 12</t>
  </si>
  <si>
    <t>Mudanzas PORTEmontaje - XTm</t>
  </si>
  <si>
    <t>C. los Milanos, 2, 21006 Huelva</t>
  </si>
  <si>
    <t>mudanzasportemontaje.com</t>
  </si>
  <si>
    <t>621 31 64 60</t>
  </si>
  <si>
    <t>Portes y Mudanzas Cristóbal</t>
  </si>
  <si>
    <t>C. Antonio Rengel, 9, 21002 Huelva</t>
  </si>
  <si>
    <t>lamudanza.es</t>
  </si>
  <si>
    <t>677 15 82 23</t>
  </si>
  <si>
    <t>Mudanzas Cristóbal. mudanzascristobal@hotmail.com</t>
  </si>
  <si>
    <t>C. Ciprés, 1, 21110 Aljaraque, Huelva</t>
  </si>
  <si>
    <t>Aljaraque</t>
  </si>
  <si>
    <t>Mudanzas en Huelva Gil-Stauffer</t>
  </si>
  <si>
    <t>Av. Dinamarca, 19, 41012 Sevilla</t>
  </si>
  <si>
    <t>959 28 16 46</t>
  </si>
  <si>
    <t>Mudanzas y Transportes Alcaide</t>
  </si>
  <si>
    <t>Calle, Alcalde Francisco Ruíz de Bosque, 1, 1B, 21200 Aracena, Huelva</t>
  </si>
  <si>
    <t>Aracena</t>
  </si>
  <si>
    <t>620 42 92 64</t>
  </si>
  <si>
    <t>MUDANZAS MOLINA - GUARDAMUEBLES - JAEN</t>
  </si>
  <si>
    <t>C. Salobreja, 4, 23003 Jaén</t>
  </si>
  <si>
    <t>mudanzasmolina.com</t>
  </si>
  <si>
    <t>953 81 43 63</t>
  </si>
  <si>
    <t>info@mudanzasmolina.com</t>
  </si>
  <si>
    <t>Mudanzas Cañadas Jaén - Guardamuebles - Presupuestos online</t>
  </si>
  <si>
    <t>Albanchez de Mágina</t>
  </si>
  <si>
    <t>600 55 93 82</t>
  </si>
  <si>
    <t>Mudanzas Amaro</t>
  </si>
  <si>
    <t>Polígono Industrial Los Olivares, C. la Iruela, s/n, parcela 1, 23009 Jaén</t>
  </si>
  <si>
    <t>mudanzasamaro.com</t>
  </si>
  <si>
    <t>953 22 44 05</t>
  </si>
  <si>
    <t>info@mudanzasamaro.com</t>
  </si>
  <si>
    <t>Mudanzas y Guardamuebles Jaén La Seda</t>
  </si>
  <si>
    <t>Av. Granada, 29, 1ª Planta Oficina B, 23003 Jaén</t>
  </si>
  <si>
    <t>mudanzasjaen-laseda.es</t>
  </si>
  <si>
    <t>953 89 91 69</t>
  </si>
  <si>
    <t>Mudanzas Jaen | Mudanzas Plata</t>
  </si>
  <si>
    <t>Av. Ruiz Jiménez, 4, 23008 Jaén</t>
  </si>
  <si>
    <t>mudanzasplata.com</t>
  </si>
  <si>
    <t>677 00 17 34</t>
  </si>
  <si>
    <t>jehovaplata@gmail.comContacto</t>
  </si>
  <si>
    <t>MI MUDANZA | Mudanzas en Jaén</t>
  </si>
  <si>
    <t>C. Jaén, 23, 23001 Jaén</t>
  </si>
  <si>
    <t>mimudanza.net</t>
  </si>
  <si>
    <t>611 36 99 52</t>
  </si>
  <si>
    <t>info@mimudanza.net</t>
  </si>
  <si>
    <t>Juan Chueco Delgado</t>
  </si>
  <si>
    <t>Calle Dr. Fleming, 42, 23003 Jaén</t>
  </si>
  <si>
    <t>953 51 66 18</t>
  </si>
  <si>
    <t>GUARDAMUEBLES - MOLINA</t>
  </si>
  <si>
    <t>Carr. Bailén-Motril, 5, 23009 Jaén</t>
  </si>
  <si>
    <t>Mudanzas Linares y transportes hermanos Rodríguez</t>
  </si>
  <si>
    <t>mudanzasytransporteshnosrodriguez.com</t>
  </si>
  <si>
    <t>676 27 72 40</t>
  </si>
  <si>
    <t>Mudanzas Ubeda</t>
  </si>
  <si>
    <t>poligono los cerros, Calle Carr. de Vilches, parcela 43, 23400 Úbeda, Jaén</t>
  </si>
  <si>
    <t>Úbeda</t>
  </si>
  <si>
    <t>mudanzasubedasl.com</t>
  </si>
  <si>
    <t>696 43 84 12</t>
  </si>
  <si>
    <t>20mudanzasubeda@gmail.com</t>
  </si>
  <si>
    <t>Mudanzas y Transportes Amaro</t>
  </si>
  <si>
    <t>C. Andalucia, 58, 23170 La Guardia de Jaén, Jaén</t>
  </si>
  <si>
    <t>La Guardia de Jaén</t>
  </si>
  <si>
    <t>Mudanzas Andújar</t>
  </si>
  <si>
    <t>C. Federica de Montseny, 12, 23740 Andújar, Jaén</t>
  </si>
  <si>
    <t>Andújar</t>
  </si>
  <si>
    <t>mudanzasandujar.com</t>
  </si>
  <si>
    <t>605 28 12 16</t>
  </si>
  <si>
    <t>Juan Pastor Sola</t>
  </si>
  <si>
    <t>C. Colon, 9, 23760 Arjona, Jaén</t>
  </si>
  <si>
    <t>Arjona</t>
  </si>
  <si>
    <t>PORTES Y MUDANZAS MGSD</t>
  </si>
  <si>
    <t>672 81 31 73</t>
  </si>
  <si>
    <t>C. Isaac Peral, 9, 23700 Linares, Jaén</t>
  </si>
  <si>
    <t>Linares</t>
  </si>
  <si>
    <t>MUDANZAS GIL STAUFFER MÁLAGA</t>
  </si>
  <si>
    <t>C. Huéscar, 2, 3ºH, 29007 Málaga</t>
  </si>
  <si>
    <t>952 24 59 94</t>
  </si>
  <si>
    <t>Portes en granada</t>
  </si>
  <si>
    <t>C. San Matías, 18009 Granada</t>
  </si>
  <si>
    <t>instagram.com</t>
  </si>
  <si>
    <t>631 48 29 94</t>
  </si>
  <si>
    <t>Mudanzas Cañadas Málaga</t>
  </si>
  <si>
    <t>Pl. de la Marina, 2, planta 6, puerta 4, 29015 Málaga</t>
  </si>
  <si>
    <t>627 24 36 36</t>
  </si>
  <si>
    <t>Mudanzas Lopez Serrano</t>
  </si>
  <si>
    <t>C. Domingo de Orueta, 11, 2º 4, 29002 Málaga</t>
  </si>
  <si>
    <t>mudanzaslopezserrano.es</t>
  </si>
  <si>
    <t>648 29 89 82</t>
  </si>
  <si>
    <t>Mudanzas Lusan</t>
  </si>
  <si>
    <t>C. Chilches, 5, 29006 Málaga</t>
  </si>
  <si>
    <t>mudanzaslusan.es</t>
  </si>
  <si>
    <t>952 31 61 19</t>
  </si>
  <si>
    <t>central@grupolusan.es</t>
  </si>
  <si>
    <t>Mudanzas Dan | Mudanzas y Guardamuebles en Malaga</t>
  </si>
  <si>
    <t>C. de Alfredo Corrochano, n° 135, 29006 Málaga</t>
  </si>
  <si>
    <t>mudanzasdan.com</t>
  </si>
  <si>
    <t>605 70 68 84</t>
  </si>
  <si>
    <t>info@mudanzasdan.com</t>
  </si>
  <si>
    <t>Empresa de Mudanzas y Portes en Málaga | Mudanzas Mudanty</t>
  </si>
  <si>
    <t>Av. Salvador Allende, 244, 29017 Málaga</t>
  </si>
  <si>
    <t>mudanty.com</t>
  </si>
  <si>
    <t>633 19 42 08</t>
  </si>
  <si>
    <t>Empresa de Mudanzas Málaga⭐ Mudanzas DAN</t>
  </si>
  <si>
    <t>C. Seco Oloroso, n°2, 29014 Málaga</t>
  </si>
  <si>
    <t>Mudanzas mi casa</t>
  </si>
  <si>
    <t>C. Tamayo y Baus, 18, 29010 Málaga</t>
  </si>
  <si>
    <t>mudanzas-mi-casa.jimdosite.com</t>
  </si>
  <si>
    <t>641 02 32 80</t>
  </si>
  <si>
    <t>infomudanzasmicasa@gmail.com</t>
  </si>
  <si>
    <t>Mudanzas en Malaga | CA Mudanzas</t>
  </si>
  <si>
    <t>Cam. Puente del Rey, S/N, 29130 Alhaurín de la Torre, Málaga</t>
  </si>
  <si>
    <t>Alhaurín de la Torre</t>
  </si>
  <si>
    <t>mudanzas-en-malaga.es</t>
  </si>
  <si>
    <t>Automudanzas Málaga</t>
  </si>
  <si>
    <t>C. Chilches, 7, 29006 Málaga</t>
  </si>
  <si>
    <t>automudanzasmalaga.com</t>
  </si>
  <si>
    <t>617 72 63 90</t>
  </si>
  <si>
    <t>info@automudanzasmalaga.com</t>
  </si>
  <si>
    <t>Agencia Mudanzas Málaga | CA</t>
  </si>
  <si>
    <t>C. Hemingway, 46, 29004 Málaga</t>
  </si>
  <si>
    <t>CA Mudanzas Málaga</t>
  </si>
  <si>
    <t>C. de Alozaina, 33, LOCAL, 29006 Málaga</t>
  </si>
  <si>
    <t>Transmudan. Mudanzas</t>
  </si>
  <si>
    <t>C. Cirilo salinas, 10, 29190 Málaga</t>
  </si>
  <si>
    <t>951 10 35 10</t>
  </si>
  <si>
    <t>CA | Mudanzas Málaga</t>
  </si>
  <si>
    <t>C. Marqués de Larios, 10b, 29005 Málaga</t>
  </si>
  <si>
    <t>Transportes Kitchen-Solutions, S.L.</t>
  </si>
  <si>
    <t>C. Punta Alta, 2, 29006 Málaga</t>
  </si>
  <si>
    <t>611 15 67 22</t>
  </si>
  <si>
    <t>Transportes y mudanzas C. Martin</t>
  </si>
  <si>
    <t>Alameda</t>
  </si>
  <si>
    <t>642 18 12 74</t>
  </si>
  <si>
    <t>Dan Mudanzas y trasteros</t>
  </si>
  <si>
    <t>C. Ter, n36, 29006 Málaga</t>
  </si>
  <si>
    <t>744 63 74 30</t>
  </si>
  <si>
    <t>Mudanzas Malaga | Mudanzas Plata</t>
  </si>
  <si>
    <t>C. Martín Fierro, 41, 29004 Málaga</t>
  </si>
  <si>
    <t>Mudanzas El Palo</t>
  </si>
  <si>
    <t>Pje. Amaranto, 1, 29018 Málaga</t>
  </si>
  <si>
    <t>952 20 23 81</t>
  </si>
  <si>
    <t>Mudanzas Express 24h</t>
  </si>
  <si>
    <t>Avenida de Manuel Agustín Heredia, 6, panta 4 .2 2, 29001 Málaga</t>
  </si>
  <si>
    <t>Mudanzas kangaro Malaga</t>
  </si>
  <si>
    <t>C. Marea Baja, 2, 29006 Málaga</t>
  </si>
  <si>
    <t>Portes y mudanzas Dani</t>
  </si>
  <si>
    <t>C. Concejal Masso Roura, 6, 3 F, 29003 Málaga</t>
  </si>
  <si>
    <t>Solutions, multiservicios: Mudanzas, Portes, Limpiezas, Desalojos</t>
  </si>
  <si>
    <t>637 39 00 71</t>
  </si>
  <si>
    <t>Mudanzas Gil Stauffer Málaga</t>
  </si>
  <si>
    <t>C. Cuevas Bajas, 10, 29004 Málaga</t>
  </si>
  <si>
    <t>Portes y Mudanzas Paco</t>
  </si>
  <si>
    <t>C. Higueras, 0, 29190 Málaga</t>
  </si>
  <si>
    <t>676 55 68 70</t>
  </si>
  <si>
    <t>DeMudanza</t>
  </si>
  <si>
    <t>demudanza.es</t>
  </si>
  <si>
    <t>641 46 67 29</t>
  </si>
  <si>
    <t>info@demudanza.es</t>
  </si>
  <si>
    <t>Asociación de Empresas de Mudanzas y Guardamuebles de Andalucía</t>
  </si>
  <si>
    <t>Franz liszt, s/n - CTM Málaga, Edif. Administrativo, 1ª planta - of. 102, 29590</t>
  </si>
  <si>
    <t>29590</t>
  </si>
  <si>
    <t>fedem.es</t>
  </si>
  <si>
    <t>952 17 94 04</t>
  </si>
  <si>
    <t>Mudanzas Málaga Express | Portes Directos</t>
  </si>
  <si>
    <t>Calle Ramal Comandante García Morato, local 21, 29004 Málaga</t>
  </si>
  <si>
    <t>mudanzasmalagaexpress.com</t>
  </si>
  <si>
    <t>651 00 92 18</t>
  </si>
  <si>
    <t>info@mudanzasmalagaexpress.com</t>
  </si>
  <si>
    <t>Portes y Mudanzas Joaquin</t>
  </si>
  <si>
    <t>P/29 1°B, C. Jorge Guillén, 29003 Málaga</t>
  </si>
  <si>
    <t>631 78 61 60</t>
  </si>
  <si>
    <t>JPT PORTES Y MUDANZAS MÁLAGA</t>
  </si>
  <si>
    <t>641 26 32 59</t>
  </si>
  <si>
    <t>Memudo</t>
  </si>
  <si>
    <t>C. Bielorrusia, 3, 29004 Málaga</t>
  </si>
  <si>
    <t>Mudanzas Málaga |Alquiler Guardamuebles Malaga |Mudanzas Malaga Reva</t>
  </si>
  <si>
    <t>C. Esperanza, 2, 29560 Pizarra, Málaga</t>
  </si>
  <si>
    <t>Pizarra</t>
  </si>
  <si>
    <t>mudanzasreva.com</t>
  </si>
  <si>
    <t>659 74 35 21</t>
  </si>
  <si>
    <t>tinfo@mudanzasreva.com</t>
  </si>
  <si>
    <t>Mudanzas del sol</t>
  </si>
  <si>
    <t>mudanzasdelsol.com</t>
  </si>
  <si>
    <t>647 02 59 09</t>
  </si>
  <si>
    <t>office@mudanzasdelsol.com</t>
  </si>
  <si>
    <t>🏠 Islatrans, Mudanzas, Alquiler de trasteros, Guardamuebles en Malaga.</t>
  </si>
  <si>
    <t>Crta A-357 km 43,8, 29560 Pizarra, Málaga</t>
  </si>
  <si>
    <t>951 10 09 21</t>
  </si>
  <si>
    <t>Asoc Resurgir Vida Recicla</t>
  </si>
  <si>
    <t>C. Jalón, 10, 29004 Málaga</t>
  </si>
  <si>
    <t>952 23 22 41</t>
  </si>
  <si>
    <t>Mudanzas Lorena</t>
  </si>
  <si>
    <t>C. El Coloso, 6, BLOQ 3, 3ºA, 29630 Benalmádena, Málaga</t>
  </si>
  <si>
    <t>Benalmádena</t>
  </si>
  <si>
    <t>mudanzaslorena.com</t>
  </si>
  <si>
    <t>649 88 92 88</t>
  </si>
  <si>
    <t>Mudanzas Transur, Trasteros, Guardamuebles en Alhaurin de la Torre.</t>
  </si>
  <si>
    <t>Av. El Limón, 140, 29130 Alhaurín de la Torre, Málaga</t>
  </si>
  <si>
    <t>mudanzasenbenalmadena.com</t>
  </si>
  <si>
    <t>952 00 52 61</t>
  </si>
  <si>
    <t>MudanzasMartín</t>
  </si>
  <si>
    <t>C. Punta Umbría, 4, Bloque 7 Bajo B2, 29738 Torre de Benagalbón, Málaga</t>
  </si>
  <si>
    <t>Torre de Benagalbón</t>
  </si>
  <si>
    <t>699 87 82 26</t>
  </si>
  <si>
    <t>Islatrans | Mudanzas Malaga</t>
  </si>
  <si>
    <t>Crta, A-357, km 41, 29560 Pizarra, Málaga</t>
  </si>
  <si>
    <t>951 26 48 19</t>
  </si>
  <si>
    <t>Taxis Malaga Airport</t>
  </si>
  <si>
    <t>5 , portal G bajo B, C. Francisco Fernández Golfín, 29130 Málaga</t>
  </si>
  <si>
    <t>taxismalagaairport.com</t>
  </si>
  <si>
    <t>622 66 90 80</t>
  </si>
  <si>
    <t>info@transferinmalaga.com</t>
  </si>
  <si>
    <t>Portes y Mudanzas Fani</t>
  </si>
  <si>
    <t>29630 Benalmádena, Málaga</t>
  </si>
  <si>
    <t>mudanzas-fani-malaga.com</t>
  </si>
  <si>
    <t>Mudanzas en Torremolinos</t>
  </si>
  <si>
    <t>C. Loma de los Riscos, s/n, 29620 Torremolinos, Málaga</t>
  </si>
  <si>
    <t>Torremolinos</t>
  </si>
  <si>
    <t>Britannia Southern</t>
  </si>
  <si>
    <t>Diseminado, Cam. de Campanales, S/N, 29651 Las Lagunas de Mijas, Málaga</t>
  </si>
  <si>
    <t>container-storage.com</t>
  </si>
  <si>
    <t>952 47 07 07</t>
  </si>
  <si>
    <t>info@container-storage.com</t>
  </si>
  <si>
    <t>Mudanzas Medi</t>
  </si>
  <si>
    <t>C. Italia, 56, 29580 Estación de Cártama, Málaga</t>
  </si>
  <si>
    <t>Estación de Cártama</t>
  </si>
  <si>
    <t>mudanzasmedi.es</t>
  </si>
  <si>
    <t>627 14 29 08</t>
  </si>
  <si>
    <t>info@mudanzasmedi.es</t>
  </si>
  <si>
    <t>Mudanzas Torremolinos</t>
  </si>
  <si>
    <t>C. Manuel Franco Cubeiro, 31, 29620 Torremolinos, Málaga</t>
  </si>
  <si>
    <t>952 42 61 87</t>
  </si>
  <si>
    <t>Mudanzas Tucan, S.L (Grupo Amygo Málaga)</t>
  </si>
  <si>
    <t>Crtra Marbella-Coin A355 Km 16 Parq. Emp.De Monda - Parc.D22, 29110 Monda, Málaga</t>
  </si>
  <si>
    <t>Monda</t>
  </si>
  <si>
    <t>Mudanzas en Cartama | CA</t>
  </si>
  <si>
    <t>C. González Marín, s/n, 29570 Cártama, Málaga</t>
  </si>
  <si>
    <t>Cártama</t>
  </si>
  <si>
    <t>Mudanzas de Torremolinos</t>
  </si>
  <si>
    <t>C. Estrella, 6, 29620 Torremolinos, Málaga</t>
  </si>
  <si>
    <t>Transportes y Mudanzas El Roseton, S.L.U.</t>
  </si>
  <si>
    <t>Calle Asturias Nave B-2, 29200 Antequera, Málaga</t>
  </si>
  <si>
    <t>Antequera</t>
  </si>
  <si>
    <t>mudanzaselroseton.com</t>
  </si>
  <si>
    <t>617 88 83 73</t>
  </si>
  <si>
    <t>info@mudanzaselroseton.com</t>
  </si>
  <si>
    <t>Mudanzas Tucán</t>
  </si>
  <si>
    <t>Parque Empresarial de Monda, D21, 29110 Monda, Málaga</t>
  </si>
  <si>
    <t>mudanzastucan.com</t>
  </si>
  <si>
    <t>952 58 25 30</t>
  </si>
  <si>
    <t>info@mudanzastucan.com</t>
  </si>
  <si>
    <t>Malaga Removals Ltd</t>
  </si>
  <si>
    <t>C. Guadalquivir, 83, 29120 Alhaurín el Grande, Málaga</t>
  </si>
  <si>
    <t>Alhaurín el Grande</t>
  </si>
  <si>
    <t>malagaremovals.com</t>
  </si>
  <si>
    <t>951 12 18 57</t>
  </si>
  <si>
    <t>sales@malagaremovals.com</t>
  </si>
  <si>
    <t>Mudanzas Amador Guerrero</t>
  </si>
  <si>
    <t>686 29 57 80</t>
  </si>
  <si>
    <t>EuroMudanzas</t>
  </si>
  <si>
    <t>Pol. Ind. los Girasoles, C. Gardenia, 7, 41907 Valencina de la Concepción, Sevilla</t>
  </si>
  <si>
    <t>euromudanzas.es</t>
  </si>
  <si>
    <t>639 13 58 99</t>
  </si>
  <si>
    <t>info@euromudanzas.es</t>
  </si>
  <si>
    <t>Mudanzas Extremeñas</t>
  </si>
  <si>
    <t>Av. Jose María Alcaraz y Alenda, 35, 06011 Badajoz</t>
  </si>
  <si>
    <t>mudanzasextremenas.com</t>
  </si>
  <si>
    <t>924 26 07 30</t>
  </si>
  <si>
    <t>info@mudanzasextremenas.com</t>
  </si>
  <si>
    <t>Mudanzas y Portes en Madrid Hnos Tapia</t>
  </si>
  <si>
    <t>C. de Peña de la Miel, 7, 1º B, 28018 Madrid</t>
  </si>
  <si>
    <t>mudanzashermanostapia.com</t>
  </si>
  <si>
    <t>911 55 29 77</t>
  </si>
  <si>
    <t>info@mudanzashermanostapia.com</t>
  </si>
  <si>
    <t>Mudanzas y Guardamuebles Gil Stauffer</t>
  </si>
  <si>
    <t>P.º de las Delicias, 1, 41001 Sevilla</t>
  </si>
  <si>
    <t>Mini Mudanzas Sevilla 634221373</t>
  </si>
  <si>
    <t>Av. Eduardo Dato, 12, 41018 Sevilla</t>
  </si>
  <si>
    <t>634 22 13 73</t>
  </si>
  <si>
    <t>MUDANZAS Y GUARDAMUEBLES GIRALDA</t>
  </si>
  <si>
    <t>Polígono Industrial Macarena, Calle Química, 41015 Sevilla</t>
  </si>
  <si>
    <t>mudanzasgiralda.es</t>
  </si>
  <si>
    <t>954 35 94 09</t>
  </si>
  <si>
    <t>Portes Antonio Vicente. Portes económicos, mudanzas económicas Sevilla</t>
  </si>
  <si>
    <t>business.site</t>
  </si>
  <si>
    <t>647 62 84 28</t>
  </si>
  <si>
    <t>Sevimudanzas</t>
  </si>
  <si>
    <t>C. Tintoreras, 4, 1ª, 41015 Sevilla</t>
  </si>
  <si>
    <t>sevimudanzas.com</t>
  </si>
  <si>
    <t>645 25 55 02</t>
  </si>
  <si>
    <t>info@sevimudanzas.com</t>
  </si>
  <si>
    <t>Mudanzas Arsenio</t>
  </si>
  <si>
    <t>C. Beatriz de Suabia, 154, 41005 Sevilla</t>
  </si>
  <si>
    <t>mudanzasarsenio.es</t>
  </si>
  <si>
    <t>629 44 95 55</t>
  </si>
  <si>
    <t>info@mudanzasarsenio.es</t>
  </si>
  <si>
    <t>MUDANZAS RASE</t>
  </si>
  <si>
    <t>C. Genil, 44, 41001 Sevilla</t>
  </si>
  <si>
    <t>mudanzasrase.com</t>
  </si>
  <si>
    <t>657 64 18 55</t>
  </si>
  <si>
    <t>PORTES SEVILLA</t>
  </si>
  <si>
    <t>C. Flor de Nieve, 7, 41020 Sevilla</t>
  </si>
  <si>
    <t>portessevilla.es</t>
  </si>
  <si>
    <t>632 72 25 57</t>
  </si>
  <si>
    <t>Mudanzas y Portes Vazquez</t>
  </si>
  <si>
    <t>C. Pino Central, 20, 41016 Sevilla</t>
  </si>
  <si>
    <t>mudanzasyportesvazquez.es</t>
  </si>
  <si>
    <t>673 87 19 68</t>
  </si>
  <si>
    <t>MUDANZAS EXPRESS</t>
  </si>
  <si>
    <t>C. Gardenia, 7, NAVE 41, 41907 Valencina de la Concepción, Sevilla</t>
  </si>
  <si>
    <t>mudanzaexpress.net</t>
  </si>
  <si>
    <t>954 22 43 57</t>
  </si>
  <si>
    <t>info@mudanzaexpress.net</t>
  </si>
  <si>
    <t>Virgen de Los Reyes Mudanzas y Guardamuebles</t>
  </si>
  <si>
    <t>Av. de la Solea, 11, 41007 Sevilla</t>
  </si>
  <si>
    <t>mudanzasvirgendelosreyes.com</t>
  </si>
  <si>
    <t>954 68 62 68</t>
  </si>
  <si>
    <t>info@mudanzasvirgendelosreyes.com</t>
  </si>
  <si>
    <t>Portes y Mudanzas en Sevilla L y A</t>
  </si>
  <si>
    <t>portesymudanzaslya.es</t>
  </si>
  <si>
    <t>605 60 69 60</t>
  </si>
  <si>
    <t>presupuesto@portesymudanzaslya.es</t>
  </si>
  <si>
    <t>Mudanzas Sampe</t>
  </si>
  <si>
    <t>41013 A domicilio de, puerta a puerta, 41013 Sevilla</t>
  </si>
  <si>
    <t>sampe.es</t>
  </si>
  <si>
    <t>603 86 13 17</t>
  </si>
  <si>
    <t>Mudanzas Sevilla Lorenzana</t>
  </si>
  <si>
    <t>Pol. Ind. Fridex, Calle 9, nº2, 41500 Alcalá de Guadaíra, Sevilla</t>
  </si>
  <si>
    <t>Alcalá de Guadaíra</t>
  </si>
  <si>
    <t>lorenzanasevilla.com</t>
  </si>
  <si>
    <t>955 63 04 48</t>
  </si>
  <si>
    <t>info@lorenzanasevilla.com</t>
  </si>
  <si>
    <t>Mudanzas PORTEmontaje - XTm Sevilla</t>
  </si>
  <si>
    <t>M. TINOCO PORTES Y MUDANZAS ALJARAFE</t>
  </si>
  <si>
    <t>41920, C. Armilla, 28, 41920 San Juan de Aznalfarache, Sevilla</t>
  </si>
  <si>
    <t>San Juan de Aznalfarache</t>
  </si>
  <si>
    <t>653 33 96 61</t>
  </si>
  <si>
    <t>Mudanzas Amado Miguel</t>
  </si>
  <si>
    <t>Pol.Ind Navisur, C/ Narciso, 20 -22, 41907 Valencina de la Concepción, Sevilla</t>
  </si>
  <si>
    <t>amadomiguel.com</t>
  </si>
  <si>
    <t>954 37 14 92</t>
  </si>
  <si>
    <t>info@amadomiguel.com</t>
  </si>
  <si>
    <t>Mudanzas Rocío</t>
  </si>
  <si>
    <t>Polígono Industrial Majaravique La Rinconada, km 5,5, Carretera, 51, 41309 La Rinconada, Sevilla</t>
  </si>
  <si>
    <t>La Rinconada</t>
  </si>
  <si>
    <t>mudanzas-rocio.com</t>
  </si>
  <si>
    <t>954 90 64 07</t>
  </si>
  <si>
    <t>info@mudanzas-rocio.com</t>
  </si>
  <si>
    <t>MUDANZAS FALCON</t>
  </si>
  <si>
    <t>C. Zapillo, 9, 1ºA, 41020 Sevilla</t>
  </si>
  <si>
    <t>mudanzasfalcon.es</t>
  </si>
  <si>
    <t>615 04 94 52</t>
  </si>
  <si>
    <t>Grupo Amygo Sevilla</t>
  </si>
  <si>
    <t>Pol. Ind. los Girasoles, C. Gladiolo, 17-19, 21, 41907 Valencina de la Concepción, Sevilla</t>
  </si>
  <si>
    <t>Mudanzas La Leonesa</t>
  </si>
  <si>
    <t>C. Zurcidoras, 2, 41015 Sevilla</t>
  </si>
  <si>
    <t>649 70 56 45</t>
  </si>
  <si>
    <t>Virtual Data SLU</t>
  </si>
  <si>
    <t>Empresa de Mudanzas</t>
  </si>
  <si>
    <t>Av. Tecnología, 26, 41015 Sevilla</t>
  </si>
  <si>
    <t>955 45 21 49</t>
  </si>
  <si>
    <t>Mudanzas Silva</t>
  </si>
  <si>
    <t>C. Campamento, 15, 2°1, 41018 Sevilla</t>
  </si>
  <si>
    <t>673 30 70 70</t>
  </si>
  <si>
    <t>Mudanzas Trajano 634221373 sevilla</t>
  </si>
  <si>
    <t>Calle Virgen de Gracia y Esperanza, 39 San Bernardo 3, 41003 Sevilla</t>
  </si>
  <si>
    <t>Mudanzas reino Sevilla</t>
  </si>
  <si>
    <t>C. Torneo, 41006 Sevilla</t>
  </si>
  <si>
    <t>618 65 52 50</t>
  </si>
  <si>
    <t>Mudanzas El Rey - Mudanzas y Guardamuebles en Sevilla</t>
  </si>
  <si>
    <t>C. Lope de Vega, 8, 41300 San José de la Rinconada, Sevilla</t>
  </si>
  <si>
    <t>San José de la Rinconada</t>
  </si>
  <si>
    <t>mudanzaselrey.com</t>
  </si>
  <si>
    <t>955 79 85 16</t>
  </si>
  <si>
    <t>Mudanzas Sevilla ®</t>
  </si>
  <si>
    <t>C. Tarifa, 12, 41940 Tomares, Sevilla</t>
  </si>
  <si>
    <t>Tomares</t>
  </si>
  <si>
    <t>mudanzassevilla.pro</t>
  </si>
  <si>
    <t>633 35 55 41</t>
  </si>
  <si>
    <t>info@mudanzassevilla.pro</t>
  </si>
  <si>
    <t>Mudanzas Y Guardamuebles Raúl</t>
  </si>
  <si>
    <t>C. Gardenia, 0, 41001 Sevilla</t>
  </si>
  <si>
    <t>Mudanzas Virgen de los Reyes</t>
  </si>
  <si>
    <t>P.I. El Gordillo, Ctra. Sevilla-Brenes, Km. 5.4-Parcela 23, 41300 Sevilla</t>
  </si>
  <si>
    <t>Portes Modicos Mudanzas</t>
  </si>
  <si>
    <t>C. Limonero, 1, 41017 Sevilla</t>
  </si>
  <si>
    <t>669 76 66 59</t>
  </si>
  <si>
    <t>Mudanzas Macarena</t>
  </si>
  <si>
    <t>S/N, Pol. Ind. los Girasoles, Avenida Tartessos, 41907, Sevilla</t>
  </si>
  <si>
    <t>Santiponce</t>
  </si>
  <si>
    <t>mudanzas-macarena.com</t>
  </si>
  <si>
    <t>955 98 08 97</t>
  </si>
  <si>
    <t>comercial@mudanzas-macarena.com</t>
  </si>
  <si>
    <t>MUDANZAS INTERNACIONALES</t>
  </si>
  <si>
    <t>645 87 63 28</t>
  </si>
  <si>
    <t>Mudanzas THF</t>
  </si>
  <si>
    <t>C. Polysol Tres, 11, 41500 Alcalá de Guadaíra, Sevilla</t>
  </si>
  <si>
    <t>mudanzasthf.com</t>
  </si>
  <si>
    <t>602 54 68 75</t>
  </si>
  <si>
    <t>info@mudanzasthf.com</t>
  </si>
  <si>
    <t>Transportes Y Mudanzas Espinar</t>
  </si>
  <si>
    <t>C. Azafrán, 27, 41500 Soledad ( La ), Sevilla</t>
  </si>
  <si>
    <t>615 20 77 70</t>
  </si>
  <si>
    <t>PORTES Y MUDANZAS MANZANO</t>
  </si>
  <si>
    <t>611 40 10 85</t>
  </si>
  <si>
    <t>MUDANZAS ALJARAFE</t>
  </si>
  <si>
    <t>Av. Olivares, nº 15, 41110 Bollullos de la Mitación, Sevilla</t>
  </si>
  <si>
    <t>mudanzas-aljarafe.es</t>
  </si>
  <si>
    <t>955 76 78 92</t>
  </si>
  <si>
    <t>info@mudanzasaljarafe.es</t>
  </si>
  <si>
    <t>MUDANZAS DOS HERMANAS</t>
  </si>
  <si>
    <t>comerciosyservicios.com</t>
  </si>
  <si>
    <t>Mudanzas Alclareñas</t>
  </si>
  <si>
    <t>mudanzasalcalareña.com</t>
  </si>
  <si>
    <t>693 64 66 01</t>
  </si>
  <si>
    <t>Cantalejo Transportes</t>
  </si>
  <si>
    <t>C. Clementinas, 9, 41006 Sevilla</t>
  </si>
  <si>
    <t>615 96 69 70</t>
  </si>
  <si>
    <t>Mudanzas Ruiz - 610 898 705 - Empresa de Transportes - Portes Económicos, Mudanzas Sevilla</t>
  </si>
  <si>
    <t>Av. de la Palmera, 2, 41703 Dos Hermanas, Sevilla</t>
  </si>
  <si>
    <t>mudanzasruiz.es</t>
  </si>
  <si>
    <t>610 89 87 05</t>
  </si>
  <si>
    <t>info@mudanzasruiz.es</t>
  </si>
  <si>
    <t>Mudanzas Servicpool</t>
  </si>
  <si>
    <t>mudanzasservicpool.24-h.press</t>
  </si>
  <si>
    <t>676 60 08 08</t>
  </si>
  <si>
    <t>PORTES SEVILLA BARATOS</t>
  </si>
  <si>
    <t>Portes y mudanzas Metroportes</t>
  </si>
  <si>
    <t>674 86 29 57</t>
  </si>
  <si>
    <t>Maruense s.l.u</t>
  </si>
  <si>
    <t>Poligono Industrial San Nicolas, c/ San Nicolas 8 Nave 43 45, 41500 Alcalá de Guadaíra, Sevilla</t>
  </si>
  <si>
    <t>615 31 89 94</t>
  </si>
  <si>
    <t>Almacenajes Y Distribuciones Lorenzana S L</t>
  </si>
  <si>
    <t>Carretera Sevilla Málaga, KM 8,300, BAJO, 41500 Alcalá de Guadaíra, Sevilla</t>
  </si>
  <si>
    <t>Mudanzas Europa Express sl</t>
  </si>
  <si>
    <t>C. Extremadura, 87, 41909 Salteras, Sevilla</t>
  </si>
  <si>
    <t>Salteras</t>
  </si>
  <si>
    <t>mudanzaseuropa.es</t>
  </si>
  <si>
    <t>625 18 78 46</t>
  </si>
  <si>
    <t>info@mudanzaseuropa.es</t>
  </si>
  <si>
    <t>MUDANZAS LUJAN ALJARAFE</t>
  </si>
  <si>
    <t>Pol. Ind. El Manchón, 12, Sevilla</t>
  </si>
  <si>
    <t>629 27 91 55</t>
  </si>
  <si>
    <t>Almacenajes Y Mudanzas Pablo E Hijos S L</t>
  </si>
  <si>
    <t>C. Gladiolo, 19, 41907 Valencina de la Concepción, Sevilla</t>
  </si>
  <si>
    <t>667 57 88 93</t>
  </si>
  <si>
    <t>Transportes Franco</t>
  </si>
  <si>
    <t>C. Juan Parrado, 31, 41100 Coria del Río, Sevilla</t>
  </si>
  <si>
    <t>Coria del Río</t>
  </si>
  <si>
    <t>658 39 33 91</t>
  </si>
  <si>
    <t>Carmelo Mudanzas</t>
  </si>
  <si>
    <t>Av. Dólmenes de Valencina, 0, 41907 Valencina de la Concepción, Sevilla</t>
  </si>
  <si>
    <t>954 90 77 53</t>
  </si>
  <si>
    <t>Mudanzas Sevilla Express</t>
  </si>
  <si>
    <t>C. Miguel de Cervantes Saavedra, 24, Apto 4 D, 41908 Castilleja de Guzmán, Sevilla</t>
  </si>
  <si>
    <t>Castilleja de Guzmán</t>
  </si>
  <si>
    <t>646 95 22 64</t>
  </si>
  <si>
    <t>IKJELA S.L. Mudanzas y Transportes</t>
  </si>
  <si>
    <t>C. Azafrán, 27, 41500 Alcalá de Guadaíra, Sevilla</t>
  </si>
  <si>
    <t>615 20 77 00</t>
  </si>
  <si>
    <t>Guardamuebles Baratos Sevilla</t>
  </si>
  <si>
    <t>C. Río Viejo, 80, 41703 Dos Hermanas, Sevilla</t>
  </si>
  <si>
    <t>guardamueblesbaratossevilla.com</t>
  </si>
  <si>
    <t>955 32 89 12</t>
  </si>
  <si>
    <t>info@guardamueblesbaratosmadrid.com</t>
  </si>
  <si>
    <t>Portes Y Mudanzas Sevilla</t>
  </si>
  <si>
    <t>622 93 42 67</t>
  </si>
  <si>
    <t>Mudanzas Tagua Codon</t>
  </si>
  <si>
    <t>Calle Ocho, 0 S N ( Pol Ind Alcalá Futura ), 41500 Soledad ( La ), Sevilla</t>
  </si>
  <si>
    <t>954 25 77 68</t>
  </si>
  <si>
    <t>Mudanzas Leo</t>
  </si>
  <si>
    <t>C. Alamillo, 32, 41907 Valencina de la Concepción, Sevilla</t>
  </si>
  <si>
    <t>leomudanzas.es</t>
  </si>
  <si>
    <t>670 41 23 87</t>
  </si>
  <si>
    <t>administrador@leomudanzas.es</t>
  </si>
  <si>
    <t>MUDANZAS L.A.</t>
  </si>
  <si>
    <t>C. Alcalde Tierno Galván, 5, 41701 Dos Hermanas, Sevilla</t>
  </si>
  <si>
    <t>642 09 15 98</t>
  </si>
  <si>
    <t>Transportes y Mudanzas Espinar</t>
  </si>
  <si>
    <t>Mudanzas Sevilla</t>
  </si>
  <si>
    <t>C. de Padilla, 51, 28006 Madrid</t>
  </si>
  <si>
    <t>mudanzas-sevilla.es</t>
  </si>
  <si>
    <t>914 01 46 59</t>
  </si>
  <si>
    <t>Mudanzas Baratas Alicante</t>
  </si>
  <si>
    <t>Carrer Lafora, 17, 03007 Alacant, Alicante</t>
  </si>
  <si>
    <t>mudanzasbaratasalicante.es</t>
  </si>
  <si>
    <t>658 14 41 88</t>
  </si>
  <si>
    <t>webmaster@mudanzasbaratasalicante.es</t>
  </si>
  <si>
    <t>Mudanzas Benji En Collado Villalba</t>
  </si>
  <si>
    <t>C. Francisco Crespo, 14 Atico, D, 28400 Collado Villalba, Madrid</t>
  </si>
  <si>
    <t>mudanzasbenji.com</t>
  </si>
  <si>
    <t>910 11 06 47</t>
  </si>
  <si>
    <t>info@mudanzasbenji.com</t>
  </si>
  <si>
    <t>Transportes y Mudanzas Servifast</t>
  </si>
  <si>
    <t>Polígono industrial Sepes, C. Ganadería, 13, 22006 Huesca</t>
  </si>
  <si>
    <t>Huesca</t>
  </si>
  <si>
    <t>677 72 25 15</t>
  </si>
  <si>
    <t>Miguel Angel Garcés Giménez</t>
  </si>
  <si>
    <t>Av. de la Paz, 1, 22004 Huesca</t>
  </si>
  <si>
    <t>mudanzasgarces.es</t>
  </si>
  <si>
    <t>659 63 37 56</t>
  </si>
  <si>
    <t>banner-anunciateM@2.0ab2167.webp</t>
  </si>
  <si>
    <t>Transportes Jl</t>
  </si>
  <si>
    <t>C. Aragón, 22006 Huesca</t>
  </si>
  <si>
    <t>Abiego</t>
  </si>
  <si>
    <t>Mudanzas Angel Zaragoza</t>
  </si>
  <si>
    <t>mudanzasangelzaragoza.es</t>
  </si>
  <si>
    <t>974 31 06 29</t>
  </si>
  <si>
    <t>Mudanzas F. de La Mata</t>
  </si>
  <si>
    <t>C. Granada, 14, 22500 Binéfar, Huesca</t>
  </si>
  <si>
    <t>Binéfar</t>
  </si>
  <si>
    <t>mudanzasbinefar.com</t>
  </si>
  <si>
    <t>636 33 63 64</t>
  </si>
  <si>
    <t>Mudanzas Zaragoza</t>
  </si>
  <si>
    <t>mudanzas-zaragoza.com</t>
  </si>
  <si>
    <t>876 50 07 81</t>
  </si>
  <si>
    <t>todoPORTES</t>
  </si>
  <si>
    <t>todoportes.com</t>
  </si>
  <si>
    <t>634 47 81 12</t>
  </si>
  <si>
    <t>info@todoportes.com</t>
  </si>
  <si>
    <t>Mudanzas Zaragoza | CINTIMAR | Empresa de mudanzas</t>
  </si>
  <si>
    <t>C. las Cortes, 19, 50003 Zaragoza</t>
  </si>
  <si>
    <t>mudanzascintimar.com</t>
  </si>
  <si>
    <t>876 77 82 64</t>
  </si>
  <si>
    <t>info@mudanzascintimar.com</t>
  </si>
  <si>
    <t>Transportes y Mudanzas Juan Barato</t>
  </si>
  <si>
    <t>C. Fray Joaquín de la Aldea, 5, 50011 Zaragoza</t>
  </si>
  <si>
    <t>transportesymudanzasjuanbarato.com</t>
  </si>
  <si>
    <t>976 33 93 17</t>
  </si>
  <si>
    <t>transportesymudanzasjuanbarato@hotmail.com</t>
  </si>
  <si>
    <t>MUDANZAS ECONÓMICAS ZARAGOZA</t>
  </si>
  <si>
    <t>MUDANZAS ECONÓMICAS, Av. Tenor Fleta, 57, 50007 Zaragoza</t>
  </si>
  <si>
    <t>602 15 00 43</t>
  </si>
  <si>
    <t>Mudanzas Martinez en Zaragoza</t>
  </si>
  <si>
    <t>C. Emilio Castelar, 87, 50013 Zaragoza</t>
  </si>
  <si>
    <t>mudanzasmartinez.net</t>
  </si>
  <si>
    <t>656 93 04 52</t>
  </si>
  <si>
    <t>info@mudanzasmartinez.net</t>
  </si>
  <si>
    <t>Mudanzas Zaragoza | AZOR | Empresa de Mudanzas</t>
  </si>
  <si>
    <t>C/ Lagos de Coronas, 16, 50003 Zaragoza</t>
  </si>
  <si>
    <t>mudanzas-azor.com</t>
  </si>
  <si>
    <t>876 70 29 28</t>
  </si>
  <si>
    <t>web@mudanzas-azor.com</t>
  </si>
  <si>
    <t>Mudanzas Económicas Lleida</t>
  </si>
  <si>
    <t>Carrer Príncep de Viana, 84, 25008 Lleida</t>
  </si>
  <si>
    <t>mudanzasjuanjo.es</t>
  </si>
  <si>
    <t>629 60 88 42</t>
  </si>
  <si>
    <t>info@mudanzasjuanjo.es</t>
  </si>
  <si>
    <t>Mudanzas El Pato</t>
  </si>
  <si>
    <t>Passeig del Comerç, 133, 08204 Sabadell, Barcelona</t>
  </si>
  <si>
    <t>Sabadell</t>
  </si>
  <si>
    <t>mudanzaselpato.com</t>
  </si>
  <si>
    <t>937 21 45 86</t>
  </si>
  <si>
    <t>comercial@mudanzaselpato.com</t>
  </si>
  <si>
    <t>Mudanzas Jimenez</t>
  </si>
  <si>
    <t>673 55 94 17</t>
  </si>
  <si>
    <t>Mudanzas Jovi Benidorm</t>
  </si>
  <si>
    <t>Carrer Benimantell, 9, 03509 Benidorm, Alicante</t>
  </si>
  <si>
    <t>Benidorm</t>
  </si>
  <si>
    <t>mudanzasjovi.com</t>
  </si>
  <si>
    <t>966 80 91 46</t>
  </si>
  <si>
    <t>info@mudanzasjovi.com</t>
  </si>
  <si>
    <t>MUDANZAS TARRAGONA S.L.</t>
  </si>
  <si>
    <t>C/ de López Peláez, 12, 43002 Tarragona</t>
  </si>
  <si>
    <t>mudanzastarragona.com</t>
  </si>
  <si>
    <t>977 55 08 32</t>
  </si>
  <si>
    <t>comercial@mudanzastarragona.com</t>
  </si>
  <si>
    <t>Mudanzas Sanchez &amp;amp; Abeldani</t>
  </si>
  <si>
    <t>C. de Florián Rey, 12, escalera 2, 8ºB, 50002 Zaragoza</t>
  </si>
  <si>
    <t>mudanzassanchezyabeldani.com</t>
  </si>
  <si>
    <t>976 43 40 45</t>
  </si>
  <si>
    <t>Mudanzas Ibéricas Internacionales</t>
  </si>
  <si>
    <t>C. del Corregidor Diego de Valderrábano, 57, 28030 Madrid</t>
  </si>
  <si>
    <t>mudanzasibericas.com</t>
  </si>
  <si>
    <t>665 19 11 91</t>
  </si>
  <si>
    <t>info@mudanzasibericas.com</t>
  </si>
  <si>
    <t>Mudanzas Prima</t>
  </si>
  <si>
    <t>Partida Madrigueres Sud, 63, Local 8, 03700 Dénia, Alicante</t>
  </si>
  <si>
    <t>Denia</t>
  </si>
  <si>
    <t>mudanzasprima.com</t>
  </si>
  <si>
    <t>966 43 00 24</t>
  </si>
  <si>
    <t>info@logisticaymudanzasmonllor.com</t>
  </si>
  <si>
    <t>Mudanzas Baratas</t>
  </si>
  <si>
    <t>C. de la Nao, 1, 28004 Madrid</t>
  </si>
  <si>
    <t>mudanzas-baratas.info</t>
  </si>
  <si>
    <t>622 50 64 59</t>
  </si>
  <si>
    <t>cgiadmin@yourhostingaccount.com</t>
  </si>
  <si>
    <t>Mudanzas Andres Gonzalez</t>
  </si>
  <si>
    <t>C. Cañada, 69, 28850 Torrejón de Ardoz, Madrid</t>
  </si>
  <si>
    <t>mudanzasandresgonzalez.com</t>
  </si>
  <si>
    <t>690 28 83 23</t>
  </si>
  <si>
    <t>info@mudanzasandresgonzalez.com</t>
  </si>
  <si>
    <t>Mudanzas Trallero Madrid</t>
  </si>
  <si>
    <t>C. Sierra de Guadarrama, 98, 28830 San Fernando de Henares, Madrid</t>
  </si>
  <si>
    <t>trallero.com</t>
  </si>
  <si>
    <t>916 56 29 61</t>
  </si>
  <si>
    <t>info@trallero.com</t>
  </si>
  <si>
    <t>Hasenkamp Relocation Services Spain</t>
  </si>
  <si>
    <t>Av. del Sistema Solar, 21, Nave 4, 28830 Madrid</t>
  </si>
  <si>
    <t>hasenkamp.es</t>
  </si>
  <si>
    <t>916 69 41 25</t>
  </si>
  <si>
    <t>info@hasenkamp.com</t>
  </si>
  <si>
    <t>Carrer d&amp;apos;Aribau, 168-170, 1º 1ª, 08036 Barcelona</t>
  </si>
  <si>
    <t>mudanzasbarcelonabilbao.es</t>
  </si>
  <si>
    <t>936 52 19 94</t>
  </si>
  <si>
    <t>Mudanzas BTM Internacionales A Coruña</t>
  </si>
  <si>
    <t>Rúa Antonio Ríos, 41, 15009 A Coruña</t>
  </si>
  <si>
    <t>mudanzasbtm.com</t>
  </si>
  <si>
    <t>604 08 30 38</t>
  </si>
  <si>
    <t>info@mudanzasbtm.com</t>
  </si>
  <si>
    <t>Mudanzas y Guardamuebles Teruel La Seda</t>
  </si>
  <si>
    <t>Centro Empresarial Galileo, C. los Enebros, 74, 44002 Teruel</t>
  </si>
  <si>
    <t>Teruel</t>
  </si>
  <si>
    <t>mudanzasteruel-laseda.es</t>
  </si>
  <si>
    <t>978 18 01 08</t>
  </si>
  <si>
    <t>Mudanzas Levante</t>
  </si>
  <si>
    <t>mudanzaslevante.com</t>
  </si>
  <si>
    <t>963 56 30 80</t>
  </si>
  <si>
    <t>info@mudanzaslevante.com</t>
  </si>
  <si>
    <t>Mudanzas Trans-Moble</t>
  </si>
  <si>
    <t>Carrer del Pintor Oliet, 11, 12006 Castelló de la Plana, Castelló</t>
  </si>
  <si>
    <t>transmoble.com</t>
  </si>
  <si>
    <t>964 24 73 06</t>
  </si>
  <si>
    <t>mudanzas@transmoble.com</t>
  </si>
  <si>
    <t>Mudanzas Willy S.L</t>
  </si>
  <si>
    <t>Carrer 9 d&amp;apos;Octubre, 25, Rey don Jaime, 3, 46016 Tavernes Blanques, Valencia</t>
  </si>
  <si>
    <t>Tabernes Blanques</t>
  </si>
  <si>
    <t>mudanzaswilly.com</t>
  </si>
  <si>
    <t>961 85 39 54</t>
  </si>
  <si>
    <t>info@mudanzaswilly.com</t>
  </si>
  <si>
    <t>Av. Cid, 14, 46136 Museros, Valencia</t>
  </si>
  <si>
    <t>Museros</t>
  </si>
  <si>
    <t>Mudanzas y Guardamuebles Albacete La Seda</t>
  </si>
  <si>
    <t>C. Padre Pascual Suárez, 2, 02002 Albacete</t>
  </si>
  <si>
    <t>Albacete</t>
  </si>
  <si>
    <t>mudanzasalbacete-laseda.es</t>
  </si>
  <si>
    <t>967 77 00 16</t>
  </si>
  <si>
    <t>MUDANZAS BENIDORM</t>
  </si>
  <si>
    <t>C. de Venus, 4, 03501 Benidorm, Alicante</t>
  </si>
  <si>
    <t>mudanzasbenidorm.com</t>
  </si>
  <si>
    <t>658 13 99 02</t>
  </si>
  <si>
    <t>info@mudanzasbenidorm.com</t>
  </si>
  <si>
    <t>Mudanzas y Transportes Adolfo y Aquilino</t>
  </si>
  <si>
    <t>C. Concejal Antolín Tendero, 1, 2º E, 02005 Albacete</t>
  </si>
  <si>
    <t>mudanzasadolfoyaquilino.com</t>
  </si>
  <si>
    <t>967 23 23 70</t>
  </si>
  <si>
    <t>webmaster@mudanzasadolfoyaquilino.es</t>
  </si>
  <si>
    <t>Mudanzas Zaragoza - MZ</t>
  </si>
  <si>
    <t>Calle Dr. Casas, 20, 1ª, 50008 Zaragoza</t>
  </si>
  <si>
    <t>mudanzas-zaragoza.eu</t>
  </si>
  <si>
    <t>976 36 22 67</t>
  </si>
  <si>
    <t>comercial@mudanzas-zaragoza.eu</t>
  </si>
  <si>
    <t>Mudanzas de la Cruz | Servicios de mudanzas en Madrid</t>
  </si>
  <si>
    <t>C. Azuela, 74, 28400 Collado Villalba, Madrid</t>
  </si>
  <si>
    <t>mudanzasdelacruz.com</t>
  </si>
  <si>
    <t>918 49 38 99</t>
  </si>
  <si>
    <t>info@mudanzasdelacruz.com</t>
  </si>
  <si>
    <t>MUDANDO-T MUDANZAS TOLEDO</t>
  </si>
  <si>
    <t>C. Río Marches, 79, 45007 Toledo</t>
  </si>
  <si>
    <t>mudandotemudanzas.es</t>
  </si>
  <si>
    <t>925 30 42 09</t>
  </si>
  <si>
    <t>Mudanzas Internacionales De Haan Movers Madrid</t>
  </si>
  <si>
    <t>Polígono Ind. Los Frailes, Nave 46, 28814 Daganzo de Arriba, Madrid</t>
  </si>
  <si>
    <t>Daganzo de Arriba</t>
  </si>
  <si>
    <t>dehaanmovers.com</t>
  </si>
  <si>
    <t>918 84 13 89</t>
  </si>
  <si>
    <t>info@dehaanmovers.com</t>
  </si>
  <si>
    <t>Mudanzas en Madrid Madrileña Mudanzas</t>
  </si>
  <si>
    <t>Av. de Machupichu, 37, 28043 Madrid</t>
  </si>
  <si>
    <t>madrimudanzas.com</t>
  </si>
  <si>
    <t>913 00 58 00</t>
  </si>
  <si>
    <t>info@madrimudanzas.com</t>
  </si>
  <si>
    <t>Mudanzas y Guardamuebles Alicante La Seda</t>
  </si>
  <si>
    <t>Av. Pintor Baeza, 3, 03010 Alicante</t>
  </si>
  <si>
    <t>mudanzaslaseda.com</t>
  </si>
  <si>
    <t>965 27 01 65</t>
  </si>
  <si>
    <t>Mudanzas Rumbo</t>
  </si>
  <si>
    <t>C. de Rey Pastor, 21, 28914 Leganés, Madrid</t>
  </si>
  <si>
    <t>mudanzasrumbo.com</t>
  </si>
  <si>
    <t>917 98 81 30</t>
  </si>
  <si>
    <t>comercial@mudanzasrumbo.com</t>
  </si>
  <si>
    <t>Mudanzas Internacionales Madrid</t>
  </si>
  <si>
    <t>Ababuj</t>
  </si>
  <si>
    <t>mudanzasinternacional.es</t>
  </si>
  <si>
    <t>919 12 26 88</t>
  </si>
  <si>
    <t>info@mudanzasinternacional.es</t>
  </si>
  <si>
    <t>Mudanzas y Guardamuebles Málaga La Seda</t>
  </si>
  <si>
    <t>C. Constancia, 18, 29002 Málaga</t>
  </si>
  <si>
    <t>mudanzasmalaga-laseda.es</t>
  </si>
  <si>
    <t>951 55 04 60</t>
  </si>
  <si>
    <t>Mundivan</t>
  </si>
  <si>
    <t>C. del Mar Egeo, s/n, 28830 Torrejón de Ardoz, Madrid</t>
  </si>
  <si>
    <t>mudanzasmundivan.com</t>
  </si>
  <si>
    <t>916 56 42 01</t>
  </si>
  <si>
    <t>info@mundivan.com</t>
  </si>
  <si>
    <t>Vaciado de pisos</t>
  </si>
  <si>
    <t>Av. Tenor Fleta, 13, 6 centro, 50008 Zaragoza</t>
  </si>
  <si>
    <t>vaciadosdeinmuebles.es</t>
  </si>
  <si>
    <t>901 50 10 05</t>
  </si>
  <si>
    <t>info@traneco.es</t>
  </si>
  <si>
    <t>Mudanzas Fedem</t>
  </si>
  <si>
    <t>C. de López de Hoyos, 322, 28043 Madrid</t>
  </si>
  <si>
    <t>917 44 47 03</t>
  </si>
  <si>
    <t>Mudanzas Cortés</t>
  </si>
  <si>
    <t>C. Monasterio de la Oliva, 4, 50002 Zaragoza</t>
  </si>
  <si>
    <t>mudanzascortes.es</t>
  </si>
  <si>
    <t>650 26 58 26</t>
  </si>
  <si>
    <t>mudanzascortes@outlook.es</t>
  </si>
  <si>
    <t>Mudanzas Molinero</t>
  </si>
  <si>
    <t>P.º de la Independencia, 22, Piso 7, 50004 Zaragoza</t>
  </si>
  <si>
    <t>mudanzasmolinero.com</t>
  </si>
  <si>
    <t>976 08 83 99</t>
  </si>
  <si>
    <t>info@mudanzasmolinero.com</t>
  </si>
  <si>
    <t>Mudanzas Integrales en Zaragoza | MUDANZAS EURO MARTÍNEZ</t>
  </si>
  <si>
    <t>C. Julián Matute Hervías, 2, 50002 Zaragoza</t>
  </si>
  <si>
    <t>mudanzaseuromartinez.com</t>
  </si>
  <si>
    <t>976 29 89 95</t>
  </si>
  <si>
    <t>info@mudanzaseuromartinez.com</t>
  </si>
  <si>
    <t>MUDANZAS GIL STAUFFER ZARAGOZA</t>
  </si>
  <si>
    <t>Polígono Industrial La Cartuja Baja - Insider, Nave 4B, 50720 Cartuja Baja, Zaragoza</t>
  </si>
  <si>
    <t>Cartuja Baja</t>
  </si>
  <si>
    <t>976 10 89 30</t>
  </si>
  <si>
    <t>Mudanzas Fernandez</t>
  </si>
  <si>
    <t>C. Maestro Marquina, 9, 50006 Zaragoza</t>
  </si>
  <si>
    <t>carlosfernandez1598.wixsite.com</t>
  </si>
  <si>
    <t>631 72 72 89</t>
  </si>
  <si>
    <t>Mensajeros Zaragoza Luis Ramos</t>
  </si>
  <si>
    <t>C. Ricardo del Arco, 1, 50015 Zaragoza</t>
  </si>
  <si>
    <t>mensajerosenzaragoza.es</t>
  </si>
  <si>
    <t>976 08 63 29</t>
  </si>
  <si>
    <t>Transportes y Mudanzas GSG</t>
  </si>
  <si>
    <t>Av. de Cataluña, 185, 2º, 50014 Zaragoza</t>
  </si>
  <si>
    <t>976 05 57 64</t>
  </si>
  <si>
    <t>Mudanzas ZaraTrans</t>
  </si>
  <si>
    <t>Cam. de Bárboles, 464, 50190 Zaragoza</t>
  </si>
  <si>
    <t>JLV Servicios y Mudanzas</t>
  </si>
  <si>
    <t>C. de María Moliner, 93, Local Derecha, 50007 Zaragoza</t>
  </si>
  <si>
    <t>643 80 47 01</t>
  </si>
  <si>
    <t>50011 Zaragoza</t>
  </si>
  <si>
    <t>Multitrans Mudanzas Zaragoza</t>
  </si>
  <si>
    <t>Abanto</t>
  </si>
  <si>
    <t>multitrans.es</t>
  </si>
  <si>
    <t>976 10 41 53</t>
  </si>
  <si>
    <t>Tranviaser</t>
  </si>
  <si>
    <t>C. José Gascón y Marín, 5, LOCAL, 50002 Zaragoza</t>
  </si>
  <si>
    <t>tranviaser.org</t>
  </si>
  <si>
    <t>976 30 02 69</t>
  </si>
  <si>
    <t>tranviaser@tranviaser.org</t>
  </si>
  <si>
    <t>Aragón Mudanzas</t>
  </si>
  <si>
    <t>C. Escultor Ramírez, 5, 50007 Zaragoza</t>
  </si>
  <si>
    <t>976 38 11 78</t>
  </si>
  <si>
    <t>Mudanzas Y Portes Español</t>
  </si>
  <si>
    <t>Av. de Cataluña, 99, 50014 Zaragoza</t>
  </si>
  <si>
    <t>ueniweb.com</t>
  </si>
  <si>
    <t>600 37 57 35</t>
  </si>
  <si>
    <t>MUDANZAS EUROPEAS</t>
  </si>
  <si>
    <t>624 28 19 58</t>
  </si>
  <si>
    <t>Mudanzas los forzudos</t>
  </si>
  <si>
    <t>C. Cineasta Carlos Saura, n3, 7b, 50018 Zaragoza</t>
  </si>
  <si>
    <t>601 33 67 67</t>
  </si>
  <si>
    <t>Mudanzas Urgentes</t>
  </si>
  <si>
    <t>C. Cereros, 25, 50003 Zaragoza</t>
  </si>
  <si>
    <t>698 67 75 77</t>
  </si>
  <si>
    <t>Presupuestos para realizar tu mudanza</t>
  </si>
  <si>
    <t>C. Juan José Lorente, 27, 31, 50005 Zaragoza</t>
  </si>
  <si>
    <t>Mudanzas ZaraTrans Oficinas</t>
  </si>
  <si>
    <t>Vía Hispanidad, 100, 50017 Zaragoza</t>
  </si>
  <si>
    <t>MUDANZAS MANUEL</t>
  </si>
  <si>
    <t>648 04 88 04</t>
  </si>
  <si>
    <t>MUDANZAS ZARAGOZA MADRID</t>
  </si>
  <si>
    <t>business.google.com</t>
  </si>
  <si>
    <t>622 37 08 24</t>
  </si>
  <si>
    <t>asxvmprobertest@gmail.com</t>
  </si>
  <si>
    <t>SUFERINTA TRANSPORTES</t>
  </si>
  <si>
    <t>Lagos de Coronas, 39, 5A, 50018 Zaragoza</t>
  </si>
  <si>
    <t>633 26 97 92</t>
  </si>
  <si>
    <t>Transportista Chenoa</t>
  </si>
  <si>
    <t>C. Espronceda, 50011 Zaragoza</t>
  </si>
  <si>
    <t>611 39 22 17</t>
  </si>
  <si>
    <t>Translacosta</t>
  </si>
  <si>
    <t>C. Copérnico, 12, 50011 Zaragoza</t>
  </si>
  <si>
    <t>MUDANZAS ZARAGOZA &amp;quot;EL MAÑO&amp;quot;</t>
  </si>
  <si>
    <t>675 69 62 51</t>
  </si>
  <si>
    <t>Francisco Agustín Larrotiz Lizaso</t>
  </si>
  <si>
    <t>C. de San Vicente de Paúl, 1, 50001 Zaragoza</t>
  </si>
  <si>
    <t>976 29 88 41</t>
  </si>
  <si>
    <t>Transportes Antonio</t>
  </si>
  <si>
    <t>C. Agustina de Aragón, 29, 50172 Alfajarín, Zaragoza</t>
  </si>
  <si>
    <t>Alfajarín</t>
  </si>
  <si>
    <t>mudanzas24.es</t>
  </si>
  <si>
    <t>638 47 25 77</t>
  </si>
  <si>
    <t>info@mudanzas24.es</t>
  </si>
  <si>
    <t>Cintimar Mudanzas</t>
  </si>
  <si>
    <t>C. E, 0, 50001 Zaragoza</t>
  </si>
  <si>
    <t>976 28 44 92</t>
  </si>
  <si>
    <t>MUDANZAS Y PORTES SERGIO EN ZARAGOZA</t>
  </si>
  <si>
    <t>C. del Palacio, 1, 50620 Zaragoza</t>
  </si>
  <si>
    <t>617 05 02 35</t>
  </si>
  <si>
    <t>NEGREDO TRUCK PARKING EUROPE</t>
  </si>
  <si>
    <t>Carr. del Aeropuerto, 313, 50190 Zaragoza</t>
  </si>
  <si>
    <t>Transportes Jesús Angel</t>
  </si>
  <si>
    <t>C. Sierra de Luna, 1, 50171 La Puebla de Alfindén, Zaragoza</t>
  </si>
  <si>
    <t>La Puebla de Alfindén</t>
  </si>
  <si>
    <t>616 02 40 69</t>
  </si>
  <si>
    <t>MUDAR MUDANZAS</t>
  </si>
  <si>
    <t>C. Sauce, 66, 50171 La Puebla de Alfindén, Zaragoza</t>
  </si>
  <si>
    <t>976 10 89 31</t>
  </si>
  <si>
    <t>C. Luis Cernuda, 19, 50840 San Mateo de Gállego, Zaragoza</t>
  </si>
  <si>
    <t>San Mateo de Gállego</t>
  </si>
  <si>
    <t>643 65 05 17</t>
  </si>
  <si>
    <t>Mudanzas Sancho Ortega Internacional S.A.</t>
  </si>
  <si>
    <t>C. Roma, 11-13, 28813 Torres de la Alameda, Madrid</t>
  </si>
  <si>
    <t>Torres de la Alameda</t>
  </si>
  <si>
    <t>mudanzas-sancho-ortega.com</t>
  </si>
  <si>
    <t>916 76 90 11</t>
  </si>
  <si>
    <t>Guardamuebles Gil Stauffer</t>
  </si>
  <si>
    <t>C. del Príncipe de Vergara, 257, 28016 Madrid</t>
  </si>
  <si>
    <t>687 50 02 83</t>
  </si>
  <si>
    <t>Mudanzas Geno</t>
  </si>
  <si>
    <t>Parque Emp. de, Calle Peña Roces Parcela H3, 33163 Argame, Asturias</t>
  </si>
  <si>
    <t>Argame</t>
  </si>
  <si>
    <t>mudanzasgeno.com</t>
  </si>
  <si>
    <t>985 23 98 83</t>
  </si>
  <si>
    <t>Mudanzas Jose Vicente</t>
  </si>
  <si>
    <t>Calle de, C. Luis Infiesta Castro, 7, 33393 Gijón, Asturias</t>
  </si>
  <si>
    <t>Gijón</t>
  </si>
  <si>
    <t>jose-vicente.es</t>
  </si>
  <si>
    <t>985 16 74 58</t>
  </si>
  <si>
    <t>Mudanzas Cantábrico</t>
  </si>
  <si>
    <t>Calle Guillermo Marconi, 266, 33211 Gijón, Asturias</t>
  </si>
  <si>
    <t>mudanzascantabrico.com</t>
  </si>
  <si>
    <t>695 22 50 40</t>
  </si>
  <si>
    <t>a36b86319e6542838a534122c8870e3f@sentry.qdqmedia.com</t>
  </si>
  <si>
    <t>Mudanzas Abraham</t>
  </si>
  <si>
    <t>C. les Matuques, 1, 33011 Oviedo, Asturias</t>
  </si>
  <si>
    <t>Oviedo</t>
  </si>
  <si>
    <t>mudanzasabraham.com</t>
  </si>
  <si>
    <t>655 78 36 17</t>
  </si>
  <si>
    <t>Mudanzas Mario</t>
  </si>
  <si>
    <t>Av. Lloreda, 60, 33211 Gijón, Asturias</t>
  </si>
  <si>
    <t>transportesymudanzasmario.com</t>
  </si>
  <si>
    <t>606 20 70 04</t>
  </si>
  <si>
    <t>info@transportesymudanzasmario.com</t>
  </si>
  <si>
    <t>MUDANZAS Y PORTES ECONÓMICOS MANZANO</t>
  </si>
  <si>
    <t>C. Gil Blas, 9, 4, 33008 Oviedo, Asturias</t>
  </si>
  <si>
    <t>mudanzasmanzano.net</t>
  </si>
  <si>
    <t>610 90 42 69</t>
  </si>
  <si>
    <t>Mudanzas en Asturias TransporteAstur</t>
  </si>
  <si>
    <t>Allande</t>
  </si>
  <si>
    <t>transporteastur.es</t>
  </si>
  <si>
    <t>641 81 75 27</t>
  </si>
  <si>
    <t>Legaspi Sella Mudanzas SL</t>
  </si>
  <si>
    <t>nave III, Cam. Melón, 61, 33211 Gijón, Asturias</t>
  </si>
  <si>
    <t>legaspisellamudanzas.com</t>
  </si>
  <si>
    <t>985 33 13 37</t>
  </si>
  <si>
    <t>name@domain.com</t>
  </si>
  <si>
    <t>Portes Asturias mudanza y limpiezas economicas</t>
  </si>
  <si>
    <t>C. Pablo Alonso Rato, 33011 Oviedo, Asturias</t>
  </si>
  <si>
    <t>643 30 67 65</t>
  </si>
  <si>
    <t>Mudanzas Gelsi</t>
  </si>
  <si>
    <t>Av. la Juvería, 0, 33201 Gijón, Asturias</t>
  </si>
  <si>
    <t>mudanzasgelsi.es</t>
  </si>
  <si>
    <t>985 31 42 10</t>
  </si>
  <si>
    <t>info@mudanzasgelsi.es</t>
  </si>
  <si>
    <t>Mudanzas y portes asturianas.</t>
  </si>
  <si>
    <t>C. de San Lázaro, 10, 33008 Oviedo, Asturias</t>
  </si>
  <si>
    <t>mudanzasyportesasturianas.es</t>
  </si>
  <si>
    <t>632 40 63 34</t>
  </si>
  <si>
    <t>contacto@mudanzasyportesasturianas.es</t>
  </si>
  <si>
    <t>Mudanzas Muñiz</t>
  </si>
  <si>
    <t>C. la Lila, 4, 33002 Oviedo, Asturias</t>
  </si>
  <si>
    <t>mudanzasmuniz.com</t>
  </si>
  <si>
    <t>985 20 25 13</t>
  </si>
  <si>
    <t>info@mudanzasmuniz.com</t>
  </si>
  <si>
    <t>Mudanzas Murias</t>
  </si>
  <si>
    <t>Parq. Emp, C. Marineros, 6, L-3.1, 33417 Avilés, Asturias</t>
  </si>
  <si>
    <t>mudanzasmurias.com</t>
  </si>
  <si>
    <t>985 51 18 80</t>
  </si>
  <si>
    <t>info@mudanzasmurias.com</t>
  </si>
  <si>
    <t>Mudanzas Amandi</t>
  </si>
  <si>
    <t>Carretera, AS-266, Km6, 33192 Pruvia, Asturias</t>
  </si>
  <si>
    <t>Fonciello</t>
  </si>
  <si>
    <t>mudanzasamandi.com</t>
  </si>
  <si>
    <t>985 22 36 08</t>
  </si>
  <si>
    <t>Mudanzas y Servicios AD</t>
  </si>
  <si>
    <t>C. Fernando Morán, 5, 33401 Avilés, Asturias</t>
  </si>
  <si>
    <t>mudanzasyserviciosad.com</t>
  </si>
  <si>
    <t>605 03 52 41</t>
  </si>
  <si>
    <t>info@mudanzasyserviciosad.com</t>
  </si>
  <si>
    <t>MUDANZAS ESTRADA</t>
  </si>
  <si>
    <t>BAJO, Calle Padre Suárez, 33, 33009 Oviedo, Asturias</t>
  </si>
  <si>
    <t>mudanzasestrada.es</t>
  </si>
  <si>
    <t>985 21 22 85</t>
  </si>
  <si>
    <t>info@mudanzasestrada.com</t>
  </si>
  <si>
    <t>Transportes VRS</t>
  </si>
  <si>
    <t>C. Tino Casal, s/n, 33910 Box, Asturias</t>
  </si>
  <si>
    <t>Box</t>
  </si>
  <si>
    <t>transportesvrsmudanzas.com</t>
  </si>
  <si>
    <t>642 98 27 84</t>
  </si>
  <si>
    <t>Portes y mudanzas Asturias sl</t>
  </si>
  <si>
    <t>C. Gran Via, 8, 33199 Colloto, Asturias</t>
  </si>
  <si>
    <t>Colloto</t>
  </si>
  <si>
    <t>642 68 72 33</t>
  </si>
  <si>
    <t>Mudanzas Arpeve</t>
  </si>
  <si>
    <t>C. Peñalba, 13, 33205 Gijón, Asturias</t>
  </si>
  <si>
    <t>mudanzasarpeve.es</t>
  </si>
  <si>
    <t>605 78 96 65</t>
  </si>
  <si>
    <t>Transportes y Mudanzas ismael manzano</t>
  </si>
  <si>
    <t>C. Juan de la Cierva, 33940 El Entrego, Asturias</t>
  </si>
  <si>
    <t>El Entrego</t>
  </si>
  <si>
    <t>617 71 14 27</t>
  </si>
  <si>
    <t>MUDANZAS GIL STAUFFER ASTURIAS</t>
  </si>
  <si>
    <t>C. de Galileo Galilei, 292, 33392 Gijón, Asturias</t>
  </si>
  <si>
    <t>985 30 71 61</t>
  </si>
  <si>
    <t>Mudanzas BGK - Asturias</t>
  </si>
  <si>
    <t>C. Rafael del Riego, 52, 33610 Mieres, Asturias</t>
  </si>
  <si>
    <t>Mieres</t>
  </si>
  <si>
    <t>643 97 70 75</t>
  </si>
  <si>
    <t>Portes y mudanzas express Eliseo Pérez</t>
  </si>
  <si>
    <t>642 35 90 40</t>
  </si>
  <si>
    <t>Transportes y mudanzas AST</t>
  </si>
  <si>
    <t>33011 Oviedo, Asturias</t>
  </si>
  <si>
    <t>665 82 89 81</t>
  </si>
  <si>
    <t>Av. del Transporte, 11, Nave 1, 33211 Gijón, Asturias</t>
  </si>
  <si>
    <t>985 13 28 05</t>
  </si>
  <si>
    <t>Portes y Mudanzas Juan</t>
  </si>
  <si>
    <t>Barrio San Roque, 1, Bajo Derecha, 33919 Oviedo, Asturias</t>
  </si>
  <si>
    <t>642 35 88 84</t>
  </si>
  <si>
    <t>Transportes Marín González</t>
  </si>
  <si>
    <t>transportesmaringonzalez.es</t>
  </si>
  <si>
    <t>690 61 51 13</t>
  </si>
  <si>
    <t>MTN Mudanzas</t>
  </si>
  <si>
    <t>Av. Castilla, Nº 13, 33203 Gijón, Asturias</t>
  </si>
  <si>
    <t>672 80 90 05</t>
  </si>
  <si>
    <t>Transportes Y Mudanzas Alba S L</t>
  </si>
  <si>
    <t>Calle Tenderina, 214, 33010 Oviedo</t>
  </si>
  <si>
    <t>985 28 99 18</t>
  </si>
  <si>
    <t>Mudanzas Hijos de Pedro Vega Sl</t>
  </si>
  <si>
    <t>MUDANZAS CARBAYU</t>
  </si>
  <si>
    <t>628 98 62 23</t>
  </si>
  <si>
    <t>Mudanzas y Transportes Perez</t>
  </si>
  <si>
    <t>C. Río Piloña, 27, Bajo Derecha, 33010 Oviedo, Asturias</t>
  </si>
  <si>
    <t>642 68 00 40</t>
  </si>
  <si>
    <t>Transportes y mudanzas Asturias</t>
  </si>
  <si>
    <t>C. Pérez de Ayala, s/n, 33007 Oviedo, Asturias</t>
  </si>
  <si>
    <t>transportesymudanzasasturias.es</t>
  </si>
  <si>
    <t>602 51 98 24</t>
  </si>
  <si>
    <t>azuytana19@gmail.com</t>
  </si>
  <si>
    <t>mudanzas Isaac y Alberto</t>
  </si>
  <si>
    <t>621 06 90 29</t>
  </si>
  <si>
    <t>SERVICIOS DIVERSOS BRIAN VARGAS FERNÁNDEZ</t>
  </si>
  <si>
    <t>C. Paulino García, 68, BAJO A, 33910 Tudela Veguín, Asturias</t>
  </si>
  <si>
    <t>Tudela Veguín</t>
  </si>
  <si>
    <t>684 64 08 13</t>
  </si>
  <si>
    <t>Transportes Asturias</t>
  </si>
  <si>
    <t>C. Colegio Hispania, 1, 3 A, 33010 Oviedo, Asturias</t>
  </si>
  <si>
    <t>642 98 27 76</t>
  </si>
  <si>
    <t>REGUERA SL</t>
  </si>
  <si>
    <t>Av. Valentín Masip, 19, 33013 Oviedo, Asturias</t>
  </si>
  <si>
    <t>mudanzasasturias.com</t>
  </si>
  <si>
    <t>985 23 89 38</t>
  </si>
  <si>
    <t>Mudanzas En Asturias desde 300 € + iva</t>
  </si>
  <si>
    <t>C. Melquiades Álvarez, 55, 33930 Langreo, Asturias</t>
  </si>
  <si>
    <t>Langreo</t>
  </si>
  <si>
    <t>663 53 43 09</t>
  </si>
  <si>
    <t>Mudanzas Juandi</t>
  </si>
  <si>
    <t>C. Fuertes Acevedo, 112, 2-A, 33006 Oviedo, Asturias</t>
  </si>
  <si>
    <t>mudanzasjuandi.es</t>
  </si>
  <si>
    <t>632 03 15 93</t>
  </si>
  <si>
    <t>Mudanzas AD</t>
  </si>
  <si>
    <t>C. Sta. Apolonia quirinal, 33403 Avilés, Asturias</t>
  </si>
  <si>
    <t>722 17 38 39</t>
  </si>
  <si>
    <t>Recogida gratuita de toda clase de objetos</t>
  </si>
  <si>
    <t>C. Francisco Cambo, n18, 33012 Oviedo, Asturias</t>
  </si>
  <si>
    <t>623 41 36 33</t>
  </si>
  <si>
    <t>Portes y desalojos Hernández</t>
  </si>
  <si>
    <t>C. Horacio Fernández Inguanzo, 22, 2º, 33404 Los Campos, Asturias</t>
  </si>
  <si>
    <t>Santa Cruz</t>
  </si>
  <si>
    <t>635 93 85 34</t>
  </si>
  <si>
    <t>Transportes y Mudanzas Hermanos Pérez</t>
  </si>
  <si>
    <t>portesymudanzashnosperez.es</t>
  </si>
  <si>
    <t>606 56 10 55</t>
  </si>
  <si>
    <t>MUDANZAS MUÑIZ</t>
  </si>
  <si>
    <t>33170 Soto de Ribera, Asturias</t>
  </si>
  <si>
    <t>Soto de Ribera</t>
  </si>
  <si>
    <t>Ruta 66</t>
  </si>
  <si>
    <t>C. Argañosa, 66, 33013 Oviedo, Asturias</t>
  </si>
  <si>
    <t>667 03 57 12</t>
  </si>
  <si>
    <t>Mudanzas José Angel Gancedo</t>
  </si>
  <si>
    <t>Lugar La Folleca, 52, 33401 La Folleca</t>
  </si>
  <si>
    <t>Raíces Nuevo</t>
  </si>
  <si>
    <t>La Folleca</t>
  </si>
  <si>
    <t>679 42 78 18</t>
  </si>
  <si>
    <t>Mudanzas portes desalogos limpiezas</t>
  </si>
  <si>
    <t>33404, Asturias</t>
  </si>
  <si>
    <t>Esteban Portes y Mudanzas</t>
  </si>
  <si>
    <t>722 55 65 85</t>
  </si>
  <si>
    <t>Arturo García Fernández</t>
  </si>
  <si>
    <t>C. de la Cámara, 56, 33401 Avilés, Asturias</t>
  </si>
  <si>
    <t>985 56 59 20</t>
  </si>
  <si>
    <t>Transportes Ismael</t>
  </si>
  <si>
    <t>C. Instituto Aramo, 13, 5, 33011 Oviedo, Asturias</t>
  </si>
  <si>
    <t>669 11 49 32</t>
  </si>
  <si>
    <t>J&amp;amp;R Transportes</t>
  </si>
  <si>
    <t>C. Rafael María de Labra, 10, 33010 Oviedo, Asturias</t>
  </si>
  <si>
    <t>642 08 26 55</t>
  </si>
  <si>
    <t>Trasportes ch</t>
  </si>
  <si>
    <t>33010 Oviedo, Asturias</t>
  </si>
  <si>
    <t>642 96 89 83</t>
  </si>
  <si>
    <t>Manitas Asturias</t>
  </si>
  <si>
    <t>C. Bermúdez de Castro, 23, 33011 Oviedo, Asturias</t>
  </si>
  <si>
    <t>instalacionesmonta.wixsite.com</t>
  </si>
  <si>
    <t>642 68 99 38</t>
  </si>
  <si>
    <t>Mudanzas , Desalojos, Limpiezas</t>
  </si>
  <si>
    <t>611 02 64 15</t>
  </si>
  <si>
    <t>transportes andivic s.l</t>
  </si>
  <si>
    <t>C. de les Cigarreres, 13, 33211 Gijón, Asturias</t>
  </si>
  <si>
    <t>984 10 27 00</t>
  </si>
  <si>
    <t>Transporte vehículos Oviedo</t>
  </si>
  <si>
    <t>C. Uría, 6, 33003 Oviedo, Asturias</t>
  </si>
  <si>
    <t>vixej.com</t>
  </si>
  <si>
    <t>Mudanzas Navarro</t>
  </si>
  <si>
    <t>C. del Duque de Rivas, 17, 24007 León</t>
  </si>
  <si>
    <t>mudanzasnavarro.com</t>
  </si>
  <si>
    <t>987 22 12 31</t>
  </si>
  <si>
    <t>info@mudanzasnavarro.com</t>
  </si>
  <si>
    <t>Mudanzas León</t>
  </si>
  <si>
    <t>C. Doña Urraca, 48, 24009 León</t>
  </si>
  <si>
    <t>leonmudanzas.com</t>
  </si>
  <si>
    <t>617 56 60 75</t>
  </si>
  <si>
    <t>MUDANZAS &amp;amp; TRANSPORTES AMPARO</t>
  </si>
  <si>
    <t>C. Fernando III el Santo, 5, 24007 León</t>
  </si>
  <si>
    <t>640 65 29 83</t>
  </si>
  <si>
    <t>Mudanzas Ceymar</t>
  </si>
  <si>
    <t>C. Alameda, 5, 45200 Illescas, Toledo</t>
  </si>
  <si>
    <t>Illescas</t>
  </si>
  <si>
    <t>676 48 66 86</t>
  </si>
  <si>
    <t>Mudanzas Alba</t>
  </si>
  <si>
    <t>Calle L Nave, Poligono Industrial las Casas II, Parcela 250, 42005 Soria</t>
  </si>
  <si>
    <t>Soria</t>
  </si>
  <si>
    <t>mudanzasalba.es</t>
  </si>
  <si>
    <t>975 24 08 58</t>
  </si>
  <si>
    <t>info@mudanzasalba.es</t>
  </si>
  <si>
    <t>Mudanzas Lidon Mallorca. Guardamuebles y Trasteros. Mudanzas Nacionales e Internacionales.</t>
  </si>
  <si>
    <t>Carrer de Damià Huguet, 3, 5 A, 07004 Palma, Illes Balears</t>
  </si>
  <si>
    <t>Palma</t>
  </si>
  <si>
    <t>Illes Balears</t>
  </si>
  <si>
    <t>mudanzaslidon.com</t>
  </si>
  <si>
    <t>971 76 09 27</t>
  </si>
  <si>
    <t>info@mudanzaslidon.com</t>
  </si>
  <si>
    <t>Mudanzas Suñer</t>
  </si>
  <si>
    <t>Gruas Aguilar, Palma, Islas Baleares Poligono, 07198 Palma, Balearic Islands</t>
  </si>
  <si>
    <t>Balearic Islands</t>
  </si>
  <si>
    <t>mudanzassuner.com</t>
  </si>
  <si>
    <t>609 67 30 09</t>
  </si>
  <si>
    <t>comercial@mudanzassuner.com</t>
  </si>
  <si>
    <t>Mudanzas Movemos Tu Hogar • Mudanzas Mallorca y península</t>
  </si>
  <si>
    <t>C. Antoni Ribas, 51, 07006 Palma, Illes Balears</t>
  </si>
  <si>
    <t>Mudanzas Illes- Servicios de mudanzas en Mallorca y alquiler de guardamuebles en Palma</t>
  </si>
  <si>
    <t>07199 Sa Casa Blanca, Balearic Islands</t>
  </si>
  <si>
    <t>Sa Casa Blanca</t>
  </si>
  <si>
    <t>mudanzas-mallorca-illes.com</t>
  </si>
  <si>
    <t>603 53 63 08</t>
  </si>
  <si>
    <t>info@transportesymudanzasilles.com</t>
  </si>
  <si>
    <t>Mudanzas y Transportes La Mallorquina</t>
  </si>
  <si>
    <t>Carrer de Sor Isabel Cifre, 26, 07007 Palma, Illes Balears</t>
  </si>
  <si>
    <t>mudanzaslamallorquina.com</t>
  </si>
  <si>
    <t>871 02 29 04</t>
  </si>
  <si>
    <t>Mudanzas Lidon Mallorca, Guardamuebles y Trasteros. Mudanzas Nacionales e Internacionales.</t>
  </si>
  <si>
    <t>Polígono Industrial, Plaça Son Llaüt, 5, 07320 Santa Maria del Camí, Balearic Islands</t>
  </si>
  <si>
    <t>Santa María del Camino</t>
  </si>
  <si>
    <t>971 62 00 18</t>
  </si>
  <si>
    <t>MUDANZAS GIL STAUFFER MALLORCA</t>
  </si>
  <si>
    <t>Carrer Gremi Selleters i Basters, 21, 07009 Palma, Illes Balears</t>
  </si>
  <si>
    <t>971 43 43 11</t>
  </si>
  <si>
    <t>Mudanzas Balears Art I Llar S.l.</t>
  </si>
  <si>
    <t>Carrer Gremi de Boneters, 13, 07009 Son Castelló, Illes Balears</t>
  </si>
  <si>
    <t>Pol. Ind. de Son Castelló</t>
  </si>
  <si>
    <t>balearsartillar.es</t>
  </si>
  <si>
    <t>971 45 91 41</t>
  </si>
  <si>
    <t>Mudanzas palma de mallorca</t>
  </si>
  <si>
    <t>Carrer Gremi de Boneters, 19A, 07009 Palma, Illes Balears</t>
  </si>
  <si>
    <t>mudanzaspalmademallorca.es</t>
  </si>
  <si>
    <t>616 80 02 00</t>
  </si>
  <si>
    <t>palmademallorcamudanzas@gamil.com</t>
  </si>
  <si>
    <t>MUDANZAS Y VACIADOS LA VELA</t>
  </si>
  <si>
    <t>Carrer de Bartomeu Ferrà, 8, 07002 Palma, Illes Balears</t>
  </si>
  <si>
    <t>632 39 30 09</t>
  </si>
  <si>
    <t>Mudanzas Troya</t>
  </si>
  <si>
    <t>Carrer del Camp Franc, 3, nave 6, 07610 Palma, Balearic Islands</t>
  </si>
  <si>
    <t>jtroya.com</t>
  </si>
  <si>
    <t>667 70 69 20</t>
  </si>
  <si>
    <t>info@jtroya.com</t>
  </si>
  <si>
    <t>Mudanzas Nacho</t>
  </si>
  <si>
    <t>Carrer Puerto Rico, 8, 07007 Palma, Illes Balears</t>
  </si>
  <si>
    <t>OK MUDANZAS TRANSPORTES</t>
  </si>
  <si>
    <t>okmudanzastransportes.com</t>
  </si>
  <si>
    <t>674 07 59 33</t>
  </si>
  <si>
    <t>Meckel</t>
  </si>
  <si>
    <t>Carrer son Pieres, 8, 07609 Llucmajor, Illes Balears</t>
  </si>
  <si>
    <t>Lluchmayor</t>
  </si>
  <si>
    <t>meckel.es</t>
  </si>
  <si>
    <t>971 12 12 11</t>
  </si>
  <si>
    <t>info@meckel.es</t>
  </si>
  <si>
    <t>Mudanzas FM Ibiza</t>
  </si>
  <si>
    <t>Carrer del País Basc, 5, 07800 Eivissa, Illes Balears</t>
  </si>
  <si>
    <t>Ibiza</t>
  </si>
  <si>
    <t>mudanzasfmibiza.com</t>
  </si>
  <si>
    <t>633 39 95 10</t>
  </si>
  <si>
    <t>info@mudanzasfmibiza.com</t>
  </si>
  <si>
    <t>Mudanzas Valentin</t>
  </si>
  <si>
    <t>Av. d&amp;apos;Amèrica, 6, 07600 S&amp;apos;Arenal, Illes Balears</t>
  </si>
  <si>
    <t>El Arenal</t>
  </si>
  <si>
    <t>mudanzasvalentin.es</t>
  </si>
  <si>
    <t>643 67 81 14</t>
  </si>
  <si>
    <t>Mudanzas y Transportes Peep</t>
  </si>
  <si>
    <t>07609 Llucmajor, Balearic Islands</t>
  </si>
  <si>
    <t>jmoronricart.wixsite.com</t>
  </si>
  <si>
    <t>656 54 29 99</t>
  </si>
  <si>
    <t>Mudanzas Enrique</t>
  </si>
  <si>
    <t>697 52 13 27</t>
  </si>
  <si>
    <t>Mudanzas Pons</t>
  </si>
  <si>
    <t>Carrer de Son Peretó, 14, 07013 Palma, Illes Balears</t>
  </si>
  <si>
    <t>mudanzaspons.com</t>
  </si>
  <si>
    <t>971 24 51 36</t>
  </si>
  <si>
    <t>info@mudanzaspons.com</t>
  </si>
  <si>
    <t>Transportes Transatlántico</t>
  </si>
  <si>
    <t>Carrer de Joan Mascaró i Fornés, 139, 07010 Palma, Illes Balears</t>
  </si>
  <si>
    <t>transportestransatlantico.com.es</t>
  </si>
  <si>
    <t>675 91 86 38</t>
  </si>
  <si>
    <t>info@transportestransatlantico.com.es</t>
  </si>
  <si>
    <t>Mudanzas en Menorca, Transports Es Castell</t>
  </si>
  <si>
    <t>Av. d&amp;apos;es Castell, 12, 07720 Es Castell, Illes Balears</t>
  </si>
  <si>
    <t>Villacarlos</t>
  </si>
  <si>
    <t>610 93 31 59</t>
  </si>
  <si>
    <t>TRANSPORTES CAPILLA - Empresa de transportes y alquiler de guardamuebles en la isla de Mallorca</t>
  </si>
  <si>
    <t>Camí de Son Ametler, 81, parcela 6, 07198 L&amp;apos;Hostalot, Illes Balears</t>
  </si>
  <si>
    <t>Hostalot</t>
  </si>
  <si>
    <t>607 81 63 22</t>
  </si>
  <si>
    <t>4Cosas Mudanzas</t>
  </si>
  <si>
    <t>Carrer de Josep Martínez, 60, 07007 Palma, Illes Balears</t>
  </si>
  <si>
    <t>659 61 40 77</t>
  </si>
  <si>
    <t>Mudanzas Chaboli</t>
  </si>
  <si>
    <t>Carrer Josep Orlandis i Melià, 2, 07014 Palma, Illes Balears</t>
  </si>
  <si>
    <t>604 23 29 74</t>
  </si>
  <si>
    <t>Balearelocation</t>
  </si>
  <si>
    <t>Poligono de Son Castelló - Gremi de Sabaters 21, B24, 2 Planta, 07009 Palma, Balearic Islands</t>
  </si>
  <si>
    <t>971 51 28 57</t>
  </si>
  <si>
    <t>Transportes y Mudanzas Sam</t>
  </si>
  <si>
    <t>Carrer General Barceló, 3, 07181 Palmanova, Illes Balears</t>
  </si>
  <si>
    <t>Palmanova</t>
  </si>
  <si>
    <t>658 76 77 83</t>
  </si>
  <si>
    <t>Spain Mobel</t>
  </si>
  <si>
    <t>Carrer Gremi de Ferrers, 1, 07009 Palma, Illes Balears</t>
  </si>
  <si>
    <t>Mudanzas En Mallorca</t>
  </si>
  <si>
    <t>Carrer Conradors, 07141 Marratxí, Illes Balears</t>
  </si>
  <si>
    <t>Marratxí</t>
  </si>
  <si>
    <t>Transportes y Mudanzas Palma de Mallorca</t>
  </si>
  <si>
    <t>Camí de Can Pastilla, 11, 07610 Can Pastilla, Illes Balears</t>
  </si>
  <si>
    <t>Can Pastilla</t>
  </si>
  <si>
    <t>640 63 47 29</t>
  </si>
  <si>
    <t>Mudanzas M. Suñer. Mudanzas y guardamuebles Mallorca</t>
  </si>
  <si>
    <t>Carretera Vieja de, Ctra. Llucmajor, 29, 07007 Palma, Balearic Islands</t>
  </si>
  <si>
    <t>MUDANZAS IBIZA S.L.</t>
  </si>
  <si>
    <t>Carrer Capità Guasch, 21, 07819 Eivissa, Illes Balears</t>
  </si>
  <si>
    <t>mudanzasibiza.com</t>
  </si>
  <si>
    <t>971 39 20 67</t>
  </si>
  <si>
    <t>oficina@mudanzasibiza.com</t>
  </si>
  <si>
    <t>REDONDO</t>
  </si>
  <si>
    <t>Carrer del Mestre Falla, 13, 07008 Palma, Illes Balears</t>
  </si>
  <si>
    <t>transportesredondo.com</t>
  </si>
  <si>
    <t>656 83 04 26</t>
  </si>
  <si>
    <t>Mobelbalear</t>
  </si>
  <si>
    <t>Carrer Gremi de Ferrers, 16, 07009 Palma, Illes Balears</t>
  </si>
  <si>
    <t>971 43 01 05</t>
  </si>
  <si>
    <t>Mudanzas y trasportes Gordas e Hijos</t>
  </si>
  <si>
    <t>Ronda de Migjorn, 123, 3B, 07620 Llucmajor, Balearic Islands</t>
  </si>
  <si>
    <t>605 81 66 24</t>
  </si>
  <si>
    <t>PORTES Y MUDANZAS ALEJANDRO</t>
  </si>
  <si>
    <t>Carrer de Cabrit i Bassa, 18, 07014 Palma, Illes Balears</t>
  </si>
  <si>
    <t>662 55 62 00</t>
  </si>
  <si>
    <t>Daniel Díaz Mudanzas y Transportes S.L</t>
  </si>
  <si>
    <t>Carrer Roders, nave 12, 07141 Poligono Industrial de Marratxi, Illes Balears</t>
  </si>
  <si>
    <t>Poligono Industrial de Marratxi</t>
  </si>
  <si>
    <t>mudanzas-mallorca.es</t>
  </si>
  <si>
    <t>639 24 02 94</t>
  </si>
  <si>
    <t>MUDANZAS MAURICIO</t>
  </si>
  <si>
    <t>Carrer de Miquel Àngel Riera, 4, 07004 Palma, Illes Balears</t>
  </si>
  <si>
    <t>643 03 98 13</t>
  </si>
  <si>
    <t>Vaciado de pisos Mallorca</t>
  </si>
  <si>
    <t>Plaça de Cosme Adrover, 5, 3 C, 07008 Palma, Balearic Islands</t>
  </si>
  <si>
    <t>662 09 46 37</t>
  </si>
  <si>
    <t>Mudanzas Santiago</t>
  </si>
  <si>
    <t>Camí Ca na Verda, 11, 07010 Palma, Illes Balears</t>
  </si>
  <si>
    <t>658 55 19 86</t>
  </si>
  <si>
    <t>Whites Moving &amp;amp; Storage S.L.</t>
  </si>
  <si>
    <t>Carrer d&amp;apos;Alacant, 5A, 07180 Calvià, Illes Balears</t>
  </si>
  <si>
    <t>Calviá</t>
  </si>
  <si>
    <t>whitesmovingandstorage.com</t>
  </si>
  <si>
    <t>971 70 76 31</t>
  </si>
  <si>
    <t>info@removalclaims.co.uk</t>
  </si>
  <si>
    <t>Ctra. Eivissa-Sant Antoni, 11, c731, 07816 Ibiza, Balearic Islands</t>
  </si>
  <si>
    <t>Mensajeria Sóller</t>
  </si>
  <si>
    <t>Carreró d&amp;apos;En Figa, 1, 07100 Sóller, Illes Balears</t>
  </si>
  <si>
    <t>Sóller</t>
  </si>
  <si>
    <t>622 65 02 36</t>
  </si>
  <si>
    <t>Mudanzas Felix</t>
  </si>
  <si>
    <t>Carrer de Son Alemany, 13, Local A, 07004 Palma, Balearic Islands</t>
  </si>
  <si>
    <t>639 66 64 91</t>
  </si>
  <si>
    <t>Mudanzas y reformas express</t>
  </si>
  <si>
    <t>07002 Palma, Balearic Islands</t>
  </si>
  <si>
    <t>651 19 85 70</t>
  </si>
  <si>
    <t>Transportes Y Mudanzas Erchiga</t>
  </si>
  <si>
    <t>Carretera de l&amp;apos;Aeroport, 0, 07817 Sant Jordi de ses Salines, Illes Balears</t>
  </si>
  <si>
    <t>San Jorge de ses Salines</t>
  </si>
  <si>
    <t>971 39 51 31</t>
  </si>
  <si>
    <t>Mudanzas M.S.</t>
  </si>
  <si>
    <t>Lugar Urbanització Son Ametller Vell, 179, 07141 Marratxí, Balearic Islands</t>
  </si>
  <si>
    <t>971 60 52 85</t>
  </si>
  <si>
    <t>Mudanzas Technomoving</t>
  </si>
  <si>
    <t>Carretera C-733 Km 7, 07819, Balearic Islands</t>
  </si>
  <si>
    <t>Ca Na Negreta</t>
  </si>
  <si>
    <t>mudanzastechnomoving.com</t>
  </si>
  <si>
    <t>661 77 56 52</t>
  </si>
  <si>
    <t>info@mudanzastechnomoving.com</t>
  </si>
  <si>
    <t>F.G.Short / White &amp;amp; Co./ Whites Moving &amp;amp; Storage Spain S.L.,</t>
  </si>
  <si>
    <t>Av. de Gabriel Roca, 44, 07015 Palma, Illes Balears</t>
  </si>
  <si>
    <t>Mudanzas los diaz</t>
  </si>
  <si>
    <t>698 40 52 33</t>
  </si>
  <si>
    <t>Mudanzas Ferriol</t>
  </si>
  <si>
    <t>Ctra. de Manacor, 54, 07006 Palma, Illes Balears</t>
  </si>
  <si>
    <t>640 97 25 21</t>
  </si>
  <si>
    <t>MUDANZAS M.N</t>
  </si>
  <si>
    <t>palma, 07007 Mallorca</t>
  </si>
  <si>
    <t>Mallorca</t>
  </si>
  <si>
    <t>Mudanzas ALEXZANDAR</t>
  </si>
  <si>
    <t>664 00 51 55</t>
  </si>
  <si>
    <t>TRANSPORTE Y MUDANZA PAPASS</t>
  </si>
  <si>
    <t>682 31 80 29</t>
  </si>
  <si>
    <t>Kennemann</t>
  </si>
  <si>
    <t>Passatge Particular de Sencelles, 0 S/N, 07008 Palma, Illes Balears</t>
  </si>
  <si>
    <t>971 51 33 63</t>
  </si>
  <si>
    <t>Pilar Aranda Panadero</t>
  </si>
  <si>
    <t>Carrer de Maó, 61, 07720 Es Castell, Illes Balears</t>
  </si>
  <si>
    <t>subastas de transportes Reca2</t>
  </si>
  <si>
    <t>07800 Ibiza, Balearic Islands</t>
  </si>
  <si>
    <t>618 90 23 57</t>
  </si>
  <si>
    <t>Can Moving</t>
  </si>
  <si>
    <t>Poligono Montecristo, Nave 9, C/ des Picapedrers, 07816 Sant Rafel, Illes Balears</t>
  </si>
  <si>
    <t>Sant Rafel de Sa Creu</t>
  </si>
  <si>
    <t>Segur</t>
  </si>
  <si>
    <t>Carrer del Voluntariat, 35, 07800 Eivissa, Illes Balears</t>
  </si>
  <si>
    <t>Gmbh &amp;amp; Co.Kg</t>
  </si>
  <si>
    <t>Paseo 19 de Març, 7 (Son Buganvilla), 07180 Galatzó, Balearic Islands</t>
  </si>
  <si>
    <t>Galatzó</t>
  </si>
  <si>
    <t>971 69 51 85</t>
  </si>
  <si>
    <t>24/7 SOLUTIONS</t>
  </si>
  <si>
    <t>Carretera d&amp;apos;Eivissa a Sant Josep, 63, 07817, Illes Balears</t>
  </si>
  <si>
    <t>ibiza247solutions.com</t>
  </si>
  <si>
    <t>689 52 90 60</t>
  </si>
  <si>
    <t>info@ibiza247solutions.com</t>
  </si>
  <si>
    <t>MUDANZAS BARATAS ALMAZORA</t>
  </si>
  <si>
    <t>C. Mosén Lorenzo Cot, 12100 El Grao de Castellón, Castellón</t>
  </si>
  <si>
    <t>El Grao de Castellón</t>
  </si>
  <si>
    <t>681 30 30 15</t>
  </si>
  <si>
    <t>Mudanzas Barcelona Casa Rojals</t>
  </si>
  <si>
    <t>Carrer del Marquès de Campo Sagrado, 21, 08015 Barcelona</t>
  </si>
  <si>
    <t>mudanzasrojals.com</t>
  </si>
  <si>
    <t>934 41 23 26</t>
  </si>
  <si>
    <t>info@mudanzasrojals.com</t>
  </si>
  <si>
    <t>Mudanzas Xàbia</t>
  </si>
  <si>
    <t>Pl. de Játiva, 3, 03730 Xàbia, Alicante</t>
  </si>
  <si>
    <t>Jávea</t>
  </si>
  <si>
    <t>mudanzasxabia.com</t>
  </si>
  <si>
    <t>661 98 64 51</t>
  </si>
  <si>
    <t>info@mudanzasxabia.com</t>
  </si>
  <si>
    <t>Partida Madrigueres Nord, 0 S-N, 03700 Dénia, Alicante</t>
  </si>
  <si>
    <t>966 43 11 16</t>
  </si>
  <si>
    <t>Grupo Amygo Las Palmas</t>
  </si>
  <si>
    <t>Calle Corrientes 1 El Sebadal, 35008 Las Palmas de Gran Canaria, Las Palmas</t>
  </si>
  <si>
    <t>Mudanzas Federico Ramos</t>
  </si>
  <si>
    <t>El Sebadal, C. Corrientes, 1, 35008 Las Palmas de Gran Canaria, Las Palmas</t>
  </si>
  <si>
    <t>mudanzasfedericoramos.es</t>
  </si>
  <si>
    <t>928 42 48 80</t>
  </si>
  <si>
    <t>Mudanzas ESMENSO Las Palmas y Alquiler de Guardamuebles y Transporte de Obras de Arte.</t>
  </si>
  <si>
    <t>C. Arinaga, 8, 35010 Las Palmas de Gran Canaria, Las Palmas</t>
  </si>
  <si>
    <t>esmenso.info</t>
  </si>
  <si>
    <t>928 48 20 22</t>
  </si>
  <si>
    <t>MUDANZAS GIL STAUFFER LAS PALMAS</t>
  </si>
  <si>
    <t>C. San Nicolás de Tolentino, 1, 35018 Las Palmas de Gran Canaria, Las Palmas</t>
  </si>
  <si>
    <t>928 43 28 88</t>
  </si>
  <si>
    <t>Mudanzas Gesapro - Empresa de Mudanzas Guardamuebles y Trasteros en Las Palmas</t>
  </si>
  <si>
    <t>C. Beneficiado Jose Estupiñan, 41, 35219 Telde, Las Palmas</t>
  </si>
  <si>
    <t>Telde</t>
  </si>
  <si>
    <t>mudanzasgesapro.com</t>
  </si>
  <si>
    <t>928 50 93 10</t>
  </si>
  <si>
    <t>Mudanzas Las Palmas, S.L</t>
  </si>
  <si>
    <t>C/ Capitán Gral. Excelentísimo Señor Don José Antonio Gutiérrez Mellado, 15, 35018 Las Palmas de Gran Canaria, Las Palmas</t>
  </si>
  <si>
    <t>Mudanzas Duparcq</t>
  </si>
  <si>
    <t>C. Kant, 11, 35010 Las Palmas de Gran Canaria, Las Palmas</t>
  </si>
  <si>
    <t>mudanzasduparcq.es</t>
  </si>
  <si>
    <t>928 27 87 14</t>
  </si>
  <si>
    <t>info@mudanzasduparcq.es</t>
  </si>
  <si>
    <t>Mudanzas y Guardamuebles Gran Canaria Horizont Atlantic S.L.</t>
  </si>
  <si>
    <t>Ctra. de Almatriche, 42, bajos, 35018 Las Palmas de Gran Canaria, Las Palmas</t>
  </si>
  <si>
    <t>horizontatlantic.com</t>
  </si>
  <si>
    <t>928 20 32 85</t>
  </si>
  <si>
    <t>info@horizontatlantic.com</t>
  </si>
  <si>
    <t>Mudanzas Odin</t>
  </si>
  <si>
    <t>Av. Cabildo Insular, 151, D, 35330 Teror, Las Palmas</t>
  </si>
  <si>
    <t>Teror</t>
  </si>
  <si>
    <t>mudanzasodin.com</t>
  </si>
  <si>
    <t>617 60 68 59</t>
  </si>
  <si>
    <t>info@mudanzasodin.com</t>
  </si>
  <si>
    <t>Mudanzas y Transportes Los Caballeros</t>
  </si>
  <si>
    <t>C. Maestro Leonardo, 4, Puerta A06, 35610 Antigua, Las Palmas</t>
  </si>
  <si>
    <t>Antigua</t>
  </si>
  <si>
    <t>615 71 22 80</t>
  </si>
  <si>
    <t>Mudanzas DUPARCQ</t>
  </si>
  <si>
    <t>Pol. Ind. El Jable - Nave 7, 35509 Playa Honda, Las Palmas</t>
  </si>
  <si>
    <t>Playa Honda</t>
  </si>
  <si>
    <t>mudanzaslanzarote.com</t>
  </si>
  <si>
    <t>928 82 23 51</t>
  </si>
  <si>
    <t>info@mudanzaslanzarote.com</t>
  </si>
  <si>
    <t>Ramos Verona Services S L</t>
  </si>
  <si>
    <t>Carr. del Nte., 35013 Palmas De Gran Canaria ( Las ), Las Palmas</t>
  </si>
  <si>
    <t>928 39 66 40</t>
  </si>
  <si>
    <t>Canary Moving S.L</t>
  </si>
  <si>
    <t>C. las Mimosas, 25b, 35118 Poligono Industrial de Arinaga, Las Palmas</t>
  </si>
  <si>
    <t>Poligono Industrial de Arinaga</t>
  </si>
  <si>
    <t>canarymoving.com</t>
  </si>
  <si>
    <t>615 19 14 15</t>
  </si>
  <si>
    <t>Mudanzas Canarias</t>
  </si>
  <si>
    <t>Agaete</t>
  </si>
  <si>
    <t>mudanzascanarias.es</t>
  </si>
  <si>
    <t>928 67 44 44</t>
  </si>
  <si>
    <t>info@mudanzascanarias.es</t>
  </si>
  <si>
    <t>Empresa Fabago</t>
  </si>
  <si>
    <t>C. Alférez Provisional, 35012 Las Palmas de Gran Canaria, Las Palmas</t>
  </si>
  <si>
    <t>622 49 09 31</t>
  </si>
  <si>
    <t>Cargo Leader Internacional , SL</t>
  </si>
  <si>
    <t>Spanish Pelagic, 35008 Las Palmas de Gran Canaria, Las Palmas</t>
  </si>
  <si>
    <t>928 46 27 90</t>
  </si>
  <si>
    <t>Mudanzas Hernández E Hijos</t>
  </si>
  <si>
    <t>Polígono Industrial La Hondura, Calle Los Alisios, 36, Nave A, 15, 35600 Puerto del Rosario, Las Palmas</t>
  </si>
  <si>
    <t>Puerto del Rosario</t>
  </si>
  <si>
    <t>928 53 30 30</t>
  </si>
  <si>
    <t>Mudanzas Martínez</t>
  </si>
  <si>
    <t>Calle Mimosas, 25 ( Pol Ind De Arinaga ), 35118 Polígono Residencial De Arinaga, Las Palmas</t>
  </si>
  <si>
    <t>928 18 00 90</t>
  </si>
  <si>
    <t>Edoras Ilimitado</t>
  </si>
  <si>
    <t>Intermoving</t>
  </si>
  <si>
    <t>Poligono Industrial San Isidro, Parcela 93, 35460 Gáldar, Las Palmas</t>
  </si>
  <si>
    <t>Gáldar</t>
  </si>
  <si>
    <t>intermoving.es</t>
  </si>
  <si>
    <t>900 104 575</t>
  </si>
  <si>
    <t>info@intermoving.es</t>
  </si>
  <si>
    <t>Mudanzas Hernández e Hijos S.L.</t>
  </si>
  <si>
    <t>Calle Manolo Millares, 31, 35500 Arrecife, Las Palmas</t>
  </si>
  <si>
    <t>Packaging Solutions Provider Sl Unipersonal</t>
  </si>
  <si>
    <t>C. los Cazadores, 89, 35558 Soo, Las Palmas</t>
  </si>
  <si>
    <t>Soo</t>
  </si>
  <si>
    <t>Erma Trans S.L.</t>
  </si>
  <si>
    <t>Carr. los Marmoles, 3, 35500 Arrecife, Las Palmas</t>
  </si>
  <si>
    <t>928 52 76 12</t>
  </si>
  <si>
    <t>Islavan Mudanzas Internacionales</t>
  </si>
  <si>
    <t>C. San Damian, 8, 38108 San Cristóbal de La Laguna, Santa Cruz de Tenerife</t>
  </si>
  <si>
    <t>San Cristóbal de La Laguna</t>
  </si>
  <si>
    <t>Santa Cruz de Tenerife</t>
  </si>
  <si>
    <t>islavan.com</t>
  </si>
  <si>
    <t>922 00 85 00</t>
  </si>
  <si>
    <t>Mudanzas Canarias S,L.</t>
  </si>
  <si>
    <t>Polígono Industrial, C. Retama, 6, 38108 Santa Cruz de Tenerife</t>
  </si>
  <si>
    <t>922 62 37 37</t>
  </si>
  <si>
    <t>MUDANZAS GIL STAUFFER TENERIFE</t>
  </si>
  <si>
    <t>PolÍgono Industrial El Chorrillo, Calle Retama, nº 6º - Nave 3, 38107 Santa Cruz de Tenerife</t>
  </si>
  <si>
    <t>922 28 98 16</t>
  </si>
  <si>
    <t>Mudanzas Magens</t>
  </si>
  <si>
    <t>C. Islas Filipinas, 5 NAVE, 38009 Santa Cruz de Tenerife</t>
  </si>
  <si>
    <t>amagens.com</t>
  </si>
  <si>
    <t>922 23 30 75</t>
  </si>
  <si>
    <t>magens@amagens.com</t>
  </si>
  <si>
    <t>Transportes y Mudanzas Yoany Suarez Cabrera</t>
  </si>
  <si>
    <t>C. del Cedro, 26, Bajo, 38108 Taco, Santa Cruz de Tenerife</t>
  </si>
  <si>
    <t>Taco</t>
  </si>
  <si>
    <t>677 05 42 23</t>
  </si>
  <si>
    <t>Grupo Amygo Santa Cruz de Tenerife</t>
  </si>
  <si>
    <t>Polígono Industrial Costa Sur, Calle Filipinas 5, 38009 Santa Cruz de Tenerife</t>
  </si>
  <si>
    <t>Mudanzas y Guardamuebles en Tenerife Horizont Atlantic S.L.</t>
  </si>
  <si>
    <t>Polígono industrial el Mayorazgo, parcela 12, nave 7, 38010 Santa Cruz de Tenerife</t>
  </si>
  <si>
    <t>922 25 17 71</t>
  </si>
  <si>
    <t>Mudanzas Tenerife y Grupajes SL</t>
  </si>
  <si>
    <t>C. de Juan de Valdes, 7, 38009 Santa Cruz de Tenerife</t>
  </si>
  <si>
    <t>mudanzastenerife.es</t>
  </si>
  <si>
    <t>822 10 19 05</t>
  </si>
  <si>
    <t>mudanzas@mudanzastenerife.es</t>
  </si>
  <si>
    <t>Embalajes Tenerife</t>
  </si>
  <si>
    <t>C. de Juan de Valdes, 6, 38009 Santa Cruz de Tenerife</t>
  </si>
  <si>
    <t>661 35 71 42</t>
  </si>
  <si>
    <t>Champions International Transports And Moving</t>
  </si>
  <si>
    <t>Av. de los Menceyes, 38205 San Cristóbal de La Laguna, Santa Cruz de Tenerife</t>
  </si>
  <si>
    <t>transchampions.com</t>
  </si>
  <si>
    <t>922 24 50 07</t>
  </si>
  <si>
    <t>logo46x38@2x.png</t>
  </si>
  <si>
    <t>TRANSPORTES y MUDANZAS YOANY SUAREZ CABRERA - Portes-Limpieza-Pintura en La Laguna</t>
  </si>
  <si>
    <t>Av. el Cardonal, 82, 38108 San Cristóbal de La Laguna, Santa Cruz de Tenerife</t>
  </si>
  <si>
    <t>633 04 98 89</t>
  </si>
  <si>
    <t>Mudanzas vicente tenerife</t>
  </si>
  <si>
    <t>Calle princesa ifara 35 1A2 38611, San Isidro, Santa Cruz de Tenerife</t>
  </si>
  <si>
    <t>San Isidro</t>
  </si>
  <si>
    <t>mudanzasvicente.com</t>
  </si>
  <si>
    <t>654 72 70 63</t>
  </si>
  <si>
    <t>info@mudanzasvicente.com</t>
  </si>
  <si>
    <t>Portes y mudanzas Arniel</t>
  </si>
  <si>
    <t>Adeje</t>
  </si>
  <si>
    <t>623 41 61 01</t>
  </si>
  <si>
    <t>Islavan Mudanzas Tenerife</t>
  </si>
  <si>
    <t>660 35 05 00</t>
  </si>
  <si>
    <t>VILATRANS MUDANZAS Y LOGÍSTICA</t>
  </si>
  <si>
    <t>C. Jaime Velasco Gômez(Maestro), 21, 38520 Igueste de Candelaria, Santa Cruz de Tenerife</t>
  </si>
  <si>
    <t>Igueste de Candelaria</t>
  </si>
  <si>
    <t>666 05 06 03</t>
  </si>
  <si>
    <t>Worldwide Moving &amp;amp; Storage, Canary Islands</t>
  </si>
  <si>
    <t>C. Cuescaro, 22, 38620 Las Chafiras, Santa Cruz de Tenerife</t>
  </si>
  <si>
    <t>Las Chafiras</t>
  </si>
  <si>
    <t>worldwidemovingtenerife.com</t>
  </si>
  <si>
    <t>922 70 30 68</t>
  </si>
  <si>
    <t>info@thevaultbartenerife.com</t>
  </si>
  <si>
    <t>Mudanzas Moreno</t>
  </si>
  <si>
    <t>POL. IND. EL SEBADAL, C. Sao Paulo, 2, 35008 Las Palmas de Gran Canaria, Las Palmas</t>
  </si>
  <si>
    <t>mudanzasmoreno.com</t>
  </si>
  <si>
    <t>info@grupomudanzasmoreno.com</t>
  </si>
  <si>
    <t>JIPS MUDANZAS, ( Mudanzas en Cantabria )</t>
  </si>
  <si>
    <t>39100 Santa Cruz de Bezana, Cantabria</t>
  </si>
  <si>
    <t>mudanzasencantabria.es</t>
  </si>
  <si>
    <t>629 96 74 06</t>
  </si>
  <si>
    <t>Mudanzas Sito</t>
  </si>
  <si>
    <t>Polígono Industrial Heras, nave 212, 39792 Heras, Cantabria</t>
  </si>
  <si>
    <t>Heras</t>
  </si>
  <si>
    <t>mudanzassito.com</t>
  </si>
  <si>
    <t>942 33 23 83</t>
  </si>
  <si>
    <t>info@mudanzassito.com</t>
  </si>
  <si>
    <t>Mudanzas Revilla - Servicio de mundazas locales y nacionales en Camargo, Cantabria</t>
  </si>
  <si>
    <t>Bo. la Sierra, 3, 39600 Revilla de Camargo, Cantabria</t>
  </si>
  <si>
    <t>Revilla de Camargo</t>
  </si>
  <si>
    <t>mudanzasencantabria.com.es</t>
  </si>
  <si>
    <t>627 44 28 80</t>
  </si>
  <si>
    <t>Mudanzas Jurado</t>
  </si>
  <si>
    <t>C. Pintor Varela, 3, BAJO, 39300 Torrelavega, Cantabria</t>
  </si>
  <si>
    <t>Torrelavega</t>
  </si>
  <si>
    <t>663 40 92 14</t>
  </si>
  <si>
    <t>MUDANZAS INTEGRALES CANTABRIA</t>
  </si>
  <si>
    <t>Av. de los Castros, s/n, 39005 Santander, Cantabria</t>
  </si>
  <si>
    <t>Santander</t>
  </si>
  <si>
    <t>mudanzasintegralescantabria.com</t>
  </si>
  <si>
    <t>699 34 04 73</t>
  </si>
  <si>
    <t>info@mudanzasintegralescantabria.com</t>
  </si>
  <si>
    <t>mobibox</t>
  </si>
  <si>
    <t>C. Isla Óleo Industrial, 40, 39011 Santander, Cantabria</t>
  </si>
  <si>
    <t>mobibox.es</t>
  </si>
  <si>
    <t>942 03 16 61</t>
  </si>
  <si>
    <t>info@mobibox.esDisponemos</t>
  </si>
  <si>
    <t>Mudanzas Vioño</t>
  </si>
  <si>
    <t>Bo. Parayo, 39479 Vioño, Cantabria</t>
  </si>
  <si>
    <t>Vioño</t>
  </si>
  <si>
    <t>mudanzasvioño.com</t>
  </si>
  <si>
    <t>679 56 32 23</t>
  </si>
  <si>
    <t>Mudanzas Diaz</t>
  </si>
  <si>
    <t>Pob. Santiago Cartes, 39311 Cartes, Cantabria</t>
  </si>
  <si>
    <t>Cartes</t>
  </si>
  <si>
    <t>mudanzasdiazsl.com</t>
  </si>
  <si>
    <t>626 36 03 81</t>
  </si>
  <si>
    <t>admon@mudanzasdiazsl.com</t>
  </si>
  <si>
    <t>PRISMA REFORMAS Y MUDANZAS</t>
  </si>
  <si>
    <t>C. el Sable, 5, 39700 Castro Urdiales, Cantabria</t>
  </si>
  <si>
    <t>Castro Urdiales</t>
  </si>
  <si>
    <t>reformasymudanzasprisma.com</t>
  </si>
  <si>
    <t>607 46 47 69</t>
  </si>
  <si>
    <t>Mudanzas Díaz</t>
  </si>
  <si>
    <t>Cervantes, 10, 39001 Santander, Cantabria</t>
  </si>
  <si>
    <t>942 31 35 16</t>
  </si>
  <si>
    <t>Mudanzas y Transportes Teja, S.L.</t>
  </si>
  <si>
    <t>C. Atilano Rodríguez, 7, 39002 Santander, Cantabria</t>
  </si>
  <si>
    <t>Mudanzas Altamira</t>
  </si>
  <si>
    <t>C. Sixto Córdova, 15, 39012 Santander, Cantabria</t>
  </si>
  <si>
    <t>PORTES Y MUDANZAS ADL</t>
  </si>
  <si>
    <t>C. José María de Cossío, 17, 6ºD, 39011 Santander, Cantabria</t>
  </si>
  <si>
    <t>600 96 47 11</t>
  </si>
  <si>
    <t>Casovalle Mudanzas-Guarda Muebles</t>
  </si>
  <si>
    <t>C. Lluja, 39011 Santander, Cantabria</t>
  </si>
  <si>
    <t>39300 Torrelavega, Cantabria</t>
  </si>
  <si>
    <t>Servicio10</t>
  </si>
  <si>
    <t>Calle Aureliano Linares Rivas, 17 , 11 A, 39700 Castro Urdiales</t>
  </si>
  <si>
    <t>670 97 09 61</t>
  </si>
  <si>
    <t>STR Reparaciones del Hogar</t>
  </si>
  <si>
    <t>Bajada de la Encina, 31, B, 39005 Santander, Cantabria</t>
  </si>
  <si>
    <t>673 80 50 49</t>
  </si>
  <si>
    <t>Mudanzas Alvaro</t>
  </si>
  <si>
    <t>Carretera San Vicente, Polígono Ind. Ibarzaharra-Sestao Pol., Pabellon 17, 48510, Bizkaia</t>
  </si>
  <si>
    <t>Baracaldo</t>
  </si>
  <si>
    <t>mudanzasalvaro.es</t>
  </si>
  <si>
    <t>944 72 00 90</t>
  </si>
  <si>
    <t>info@mudanzasalvaro.es</t>
  </si>
  <si>
    <t>Gipuzkoa Kalea, 1, 48901 Barakaldo, Bizkaia</t>
  </si>
  <si>
    <t>944 37 55 88</t>
  </si>
  <si>
    <t>KL Bengala Mudanzas</t>
  </si>
  <si>
    <t>Nueva Alhondiga, Gazteluondo Kalea, 5, 48002 Bilbao, Biscay</t>
  </si>
  <si>
    <t>Bilbao</t>
  </si>
  <si>
    <t>602 17 23 06</t>
  </si>
  <si>
    <t>Mudanzas TLD</t>
  </si>
  <si>
    <t>Erreka Bazterrak Kalea, 13, 48970 Basauri, Bizkaia</t>
  </si>
  <si>
    <t>Basauri</t>
  </si>
  <si>
    <t>mudanzastld.com</t>
  </si>
  <si>
    <t>944 26 28 66</t>
  </si>
  <si>
    <t>Bizidem Mudanzas</t>
  </si>
  <si>
    <t>C. Luisene, 5, B, 48100 Mungia, Biscay</t>
  </si>
  <si>
    <t>Munguía</t>
  </si>
  <si>
    <t>bizidem.com</t>
  </si>
  <si>
    <t>688 72 82 06</t>
  </si>
  <si>
    <t>Mudanzas Bilbao</t>
  </si>
  <si>
    <t>Castaños Kalea, 27, 48007 Bilbo, Bizkaia</t>
  </si>
  <si>
    <t>mudanzasbilbao.biz</t>
  </si>
  <si>
    <t>944 10 22 39</t>
  </si>
  <si>
    <t>Mudanzas en Bilbao &amp;quot; VININCHI EL DE SIEMPRE &amp;quot;</t>
  </si>
  <si>
    <t>Autonomia Kalea, 64, 48012 Bilbo, Bizkaia</t>
  </si>
  <si>
    <t>602 30 87 37</t>
  </si>
  <si>
    <t>Azkar Mudanzas de Vizcaya</t>
  </si>
  <si>
    <t>Poligono martiartu Pabellon 44 calle 3, 48480 Arrigorriaga, Biscay</t>
  </si>
  <si>
    <t>Arrigorriaga</t>
  </si>
  <si>
    <t>azkarmudanzasdevizcaya.es</t>
  </si>
  <si>
    <t>946 95 94 00</t>
  </si>
  <si>
    <t>Mudanzas Puertas</t>
  </si>
  <si>
    <t>Ametzaga Kalea, 16, 48903 Barakaldo, Bizkaia</t>
  </si>
  <si>
    <t>mudanzaspuertas.com</t>
  </si>
  <si>
    <t>944 85 08 77</t>
  </si>
  <si>
    <t>MUDANZAS GIL STAUFFER BILBAO</t>
  </si>
  <si>
    <t>Barroeta Aldamar Kalea, 4, 48001 Bilbo, Bizkaia</t>
  </si>
  <si>
    <t>944 24 18 67</t>
  </si>
  <si>
    <t>Mudanzas Alayo</t>
  </si>
  <si>
    <t>Poligono Atxukarro 8, 48480 Arrigorriaga, Biscay</t>
  </si>
  <si>
    <t>mudanzasalayo.com</t>
  </si>
  <si>
    <t>944 27 23 63</t>
  </si>
  <si>
    <t>info@mudanzasalayo.com</t>
  </si>
  <si>
    <t>Henao Kalea, 34, 48009 Bilbo, Bizkaia</t>
  </si>
  <si>
    <t>Mudanzas y Transportes Borja</t>
  </si>
  <si>
    <t>Kalea, Irumineta Kalea, 16, 48004 Bilbo, Bizkaia</t>
  </si>
  <si>
    <t>631 35 69 54</t>
  </si>
  <si>
    <t>Mudanzas Burgos ®</t>
  </si>
  <si>
    <t>89VJ+MX7, Polígono industrial LAS GARZAS Nº27, 09139, Burgos 42°20&amp;apos;39.0&amp;quot;N 3°37&amp;apos;03.2&amp;quot;W, 09139 Castañares, Burgos</t>
  </si>
  <si>
    <t>Alfoz de Lloredo</t>
  </si>
  <si>
    <t>mudanzasburgos.org</t>
  </si>
  <si>
    <t>MINI MUDANZAS KOLDO DE ARANAGA</t>
  </si>
  <si>
    <t>Avenida IPARRAGUIRRE, 82, APDO. CORREOS, 14, 48940 Elexalde, Biscay</t>
  </si>
  <si>
    <t>Lejona</t>
  </si>
  <si>
    <t>944 63 13 91</t>
  </si>
  <si>
    <t>Mudanzas Y Transportes De Muebles Vitoria, S.L.</t>
  </si>
  <si>
    <t>Zubibarri Kalea, 9, Pabellon 8A, 01013 Vitoria-Gasteiz, Álava</t>
  </si>
  <si>
    <t>mudanzasytransportesvitoria.com</t>
  </si>
  <si>
    <t>945 25 62 99</t>
  </si>
  <si>
    <t>Alfredo de la Dehesa Mudanzas</t>
  </si>
  <si>
    <t>Calle Montañana, 0 S/N (Pol Ind Bayas), 09218 Bayas, Burgos</t>
  </si>
  <si>
    <t>Miranda de Ebro</t>
  </si>
  <si>
    <t>947 33 23 12</t>
  </si>
  <si>
    <t>MUDANZAS LEON</t>
  </si>
  <si>
    <t>48950 Erandio, Biscay</t>
  </si>
  <si>
    <t>Erandio</t>
  </si>
  <si>
    <t>686 69 10 69</t>
  </si>
  <si>
    <t>MUDANZAS PUERTAS</t>
  </si>
  <si>
    <t>Mudanzas Albacete S.L. Guardamuebles</t>
  </si>
  <si>
    <t>Abengibre</t>
  </si>
  <si>
    <t>mudanzasalbacete.es</t>
  </si>
  <si>
    <t>967 21 62 15</t>
  </si>
  <si>
    <t>info@mudanzasalbacete.es</t>
  </si>
  <si>
    <t>Mudanzas Sánchez y Soria - Mudanzas y Guardamuebles</t>
  </si>
  <si>
    <t>Parque Empresarial Campollano, Avenida 4ª, 16, 02007 Albacete</t>
  </si>
  <si>
    <t>mudanzasmss.com</t>
  </si>
  <si>
    <t>967 24 81 41</t>
  </si>
  <si>
    <t>clientes@mudanzasmss.com</t>
  </si>
  <si>
    <t>Mudanzas Albacete ✅ Sanchez y Murcia</t>
  </si>
  <si>
    <t>C. Concejal Antolín Tendero, 1, 2ºE, 02005 Albacete</t>
  </si>
  <si>
    <t>mudanzassanchezymurcia.es</t>
  </si>
  <si>
    <t>967 23 21 34</t>
  </si>
  <si>
    <t>Mudanzas en Albacete - Guirao</t>
  </si>
  <si>
    <t>C. Mayor, 8, 02001 Albacete</t>
  </si>
  <si>
    <t>644 15 32 37</t>
  </si>
  <si>
    <t>Mudanzas en Albacete ✅ Mudanzas Albacete 🥇</t>
  </si>
  <si>
    <t>696 70 58 84</t>
  </si>
  <si>
    <t>Mudanzas y Transportes Nohales</t>
  </si>
  <si>
    <t>C. la Roda, 19, 02006 Albacete</t>
  </si>
  <si>
    <t>967 22 80 02</t>
  </si>
  <si>
    <t>Mudanzas Torres</t>
  </si>
  <si>
    <t>C. E, 74, BAJO, 02007 Albacete</t>
  </si>
  <si>
    <t>609 75 03 33</t>
  </si>
  <si>
    <t>Mudanzas económicas - Guardamuebles | Monje Ciudad Real</t>
  </si>
  <si>
    <t>Pje. San Vicente Ferrer, 1, 13003 Ciudad Real, Cdad. Real</t>
  </si>
  <si>
    <t>mudanzasmonje.es</t>
  </si>
  <si>
    <t>926 22 54 62</t>
  </si>
  <si>
    <t>info@mudanzasmonje.es</t>
  </si>
  <si>
    <t>Mudanzas Agustín</t>
  </si>
  <si>
    <t>Av. de los Reyes Católicos, 2, 28220 Majadahonda, Madrid</t>
  </si>
  <si>
    <t>mudanzas-agustin.com</t>
  </si>
  <si>
    <t>916 34 57 41</t>
  </si>
  <si>
    <t>info@mudanzas-agustin.com</t>
  </si>
  <si>
    <t>Mudanzas LM</t>
  </si>
  <si>
    <t>Av. de los Reyes Católicos, 5, 13005 Ciudad Real, Cdad. Real</t>
  </si>
  <si>
    <t>mudanzaslm.com</t>
  </si>
  <si>
    <t>926 20 73 66</t>
  </si>
  <si>
    <t>Mudanzas y Guardamuebles Ciudad Real La Seda</t>
  </si>
  <si>
    <t>C. de Toledo, 8, 13001 Ciudad Real, Cdad. Real</t>
  </si>
  <si>
    <t>mudanzasciudadreal-laseda.es</t>
  </si>
  <si>
    <t>926 40 04 22</t>
  </si>
  <si>
    <t>J Sánchez</t>
  </si>
  <si>
    <t>C. Socuéllamos, 37, 13005 Ciudad Real, Cdad. Real</t>
  </si>
  <si>
    <t>926 20 00 13</t>
  </si>
  <si>
    <t>Removals Ciudadreal</t>
  </si>
  <si>
    <t>C. de Calatrava, 16, 13004 Ciudad Real, Cdad. Real</t>
  </si>
  <si>
    <t>mudanzasciudadreal.es</t>
  </si>
  <si>
    <t>666 55 39 95</t>
  </si>
  <si>
    <t>mercamudanzas</t>
  </si>
  <si>
    <t>Alvar Gómez, 12, 13005 Ciudad Real, Cdad. Real</t>
  </si>
  <si>
    <t>637 41 73 53</t>
  </si>
  <si>
    <t>Mudanzas M. Monje</t>
  </si>
  <si>
    <t>C. Calderón de la Barca, 60, 13500 Puertollano, Cdad. Real</t>
  </si>
  <si>
    <t>Puertollano</t>
  </si>
  <si>
    <t>mudanzasmmonje.com</t>
  </si>
  <si>
    <t>636 05 14 23</t>
  </si>
  <si>
    <t>Transporte Vehículos Ciudad Real</t>
  </si>
  <si>
    <t>C. Lanza, 5, 13004 Ciudad Real, Cdad. Real</t>
  </si>
  <si>
    <t>Mudanzas Ángel Arias</t>
  </si>
  <si>
    <t>Pol. Ind. Emilio Castro, Avenida de las Ciencias, 11 B, 13600 Alcázar de San Juan, Cdad. Real</t>
  </si>
  <si>
    <t>Alcázar de San Juan</t>
  </si>
  <si>
    <t>mudanzasangelarias.com</t>
  </si>
  <si>
    <t>926 54 57 19</t>
  </si>
  <si>
    <t>info@mudanzasangelarias.com</t>
  </si>
  <si>
    <t>Mudanzas Semual</t>
  </si>
  <si>
    <t>C. San Marcos, 28, 13200 Manzanares, Cdad. Real</t>
  </si>
  <si>
    <t>Manzanares</t>
  </si>
  <si>
    <t>Procoex Mudanzas, SL</t>
  </si>
  <si>
    <t>C. de Miguel Fleta, 4, nave x-y, 28037 Madrid</t>
  </si>
  <si>
    <t>procoex.com</t>
  </si>
  <si>
    <t>914 06 29 84</t>
  </si>
  <si>
    <t>info@procoex.com</t>
  </si>
  <si>
    <t>Mudanzas y Guardamuebles Cuenca La Seda</t>
  </si>
  <si>
    <t>Av. de Castilla-la Mancha, 5, 16003 Cuenca</t>
  </si>
  <si>
    <t>mudanzascuenca-laseda.es</t>
  </si>
  <si>
    <t>969 99 00 45</t>
  </si>
  <si>
    <t>MUDANDO-T MUDANZAS CUENCA</t>
  </si>
  <si>
    <t>Vía Fuencaliente, 41, 16003 Cuenca</t>
  </si>
  <si>
    <t>645 67 19 94</t>
  </si>
  <si>
    <t>Transmarcon Mudanzas</t>
  </si>
  <si>
    <t>C. Núñez de Balboa, 5, 16640 Belmonte, Cuenca</t>
  </si>
  <si>
    <t>Belmonte</t>
  </si>
  <si>
    <t>transmarconmudanzas.com</t>
  </si>
  <si>
    <t>607 92 43 37</t>
  </si>
  <si>
    <t>Mudanzas y Transportes Chek</t>
  </si>
  <si>
    <t>Tr.ª Olmeda, 13, 16120 Valera de Abajo, Cuenca</t>
  </si>
  <si>
    <t>Valera de Abajo</t>
  </si>
  <si>
    <t>661 16 86 82</t>
  </si>
  <si>
    <t>Mudanzas Leganés</t>
  </si>
  <si>
    <t>Calle Ote., 6, 2ºB, 16621 Santa María del Campo Rus, Cuenca</t>
  </si>
  <si>
    <t>Santa María del Campo Rus</t>
  </si>
  <si>
    <t>916 90 21 34</t>
  </si>
  <si>
    <t>Mudanzas Cuenca</t>
  </si>
  <si>
    <t>Av. de los Planetas, 31, 28983 Parla, Madrid</t>
  </si>
  <si>
    <t>Parla</t>
  </si>
  <si>
    <t>608 36 07 70</t>
  </si>
  <si>
    <t>Mudanzas Cañada SL</t>
  </si>
  <si>
    <t>Plaza de la Constitucion Nº1 - 3, 16001, Cuenca</t>
  </si>
  <si>
    <t>Alcor</t>
  </si>
  <si>
    <t>969 22 51 38</t>
  </si>
  <si>
    <t>MUDANZAS VESTA</t>
  </si>
  <si>
    <t>C. de Rumanía, 8, Nave 20, 28806 Alcalá de Henares, Madrid</t>
  </si>
  <si>
    <t>Alcalá de Henares</t>
  </si>
  <si>
    <t>mudanzasvesta.com</t>
  </si>
  <si>
    <t>722 52 18 52</t>
  </si>
  <si>
    <t>info@mudanzasvesta.com</t>
  </si>
  <si>
    <t>Mudanzas Alcarreñas, S.L.</t>
  </si>
  <si>
    <t>Calle Dr. Layna Serrano, 22, 19002 Guadalajara</t>
  </si>
  <si>
    <t>mudanzasalcarrenas.es</t>
  </si>
  <si>
    <t>609 13 84 15</t>
  </si>
  <si>
    <t>info@mudanzasalcarrenas.es</t>
  </si>
  <si>
    <t>PORTES Y MUDANZAS ECONOMICO GUADALAJARA</t>
  </si>
  <si>
    <t>19004 Guadalajara</t>
  </si>
  <si>
    <t>634 82 13 60</t>
  </si>
  <si>
    <t>Mudanzas Las Naciones: Mudanzas en Guadalajara</t>
  </si>
  <si>
    <t>C. Mayor, 2, 19002 Guadalajara</t>
  </si>
  <si>
    <t>mudanzaslasnaciones.com</t>
  </si>
  <si>
    <t>949 10 80 08</t>
  </si>
  <si>
    <t>info@mudanzaslasnaciones.com</t>
  </si>
  <si>
    <t>Mudanzas Cuidadosas</t>
  </si>
  <si>
    <t>C. de los Chopos, 79, 19163 Guadalajara</t>
  </si>
  <si>
    <t>mudanzascuidadosas.es</t>
  </si>
  <si>
    <t>949 27 90 94</t>
  </si>
  <si>
    <t>info@mudanzascuidadosas.es</t>
  </si>
  <si>
    <t>Mudanzas Mundimoving</t>
  </si>
  <si>
    <t>C. el Tejido, 26, 19200 Azuqueca de Henares, Guadalajara</t>
  </si>
  <si>
    <t>Azuqueca de Henares</t>
  </si>
  <si>
    <t>mundimoving.com</t>
  </si>
  <si>
    <t>669 28 60 03</t>
  </si>
  <si>
    <t>core-js-bundle@3.2.1</t>
  </si>
  <si>
    <t>Transporte España-Francia-Suiza-Alemania-Holanda-Belgica</t>
  </si>
  <si>
    <t>Ctra. Alovera, 36, 19200 Azuqueca de Henares, Guadalajara</t>
  </si>
  <si>
    <t>642 28 38 65</t>
  </si>
  <si>
    <t>Herance Mudanzas Guadalajara</t>
  </si>
  <si>
    <t>Av. Puerto de la Quesera, 49, 19209 Villanueva de la Torre, Guadalajara</t>
  </si>
  <si>
    <t>Villanueva de la Torre</t>
  </si>
  <si>
    <t>mudanzas-guadalajara.com.es</t>
  </si>
  <si>
    <t>949 75 09 07</t>
  </si>
  <si>
    <t>Portes y Mudanzas VILLON´S GROUP</t>
  </si>
  <si>
    <t>C. San Isidro, 8, 19200 Azuqueca de Henares, Guadalajara</t>
  </si>
  <si>
    <t>642 97 28 45</t>
  </si>
  <si>
    <t>DYA movers</t>
  </si>
  <si>
    <t>Tr.ª Barca, 19208 Alovera, Guadalajara</t>
  </si>
  <si>
    <t>Alovera</t>
  </si>
  <si>
    <t>dyamovers.com</t>
  </si>
  <si>
    <t>644 61 39 90</t>
  </si>
  <si>
    <t>info@dyamovers.com</t>
  </si>
  <si>
    <t>Transportes y Mudanzas Sergi</t>
  </si>
  <si>
    <t>C. el Calvario, 1, 19200 Azuqueca de Henares, Guadalajara</t>
  </si>
  <si>
    <t>603 42 55 14</t>
  </si>
  <si>
    <t>FASTER LINE CARGO, S.L.</t>
  </si>
  <si>
    <t>Avenida de Milán, 18 poligono Aida19200, Azuqueca de Henares, Guadalajara</t>
  </si>
  <si>
    <t>665 96 05 82</t>
  </si>
  <si>
    <t>Mudanzas Profi S.L</t>
  </si>
  <si>
    <t>C. Villalbilla, 4, 28806 Alcalá de Henares, Madrid</t>
  </si>
  <si>
    <t>mudanzasprofi.es</t>
  </si>
  <si>
    <t>642 27 68 41</t>
  </si>
  <si>
    <t>info@mudanzasprofi.es</t>
  </si>
  <si>
    <t>A. Salvador Mudanzas</t>
  </si>
  <si>
    <t>Tr.ª del Calvario, 6, 19162 Pioz, Guadalajara</t>
  </si>
  <si>
    <t>Pioz</t>
  </si>
  <si>
    <t>Transportes Abad</t>
  </si>
  <si>
    <t>Carretera De Alovera, 17 , 1 º B, 19200 Azuqueca de Henares, Guadalajara</t>
  </si>
  <si>
    <t>650 95 57 21</t>
  </si>
  <si>
    <t>Mudanzas Zamora</t>
  </si>
  <si>
    <t>C. Nuevo Baztán, 8, 28806 Alcalá de Henares, Madrid</t>
  </si>
  <si>
    <t>mudanzas-zamora.com</t>
  </si>
  <si>
    <t>606 20 25 24</t>
  </si>
  <si>
    <t>info@mudanzas-zamora.com</t>
  </si>
  <si>
    <t>Mudanzas Lujanes S.L.</t>
  </si>
  <si>
    <t>Centro Municipal de Empresas, Av. del Cerro del Águila, 9, Nave 8, 28703 San Sebastián de los Reyes, Madrid</t>
  </si>
  <si>
    <t>mudanzaslujanes.es</t>
  </si>
  <si>
    <t>911 54 00 87</t>
  </si>
  <si>
    <t>info@mudanzaslujanes.es</t>
  </si>
  <si>
    <t>Mudanzas Y Guardamuebles Grijalba S L</t>
  </si>
  <si>
    <t>C. Pio Baroja, 9, 28860 Paracuellos de Jarama, Madrid</t>
  </si>
  <si>
    <t>Paracuellos de Jarama</t>
  </si>
  <si>
    <t>mudanzasgrijalba.com</t>
  </si>
  <si>
    <t>910 00 72 16</t>
  </si>
  <si>
    <t>info@mudanzasgrijalba.com</t>
  </si>
  <si>
    <t>Justa Crespo Ruiz</t>
  </si>
  <si>
    <t>C. Prudencio, 3, 28802 Alcalá de Henares, Madrid</t>
  </si>
  <si>
    <t>689 46 21 12</t>
  </si>
  <si>
    <t>Mudanzas Hnos Muñoz Yusta</t>
  </si>
  <si>
    <t>C. de Ledesma, 48, 28017 Madrid</t>
  </si>
  <si>
    <t>mudanzas-mmyusta.com</t>
  </si>
  <si>
    <t>912 34 96 61</t>
  </si>
  <si>
    <t>Mudanzas Madrid 2000</t>
  </si>
  <si>
    <t>C. Maestro Barbieri, 6, 28850 Torrejón de Ardoz, Madrid</t>
  </si>
  <si>
    <t>mudanzasmadrid2000.es</t>
  </si>
  <si>
    <t>665 47 94 14</t>
  </si>
  <si>
    <t>info@mudanzasmadrid2000.es</t>
  </si>
  <si>
    <t>MUDANZAS PLAZA</t>
  </si>
  <si>
    <t>C/ de Poniente, 25, 1º D, 28036 Madrid</t>
  </si>
  <si>
    <t>mudanzasplaza.com</t>
  </si>
  <si>
    <t>638 06 79 67</t>
  </si>
  <si>
    <t>Mudanzas Pablo Rubio</t>
  </si>
  <si>
    <t>C. Miguel de Cervantes, 15, 28813 Torres de la Alameda, Madrid</t>
  </si>
  <si>
    <t>José Castillo Gálvez</t>
  </si>
  <si>
    <t>Calle Arroyo, 1, 28850 Torrejón de Ardoz, Madrid</t>
  </si>
  <si>
    <t>916 56 38 54</t>
  </si>
  <si>
    <t>CBS Argentina</t>
  </si>
  <si>
    <t>Polígono Industrial 10, C. Industria, 15, 28864 Ajalvir, Madrid</t>
  </si>
  <si>
    <t>Ajalvir</t>
  </si>
  <si>
    <t>911 23 82 39</t>
  </si>
  <si>
    <t>Mudanzas Castillo</t>
  </si>
  <si>
    <t>Río Danubio 1427, Atlas, 44520 Guadalajara, Jal., México</t>
  </si>
  <si>
    <t>Guadalajara, Jalisco, México</t>
  </si>
  <si>
    <t>mudanzascastillo.com.mx</t>
  </si>
  <si>
    <t>+52 33 3619 6767</t>
  </si>
  <si>
    <t>contacto@mudanzascastillo.com.mx</t>
  </si>
  <si>
    <t>Ceymar. Mudanzas en Toledo. Guardamuebles</t>
  </si>
  <si>
    <t>C. Laguna de Arcas, 10, 45007 Toledo</t>
  </si>
  <si>
    <t>Mudanzas Rubra</t>
  </si>
  <si>
    <t>C. Río Jarama, 79, 45007 Toledo</t>
  </si>
  <si>
    <t>mudanzasrubra.com</t>
  </si>
  <si>
    <t>689 31 74 68</t>
  </si>
  <si>
    <t>Mudanzas Y Transportes Félix Hernández E Hijos SL</t>
  </si>
  <si>
    <t>C. Río Jarama, 99, 45007 Toledo</t>
  </si>
  <si>
    <t>mudanzasytransportesfelix.com</t>
  </si>
  <si>
    <t>689 40 80 96</t>
  </si>
  <si>
    <t>info@mudanzasytransportesfelix.com</t>
  </si>
  <si>
    <t>Mudanzas y Guardamuebles Toledo La Seda</t>
  </si>
  <si>
    <t>C. de Italia, 113, 45005 Toledo</t>
  </si>
  <si>
    <t>mudanzastoledo-laseda.es</t>
  </si>
  <si>
    <t>633 10 56 40</t>
  </si>
  <si>
    <t>Transporte y Mudanzas Juan</t>
  </si>
  <si>
    <t>Lugar CEMENTERIO MUNICIPAL, 4, 45003 Toledo</t>
  </si>
  <si>
    <t>667 28 12 26</t>
  </si>
  <si>
    <t>Felix Hernandez e Hijos</t>
  </si>
  <si>
    <t>Bajada San Justo, 2, 45001 Toledo</t>
  </si>
  <si>
    <t>925 24 03 98</t>
  </si>
  <si>
    <t>Mudanzas MRM</t>
  </si>
  <si>
    <t>Ajofrín</t>
  </si>
  <si>
    <t>mudanzasmrm.com</t>
  </si>
  <si>
    <t>684 24 28 22</t>
  </si>
  <si>
    <t>Mudanzas y guardamuebles Ceymar</t>
  </si>
  <si>
    <t>Plgo. Ind. Los Pradillos Carretera, CM-4010, Km. 0.700, 45200 Illescas, Toledo</t>
  </si>
  <si>
    <t>mudanzasceymar.es</t>
  </si>
  <si>
    <t>info@mudanzasceymar.es</t>
  </si>
  <si>
    <t>ACD Servicios y Alquileres</t>
  </si>
  <si>
    <t>45006 Toledo</t>
  </si>
  <si>
    <t>acdmudanzas.com</t>
  </si>
  <si>
    <t>664 07 50 75</t>
  </si>
  <si>
    <t>Mudanzas y Transportes Toledo</t>
  </si>
  <si>
    <t>C. Plomo, 1, 45200 Illescas, Toledo</t>
  </si>
  <si>
    <t>mudanzasytransportestoledo.com</t>
  </si>
  <si>
    <t>925 51 38 07</t>
  </si>
  <si>
    <t>info@mudanzasytransportestoledo.com</t>
  </si>
  <si>
    <t>TLM MUDANZAS Y TRANSPORTES</t>
  </si>
  <si>
    <t>C. El Greco, 8, 45223 Seseña, Toledo</t>
  </si>
  <si>
    <t>Seseña</t>
  </si>
  <si>
    <t>transportesymudanzastlm.com</t>
  </si>
  <si>
    <t>632 91 31 60</t>
  </si>
  <si>
    <t>Mudanzas y Guardamuebles La Catedral</t>
  </si>
  <si>
    <t>C. Curtidores, 48 E, 45200 Illescas, Toledo</t>
  </si>
  <si>
    <t>mudanzasygrupajes.es</t>
  </si>
  <si>
    <t>925 94 03 13</t>
  </si>
  <si>
    <t>Transporte y Mudanza Rondobras</t>
  </si>
  <si>
    <t>C. Alcotán, 1, 45340 Ontígola, Toledo</t>
  </si>
  <si>
    <t>Ontígola</t>
  </si>
  <si>
    <t>925 16 59 80</t>
  </si>
  <si>
    <t>Mudanzas López</t>
  </si>
  <si>
    <t>Curtidores 48 Nave E, poligono la veredilla, 45200 Illescas, Toledo</t>
  </si>
  <si>
    <t>lopezmudanzas.com</t>
  </si>
  <si>
    <t>925 54 07 01</t>
  </si>
  <si>
    <t>Juan Mudanzas y Guardamuebles</t>
  </si>
  <si>
    <t>C. de los Artesanos, M18, 45210 Toledo</t>
  </si>
  <si>
    <t>647 10 91 09</t>
  </si>
  <si>
    <t>CMV. Mudanzas tranporte y montajes</t>
  </si>
  <si>
    <t>C. Países Bajos, 4, 45210 Yuncos, Toledo</t>
  </si>
  <si>
    <t>Yuncos</t>
  </si>
  <si>
    <t>616 38 85 28</t>
  </si>
  <si>
    <t>Mudanzas Cowboy</t>
  </si>
  <si>
    <t>C. Juan de Padilla, 4, 45930 Méntrida, Toledo</t>
  </si>
  <si>
    <t>Méntrida</t>
  </si>
  <si>
    <t>675 01 39 94</t>
  </si>
  <si>
    <t>Mudanzas J.Cáceres</t>
  </si>
  <si>
    <t>Calle Dr. Severo Ochoa, 131, 45600 Talavera de la Reina, Toledo</t>
  </si>
  <si>
    <t>Talavera de la Reina</t>
  </si>
  <si>
    <t>mudanzastalavera.es</t>
  </si>
  <si>
    <t>925 81 55 58</t>
  </si>
  <si>
    <t>info@mudanzastalavera.es</t>
  </si>
  <si>
    <t>MUDANDO-T MUDANZAS OCAÑA</t>
  </si>
  <si>
    <t>C. Villalobos, 45300 Ocaña, Toledo</t>
  </si>
  <si>
    <t>Ocaña</t>
  </si>
  <si>
    <t>Mudanzas Toledo, S.L.</t>
  </si>
  <si>
    <t>C. Aurita González, 8, 03600 Elda, Alicante</t>
  </si>
  <si>
    <t>Elda</t>
  </si>
  <si>
    <t>mudanzastoledo.com</t>
  </si>
  <si>
    <t>965 38 53 17</t>
  </si>
  <si>
    <t>MUDANZAS GRUPO MAS TALAVERA</t>
  </si>
  <si>
    <t>C. Capitán Cortés, 10, 45600 Talavera de la Reina, Toledo</t>
  </si>
  <si>
    <t>mudanzasmas.com</t>
  </si>
  <si>
    <t>925 04 88 46</t>
  </si>
  <si>
    <t>ALMACENES Y MUDANZAS FUENTES S.L.</t>
  </si>
  <si>
    <t>2ºB 6 Bis, Calle de Ote., 28945 Fuenlabrada, Madrid</t>
  </si>
  <si>
    <t>Fuenlabrada</t>
  </si>
  <si>
    <t>mudanzasentoledo.com</t>
  </si>
  <si>
    <t>925 67 09 45</t>
  </si>
  <si>
    <t>Ruth Noemí Lucero Calderón</t>
  </si>
  <si>
    <t>C. León Felipe, 8, 45520 Villaluenga de la Sagra, Toledo</t>
  </si>
  <si>
    <t>Villaluenga de la Sagra</t>
  </si>
  <si>
    <t>925 53 11 45</t>
  </si>
  <si>
    <t>CMV.mudanzas transporte y montajes</t>
  </si>
  <si>
    <t>MUDANZAS TLM</t>
  </si>
  <si>
    <t>MUDANZAS GRUPO MAS</t>
  </si>
  <si>
    <t>Avenida Antonio Rubio, Av. Antonio Correa, 3, A, 06006 Badajoz</t>
  </si>
  <si>
    <t>nacionaldemudanzas.es</t>
  </si>
  <si>
    <t>924 04 04 77</t>
  </si>
  <si>
    <t>MUDANZAS MARCOS</t>
  </si>
  <si>
    <t>Calle Araucaria, 9, 28039 Madrid</t>
  </si>
  <si>
    <t>mudanzas-marcos.com</t>
  </si>
  <si>
    <t>673 41 41 04</t>
  </si>
  <si>
    <t>Info@mudanzasmarcos.es</t>
  </si>
  <si>
    <t>MUDANZAS ÁVILA</t>
  </si>
  <si>
    <t>C. Barcelona, Nº 5, Nave 1 Polígono, 05004 Vicolozano, Ávila</t>
  </si>
  <si>
    <t>Vicolozano</t>
  </si>
  <si>
    <t>Ávila</t>
  </si>
  <si>
    <t>mudanzaavila.com</t>
  </si>
  <si>
    <t>636 46 39 15</t>
  </si>
  <si>
    <t>MUDANZAS CASILLAS</t>
  </si>
  <si>
    <t>Cam. Gansino, 44, 05003 Ávila</t>
  </si>
  <si>
    <t>616 44 99 83</t>
  </si>
  <si>
    <t>Mudanzas Ávila</t>
  </si>
  <si>
    <t>Servicios de Mudanzas y Transportes, C. de Fuentes Claras, 7, 05005 Ávila</t>
  </si>
  <si>
    <t>mudanzasavila.es</t>
  </si>
  <si>
    <t>642 14 15 65</t>
  </si>
  <si>
    <t>info@mudanzasavila.es</t>
  </si>
  <si>
    <t>Mudanzas en Marcha / Mudanzas y Guardamuebles</t>
  </si>
  <si>
    <t>C. Barcelona, 42, 05194 Ávila</t>
  </si>
  <si>
    <t>mudanzasenmarcha.com</t>
  </si>
  <si>
    <t>649 13 63 23</t>
  </si>
  <si>
    <t>info@mudanzasenmarcha.com</t>
  </si>
  <si>
    <t>Transportes Mudanzas Casillas Sánchez</t>
  </si>
  <si>
    <t>TRANSPORTES Y MUDANZAS JOSE Mª NIETO</t>
  </si>
  <si>
    <t>C. los Descalzos, 05200 Arévalo, Ávila</t>
  </si>
  <si>
    <t>Arévalo</t>
  </si>
  <si>
    <t>609 74 17 06</t>
  </si>
  <si>
    <t>Transportes &amp;amp; Mudanzas Torres</t>
  </si>
  <si>
    <t>C. Sta. María Reina, 5, 28041 Madrid</t>
  </si>
  <si>
    <t>mudanzastorres.es</t>
  </si>
  <si>
    <t>690 32 85 73</t>
  </si>
  <si>
    <t>info@mudanzastorres.es</t>
  </si>
  <si>
    <t>CHRISTAL´S HOME Mudanzas y Transportes nacionales</t>
  </si>
  <si>
    <t>Pl. Castilla, 3, 28046 Madrid</t>
  </si>
  <si>
    <t>christalhome.com</t>
  </si>
  <si>
    <t>616 66 40 15</t>
  </si>
  <si>
    <t>Mudanzas Madrid - Mudanzas Segoviana</t>
  </si>
  <si>
    <t>Mudanzas Madrid Segoviana, C. de la Princesa, 2, 6º, 28008 Madrid</t>
  </si>
  <si>
    <t>amsegoviana.com</t>
  </si>
  <si>
    <t>915 48 77 18</t>
  </si>
  <si>
    <t>comercial@mudanzassegoviana.com</t>
  </si>
  <si>
    <t>Transportes y Mudanzas Cristian</t>
  </si>
  <si>
    <t>675 59 59 83</t>
  </si>
  <si>
    <t>Ávila Express</t>
  </si>
  <si>
    <t>Pl. Cuevas de la Barrera, 1, 28350 Ciempozuelos, Madrid</t>
  </si>
  <si>
    <t>Ciempozuelos</t>
  </si>
  <si>
    <t>674 92 61 22</t>
  </si>
  <si>
    <t>Mudanzas Fast Portes</t>
  </si>
  <si>
    <t>C. Leganés, 55, 28904 Getafe, Madrid</t>
  </si>
  <si>
    <t>fastportes.es</t>
  </si>
  <si>
    <t>626 52 21 23</t>
  </si>
  <si>
    <t>hola@fastportes.es</t>
  </si>
  <si>
    <t>Mudanzas Dany</t>
  </si>
  <si>
    <t>Carrer la Mar, 185, 03590 Altea, Alicante</t>
  </si>
  <si>
    <t>Altea</t>
  </si>
  <si>
    <t>mudanzasdany.com</t>
  </si>
  <si>
    <t>642 26 22 66</t>
  </si>
  <si>
    <t>mudanzasytransportesdany@yahoo.es</t>
  </si>
  <si>
    <t>18, C. de la Sagra, 12, 28915 Leganés, Madrid</t>
  </si>
  <si>
    <t>Mudanzas Ángel Ruiz</t>
  </si>
  <si>
    <t>C. Colombia, 45, 09001 Burgos</t>
  </si>
  <si>
    <t>mudanzasangelruiz.es</t>
  </si>
  <si>
    <t>947 46 05 03</t>
  </si>
  <si>
    <t>informacion@mudanzasangelruiz.es</t>
  </si>
  <si>
    <t>Mudanzas Mediavilla</t>
  </si>
  <si>
    <t>Calle la Demanda, 3 Naves Ural 37-38, 09007 Burgos</t>
  </si>
  <si>
    <t>mudanzasmediavilla.com</t>
  </si>
  <si>
    <t>947 48 28 60</t>
  </si>
  <si>
    <t>info@mudanzasmediavilla.com</t>
  </si>
  <si>
    <t>Yo te lo subo</t>
  </si>
  <si>
    <t>Abajas</t>
  </si>
  <si>
    <t>yotelosubo.com</t>
  </si>
  <si>
    <t>623 13 36 53</t>
  </si>
  <si>
    <t>info@yotelosubo.com</t>
  </si>
  <si>
    <t>Megotransport S.L.U.</t>
  </si>
  <si>
    <t>C/ Marqués de Berlanga, 46, 09006 Burgos</t>
  </si>
  <si>
    <t>626 86 92 32</t>
  </si>
  <si>
    <t>Mudanzas Carranza</t>
  </si>
  <si>
    <t>C. López Bravo, 96, NAVE 7, 09001 Burgos</t>
  </si>
  <si>
    <t>mudanzascarranza.net</t>
  </si>
  <si>
    <t>947 27 37 20</t>
  </si>
  <si>
    <t>Mudanzas Gallego</t>
  </si>
  <si>
    <t>C. Juan Ramón Jiménez, 106, 09007 Burgos</t>
  </si>
  <si>
    <t>mudanzasgallego.com</t>
  </si>
  <si>
    <t>947 48 00 10</t>
  </si>
  <si>
    <t>Tramo</t>
  </si>
  <si>
    <t>C. la Demanda, 43, 09007 Burgos</t>
  </si>
  <si>
    <t>947 48 49 03</t>
  </si>
  <si>
    <t>Montaje de Muebles Moisés</t>
  </si>
  <si>
    <t>Calle la Demanda naves Ural 29, 09007 Burgos</t>
  </si>
  <si>
    <t>637 52 04 44</t>
  </si>
  <si>
    <t>STOEVNENCHO</t>
  </si>
  <si>
    <t>09002 SanPedroCardenlla, Burgos</t>
  </si>
  <si>
    <t>640 34 40 85</t>
  </si>
  <si>
    <t>Calle Alibarra, 30 Pabellón 9. Poligono, 01010 Gasteiz, Araba</t>
  </si>
  <si>
    <t>945 04 21 37</t>
  </si>
  <si>
    <t>Transportes y Mudanzas Buj</t>
  </si>
  <si>
    <t>Ctra. Burgos-Portugal, Km 116, 8, 47009 Valladolid</t>
  </si>
  <si>
    <t>transportesbuj.es</t>
  </si>
  <si>
    <t>983 39 72 39</t>
  </si>
  <si>
    <t>info@transportesbuj.es</t>
  </si>
  <si>
    <t>C. Andalucía, 44, 34004 Palencia</t>
  </si>
  <si>
    <t>Palencia</t>
  </si>
  <si>
    <t>979 73 02 50</t>
  </si>
  <si>
    <t>Mudanzas Palencia ®</t>
  </si>
  <si>
    <t>Avenida Viñalta, 52, 34005 Palencia</t>
  </si>
  <si>
    <t>mudanzaspalencia.es</t>
  </si>
  <si>
    <t>Mudanzas Castilla y León International Movers</t>
  </si>
  <si>
    <t>C. Helio, 9 - bis, 47012 Valladolid</t>
  </si>
  <si>
    <t>983 31 36 91</t>
  </si>
  <si>
    <t>Poligono Industrial de San Cristobal, C. Turquesa, 59, 47012 Valladolid</t>
  </si>
  <si>
    <t>983 30 60 44</t>
  </si>
  <si>
    <t>Mudanzas Coruña</t>
  </si>
  <si>
    <t>Rúa Costa da Lonxa, 3, 15670 O Burgo - Culleredo (A Coruña), A Coruña</t>
  </si>
  <si>
    <t>Burgo</t>
  </si>
  <si>
    <t>mudanzascoruna.com</t>
  </si>
  <si>
    <t>981 26 47 44</t>
  </si>
  <si>
    <t>mudanzascoruna@mudanzascoruna.com</t>
  </si>
  <si>
    <t>Grupo Amygo</t>
  </si>
  <si>
    <t>C. Helio, 9, 47012 Valladolid</t>
  </si>
  <si>
    <t>Mudanzas Argüello</t>
  </si>
  <si>
    <t>Plaza de Puerta Obispo, 14, 24006 León</t>
  </si>
  <si>
    <t>mudanzasarguello.es</t>
  </si>
  <si>
    <t>987 25 80 51</t>
  </si>
  <si>
    <t>webmaster@smonica.com</t>
  </si>
  <si>
    <t>Mudanzas El Gigante</t>
  </si>
  <si>
    <t>Av. San Mamés, 78, 24007 León</t>
  </si>
  <si>
    <t>643 27 45 21</t>
  </si>
  <si>
    <t>Mudena</t>
  </si>
  <si>
    <t>Av. del Alcalde Miguel Castaño, 10, 24005 León</t>
  </si>
  <si>
    <t>portesrapidos.com</t>
  </si>
  <si>
    <t>697 42 07 45</t>
  </si>
  <si>
    <t>mudanzas adam</t>
  </si>
  <si>
    <t>C. Doña Urraca, 48, 24009 San Andrés del Rabanedo, León</t>
  </si>
  <si>
    <t>San Andrés del Rabanedo</t>
  </si>
  <si>
    <t>mudanzasadam.es</t>
  </si>
  <si>
    <t>687 00 30 05</t>
  </si>
  <si>
    <t>mudanzasleontmm</t>
  </si>
  <si>
    <t>C. López de Fenar, 1, 24003 León</t>
  </si>
  <si>
    <t>636 06 35 18</t>
  </si>
  <si>
    <t>Portes Y Mudanzas Borja</t>
  </si>
  <si>
    <t>C. San Mateo, 1, BAJO, 24006 León</t>
  </si>
  <si>
    <t>679 10 24 16</t>
  </si>
  <si>
    <t>Mudanzas y Limpiezas León</t>
  </si>
  <si>
    <t>C. Arribas, 33, 24010 Trobajo del Camino, León</t>
  </si>
  <si>
    <t>Trobajo del Camino</t>
  </si>
  <si>
    <t>mudanzasylimpiezasleon.com</t>
  </si>
  <si>
    <t>611 68 51 73</t>
  </si>
  <si>
    <t>info@mudanzasylimpiezasleon.com</t>
  </si>
  <si>
    <t>Transportes y Mudanzas Jualpi</t>
  </si>
  <si>
    <t>poligono industrial de valverde del camino, parcela 703, carretera de, 24198 León</t>
  </si>
  <si>
    <t>987 30 20 18</t>
  </si>
  <si>
    <t>Mudanzas y vaciados León</t>
  </si>
  <si>
    <t>Acebedo</t>
  </si>
  <si>
    <t>642 60 02 09</t>
  </si>
  <si>
    <t>Repartos Y Transportes Ligeros R.T.L.</t>
  </si>
  <si>
    <t>Carretera LEON, Ctra. Zamora, 8, 24231 Onzonilla, León</t>
  </si>
  <si>
    <t>Onzonilla</t>
  </si>
  <si>
    <t>reparteleon.es</t>
  </si>
  <si>
    <t>636 25 85 97</t>
  </si>
  <si>
    <t>hola@miempresa.es</t>
  </si>
  <si>
    <t>Tranportes Compartidos Low cost</t>
  </si>
  <si>
    <t>C. la Magdalena, 17, 24800 Cistierna, León</t>
  </si>
  <si>
    <t>Cistierna</t>
  </si>
  <si>
    <t>608 89 94 73</t>
  </si>
  <si>
    <t>Mudanzas San Carlos</t>
  </si>
  <si>
    <t>Av. España, 32, 24402 Ponferrada, León</t>
  </si>
  <si>
    <t>Ponferrada</t>
  </si>
  <si>
    <t>666 58 06 44</t>
  </si>
  <si>
    <t>Mudanzas y Guardamuebles Lara</t>
  </si>
  <si>
    <t>C. Labrador, 14, 47155 Santovenia de Pisuerga, Valladolid</t>
  </si>
  <si>
    <t>mudanzaslara.com</t>
  </si>
  <si>
    <t>983 54 70 35</t>
  </si>
  <si>
    <t>info@mudanzaslara.com</t>
  </si>
  <si>
    <t>Mudanzas Moreta</t>
  </si>
  <si>
    <t>Calle TRANSPORTE (POL. IND. NUEVO, C. Esparragal, 10, BAJO A, 47155 Santovenia de Pisuerga, Valladolid</t>
  </si>
  <si>
    <t>grupomoreta.net</t>
  </si>
  <si>
    <t>983 31 45 05</t>
  </si>
  <si>
    <t>Mudanzas Ponferrada</t>
  </si>
  <si>
    <t>C. La Coruña, 0, 24403 Ponferrada, León</t>
  </si>
  <si>
    <t>Mudanzas Nozal</t>
  </si>
  <si>
    <t>Calle Los Plateros, 7, 34004 Palencia</t>
  </si>
  <si>
    <t>mudanzasnozal.com</t>
  </si>
  <si>
    <t>610 56 66 23</t>
  </si>
  <si>
    <t>nozal@mudanzasnozal.com</t>
  </si>
  <si>
    <t>Mudanzas Citores</t>
  </si>
  <si>
    <t>C. Mayor Antigua, 26, 34005 Palencia</t>
  </si>
  <si>
    <t>979 74 77 23</t>
  </si>
  <si>
    <t>Enrique Nozal Martín</t>
  </si>
  <si>
    <t>Av. Reyes Católicos, 21, 34003 Palencia</t>
  </si>
  <si>
    <t>979 72 55 34</t>
  </si>
  <si>
    <t>Mudanzas Hnos Hernandez</t>
  </si>
  <si>
    <t>C/ Federico Mayo, 34200 Venta de Baños, Palencia</t>
  </si>
  <si>
    <t>Venta de Baños</t>
  </si>
  <si>
    <t>643 09 07 51</t>
  </si>
  <si>
    <t>Mudanzas Aranda de Duero</t>
  </si>
  <si>
    <t>Calle Galicia, 13, 09400 Aranda de Duero, Burgos</t>
  </si>
  <si>
    <t>Aranda de Duero</t>
  </si>
  <si>
    <t>mudanzasaranda.com</t>
  </si>
  <si>
    <t>Mudanzas J. Sáez e Hijos - Valladolid</t>
  </si>
  <si>
    <t>C. Forja, 7, 47008 Valladolid</t>
  </si>
  <si>
    <t>mudanzasjsaezehijos.com</t>
  </si>
  <si>
    <t>983 27 49 20</t>
  </si>
  <si>
    <t>oficina@mudanzasjsaezehijos.com</t>
  </si>
  <si>
    <t>Mudanzas Transmuinsa - Empresa de servicios de mudanza en Valladolid</t>
  </si>
  <si>
    <t>C. Acero, 5, 47012 Valladolid</t>
  </si>
  <si>
    <t>983 40 48 41</t>
  </si>
  <si>
    <t>Mudanzalia ®</t>
  </si>
  <si>
    <t>C. Galena, 7, 47012 Valladolid</t>
  </si>
  <si>
    <t>mudanzalia.com</t>
  </si>
  <si>
    <t>Pongo Trasteros en Alquiler Cuatro Caminos</t>
  </si>
  <si>
    <t>C. de Palencia, 22, 28002 Madrid</t>
  </si>
  <si>
    <t>pongotrasteros.com</t>
  </si>
  <si>
    <t>681 04 46 73</t>
  </si>
  <si>
    <t>hola@pongotrasteros.com</t>
  </si>
  <si>
    <t>Mudanzas y Transportes Mil</t>
  </si>
  <si>
    <t>C. de Sta. Clara, 12, 47011 Valladolid</t>
  </si>
  <si>
    <t>642 28 99 80</t>
  </si>
  <si>
    <t>Mudanzas Hermanos Feltrero</t>
  </si>
  <si>
    <t>P.º del Gran Capitán, 21, 37006 Salamanca</t>
  </si>
  <si>
    <t>Salamanca</t>
  </si>
  <si>
    <t>hermanosfeltrero.es</t>
  </si>
  <si>
    <t>923 22 17 62</t>
  </si>
  <si>
    <t>info@hermanosfeltrero.es</t>
  </si>
  <si>
    <t>Mudanzas Delgado</t>
  </si>
  <si>
    <t>C. Petunias, 3, 37004 Salamanca</t>
  </si>
  <si>
    <t>mudanzasdelgado.es</t>
  </si>
  <si>
    <t>606 51 98 88</t>
  </si>
  <si>
    <t>info@mudanzasdelgado.es</t>
  </si>
  <si>
    <t>Mudanzas A. Alonso</t>
  </si>
  <si>
    <t>Calle JUAN DE LA CIERVA (POL. IND. EL MONTALVO), 4 POL. IND. EL MONTALVO, 37188, Salamanca</t>
  </si>
  <si>
    <t>mudanzasaalonso.es</t>
  </si>
  <si>
    <t>659 76 71 24</t>
  </si>
  <si>
    <t>Mudanzas Domínguez</t>
  </si>
  <si>
    <t>P.º del Rollo, 70, 72, 37003 Salamanca</t>
  </si>
  <si>
    <t>mudanzasdominguez.com</t>
  </si>
  <si>
    <t>923 17 28 20</t>
  </si>
  <si>
    <t>info@mudanzasdominguez.com</t>
  </si>
  <si>
    <t>Transportes y Mudanzas Camer</t>
  </si>
  <si>
    <t>P.º de los Robles, 23, 37004 Salamanca</t>
  </si>
  <si>
    <t>mudanzas-camer.com</t>
  </si>
  <si>
    <t>699 93 01 74</t>
  </si>
  <si>
    <t>info@mudanzas-camer.com</t>
  </si>
  <si>
    <t>Transportes Sansón</t>
  </si>
  <si>
    <t>Av. de Portugal, 7, 2 iz, 37004 Salamanca</t>
  </si>
  <si>
    <t>642 23 40 57</t>
  </si>
  <si>
    <t>Mudanzas S.H. Group</t>
  </si>
  <si>
    <t>Abusejo</t>
  </si>
  <si>
    <t>609 15 33 04</t>
  </si>
  <si>
    <t>MUDANZAS Y GUARDAMUEBLES GARMO</t>
  </si>
  <si>
    <t>C. Lagunas de Villafáfila, 33, 37008 Salamanca</t>
  </si>
  <si>
    <t>mudanzasjtristan.com</t>
  </si>
  <si>
    <t>651 98 35 29</t>
  </si>
  <si>
    <t>info@mudanzasjtristan.com</t>
  </si>
  <si>
    <t>Luis Mariano Lugones Santos</t>
  </si>
  <si>
    <t>P.º de la Estación, 28, 30 Bajo, 37004 Salamanca</t>
  </si>
  <si>
    <t>923 25 66 63</t>
  </si>
  <si>
    <t>Mudanzas Tormes</t>
  </si>
  <si>
    <t>Suyser Hostelería Integral, S.L., C. Pizarro, 8, 37184 Salamanca</t>
  </si>
  <si>
    <t>923 12 33 95</t>
  </si>
  <si>
    <t>Virgos SG</t>
  </si>
  <si>
    <t>Cam. de las Aguas, 78, 37003 Salamanca</t>
  </si>
  <si>
    <t>662 59 71 03</t>
  </si>
  <si>
    <t>Mudanzas Vinches</t>
  </si>
  <si>
    <t>P.º Ezequiel González, 9, 40002 Segovia</t>
  </si>
  <si>
    <t>mudanzasvinches.com</t>
  </si>
  <si>
    <t>921 46 35 00</t>
  </si>
  <si>
    <t>Mudanzas y Guardamuebles Ortiz</t>
  </si>
  <si>
    <t>C. Gremio de los Canteros, 27, 40195 Segovia</t>
  </si>
  <si>
    <t>mudanzasortiz.es</t>
  </si>
  <si>
    <t>687 96 73 87</t>
  </si>
  <si>
    <t>info@mudanzasortiz.es</t>
  </si>
  <si>
    <t>Transportes Menéndez Servicio Mudanzas</t>
  </si>
  <si>
    <t>Calle Enriqueta Peigneux, 31, 40190 Bernuy de Porreros, Segovia</t>
  </si>
  <si>
    <t>Bernuy de Porreros</t>
  </si>
  <si>
    <t>609 86 89 43</t>
  </si>
  <si>
    <t>Mudanzas Cuellar SL</t>
  </si>
  <si>
    <t>C. Abolengo, 3, 28025 Madrid</t>
  </si>
  <si>
    <t>mudanzascuellar.es</t>
  </si>
  <si>
    <t>910 02 67 52</t>
  </si>
  <si>
    <t>Mudanzas-ADR</t>
  </si>
  <si>
    <t>C. Sta. Lucía, 1, 28430 Alpedrete, Madrid</t>
  </si>
  <si>
    <t>mudanzas-adr.com</t>
  </si>
  <si>
    <t>681 02 63 44</t>
  </si>
  <si>
    <t>Mudanzas Marcelo 24H</t>
  </si>
  <si>
    <t>Av. de los Canteros, 1, 1ºF, 28412 Cerceda, Madrid</t>
  </si>
  <si>
    <t>Cerceda</t>
  </si>
  <si>
    <t>mudanzasmarcelo24h.com</t>
  </si>
  <si>
    <t>642 64 90 97</t>
  </si>
  <si>
    <t>Mudanzas en Guadarrama - Ingenia Mudanzas</t>
  </si>
  <si>
    <t>C. Escalinata, 6, 1º Derecha, 28440 Guadarrama, Madrid</t>
  </si>
  <si>
    <t>Guadarrama</t>
  </si>
  <si>
    <t>911 89 63 62</t>
  </si>
  <si>
    <t>Portes y Mudanzas Tuny</t>
  </si>
  <si>
    <t>C. Segovia, 21, 4B, 28850 Madrid</t>
  </si>
  <si>
    <t>602 67 94 41</t>
  </si>
  <si>
    <t>Mudanzas baratas</t>
  </si>
  <si>
    <t>C. San Lázaro, 5, 47009 Valladolid</t>
  </si>
  <si>
    <t>678 24 57 68</t>
  </si>
  <si>
    <t>Mudanzas Acueducto</t>
  </si>
  <si>
    <t>C. Carmen Portones, 9, 28039 Madrid</t>
  </si>
  <si>
    <t>917 38 02 35</t>
  </si>
  <si>
    <t>Mudanzas y portes DB</t>
  </si>
  <si>
    <t>C. de los Talleres, 13, 28430 Alpedrete, Madrid</t>
  </si>
  <si>
    <t>mudanzasyportesdb.es</t>
  </si>
  <si>
    <t>622 64 89 71</t>
  </si>
  <si>
    <t>info@mudanzasyportesdb.es</t>
  </si>
  <si>
    <t>Mudanzas Trinidad</t>
  </si>
  <si>
    <t>28450 Las Rozas de Madrid, Madrid</t>
  </si>
  <si>
    <t>Las Rozas de Madrid</t>
  </si>
  <si>
    <t>603 19 04 82</t>
  </si>
  <si>
    <t>MUDANZAS CRISMARK MADRID. MUDANZAS DE PISOS EN MADRID.</t>
  </si>
  <si>
    <t>C. Malaquita, 10, 28400 Collado Villalba, Madrid</t>
  </si>
  <si>
    <t>mudanzascrismark.com</t>
  </si>
  <si>
    <t>642 38 46 54</t>
  </si>
  <si>
    <t>info@mudanzascrismark.com</t>
  </si>
  <si>
    <t>Ingenia Mudanzas y Guardamuebles en COLLADO VILLALBA</t>
  </si>
  <si>
    <t>C. Buril, 42, 28400 Collado Villalba, Madrid</t>
  </si>
  <si>
    <t>ingeniamudanzas.com</t>
  </si>
  <si>
    <t>692 31 39 35</t>
  </si>
  <si>
    <t>informes@ingeniamudanzas.com</t>
  </si>
  <si>
    <t>Mudanzas Valsan</t>
  </si>
  <si>
    <t>Av de Somosierra, 12 B, 1ºG, 28703 San Sebastián de los Reyes, Madrid</t>
  </si>
  <si>
    <t>mudanzasvalsan.com</t>
  </si>
  <si>
    <t>913 11 08 03</t>
  </si>
  <si>
    <t>info@mudanzasvalsan.com</t>
  </si>
  <si>
    <t>Mudanzas Coslada</t>
  </si>
  <si>
    <t>C. del Rincón de la Huerta, 2, 28821 Coslada, Madrid</t>
  </si>
  <si>
    <t>mudanzascoslada.es</t>
  </si>
  <si>
    <t>Transportes y Mudanzas PMB</t>
  </si>
  <si>
    <t>Avenida Norte de Castilla 5, Polígono de Argales, 47008 Valladolid</t>
  </si>
  <si>
    <t>transportesymudanzaspmb.com</t>
  </si>
  <si>
    <t>983 04 38 42</t>
  </si>
  <si>
    <t>info@transportesymudanzaspmb.com</t>
  </si>
  <si>
    <t>Mudanzas Fran</t>
  </si>
  <si>
    <t>Pol Ind. Casasola, C. de la Magnolia, 6, 47017 Valladolid</t>
  </si>
  <si>
    <t>mudanzasfran.es</t>
  </si>
  <si>
    <t>983 66 01 10</t>
  </si>
  <si>
    <t>fran@mudanzasfran.es</t>
  </si>
  <si>
    <t>Mudanzas Josval</t>
  </si>
  <si>
    <t>Cl. Cobalto, 45, 47012 Valladolid</t>
  </si>
  <si>
    <t>mudanzasjosval.es</t>
  </si>
  <si>
    <t>635 15 06 26</t>
  </si>
  <si>
    <t>info@mudanzasjosval.es</t>
  </si>
  <si>
    <t>Mudanzas Rolinck</t>
  </si>
  <si>
    <t>C. Álava, 47012 Valladolid</t>
  </si>
  <si>
    <t>mudanzasrolinck.com</t>
  </si>
  <si>
    <t>983 52 28 49</t>
  </si>
  <si>
    <t>info@mudanzasrolinck.com</t>
  </si>
  <si>
    <t>Servicios y transportes Manuel</t>
  </si>
  <si>
    <t>Adalia</t>
  </si>
  <si>
    <t>697 84 10 16</t>
  </si>
  <si>
    <t>City Mudanzas | Valladolid</t>
  </si>
  <si>
    <t>47010 Valladolid</t>
  </si>
  <si>
    <t>citymudanzas.com</t>
  </si>
  <si>
    <t>Mudanzas.Transportes Ggallega</t>
  </si>
  <si>
    <t>C. Neptuno, 47009 Valladolid</t>
  </si>
  <si>
    <t>Mudanzas Reparte</t>
  </si>
  <si>
    <t>Av. Madrid, 70, 47008 Valladolid</t>
  </si>
  <si>
    <t>983 10 11 48</t>
  </si>
  <si>
    <t>Mudanzas Rolinck S.L</t>
  </si>
  <si>
    <t>C. Chopo, parcela 73, nave 4, 47162 Aldeamayor de San Martín, Valladolid</t>
  </si>
  <si>
    <t>Aldeamayor de San Martín</t>
  </si>
  <si>
    <t>Mudanzas San José</t>
  </si>
  <si>
    <t>Av. de las Médulas, 205, 47162 Aldeamayor de San Martín, Valladolid</t>
  </si>
  <si>
    <t>657 25 88 08</t>
  </si>
  <si>
    <t>C. Badajoz, 5, 47320 Tudela de Duero, Valladolid</t>
  </si>
  <si>
    <t>Tudela de Duero</t>
  </si>
  <si>
    <t>Mudanzas Rivemar</t>
  </si>
  <si>
    <t>Carr. de Villalpando, Km. 1, 2, 49029 Zamora</t>
  </si>
  <si>
    <t>mudanzasrivemar.com</t>
  </si>
  <si>
    <t>651 92 18 90</t>
  </si>
  <si>
    <t>Mudanzas E. Lozano En Zamora. Mudanzas Nacionales. Pequeñas Mudanzas. Mudanzas Castilla Y Leon. Limpiezas En General.</t>
  </si>
  <si>
    <t>C. de la Hiniesta, 118, 49025 Zamora</t>
  </si>
  <si>
    <t>665 22 45 41</t>
  </si>
  <si>
    <t>Colectivo De Empresarios De Mudanzas</t>
  </si>
  <si>
    <t>Calle Benavente, 3, 49014 Zamora</t>
  </si>
  <si>
    <t>980 53 66 66</t>
  </si>
  <si>
    <t>Mudanzas y Guardamuebles Zamora S. L.</t>
  </si>
  <si>
    <t>C. Canada Aguilera, 65A, 1º, 47155 Santovenia de Pisuerga, Valladolid</t>
  </si>
  <si>
    <t>983 40 08 34</t>
  </si>
  <si>
    <t>MUDANZAS Y TRANSPORTES TORMES</t>
  </si>
  <si>
    <t>Ctra. de Ledesma, 152, 37006 Salamanca</t>
  </si>
  <si>
    <t>mudanzastormessalamanca.com</t>
  </si>
  <si>
    <t>923 25 34 59</t>
  </si>
  <si>
    <t>Fletes y Mudanzas</t>
  </si>
  <si>
    <t>Mercado de Abastos Bodega 37, El Duero, 59699 Zamora de Hidalgo, Mich., México</t>
  </si>
  <si>
    <t>Zamora de Hidalgo, Michoacán, México</t>
  </si>
  <si>
    <t>infofletesymudanzas.com.mx</t>
  </si>
  <si>
    <t>+52 351 515 5063</t>
  </si>
  <si>
    <t>SERVIMUDANZAS. Mudanzas en Barcelona</t>
  </si>
  <si>
    <t>Carrer Cargol, 2, 08110 Montcada i Reixac, Barcelona</t>
  </si>
  <si>
    <t>Moncada y Reixach</t>
  </si>
  <si>
    <t>servimudanzas.com</t>
  </si>
  <si>
    <t>935 28 33 30</t>
  </si>
  <si>
    <t>comercial@servimudanzas.com</t>
  </si>
  <si>
    <t>Mudanzas Barcelona Económicas</t>
  </si>
  <si>
    <t>Rambla de Catalunya, 117, 08008 Barcelona</t>
  </si>
  <si>
    <t>mudanzasgonzalez.com</t>
  </si>
  <si>
    <t>935 72 17 61</t>
  </si>
  <si>
    <t>info@mudanzasgonzalez.com</t>
  </si>
  <si>
    <t>Silvio Mudanzas Barcelona - Mudanzas y traslados en Barcelona</t>
  </si>
  <si>
    <t>Carrer de Boada, 08016 Barcelona</t>
  </si>
  <si>
    <t>silvio-mudanzasbarcelona.com</t>
  </si>
  <si>
    <t>662 16 50 02</t>
  </si>
  <si>
    <t>Mudanzas López, S.A. Barcelona</t>
  </si>
  <si>
    <t>Carrer de Praga, 48, 08024 Barcelona</t>
  </si>
  <si>
    <t>mudanzaslopez.net</t>
  </si>
  <si>
    <t>932 84 09 36</t>
  </si>
  <si>
    <t>mudanzas@mudanzaslopez.net</t>
  </si>
  <si>
    <t>Mudanzas Move it! Barcelona</t>
  </si>
  <si>
    <t>Carrer del Rosselló, 60, 08029 Barcelona</t>
  </si>
  <si>
    <t>mudanzasmoveit.com</t>
  </si>
  <si>
    <t>935 14 75 52</t>
  </si>
  <si>
    <t>info@mudanzasmoveit.com</t>
  </si>
  <si>
    <t>Barcelona y Mudanzas</t>
  </si>
  <si>
    <t>Carrer de Lepant, 279, 08013 Barcelona</t>
  </si>
  <si>
    <t>barcelonaymudanzas.com</t>
  </si>
  <si>
    <t>934 56 50 10</t>
  </si>
  <si>
    <t>MUDANZAS BARCELONA MADRID. CARRERA</t>
  </si>
  <si>
    <t>mudanzascarrera.com</t>
  </si>
  <si>
    <t>info@mudanzascarrera.com</t>
  </si>
  <si>
    <t>Mudanzas Guepardo Barcelona</t>
  </si>
  <si>
    <t>Carrer de Fluvià, 204, local, 08020 Barcelona</t>
  </si>
  <si>
    <t>689 52 87 47</t>
  </si>
  <si>
    <t>Mudanzas Trallero Barcelona</t>
  </si>
  <si>
    <t>Carrer de Pablo Iglesias, 60, 70, 08908 L&amp;apos;Hospitalet de Llobregat, Barcelona</t>
  </si>
  <si>
    <t>934 21 75 00</t>
  </si>
  <si>
    <t>Mudanzas barcelona atlas</t>
  </si>
  <si>
    <t>Carrer de Cartagena, 332, 08025 Barcelona</t>
  </si>
  <si>
    <t>mudanzasbarcelona-atlas.com</t>
  </si>
  <si>
    <t>656 64 85 03</t>
  </si>
  <si>
    <t>info@mudanzasbarcelona-atlas.com</t>
  </si>
  <si>
    <t>Mudanzas en Barcelona Vanmov</t>
  </si>
  <si>
    <t>Carrer de Castelao, 71, 08902 L&amp;apos;Hospitalet de Llobregat, Barcelona</t>
  </si>
  <si>
    <t>vanmov.com</t>
  </si>
  <si>
    <t>622 27 58 89</t>
  </si>
  <si>
    <t>Mudanzas ServiMoving Barcelona</t>
  </si>
  <si>
    <t>Carrer de la Riera de Tena, 42, 08014 Barcelona</t>
  </si>
  <si>
    <t>servimoving.com</t>
  </si>
  <si>
    <t>938 58 84 62</t>
  </si>
  <si>
    <t>info@servimoving.com</t>
  </si>
  <si>
    <t>Mudanzas Barrios</t>
  </si>
  <si>
    <t>C/ de Bailèn, 195, 08037 Barcelona</t>
  </si>
  <si>
    <t>mudanzasbarrios.es</t>
  </si>
  <si>
    <t>934 57 78 78</t>
  </si>
  <si>
    <t>comercial@mudanzasbarrios.es</t>
  </si>
  <si>
    <t>VICTORINO TRANSPORTES Y MUDANZAS</t>
  </si>
  <si>
    <t>Carrer de Muntaner, 67, 08011 Barcelona</t>
  </si>
  <si>
    <t>619 10 73 48</t>
  </si>
  <si>
    <t>Mudanzas Cristian - Terrassa, Barcelona, Castelldefels, Granollers, Mataro, Sant Cugat, Rubi, Badalona,</t>
  </si>
  <si>
    <t>Carrer de la Marina, 148, Entresuelo 3ª, 08013 Barcelona</t>
  </si>
  <si>
    <t>mudanzascristian.com</t>
  </si>
  <si>
    <t>675 25 45 79</t>
  </si>
  <si>
    <t>info@mudanzascristianplus.com</t>
  </si>
  <si>
    <t>Mudanzas Barcelona SERVIMUDANZAS</t>
  </si>
  <si>
    <t>Carrer del Rosselló, 144, 08036 Barcelona</t>
  </si>
  <si>
    <t>Central Mudanzas Alfred - Empresa de mudanzas en Barcelona y alrededores</t>
  </si>
  <si>
    <t>Carrer de la Font d&amp;apos;en Canyelles, 81, 08042 Barcelona</t>
  </si>
  <si>
    <t>651 94 46 62</t>
  </si>
  <si>
    <t>Mudanzas DAM | Mudanzas Baratas Barcelona</t>
  </si>
  <si>
    <t>C. de Pere IV, 159, 08018 Barcelona</t>
  </si>
  <si>
    <t>mudanzasdam.com</t>
  </si>
  <si>
    <t>695 20 96 93</t>
  </si>
  <si>
    <t>info@mudanzasdam.com</t>
  </si>
  <si>
    <t>RF mudanzas y elevadores- vaciados</t>
  </si>
  <si>
    <t>C/ de Mallorca, 105, 08036 Barcelona</t>
  </si>
  <si>
    <t>rfmudanzas.com</t>
  </si>
  <si>
    <t>935 15 58 09</t>
  </si>
  <si>
    <t>info@rfmudanzas.com</t>
  </si>
  <si>
    <t>Mudanzas Felix Bcn 24 Horas - Mudanzas Económicas - Vaciado de Pisos en Barcelona</t>
  </si>
  <si>
    <t>Carrer de l&amp;apos;de setembre, 18, 08930 Sant Adrià de Besòs, Barcelona</t>
  </si>
  <si>
    <t>Sant Adrià de Besòs</t>
  </si>
  <si>
    <t>mudanzas-felix-bcn.com</t>
  </si>
  <si>
    <t>933 96 73 12</t>
  </si>
  <si>
    <t>Mudanzas Heysser</t>
  </si>
  <si>
    <t>Carrer Teide, 32, 08906 L&amp;apos;Hospitalet de Llobregat, Barcelona</t>
  </si>
  <si>
    <t>mudanzasheysser.com</t>
  </si>
  <si>
    <t>932 63 01 38</t>
  </si>
  <si>
    <t>TECNIMUDANZAS BARCELONA</t>
  </si>
  <si>
    <t>Carrer de l&amp;apos;Alegria, 8, 08905 L&amp;apos;Hospitalet de Llobregat, Barcelona</t>
  </si>
  <si>
    <t>tecnimudanzasbarcelona.es</t>
  </si>
  <si>
    <t>652 74 73 89</t>
  </si>
  <si>
    <t>info@tecnimudanzasbarcelona.es</t>
  </si>
  <si>
    <t>Mudanzas Eco Barcelona</t>
  </si>
  <si>
    <t>Carrer del Marquès de Cornellà, 73, 75, 08940 Cornellà de Llobregat, Barcelona</t>
  </si>
  <si>
    <t>Cornellà de Llobregat</t>
  </si>
  <si>
    <t>693 97 29 82</t>
  </si>
  <si>
    <t>Mudanzas D&amp;amp;M</t>
  </si>
  <si>
    <t>Carrer de Xifré, 86, 08026 Barcelona</t>
  </si>
  <si>
    <t>mudanzasdym.com</t>
  </si>
  <si>
    <t>935 11 72 72</t>
  </si>
  <si>
    <t>tinfo@mudanzasdym.com</t>
  </si>
  <si>
    <t>CONTROL Mudanzas Barcelona</t>
  </si>
  <si>
    <t>Av. Prat de la Riba, 186, 08780 Pallejà, Barcelona</t>
  </si>
  <si>
    <t>Pallejà</t>
  </si>
  <si>
    <t>mudanzascontrol.com</t>
  </si>
  <si>
    <t>933 34 01 00</t>
  </si>
  <si>
    <t>Mudanza Express Barcelona</t>
  </si>
  <si>
    <t>Avinguda Meridiana, 560, 08030 Barcelona</t>
  </si>
  <si>
    <t>mudanzaexpressbcn.com</t>
  </si>
  <si>
    <t>622 45 20 84</t>
  </si>
  <si>
    <t>contacto@mudanzaexpressbcn.com</t>
  </si>
  <si>
    <t>Mudanzas Láser</t>
  </si>
  <si>
    <t>Travessera de les Corts, 29 entresuelo, 2, 08028 Barcelona</t>
  </si>
  <si>
    <t>mudanzaslaser.com</t>
  </si>
  <si>
    <t>608 76 27 40</t>
  </si>
  <si>
    <t>info@mudanzaslaser.com</t>
  </si>
  <si>
    <t>24hmudanzas - Empresa de Mudanzas Barcelona</t>
  </si>
  <si>
    <t>Carrer de Bac de Roda, 170, 08020 Barcelona</t>
  </si>
  <si>
    <t>24hmudanzas.es</t>
  </si>
  <si>
    <t>633 78 01 60</t>
  </si>
  <si>
    <t>MUDANZAS BARCELONA ELKINZZ</t>
  </si>
  <si>
    <t>Carrer de la Diputació, 30, 08001 Barcelona</t>
  </si>
  <si>
    <t>633 43 58 06</t>
  </si>
  <si>
    <t>Mudanzas Barcelona HBC</t>
  </si>
  <si>
    <t>mudanzasbarcelonahbc.com</t>
  </si>
  <si>
    <t>930 02 57 25</t>
  </si>
  <si>
    <t>contacto@mudanzasbarcelonahbc.com</t>
  </si>
  <si>
    <t>Mudanzas BCN Express</t>
  </si>
  <si>
    <t>Calle de las Torres, 60, 08042 Barcelona</t>
  </si>
  <si>
    <t>633 56 70 99</t>
  </si>
  <si>
    <t>Move &amp;amp; Dance - Transportes y mudanzas</t>
  </si>
  <si>
    <t>Carrer de Trinxant, 88, 08026 Barcelona</t>
  </si>
  <si>
    <t>618 48 84 27</t>
  </si>
  <si>
    <t>Mudanzas BCN Internacional</t>
  </si>
  <si>
    <t>Carrer d&amp;apos;Àlaba, 10, 08830 Barcelona</t>
  </si>
  <si>
    <t>Sant Boi de Llobregat</t>
  </si>
  <si>
    <t>mudanzasbcn.com</t>
  </si>
  <si>
    <t>938 09 99 15</t>
  </si>
  <si>
    <t>Euro Mudanzas Bcn</t>
  </si>
  <si>
    <t>C/ de Mallorca, 489, 1° 3°, 08921 Barcelona</t>
  </si>
  <si>
    <t>euromudanzasbcn.com</t>
  </si>
  <si>
    <t>677 17 75 49</t>
  </si>
  <si>
    <t>Mudanzas Neptuno</t>
  </si>
  <si>
    <t>Carrer de la Diputació, 279, 1ª, 08007 Barcelona</t>
  </si>
  <si>
    <t>mudanzasneptuno.com</t>
  </si>
  <si>
    <t>670 35 77 89</t>
  </si>
  <si>
    <t>info@mudanzasneptuno.com</t>
  </si>
  <si>
    <t>BARCELONA MULTIMUDANZAS</t>
  </si>
  <si>
    <t>C. de Pallars, 400, 08019 Barcelona</t>
  </si>
  <si>
    <t>barcelonamultimudanzas.com</t>
  </si>
  <si>
    <t>934 80 70 54</t>
  </si>
  <si>
    <t>comercial@barcelonamultimudanzas.com</t>
  </si>
  <si>
    <t>Transportes I.F.A.</t>
  </si>
  <si>
    <t>Carrer de Calderón de la Barca, 62, piso 1.2, 08032 Barcelona</t>
  </si>
  <si>
    <t>transportesifa.com</t>
  </si>
  <si>
    <t>632 65 80 50</t>
  </si>
  <si>
    <t>MUDANZAS GIMENO</t>
  </si>
  <si>
    <t>C. de Salvador Espriu, 2, 08908 L&amp;apos;Hospitalet de Llobregat, Barcelona</t>
  </si>
  <si>
    <t>mudanzasgimeno.com</t>
  </si>
  <si>
    <t>934 22 35 70</t>
  </si>
  <si>
    <t>Mudanzas Barcelona La Barcelonesa</t>
  </si>
  <si>
    <t>Carrer Bonestar, 3, 08940 Cornellà de Llobregat, Barcelona</t>
  </si>
  <si>
    <t>mudanzaslabarcelonesa.com</t>
  </si>
  <si>
    <t>934 71 06 43</t>
  </si>
  <si>
    <t>info@mudanzaslabarcelonesa.com</t>
  </si>
  <si>
    <t>Mudanzas Salcedo</t>
  </si>
  <si>
    <t>C/ d&amp;apos;Ausiàs Marc, 45, 08010 Barcelona</t>
  </si>
  <si>
    <t>mudanzassalcedo.com</t>
  </si>
  <si>
    <t>697 85 00 28</t>
  </si>
  <si>
    <t>Mudanzas Benítez Barcelona</t>
  </si>
  <si>
    <t>C. de Rocafort, 240, entlo-3a, 08029 Barcelona</t>
  </si>
  <si>
    <t>lasmudanzasbarcelona.com</t>
  </si>
  <si>
    <t>931 00 24 95</t>
  </si>
  <si>
    <t>info@lasmudanzasbarcelona.com</t>
  </si>
  <si>
    <t>Mudanzas ServiMoving</t>
  </si>
  <si>
    <t>Carrer Joaquim Castells, 12, 08980 Sant Feliu de Llobregat, Barcelona</t>
  </si>
  <si>
    <t>Sant Feliu de Llobregat</t>
  </si>
  <si>
    <t>Plataformas Elevadoras Barcelona RF Mudanzas</t>
  </si>
  <si>
    <t>Carrer d&amp;apos;Àngel Guimerà, 46, 08917 Badalona, Barcelona</t>
  </si>
  <si>
    <t>Jack Pinto | Mudanzas y Guardamuebles Barcelona</t>
  </si>
  <si>
    <t>Travessera de les Corts, 1, 08028 Barcelona</t>
  </si>
  <si>
    <t>jackpinto.com</t>
  </si>
  <si>
    <t>934 49 50 00</t>
  </si>
  <si>
    <t>info@jackpinto.com</t>
  </si>
  <si>
    <t>MPMUDANZAS BCN</t>
  </si>
  <si>
    <t>Carrer de la Fosca, 21, 08033 Barcelona</t>
  </si>
  <si>
    <t>633 64 24 69</t>
  </si>
  <si>
    <t>C/ del Pla, 8, 08980 Sant Feliu de Llobregat, Barcelona</t>
  </si>
  <si>
    <t>933 34 58 58</t>
  </si>
  <si>
    <t>Mudanzas Juan - Mudanzas Baratas en Badalona</t>
  </si>
  <si>
    <t>14 4 A (Oficinas), Avinguda del Marquès de Mont-Roig, 247, 08918 Barcelona</t>
  </si>
  <si>
    <t>mudanzasjuan.es</t>
  </si>
  <si>
    <t>933 96 74 73</t>
  </si>
  <si>
    <t>Av. de Josep Tarradellas, 106, 08029 Barcelona</t>
  </si>
  <si>
    <t>620 45 00 30</t>
  </si>
  <si>
    <t>Mudanzas Express Alejandro - Empresa de mudanzas económicas en Barcelona</t>
  </si>
  <si>
    <t>Av. de Catalunya, 49, 51, 08917 Badalona, Barcelona</t>
  </si>
  <si>
    <t>mudanzasalejandro.es</t>
  </si>
  <si>
    <t>640 84 23 43</t>
  </si>
  <si>
    <t>Transportista Barcelona</t>
  </si>
  <si>
    <t>Carrer de Graner, 20, 1ro, 08904 2da, Barcelona</t>
  </si>
  <si>
    <t>transportistabarcelona.es</t>
  </si>
  <si>
    <t>666 10 02 16</t>
  </si>
  <si>
    <t>info@transportistabarcelona.es</t>
  </si>
  <si>
    <t>Mudanzas Gil Fast</t>
  </si>
  <si>
    <t>Carrer de París, 45, 08029 Barcelona</t>
  </si>
  <si>
    <t>mudanzasgilfast.com</t>
  </si>
  <si>
    <t>663 21 62 62</t>
  </si>
  <si>
    <t>info@mudanzasgilfast.com</t>
  </si>
  <si>
    <t>MUDANZAS MOLINA BARCELONA</t>
  </si>
  <si>
    <t>08015 Barcelona</t>
  </si>
  <si>
    <t>662 21 09 36</t>
  </si>
  <si>
    <t>Mudanzas Diagonal</t>
  </si>
  <si>
    <t>Carrer C, 7, Polígono Industrial Molí dels Frares, 08620 Sant Vicenç dels Horts, Barcelona</t>
  </si>
  <si>
    <t>Sant Vicenç dels Horts</t>
  </si>
  <si>
    <t>mudanzasdiagonal.com</t>
  </si>
  <si>
    <t>936 72 44 84</t>
  </si>
  <si>
    <t>info@mudanzasdiagonal.com</t>
  </si>
  <si>
    <t>Grupo Guzman</t>
  </si>
  <si>
    <t>Carrer d&amp;apos;Alacant, 18, 08830 Sant Boi de Llobregat, Barcelona</t>
  </si>
  <si>
    <t>mudanzashnasguzman.es</t>
  </si>
  <si>
    <t>936 30 49 49</t>
  </si>
  <si>
    <t>MUDANZAS ANDREU</t>
  </si>
  <si>
    <t>Av. Miraflores, 80, 08905 L&amp;apos;Hospitalet de Llobregat, Barcelona</t>
  </si>
  <si>
    <t>mudanzasandreu.es</t>
  </si>
  <si>
    <t>622 07 50 38</t>
  </si>
  <si>
    <t>info@themeansar.com</t>
  </si>
  <si>
    <t>Mudanzas y Transportes JM Hoyos</t>
  </si>
  <si>
    <t>Carrer del Puig Castellar, 9 atico, 1ºa, 08032 Barcelona</t>
  </si>
  <si>
    <t>686 82 14 34</t>
  </si>
  <si>
    <t>Megatransmudanzas</t>
  </si>
  <si>
    <t>Carrer de Mozart, 89, 08917 Badalona, Barcelona</t>
  </si>
  <si>
    <t>megatransmudanzas.es</t>
  </si>
  <si>
    <t>687 39 71 22</t>
  </si>
  <si>
    <t>hola@ejemplo.com</t>
  </si>
  <si>
    <t>Mudanzas Sant Cugat. Servimudanzas</t>
  </si>
  <si>
    <t>Passeig de Francesc Macià, 64, 08173 Sant Cugat del Vallès, Barcelona</t>
  </si>
  <si>
    <t>Mudanzas Transjema</t>
  </si>
  <si>
    <t>Travessera de Collblanc, 47, local 2, 08904 L&amp;apos;Hospitalet de Llobregat, Barcelona</t>
  </si>
  <si>
    <t>transjema.com</t>
  </si>
  <si>
    <t>931 27 40 70</t>
  </si>
  <si>
    <t>info@transjema.com</t>
  </si>
  <si>
    <t>CONTROL Mudanzas Oficina Técnica</t>
  </si>
  <si>
    <t>Travessera de les Corts, 31, 08028 Barcelona</t>
  </si>
  <si>
    <t>Transportes y Mudanzas Tony</t>
  </si>
  <si>
    <t>C/ d&amp;apos;Entença, 64, 08015 Barcelona</t>
  </si>
  <si>
    <t>652 02 39 78</t>
  </si>
  <si>
    <t>Mudanzas y transportes urgentes</t>
  </si>
  <si>
    <t>Carrer de Varsòvia, 53, 08041 Barcelona</t>
  </si>
  <si>
    <t>Grupo Amygo Barcelona</t>
  </si>
  <si>
    <t>Carrer Ull de Llebre, 22, 08758 Cervelló, Barcelona</t>
  </si>
  <si>
    <t>Cervelló</t>
  </si>
  <si>
    <t>mudanzaspablobarcelona.es</t>
  </si>
  <si>
    <t>935 13 34 30</t>
  </si>
  <si>
    <t>Movart-Transports (mudanzas)</t>
  </si>
  <si>
    <t>Av. de la Marina, 74, NAVE 2-1, 08830 Sant Boi de Llobregat, Barcelona</t>
  </si>
  <si>
    <t>movart-transports.com</t>
  </si>
  <si>
    <t>687 42 20 68</t>
  </si>
  <si>
    <t>info@movart-transports.com</t>
  </si>
  <si>
    <t>Mudanzas Barcelona F.Gimeno</t>
  </si>
  <si>
    <t>Carrer de la Foneria, 48, 08038 Barcelona</t>
  </si>
  <si>
    <t>mudanzasfgimeno.com</t>
  </si>
  <si>
    <t>934 21 28 49</t>
  </si>
  <si>
    <t>logistica@mudanzasfgimeno.com</t>
  </si>
  <si>
    <t>Mudanzas Barcelona Euro-sur</t>
  </si>
  <si>
    <t>Pol. Ind. Aquiberia, Carrer Zenc, 8, 08755 Castellbisbal, Barcelona</t>
  </si>
  <si>
    <t>Castellbisbal</t>
  </si>
  <si>
    <t>euro-sur.com</t>
  </si>
  <si>
    <t>900 708 080</t>
  </si>
  <si>
    <t>hola@euro-sur.com</t>
  </si>
  <si>
    <t>Mudanzas Galera</t>
  </si>
  <si>
    <t>Carrer Riera Gasulla, 59, 08830 Sant Boi de Llobregat, Barcelona</t>
  </si>
  <si>
    <t>empresademudanzasgalera.com</t>
  </si>
  <si>
    <t>930 24 32 12</t>
  </si>
  <si>
    <t>info@empresademudanzasgalera.com</t>
  </si>
  <si>
    <t>Mudanzas Moving</t>
  </si>
  <si>
    <t>C. de Rocafort, 10, 08015 Barcelona</t>
  </si>
  <si>
    <t>622 67 42 21</t>
  </si>
  <si>
    <t>Mudanzas Juanjo Barcelona</t>
  </si>
  <si>
    <t>Passeig de la Vall d&amp;apos;Hebron, 128, 08035 Barcelona</t>
  </si>
  <si>
    <t>Mudanzas Eurortiz</t>
  </si>
  <si>
    <t>Carrer de la Diputació, 279, 08037 Barcelona</t>
  </si>
  <si>
    <t>mudanzasytransportesenbarcelona.com</t>
  </si>
  <si>
    <t>644 39 78 82</t>
  </si>
  <si>
    <t>mudanzasytransportesenbarcelona@mudanzasytransportesenbarcelona.com</t>
  </si>
  <si>
    <t>Mudanzas internacional Barcelona</t>
  </si>
  <si>
    <t>Avinguda de Severo Ochoa, 16, 08960 Esplugues de Llobregat, Barcelona</t>
  </si>
  <si>
    <t>Esplugues de Llobregat</t>
  </si>
  <si>
    <t>902 20 23 00</t>
  </si>
  <si>
    <t>Mudanzas y Transportes Baratos Barcelona</t>
  </si>
  <si>
    <t>mudanzasbaratasbarcelona.cat</t>
  </si>
  <si>
    <t>640 01 81 97</t>
  </si>
  <si>
    <t>Mudanzas Mulero S.L. Empresa de mudanzas en Barcelona</t>
  </si>
  <si>
    <t>Carrer de Laforja, 10, 08006 Barcelona</t>
  </si>
  <si>
    <t>mudanzasmulero.com</t>
  </si>
  <si>
    <t>933 88 37 92</t>
  </si>
  <si>
    <t>info@mudanzasmulero.com</t>
  </si>
  <si>
    <t>Mudanzas.Com</t>
  </si>
  <si>
    <t>Polígono Matacas, Anselmo Clave, S/N Nave 23, 08980 Sant Feliu de Llobregat, Barcelona</t>
  </si>
  <si>
    <t>e-mudanzas.com</t>
  </si>
  <si>
    <t>936 66 60 30</t>
  </si>
  <si>
    <t>Mud@nzas.com</t>
  </si>
  <si>
    <t>RUFI TRANSPORTE Y MUDANZAS</t>
  </si>
  <si>
    <t>C/ de Nàpols, 33, LOCAL 1, 08914 Badalona, Barcelona</t>
  </si>
  <si>
    <t>678 14 13 57</t>
  </si>
  <si>
    <t>Mudanzas RT</t>
  </si>
  <si>
    <t>Carrer de l&amp;apos;Abat Marcet, 41, 08172 Sant Cugat del Vallès, Barcelona</t>
  </si>
  <si>
    <t>mudanzasrt.com</t>
  </si>
  <si>
    <t>608 74 24 59</t>
  </si>
  <si>
    <t>Empresa de Mudanzas Rápido y Seguro</t>
  </si>
  <si>
    <t>Ronda del General Mitre, 08022 Barcelona</t>
  </si>
  <si>
    <t>mudanzasrapidoyseguro.com</t>
  </si>
  <si>
    <t>647 94 15 04</t>
  </si>
  <si>
    <t>info@mudanzasrapidoyseguro.com</t>
  </si>
  <si>
    <t>Mudanzas Flippers Barcelona</t>
  </si>
  <si>
    <t>Calle Metal, Polígon Industrial, Camí Can Sunyer, s/n, 08740 Sant Andreu de la Barca, Barcelona</t>
  </si>
  <si>
    <t>Sant Andreu de la Barca</t>
  </si>
  <si>
    <t>flippers.es</t>
  </si>
  <si>
    <t>936 82 00 00</t>
  </si>
  <si>
    <t>Mudanzas Cataluña S.L.</t>
  </si>
  <si>
    <t>Carrer de Rubén Darío, 110 BAJO;DUP 110-112;TDA 1, 08030 Barcelona</t>
  </si>
  <si>
    <t>transportepianoscatalunya.com</t>
  </si>
  <si>
    <t>933 11 32 55</t>
  </si>
  <si>
    <t>info@mudanzascatalunya.com</t>
  </si>
  <si>
    <t>Mudanzas Mulero</t>
  </si>
  <si>
    <t>Carrer de Baldomer Solà, 69, 08912 Badalona, Barcelona</t>
  </si>
  <si>
    <t>Eagles Mudanzas Barcelona</t>
  </si>
  <si>
    <t>Avinguda del Marquès de Mont-Roig, 247, 08918 Badalona, Barcelona</t>
  </si>
  <si>
    <t>eaglesmudanzas.es</t>
  </si>
  <si>
    <t>662 29 63 61</t>
  </si>
  <si>
    <t>typesetit@att.net</t>
  </si>
  <si>
    <t>Mudanzas Muntaner Hospitalet</t>
  </si>
  <si>
    <t>Rambla Just Oliveras, 48, 08901 L&amp;apos;Hospitalet de Llobregat, Barcelona</t>
  </si>
  <si>
    <t>Transporte y mudanzas</t>
  </si>
  <si>
    <t>Carrer Bogatell, 2, 08110 Montcada i Reixac, Barcelona</t>
  </si>
  <si>
    <t>transporteymudanzas.es</t>
  </si>
  <si>
    <t>932 71 36 42</t>
  </si>
  <si>
    <t>usuario@ejemplo.com</t>
  </si>
  <si>
    <t>Mudanzas Barcelona ®</t>
  </si>
  <si>
    <t>Carrer de Sant Fructuós, 84, Piso bajo 1, 08004 Barcelona</t>
  </si>
  <si>
    <t>mudanzasbarcelona.pro</t>
  </si>
  <si>
    <t>934 32 85 87</t>
  </si>
  <si>
    <t>info@mudanzasbarcelona.pro</t>
  </si>
  <si>
    <t>Heysser | Plataforma Elevadora Por fachada</t>
  </si>
  <si>
    <t>Carrer del Doctor Pi i Molist, 79, 3ra-4, 08031 Barcelona</t>
  </si>
  <si>
    <t>933 94 15 75</t>
  </si>
  <si>
    <t>Transportes y Mudanzas Arte, S.L.</t>
  </si>
  <si>
    <t>Carrer de la Mare de Déu de Lorda, 107, 08913 Badalona, Barcelona</t>
  </si>
  <si>
    <t>trasladopianos.es</t>
  </si>
  <si>
    <t>934 60 05 93</t>
  </si>
  <si>
    <t>info@trasladopianos.es</t>
  </si>
  <si>
    <t>MTransportes Express</t>
  </si>
  <si>
    <t>C/ d&amp;apos;Aragó, 643, Local, 08026 Barcelona</t>
  </si>
  <si>
    <t>mtex.com.es</t>
  </si>
  <si>
    <t>932 45 56 40</t>
  </si>
  <si>
    <t>comercial@mtex.com.es</t>
  </si>
  <si>
    <t>Mudanzas Barcelona Mc. Frank</t>
  </si>
  <si>
    <t>Camí de Can Boixeres, 08950 Esplugues de Llobregat, Barcelona</t>
  </si>
  <si>
    <t>697 78 08 30</t>
  </si>
  <si>
    <t>Mudanzas Baratas en Barcelona</t>
  </si>
  <si>
    <t>Carrer de la Noguera Pallaresa, 13, 08014 Barcelona</t>
  </si>
  <si>
    <t>600 22 57 77</t>
  </si>
  <si>
    <t>Mudanzas Mulero S.L. - Empresa de mudanzas en Sant Cugat</t>
  </si>
  <si>
    <t>Av. de la Via Augusta, 15/25, Local 10, 08173 Barcelona</t>
  </si>
  <si>
    <t>670 30 51 29</t>
  </si>
  <si>
    <t>Buscatrans.es Mudanzas</t>
  </si>
  <si>
    <t>Carrer del Remei, 27, 08202 El Poblenou, Barcelona</t>
  </si>
  <si>
    <t>Pueblo Nuevo</t>
  </si>
  <si>
    <t>buscatrans.es</t>
  </si>
  <si>
    <t>635 80 34 25</t>
  </si>
  <si>
    <t>info@buscatrans.es</t>
  </si>
  <si>
    <t>Tú Mudanza En Barcelona.</t>
  </si>
  <si>
    <t>Carrer de Sants, 321, 08028 Barcelona</t>
  </si>
  <si>
    <t>tumudanzaenbarcelona.com</t>
  </si>
  <si>
    <t>620 15 03 01</t>
  </si>
  <si>
    <t>Mudances Barcelona Económiques Barates Barcelona</t>
  </si>
  <si>
    <t>Carrer de Bonsoms, 36, 1ro, 08028 Barcelona</t>
  </si>
  <si>
    <t>mudanzasybarcelona.com</t>
  </si>
  <si>
    <t>675 26 35 77</t>
  </si>
  <si>
    <t>info@mudanzasybarcelona.com</t>
  </si>
  <si>
    <t>Mudanzas Go Barcelona</t>
  </si>
  <si>
    <t>Carrer Gran de Gràcia, Segòn Primera, 71, 08012 Barcelona</t>
  </si>
  <si>
    <t>608 25 14 63</t>
  </si>
  <si>
    <t>Mudanzas Barcelona Delivery</t>
  </si>
  <si>
    <t>Carrer d&amp;apos;Alella, 47, bajo, 08016 Barcelona</t>
  </si>
  <si>
    <t>722 84 50 44</t>
  </si>
  <si>
    <t>Mudanzas Move it Barcelona</t>
  </si>
  <si>
    <t>Carrer de la Noguera Pallaresa, 59, 08014 Barcelona</t>
  </si>
  <si>
    <t>625 01 65 84</t>
  </si>
  <si>
    <t>Mudanzas Espanol l Mudanzas en Barcelona - Nacional, Internacional</t>
  </si>
  <si>
    <t>C/ de València, 438, 08013 Barcelona</t>
  </si>
  <si>
    <t>mudanzasespanol.com</t>
  </si>
  <si>
    <t>International Storage Removals</t>
  </si>
  <si>
    <t>Carrer de Bartomeu Garcia i Subirà, 6, 08830 Sant Boi de Llobregat, Barcelona</t>
  </si>
  <si>
    <t>inters-r.com</t>
  </si>
  <si>
    <t>936 40 02 50</t>
  </si>
  <si>
    <t>info@inters-moving.com</t>
  </si>
  <si>
    <t>Mudanzas Economicas Barcelona</t>
  </si>
  <si>
    <t>mudanzaseconomicasbarcelona.pro</t>
  </si>
  <si>
    <t>931 84 58 16</t>
  </si>
  <si>
    <t>Mudanzas Baratas Barcelona</t>
  </si>
  <si>
    <t>Passatge de les Escoles, 6, 08009 Barcelona</t>
  </si>
  <si>
    <t>937 37 63 03</t>
  </si>
  <si>
    <t>Transportes y Mudanzas Paco</t>
  </si>
  <si>
    <t>Carrer Mina, 37, 1, 08906 L&amp;apos;Hospitalet de Llobregat, Barcelona</t>
  </si>
  <si>
    <t>transportesymudanzaspaco.com</t>
  </si>
  <si>
    <t>679 34 94 44</t>
  </si>
  <si>
    <t>Mudanzas Barcelona</t>
  </si>
  <si>
    <t>Via Augusta, 135, 08006 Barcelona</t>
  </si>
  <si>
    <t>617 79 23 70</t>
  </si>
  <si>
    <t>Transportes y Mudanzas Ivo Viana</t>
  </si>
  <si>
    <t>Carrer de Puerto Príncipe, 59 1ª, 3ª, 08027 Barcelona</t>
  </si>
  <si>
    <t>691 80 39 48</t>
  </si>
  <si>
    <t>Mudanzas y transportes José</t>
  </si>
  <si>
    <t>C/ Llobregat, 64, 1º 1ª, 08904 L&amp;apos;Hospitalet de Llobregat, Barcelona</t>
  </si>
  <si>
    <t>680 46 85 91</t>
  </si>
  <si>
    <t>Elevadores Mudanzas BCN</t>
  </si>
  <si>
    <t>Carrer de Llobet i Vall-llosera, 7, BAJO 2, 08032 Barcelona</t>
  </si>
  <si>
    <t>elevadoresmudanzasbcn.com</t>
  </si>
  <si>
    <t>652 01 36 98</t>
  </si>
  <si>
    <t>img_fcedo_20160108-203248_imagenes_lv_propias_fcedo_mataro_panoramica-k1yF-U463426172953NPB-992x558@LaVanguardia-Web-36x36.jpg</t>
  </si>
  <si>
    <t>Mudanzas y Portes Dany</t>
  </si>
  <si>
    <t>Av. Ventura Gassol, 29, 08901 L&amp;apos;Hospitalet de Llobregat, Barcelona</t>
  </si>
  <si>
    <t>698 38 86 42</t>
  </si>
  <si>
    <t>Mudinmar Mudanzas Barcelona</t>
  </si>
  <si>
    <t>Carrer Indústria, 58A, 08755 Castellbisbal, Barcelona</t>
  </si>
  <si>
    <t>931 31 91 51</t>
  </si>
  <si>
    <t>Grupo terramar mudanzas</t>
  </si>
  <si>
    <t>Paseo ciutat de mallorca Paseo, Passeig de la Ciutat de Mallorca, 08016 Barcelona</t>
  </si>
  <si>
    <t>600 01 18 08</t>
  </si>
  <si>
    <t>Mudanzas Rex - Empresa de mudanzas en Barcelona</t>
  </si>
  <si>
    <t>Carrer d&amp;apos;en Grassot, 100, 08025 Barcelona</t>
  </si>
  <si>
    <t>933 81 64 67</t>
  </si>
  <si>
    <t>Doctor Mudanzas</t>
  </si>
  <si>
    <t>Carrer Santiago Apòstol, 87, 08903 L&amp;apos;Hospitalet de Llobregat, Barcelona</t>
  </si>
  <si>
    <t>doctormudanzas.com</t>
  </si>
  <si>
    <t>661 48 19 55</t>
  </si>
  <si>
    <t>info@doctormudanzas.com</t>
  </si>
  <si>
    <t>TAT Transporte-Mudanzas y Servicios</t>
  </si>
  <si>
    <t>Carrer del Santuari, 57, 08032 Barcelona</t>
  </si>
  <si>
    <t>649 46 96 16</t>
  </si>
  <si>
    <t>Mudances la Catalana</t>
  </si>
  <si>
    <t>lacatalana.cat</t>
  </si>
  <si>
    <t>934 42 86 88</t>
  </si>
  <si>
    <t>info@lacatalana.cat</t>
  </si>
  <si>
    <t>Mudanzas Lepanto S.L.</t>
  </si>
  <si>
    <t>Av. Can Bordoll, 71, 08202 Sabadell, Barcelona</t>
  </si>
  <si>
    <t>mudanzaslepanto.com</t>
  </si>
  <si>
    <t>937 17 98 86</t>
  </si>
  <si>
    <t>info@mudanzaslepanto.com</t>
  </si>
  <si>
    <t>BarnaTrans - Mudanzas Barcelona</t>
  </si>
  <si>
    <t>C. d&amp;apos;Espronceda, 321, A 1º 4ª, 08027 Barcelona</t>
  </si>
  <si>
    <t>barnatrans.es</t>
  </si>
  <si>
    <t>900 877 233</t>
  </si>
  <si>
    <t>mudanzas@barnatrans.es</t>
  </si>
  <si>
    <t>Iberstorage, S.L.</t>
  </si>
  <si>
    <t>Carrer dels Motors, 40, 08040 Barcelona</t>
  </si>
  <si>
    <t>Mudanzas Corase</t>
  </si>
  <si>
    <t>Carrer dels Enamorats, 39, 08013 Barcelona</t>
  </si>
  <si>
    <t>mudanzascorase.net</t>
  </si>
  <si>
    <t>932 47 20 22</t>
  </si>
  <si>
    <t>info@corase.com</t>
  </si>
  <si>
    <t>MUDANZAS OJEDA</t>
  </si>
  <si>
    <t>Carrer de la Diputació, 418, 08013 Barcelona</t>
  </si>
  <si>
    <t>mudanzasojeda.es</t>
  </si>
  <si>
    <t>660 82 41 59</t>
  </si>
  <si>
    <t>info@mudanzasojeda.es</t>
  </si>
  <si>
    <t>C/ de Mallorca, 122, 08036 Barcelona</t>
  </si>
  <si>
    <t>632 36 59 98</t>
  </si>
  <si>
    <t>MUDANZAS BARATAS BARCELONA</t>
  </si>
  <si>
    <t>Carrer de Sicília, 2, 08013 Barcelona</t>
  </si>
  <si>
    <t>pborg494.wix.com</t>
  </si>
  <si>
    <t>937 37 21 35</t>
  </si>
  <si>
    <t>Mudanza.eu</t>
  </si>
  <si>
    <t>Avinguda de Josep Anselm Clavé, 83, 08820 El Prat de Llobregat, Barcelona</t>
  </si>
  <si>
    <t>El Prat de Llobregat</t>
  </si>
  <si>
    <t>mudanza.cat</t>
  </si>
  <si>
    <t>936 67 45 02</t>
  </si>
  <si>
    <t>comercial@mudanza.cat</t>
  </si>
  <si>
    <t>Transportes Y Mudanzas Alex</t>
  </si>
  <si>
    <t>C. de Floridablanca, 87, B, 08015 Barcelona</t>
  </si>
  <si>
    <t>687 76 13 19</t>
  </si>
  <si>
    <t>Mudanzas carrera</t>
  </si>
  <si>
    <t>Avinguda de la Torre de la Vila, 1, 08830 Barcelona</t>
  </si>
  <si>
    <t>mudanzascarrera.net</t>
  </si>
  <si>
    <t>info@mudanzascarrera.net</t>
  </si>
  <si>
    <t>Transporte y Mudanzas</t>
  </si>
  <si>
    <t>C/ d&amp;apos;Aragó, 484, Bajos, 08013 Barcelona</t>
  </si>
  <si>
    <t>Mudanza economica BCN</t>
  </si>
  <si>
    <t>Carrer Holanda, 36, 08903 L&amp;apos;Hospitalet de Llobregat, Barcelona</t>
  </si>
  <si>
    <t>mudanzaeconomicabcn.com</t>
  </si>
  <si>
    <t>698 56 81 74</t>
  </si>
  <si>
    <t>Carpitrans Mudanzas</t>
  </si>
  <si>
    <t>C. de Viladomat, 08015 Barcelona</t>
  </si>
  <si>
    <t>645 04 12 50</t>
  </si>
  <si>
    <t>Mudanzas Barcelona Baratas</t>
  </si>
  <si>
    <t>08830 Sant Boi de Llobregat, Barcelona</t>
  </si>
  <si>
    <t>675 18 72 57</t>
  </si>
  <si>
    <t>MUDANZA.TRANSBCN</t>
  </si>
  <si>
    <t>Carrer Jardí, 73, 1-1, 08905 L&amp;apos;Hospitalet de Llobregat, Barcelona</t>
  </si>
  <si>
    <t>mudanzastransbcn.com</t>
  </si>
  <si>
    <t>646 74 38 29</t>
  </si>
  <si>
    <t>Mudanzas Baratas Servicio Urgentes</t>
  </si>
  <si>
    <t>Carrer Sant Manuel, 1, 08031 Barcelona</t>
  </si>
  <si>
    <t>698 28 12 68</t>
  </si>
  <si>
    <t>City Mudanzas | Barcelona</t>
  </si>
  <si>
    <t>08027 Barcelona</t>
  </si>
  <si>
    <t>citymudanzas.es</t>
  </si>
  <si>
    <t>608 29 94 78</t>
  </si>
  <si>
    <t>oficina@citymudanzas.es</t>
  </si>
  <si>
    <t>MUDANZAS ALCE BARCELONA</t>
  </si>
  <si>
    <t>Av. de Jaume I, 298, 08226 Terrassa, Barcelona</t>
  </si>
  <si>
    <t>Terrassa</t>
  </si>
  <si>
    <t>mudanzasalcebcn.com</t>
  </si>
  <si>
    <t>665 89 50 20</t>
  </si>
  <si>
    <t>admin@alcebcn.com</t>
  </si>
  <si>
    <t>Mudanzas Acer Scp</t>
  </si>
  <si>
    <t>Carrer de les Aigües del Llobregat, 27, 08905 Hospitalet De Llobregat ( L&amp;apos;), Barcelona</t>
  </si>
  <si>
    <t>936 67 11 03</t>
  </si>
  <si>
    <t>MUDANZAS BARATAS BADALONA</t>
  </si>
  <si>
    <t>Carrer de Lleó, 08911 Badalona, Barcelona</t>
  </si>
  <si>
    <t>mudanzabarato.com</t>
  </si>
  <si>
    <t>688 47 18 33</t>
  </si>
  <si>
    <t>Mudanzas Oficinas Barcelona</t>
  </si>
  <si>
    <t>Carrer de la Metal·lúrgia, s/n, 08740 Sant Andreu de la Barca, Barcelona</t>
  </si>
  <si>
    <t>mudanzasoficinasbarcelona.barcelona</t>
  </si>
  <si>
    <t>900 330 000</t>
  </si>
  <si>
    <t>info@flippers.es</t>
  </si>
  <si>
    <t>TRANSPORTES Y MUDANZAS BARCELONA</t>
  </si>
  <si>
    <t>Carrer de Benlliure, 4, 1ª, 08035 Barcelona</t>
  </si>
  <si>
    <t>722 44 39 87</t>
  </si>
  <si>
    <t>MUDANZAS ECONOMICAS</t>
  </si>
  <si>
    <t>Carrer de la Independència, 384, 08041 Barcelona</t>
  </si>
  <si>
    <t>698 29 40 51</t>
  </si>
  <si>
    <t>Mudanzas J&amp;amp;G</t>
  </si>
  <si>
    <t>C. del Marroc, 91, 08020 Barcelona</t>
  </si>
  <si>
    <t>602 34 76 55</t>
  </si>
  <si>
    <t>Muebles Pinto</t>
  </si>
  <si>
    <t>Carrer Progrés, 26, 08904 L&amp;apos;Hospitalet de Llobregat, Barcelona</t>
  </si>
  <si>
    <t>934 48 17 23</t>
  </si>
  <si>
    <t>Mudanzas Grupo MyAll - CONTROL</t>
  </si>
  <si>
    <t>Carrer de Tomás Bretón, 31, 08950 Esplugues de Llobregat, Barcelona</t>
  </si>
  <si>
    <t>629 21 73 82</t>
  </si>
  <si>
    <t>Mudanzas Las Naciones: Barcelona</t>
  </si>
  <si>
    <t>26 1º6 Calle, 08012 Barcelona</t>
  </si>
  <si>
    <t>936 11 21 31</t>
  </si>
  <si>
    <t>Carrer de Campo Florido, 17, 08027 Barcelona</t>
  </si>
  <si>
    <t>Loquo Mudanzas</t>
  </si>
  <si>
    <t>C/ de Provença, 140, 08029 Barcelona</t>
  </si>
  <si>
    <t>602 44 58 06</t>
  </si>
  <si>
    <t>MUDANZAS BARNA</t>
  </si>
  <si>
    <t>FRANCIA, 72, 08907 L&amp;apos;Hospitalet de Llobregat, Barcelona</t>
  </si>
  <si>
    <t>mudanzasbarna.es</t>
  </si>
  <si>
    <t>610 73 26 81</t>
  </si>
  <si>
    <t>info@mudanzasbarna.es</t>
  </si>
  <si>
    <t>mudanzasbaratasbcn.es</t>
  </si>
  <si>
    <t>640 58 68 01</t>
  </si>
  <si>
    <t>info@mudanzasbaratasbcn.es</t>
  </si>
  <si>
    <t>Empresa mudanzas Barcelona</t>
  </si>
  <si>
    <t>Avinguda de la Torre de la Vila, 1, 08830 Sant Boi de Llobregat, Barcelona</t>
  </si>
  <si>
    <t>mudanzasbarcelonaburgos.es</t>
  </si>
  <si>
    <t>info@mudanzasbarcelonaburgos.es</t>
  </si>
  <si>
    <t>Mudanzas Stefan</t>
  </si>
  <si>
    <t>Carrer de Rogent, 10, 08026 Barcelona</t>
  </si>
  <si>
    <t>662 20 99 22</t>
  </si>
  <si>
    <t>Ecomudanzas</t>
  </si>
  <si>
    <t>08401 Granollers, Barcelona</t>
  </si>
  <si>
    <t>ecomudanzas.com</t>
  </si>
  <si>
    <t>688 33 86 93</t>
  </si>
  <si>
    <t>info@ecomudanzas.com</t>
  </si>
  <si>
    <t>Carrer de Sant Iscle, 35-43, 08031 Barcelona</t>
  </si>
  <si>
    <t>932 20 37 73</t>
  </si>
  <si>
    <t>Mudanzas y Montajes Barcelona</t>
  </si>
  <si>
    <t>C/ d&amp;apos;Aragó, 463, 08013 Barcelona</t>
  </si>
  <si>
    <t>676 94 25 23</t>
  </si>
  <si>
    <t>Mudanzas Richard</t>
  </si>
  <si>
    <t>C/ de Sant Joan de Malta, 103, 08018 Barcelona</t>
  </si>
  <si>
    <t>660 59 04 36</t>
  </si>
  <si>
    <t>Mudanzas Jesús García Herranz</t>
  </si>
  <si>
    <t>Carrer de Lugo, 39, 08032 Barcelona</t>
  </si>
  <si>
    <t>934 29 22 63</t>
  </si>
  <si>
    <t>Mudanzas y transportes Barcelona Leo</t>
  </si>
  <si>
    <t>Carrer de Roger de Flor, 67-69, 08013 Barcelona</t>
  </si>
  <si>
    <t>642 47 28 68</t>
  </si>
  <si>
    <t>Carrer de l&amp;apos;Eucaliptus, 08950 Esplugues de Llobregat, Barcelona</t>
  </si>
  <si>
    <t>698 84 72 55</t>
  </si>
  <si>
    <t>Transporte y Mudanzas Arenas</t>
  </si>
  <si>
    <t>Carrer de Llança, 5, 08015 Barcelona</t>
  </si>
  <si>
    <t>640 75 25 23</t>
  </si>
  <si>
    <t>PRO MUDANZA</t>
  </si>
  <si>
    <t>Carrer de Roger de Llúria, 85, 08009 Barcelona</t>
  </si>
  <si>
    <t>610 15 03 95</t>
  </si>
  <si>
    <t>ALQUILER DE FURGONETAS 24 HORAS</t>
  </si>
  <si>
    <t>Carrer de Pujades, 121, 08005 Barcelona</t>
  </si>
  <si>
    <t>632 22 24 19</t>
  </si>
  <si>
    <t>Life Movings</t>
  </si>
  <si>
    <t>Av. de la Via Augusta, 15, 25, 08174 Sant Cugat del Vallès, Barcelona</t>
  </si>
  <si>
    <t>lifemovings.com</t>
  </si>
  <si>
    <t>931 19 02 47</t>
  </si>
  <si>
    <t>Te Lo Llevo Y Te Lo Monto</t>
  </si>
  <si>
    <t>C/ Mas, 19, ENTRESUELO, 08903 L&amp;apos;Hospitalet de Llobregat, Barcelona</t>
  </si>
  <si>
    <t>666 06 26 05</t>
  </si>
  <si>
    <t>Mudanzas Y Transportes Ayset V G</t>
  </si>
  <si>
    <t>Rambla Josep Maria Jujol, 19, 08970 Sant Joan Despí, Barcelona</t>
  </si>
  <si>
    <t>Sant Joan Despí</t>
  </si>
  <si>
    <t>934 77 00 21</t>
  </si>
  <si>
    <t>mudanzas</t>
  </si>
  <si>
    <t>Avinguda de Severo Ochoa, 29, 08906 L&amp;apos;Hospitalet de Llobregat, Barcelona</t>
  </si>
  <si>
    <t>mudanzas economicas</t>
  </si>
  <si>
    <t>Carrer d&amp;apos;Irlanda, 23, 08921 Santa Coloma de Gramenet, Barcelona</t>
  </si>
  <si>
    <t>pborg494.wixsite.com</t>
  </si>
  <si>
    <t>698 44 43 13</t>
  </si>
  <si>
    <t>MUDANZAS J.RIOS</t>
  </si>
  <si>
    <t>Carrer de Roger de Flor, 167, 08013 Barcelona</t>
  </si>
  <si>
    <t>mudanzasjrios.net</t>
  </si>
  <si>
    <t>934 57 09 00</t>
  </si>
  <si>
    <t>info@mudanzasjrios.net</t>
  </si>
  <si>
    <t>Transportes y mudanzas Frank</t>
  </si>
  <si>
    <t>Carrer del Vapor, 23, 08191 Rubí, Barcelona</t>
  </si>
  <si>
    <t>Rubí</t>
  </si>
  <si>
    <t>722 73 28 36</t>
  </si>
  <si>
    <t>Mudanzas Euroservei</t>
  </si>
  <si>
    <t>Av. Central d&amp;apos;Albarrosa, Nº 14, 08840 Viladecans, Barcelona</t>
  </si>
  <si>
    <t>Viladecans</t>
  </si>
  <si>
    <t>936 59 29 63</t>
  </si>
  <si>
    <t>MUDANZAS BARATAS SANT BOI</t>
  </si>
  <si>
    <t>Carrer d&amp;apos;Aleix Parés i Valls, 20, 08830 Sant Boi de Llobregat, Barcelona</t>
  </si>
  <si>
    <t>mudanzasantboi.es</t>
  </si>
  <si>
    <t>655 40 71 68</t>
  </si>
  <si>
    <t>info@mudanzasantboi.es</t>
  </si>
  <si>
    <t>Mudances Sucarrats</t>
  </si>
  <si>
    <t>Carrer del Topazi, 29, 08012 Barcelona</t>
  </si>
  <si>
    <t>Mudanzas Ripollet - Mudanzas Baratas en Barcelona</t>
  </si>
  <si>
    <t>Carrer de la Indústria, 27, 08291 Ripollet, Barcelona</t>
  </si>
  <si>
    <t>Ripollet</t>
  </si>
  <si>
    <t>mudanzas urgentes badalona</t>
  </si>
  <si>
    <t>Carrer de Francesc Macià, 12, 08912 Badalona, Barcelona</t>
  </si>
  <si>
    <t>mudanzasurgentes.info</t>
  </si>
  <si>
    <t>mudanzas barcelona</t>
  </si>
  <si>
    <t>Carrer de Muntaner, 235, 08021 Barcelona</t>
  </si>
  <si>
    <t>698 31 43 55</t>
  </si>
  <si>
    <t>Mudanzas El Cazador</t>
  </si>
  <si>
    <t>Carrer de Palma de Mallorca, 3, 08940 Cornellà de Llobregat, Barcelona</t>
  </si>
  <si>
    <t>Carrer Comerç, 4, 08635 Sant Esteve Sesrovires, Barcelona</t>
  </si>
  <si>
    <t>Sant Esteve Sesrovires</t>
  </si>
  <si>
    <t>corase.com</t>
  </si>
  <si>
    <t>670 20 02 01</t>
  </si>
  <si>
    <t>MUDANCES EN GIRONA</t>
  </si>
  <si>
    <t>Agullana</t>
  </si>
  <si>
    <t>mudancesgirona.com</t>
  </si>
  <si>
    <t>972 50 99 71</t>
  </si>
  <si>
    <t>info@mudancesgirona.com</t>
  </si>
  <si>
    <t>Mudances internacionals Jesmatrans® GIRONA</t>
  </si>
  <si>
    <t>Carrer d&amp;apos;Oviedo, 28, 3º B, 17005 Girona</t>
  </si>
  <si>
    <t>Gerona</t>
  </si>
  <si>
    <t>mudanza-girona.com</t>
  </si>
  <si>
    <t>872 98 00 94</t>
  </si>
  <si>
    <t>Mudances Delter</t>
  </si>
  <si>
    <t>Carrer de Santa Eugènia, 57, BAJO, 17005 Girona</t>
  </si>
  <si>
    <t>mudanzasdelter.es</t>
  </si>
  <si>
    <t>972 23 10 07</t>
  </si>
  <si>
    <t>Mudanzas Girona</t>
  </si>
  <si>
    <t>mudanzasgirona.es</t>
  </si>
  <si>
    <t>972 20 13 69</t>
  </si>
  <si>
    <t>Transportes Cauto - Portes y Mudanzas Catalunya</t>
  </si>
  <si>
    <t>Plaça Camil Geis i Parragueras, 2, Bajo, 17007 Girona</t>
  </si>
  <si>
    <t>633 65 38 86</t>
  </si>
  <si>
    <t>MUDANZAS GIL STAUFFER GIRONA</t>
  </si>
  <si>
    <t>Ronda Sant Antoni Maria Claret, 12, 17002 Girona</t>
  </si>
  <si>
    <t>972 41 02 07</t>
  </si>
  <si>
    <t>Mudanzas Cano Girona</t>
  </si>
  <si>
    <t>Carrer Gironella, 1, 17005 Girona</t>
  </si>
  <si>
    <t>mudanzasgirona.com</t>
  </si>
  <si>
    <t>655 39 10 56</t>
  </si>
  <si>
    <t>hola@mudanzascano.com</t>
  </si>
  <si>
    <t>EUROCAT MUDANCES</t>
  </si>
  <si>
    <t>Calle LA BORNA OLIVA, 6, Nave 2, 17150 Sant Gregori, Girona</t>
  </si>
  <si>
    <t>Sant Gregori</t>
  </si>
  <si>
    <t>euro-cat.com</t>
  </si>
  <si>
    <t>972 10 03 88</t>
  </si>
  <si>
    <t>info@euro-cat.com</t>
  </si>
  <si>
    <t>Eurocat mudances</t>
  </si>
  <si>
    <t>Calle Joan Brugueras, 57, 17150 Girona</t>
  </si>
  <si>
    <t>Mudances la Selva</t>
  </si>
  <si>
    <t>Polígono industrial l&amp;apos;Empalme, Carrer de l&amp;apos;Empalme, 17185 Vilobí d&amp;apos;Onyar, Girona</t>
  </si>
  <si>
    <t>Vilobí d&amp;apos;Onyar</t>
  </si>
  <si>
    <t>mudanceslaselva.com</t>
  </si>
  <si>
    <t>667 40 29 23</t>
  </si>
  <si>
    <t>info@mudanceslaselva.com</t>
  </si>
  <si>
    <t>Mudanzas y servicios Girona</t>
  </si>
  <si>
    <t>Carrer de Josep Irla, 2, 17190 Salt, Girona</t>
  </si>
  <si>
    <t>Salt</t>
  </si>
  <si>
    <t>Mudanzas y trasteros</t>
  </si>
  <si>
    <t>gironamudanzas.com</t>
  </si>
  <si>
    <t>648 97 44 03</t>
  </si>
  <si>
    <t>José Cano Bustos</t>
  </si>
  <si>
    <t>Plaça Diputació, 1, 17001 Girona</t>
  </si>
  <si>
    <t>MUDANZAS RAPID</t>
  </si>
  <si>
    <t>Carrer del Sud, 9, 17458 La Selva, Girona</t>
  </si>
  <si>
    <t>Fornells de la Selva</t>
  </si>
  <si>
    <t>695 15 02 60</t>
  </si>
  <si>
    <t>Transpacorsa S.L</t>
  </si>
  <si>
    <t>Carrer de Josep Irla, 26, 17190 Salt, Girona</t>
  </si>
  <si>
    <t>688 35 72 82</t>
  </si>
  <si>
    <t>Mudanzas Gerona</t>
  </si>
  <si>
    <t>Calle Rico, 3, 17190 Salt, Girona</t>
  </si>
  <si>
    <t>Mudanzas Ismael</t>
  </si>
  <si>
    <t>Avinguda Grup la Creueta, 25, 17242 La Creueta, Girona</t>
  </si>
  <si>
    <t>La Creueta</t>
  </si>
  <si>
    <t>661 09 54 64</t>
  </si>
  <si>
    <t>Mudanzas Empordá</t>
  </si>
  <si>
    <t>Carrer Castelló de la Plana, 12, 17005 Figueres, Girona</t>
  </si>
  <si>
    <t>Mudanzas Labella Girona</t>
  </si>
  <si>
    <t>Buzón 64, Carretera de Girona a Santa Coloma de Farners, km 13, Nave 1, 17185 Vilobí d&amp;apos;Onyar, Girona</t>
  </si>
  <si>
    <t>mudanzaslabella.com</t>
  </si>
  <si>
    <t>info@mudanzaslabella.com</t>
  </si>
  <si>
    <t>Mudanzas Costa Brava</t>
  </si>
  <si>
    <t>Carrer del Suro, s/n, nau 4, 17200 Palafrugell, Girona</t>
  </si>
  <si>
    <t>Palafrugell</t>
  </si>
  <si>
    <t>mudanzascostabrava.com</t>
  </si>
  <si>
    <t>615 86 12 72</t>
  </si>
  <si>
    <t>Trasllats girona</t>
  </si>
  <si>
    <t>Avinguda del Mas Pins, 76, 17457 Riudellots de la Selva, Girona</t>
  </si>
  <si>
    <t>Riudellots de la Selva</t>
  </si>
  <si>
    <t>trasllatsgirona.cat</t>
  </si>
  <si>
    <t>INFO@TRASLLATGIRONA.CAT</t>
  </si>
  <si>
    <t>MUDANCES EMPORDÀ - Mudanzas-Guardamuebles-Plataformas</t>
  </si>
  <si>
    <t>mudancesemporda.com</t>
  </si>
  <si>
    <t>Mudanzas Labella</t>
  </si>
  <si>
    <t>Av. Girona, 21, 17800 Olot, Girona</t>
  </si>
  <si>
    <t>Olot</t>
  </si>
  <si>
    <t>674 90 44 13</t>
  </si>
  <si>
    <t>Mudanzas Figueres</t>
  </si>
  <si>
    <t>Luis Ramirez Castillo, C/ de Ramon Mandri, Nº 3, 17600 Figueres, Girona</t>
  </si>
  <si>
    <t>Figueres</t>
  </si>
  <si>
    <t>mudanzasfigueres.com</t>
  </si>
  <si>
    <t>687 42 96 76</t>
  </si>
  <si>
    <t>info@mudanzasfigueres.com</t>
  </si>
  <si>
    <t>Mudanzas Castellet</t>
  </si>
  <si>
    <t>Carrer Sant Rafel, 4, 17800 Olot, Girona</t>
  </si>
  <si>
    <t>688 40 36 45</t>
  </si>
  <si>
    <t>Mudanzas Labella Manresa</t>
  </si>
  <si>
    <t>Passatge de Cecchini, 08242 Manresa, Barcelona</t>
  </si>
  <si>
    <t>Manresa</t>
  </si>
  <si>
    <t>Mudanzas y Guardamuebles OCM</t>
  </si>
  <si>
    <t>Carrer de la Cosidora, 24, 08302 Mataró, Barcelona</t>
  </si>
  <si>
    <t>Mataró</t>
  </si>
  <si>
    <t>mudanzasocm.com</t>
  </si>
  <si>
    <t>651 73 44 66</t>
  </si>
  <si>
    <t>Mudanzas Juanjo</t>
  </si>
  <si>
    <t>Carrer General Brito, 31, 25007 Lleida</t>
  </si>
  <si>
    <t>MUDANZAS Y TRANSPORTES LLEIDA -TMT-</t>
  </si>
  <si>
    <t>Carrer dels Comtes d&amp;apos;Urgell, 25007 Lleida</t>
  </si>
  <si>
    <t>transportes-mudanzas.com</t>
  </si>
  <si>
    <t>632 96 81 34</t>
  </si>
  <si>
    <t>info@transportes-mudanzas.com</t>
  </si>
  <si>
    <t>Mudanzas J.Prieto e Hijos S.L.</t>
  </si>
  <si>
    <t>Carrer Ramon y Cajal, 28, 25003 Lleida</t>
  </si>
  <si>
    <t>mudanzasjprietoehijossl.es</t>
  </si>
  <si>
    <t>973 27 11 33</t>
  </si>
  <si>
    <t>Mudanzas Labella - Lleida</t>
  </si>
  <si>
    <t>Abella de la Conca</t>
  </si>
  <si>
    <t>Mudanzas Beltran</t>
  </si>
  <si>
    <t>Polígon Industrial Camí, 25001 Lleida</t>
  </si>
  <si>
    <t>973 60 31 06</t>
  </si>
  <si>
    <t>Taz Mudanzas</t>
  </si>
  <si>
    <t>Carrer Torres de Sanui, 25006 Lleida</t>
  </si>
  <si>
    <t>Mudanzas Lleida Juanjo</t>
  </si>
  <si>
    <t>MUDANZAS JUANJO</t>
  </si>
  <si>
    <t>Street plot, Carrer de l&amp;apos;Enginyer Pablo Agustin, 60-61, 25191 Lleida</t>
  </si>
  <si>
    <t>mudanzas-juanjo-lleida.com</t>
  </si>
  <si>
    <t>Mudanzas Juanjo Alpicat</t>
  </si>
  <si>
    <t>Carrer Canaima, 3, 25110 Alpicat, Lleida</t>
  </si>
  <si>
    <t>Alpicat</t>
  </si>
  <si>
    <t>Polígon Industrial Camí dels Frares, 25191 Lleida</t>
  </si>
  <si>
    <t>Mudanzas Mollerussa: Nacional - Internacional</t>
  </si>
  <si>
    <t>Carrer Orient, 8, 25230 Mollerussa, Lleida</t>
  </si>
  <si>
    <t>Mollerussa</t>
  </si>
  <si>
    <t>608 19 20 93</t>
  </si>
  <si>
    <t>mudanzasviella</t>
  </si>
  <si>
    <t>mudanzas-viella.es</t>
  </si>
  <si>
    <t>618 87 78 60</t>
  </si>
  <si>
    <t>mudanzas urgentes</t>
  </si>
  <si>
    <t>Carrer del Raval del Carme, 78, 25300 Tàrrega, Lleida</t>
  </si>
  <si>
    <t>Tàrrega</t>
  </si>
  <si>
    <t>666 66 62 71</t>
  </si>
  <si>
    <t>Mudanzas Speedy</t>
  </si>
  <si>
    <t>Carrer de Barenys, Parcela Nave 6, 43840 Vila-seca, Tarragona</t>
  </si>
  <si>
    <t>Vila-seca</t>
  </si>
  <si>
    <t>mudanzasspeedy.com</t>
  </si>
  <si>
    <t>699 98 71 97</t>
  </si>
  <si>
    <t>Transporte</t>
  </si>
  <si>
    <t>Camí Horta d&amp;apos;Amunt, 52, 25600, Lleida</t>
  </si>
  <si>
    <t>Gerb</t>
  </si>
  <si>
    <t>transporte-4.ueniweb.com</t>
  </si>
  <si>
    <t>693 67 40 06</t>
  </si>
  <si>
    <t>transportgabriel@yahoo.com</t>
  </si>
  <si>
    <t>Mudanzas Barcelona la Barcelonesa</t>
  </si>
  <si>
    <t>Carrer de Lleida, 31, Bajos, 08004 Barcelona</t>
  </si>
  <si>
    <t>669 14 02 25</t>
  </si>
  <si>
    <t>Carrer de les Escoles, 1, 25300 Tàrrega, Lleida</t>
  </si>
  <si>
    <t>Mudanzas y montajes Tarraco</t>
  </si>
  <si>
    <t>Carrer d&amp;apos;Antoni Rovira i Virgili, 44, 43002 Tarragona</t>
  </si>
  <si>
    <t>mudanzastarraco.com</t>
  </si>
  <si>
    <t>629 01 38 81</t>
  </si>
  <si>
    <t>contact@example.com</t>
  </si>
  <si>
    <t>Mudanzas F Marín</t>
  </si>
  <si>
    <t>Calle B, 6 Porta A, 43006 Tarragona</t>
  </si>
  <si>
    <t>Aiguamúrcia</t>
  </si>
  <si>
    <t>977 79 47 27</t>
  </si>
  <si>
    <t>Trans Cataluña</t>
  </si>
  <si>
    <t>C/ de Francesc Bastos, 9, 43005 Tarragona</t>
  </si>
  <si>
    <t>transportescatalunya.com</t>
  </si>
  <si>
    <t>877 66 93 49</t>
  </si>
  <si>
    <t>//info@transportescatalunya.com</t>
  </si>
  <si>
    <t>senderomudanzas</t>
  </si>
  <si>
    <t>Plaça de Narcís Monturiol, 1, 4to, 43830 5ta, Tarragona</t>
  </si>
  <si>
    <t>Torredembarra</t>
  </si>
  <si>
    <t>senderomudanzas.es</t>
  </si>
  <si>
    <t>666 65 78 51</t>
  </si>
  <si>
    <t>bootstrap@5.1.3</t>
  </si>
  <si>
    <t>Transporte LL ( Montaje de Mobiliario )</t>
  </si>
  <si>
    <t>Carrer del Doctor Gimbernat, 4, 43205 Reus, Tarragona</t>
  </si>
  <si>
    <t>Reus</t>
  </si>
  <si>
    <t>641 16 94 47</t>
  </si>
  <si>
    <t>Mudanzas Mediterraneo</t>
  </si>
  <si>
    <t>Carrer Sis de Desembre, 5 7, B2, 43820 Calafell, Tarragona</t>
  </si>
  <si>
    <t>Calafell</t>
  </si>
  <si>
    <t>mudanzasytransportestarragona.es</t>
  </si>
  <si>
    <t>681 35 12 69</t>
  </si>
  <si>
    <t>Mudanzas Economicas</t>
  </si>
  <si>
    <t>Carrer de Jacint Barrau, 11, 43201 Reus, Tarragona</t>
  </si>
  <si>
    <t>Servieco ® Mudanzas Barcelona</t>
  </si>
  <si>
    <t>Carrer de la Serra del Montsec, 28, 08950 Esplugues de Llobregat, Barcelona</t>
  </si>
  <si>
    <t>servieco.com</t>
  </si>
  <si>
    <t>933 71 78 58</t>
  </si>
  <si>
    <t>info@servieco.com</t>
  </si>
  <si>
    <t>TRANSPORTES Y MUDANZAS AMAR</t>
  </si>
  <si>
    <t>C. Real, 58, 51001 Ceuta</t>
  </si>
  <si>
    <t>Ceuta</t>
  </si>
  <si>
    <t>682 91 04 71</t>
  </si>
  <si>
    <t>José Antonio Carretaro López</t>
  </si>
  <si>
    <t>C. Cervantes, 18, 51001 Ceuta</t>
  </si>
  <si>
    <t>956 51 56 45</t>
  </si>
  <si>
    <t>Mudanzas VasBer</t>
  </si>
  <si>
    <t>C. la Noria, 9, 29692 San Luis de Sabinillas, Málaga</t>
  </si>
  <si>
    <t>San Luis de Sabinillas</t>
  </si>
  <si>
    <t>682 31 15 83</t>
  </si>
  <si>
    <t>SmartTransEu</t>
  </si>
  <si>
    <t>C. Estebbuna, Número 4, 29680 Estepona, Málaga</t>
  </si>
  <si>
    <t>Estepona</t>
  </si>
  <si>
    <t>smarttransporteu.com</t>
  </si>
  <si>
    <t>671 19 25 91</t>
  </si>
  <si>
    <t>info@smarttransporteu.com</t>
  </si>
  <si>
    <t>Guardamuebles y Mudanzas Sotogrande</t>
  </si>
  <si>
    <t>C. Gaucin, 29692 El Secadero, Málaga</t>
  </si>
  <si>
    <t>El Secadero</t>
  </si>
  <si>
    <t>guarda-muebles.com</t>
  </si>
  <si>
    <t>952 85 40 28</t>
  </si>
  <si>
    <t>nfo@guarda-muebles.com</t>
  </si>
  <si>
    <t>Mudanzas y Portes Paco</t>
  </si>
  <si>
    <t>C. Carboneros, 5, 11300 La Línea de la Concepción, Cádiz</t>
  </si>
  <si>
    <t>La Línea de la Concepción</t>
  </si>
  <si>
    <t>632 24 80 99</t>
  </si>
  <si>
    <t>Marbella Moving, Mudanzas y Guardamuebles</t>
  </si>
  <si>
    <t>Calle Uranio, Pol. Ind. la Ermita, 33, 29603 Marbella, Málaga</t>
  </si>
  <si>
    <t>marbellamoving.com</t>
  </si>
  <si>
    <t>952 77 84 51</t>
  </si>
  <si>
    <t>mudanzas@marbellamoving.com</t>
  </si>
  <si>
    <t>🚚Mudanzas Spacio Sotogrande, Guardamuebles, Trasteros</t>
  </si>
  <si>
    <t>Av. de la Marina, 11310 Sotogrande, Cádiz</t>
  </si>
  <si>
    <t>Sotogrande</t>
  </si>
  <si>
    <t>mudanzasensotogrande.com</t>
  </si>
  <si>
    <t>952 00 32 22</t>
  </si>
  <si>
    <t>Rock Removals</t>
  </si>
  <si>
    <t>Gardiners Views, Gibraltar GX11 1AA, Gibraltar</t>
  </si>
  <si>
    <t>Gibraltar</t>
  </si>
  <si>
    <t>rock-removals.business.site</t>
  </si>
  <si>
    <t>+350 54011228</t>
  </si>
  <si>
    <t>Integrated Relocation Spain</t>
  </si>
  <si>
    <t>Sierra Bermeja, C. Sierra Bermeja, 48, 11311 San Roque, Cádiz</t>
  </si>
  <si>
    <t>San Roque</t>
  </si>
  <si>
    <t>i-r-spain.com</t>
  </si>
  <si>
    <t>956 69 59 49</t>
  </si>
  <si>
    <t>Gibraltar Moving</t>
  </si>
  <si>
    <t>Europa Rd, Gibraltar GX11 1AA, Gibraltar</t>
  </si>
  <si>
    <t>gibraltarmoving.com</t>
  </si>
  <si>
    <t>+350 54075400</t>
  </si>
  <si>
    <t>info@GibraltarMoving.com</t>
  </si>
  <si>
    <t>Bishops Move Spain S.L.</t>
  </si>
  <si>
    <t>Av. Huelva, 11314 Campamento, Cádiz</t>
  </si>
  <si>
    <t>Campamento</t>
  </si>
  <si>
    <t>DELBOX TRASTEROS</t>
  </si>
  <si>
    <t>Ctra. Málaga, 65, 11205 Algeciras, Cádiz</t>
  </si>
  <si>
    <t>Algeciras</t>
  </si>
  <si>
    <t>delboxtrasteros.com</t>
  </si>
  <si>
    <t>699 36 92 38</t>
  </si>
  <si>
    <t>info@delbox.es</t>
  </si>
  <si>
    <t>Mudanzas Del Río</t>
  </si>
  <si>
    <t>659 04 97 44</t>
  </si>
  <si>
    <t>Mudanzas Alicante. (Metropolitana S. L)</t>
  </si>
  <si>
    <t>Av. Dr. Rico, 6, 03005 Alicante</t>
  </si>
  <si>
    <t>601 04 09 31</t>
  </si>
  <si>
    <t>Mudanzas y Guardamuebles Alicante Gil Stauffer</t>
  </si>
  <si>
    <t>C. Tauro, 5, 03009 Alicante</t>
  </si>
  <si>
    <t>965 25 05 33</t>
  </si>
  <si>
    <t>Mudanzas Ebm</t>
  </si>
  <si>
    <t>C. de las Artes Gráficas, 10, 03008 Alicante</t>
  </si>
  <si>
    <t>mudanzasebm.es</t>
  </si>
  <si>
    <t>965 67 01 71</t>
  </si>
  <si>
    <t>Mudanzas Alicante Madrid</t>
  </si>
  <si>
    <t>Av. Padre Espla, 53, Piso 6 puerta 3, 03013 Alicante</t>
  </si>
  <si>
    <t>mudanzasalicantemadrid.com</t>
  </si>
  <si>
    <t>info@ecoportes.es</t>
  </si>
  <si>
    <t>Mudanzas Alicante los primos SL.</t>
  </si>
  <si>
    <t>Carrer Llinares, n11, 03010 Alacant, Alicante</t>
  </si>
  <si>
    <t>mudanzaslosprimos.com</t>
  </si>
  <si>
    <t>966 50 98 13</t>
  </si>
  <si>
    <t>Mudanzas Alicante - Ecoportes Express</t>
  </si>
  <si>
    <t>Av. Maisonnave, 41, 03003 Alicante</t>
  </si>
  <si>
    <t>mudanzasalicante.com</t>
  </si>
  <si>
    <t>691 14 04 58</t>
  </si>
  <si>
    <t>Mudanzas alicante San Vicente del Raspeig SIGMA S.L.</t>
  </si>
  <si>
    <t>Cª/Sevilla nº38, C. Tauro, Nº5, 2ºizq, 03006 Alicante</t>
  </si>
  <si>
    <t>637 72 52 93</t>
  </si>
  <si>
    <t>MUDANZAS MBA ALICANTE</t>
  </si>
  <si>
    <t>C/ Viento, 9, 03006 Alicante</t>
  </si>
  <si>
    <t>mudanzasmba.es</t>
  </si>
  <si>
    <t>966 23 80 50</t>
  </si>
  <si>
    <t>webmaster@mudanzasmba.es</t>
  </si>
  <si>
    <t>Mudanzas y Guardamuebles Barbero S.L.</t>
  </si>
  <si>
    <t>C. Nieve, 25, 03006 Pol. Ind. Pla de la Vallonga, Alicante</t>
  </si>
  <si>
    <t>Polígono Industrial Pla de la Vallonga</t>
  </si>
  <si>
    <t>mudanzasbarbero.com</t>
  </si>
  <si>
    <t>965 11 41 17</t>
  </si>
  <si>
    <t>Agustrans | Mudanzas en Alicante | Guardamuebles en Alicante</t>
  </si>
  <si>
    <t>Polígono Industrial el Canastell, C. Torno, 7, 03690 Sant Vicent del Raspeig, Alicante</t>
  </si>
  <si>
    <t>mudanzas-en-alicante.es</t>
  </si>
  <si>
    <t>965 67 20 93</t>
  </si>
  <si>
    <t>info@mudanzasagustrans.com</t>
  </si>
  <si>
    <t>Mudanzas y Transportes Herrero</t>
  </si>
  <si>
    <t>Agost</t>
  </si>
  <si>
    <t>mudanzastransportesherrero.es</t>
  </si>
  <si>
    <t>635 81 49 77</t>
  </si>
  <si>
    <t>Portes y Mudanzas FR Express</t>
  </si>
  <si>
    <t>C. Pintor Pedro Camacho, 5, portal 11 1-A, 03009 Alicante</t>
  </si>
  <si>
    <t>602 32 03 82</t>
  </si>
  <si>
    <t>Mudanzas y Guardamuebles Sigma S.L.</t>
  </si>
  <si>
    <t>C. Tauro, 03006 Alicante</t>
  </si>
  <si>
    <t>MUDANZAS ALICANTE</t>
  </si>
  <si>
    <t>03006 Polígono Industrial Pla de la Vallonga, Alicante</t>
  </si>
  <si>
    <t>mudanzasalicante.net</t>
  </si>
  <si>
    <t>665 15 20 40</t>
  </si>
  <si>
    <t>Mudanzas LGM</t>
  </si>
  <si>
    <t>C. Médico Antonio Arroyo, 2, 03005 Alicante</t>
  </si>
  <si>
    <t>965 68 18 78</t>
  </si>
  <si>
    <t>Mudanzas y Portes MPL</t>
  </si>
  <si>
    <t>C. Padre Recaredo de Los Rios, 52, BLOQUE 8 2º DERECHA, 03005 Alicante</t>
  </si>
  <si>
    <t>666 03 46 43</t>
  </si>
  <si>
    <t>Mudanzas en Alicante - Guirao</t>
  </si>
  <si>
    <t>Placa de los Luceros, 7, 03003 Alacant, Alicante</t>
  </si>
  <si>
    <t>Mudanzas Castelló</t>
  </si>
  <si>
    <t>C. del Capitán Segarra, 31, 03004 Alicante</t>
  </si>
  <si>
    <t>667 61 34 57</t>
  </si>
  <si>
    <t>Mudanzas Gonatrans</t>
  </si>
  <si>
    <t>C. Torno, 22, 03690 Sant Vicent del Raspeig, Alicante</t>
  </si>
  <si>
    <t>mudanzasgonatrans.com</t>
  </si>
  <si>
    <t>965 12 80 72</t>
  </si>
  <si>
    <t>info@mudanzasgonatrans.com</t>
  </si>
  <si>
    <t>Alicante Mudanzas</t>
  </si>
  <si>
    <t>C/ Almte., s/n, 03550 Sant Joan d&amp;apos;Alacant, Alicante</t>
  </si>
  <si>
    <t>San Juan de Alicante</t>
  </si>
  <si>
    <t>alicantemudanzas.com</t>
  </si>
  <si>
    <t>609 61 95 94</t>
  </si>
  <si>
    <t>info@alicantemudanzas.es</t>
  </si>
  <si>
    <t>Euro Monde S.L.</t>
  </si>
  <si>
    <t>C. Vial de los Cipreses, 6, 1º, 03006 Alicante</t>
  </si>
  <si>
    <t>965 11 46 25</t>
  </si>
  <si>
    <t>Mudanzas El Joven S.L.U</t>
  </si>
  <si>
    <t>Calle del Dr. Ayela, 14, 03013 Alicante</t>
  </si>
  <si>
    <t>965 20 65 79</t>
  </si>
  <si>
    <t>Mudanzas Bastidas</t>
  </si>
  <si>
    <t>C. Pinoso, 17, 03012 Alicante</t>
  </si>
  <si>
    <t>617 78 63 04</t>
  </si>
  <si>
    <t>ABC MUDANZAS</t>
  </si>
  <si>
    <t>C. Gral. Ros de Olano, 9, 03010 Alicante</t>
  </si>
  <si>
    <t>666 95 19 34</t>
  </si>
  <si>
    <t>Mudanzas Benacantil</t>
  </si>
  <si>
    <t>Avinguda Novelda, 17, 03009 Alacant, Alicante</t>
  </si>
  <si>
    <t>MUDANZAS Y PORTES ALICANTE</t>
  </si>
  <si>
    <t>MUDANZAS HURTADO TRANSPORTES Y LOGISTICA</t>
  </si>
  <si>
    <t>Carrer Granada, 03011 Alacant, Alicante</t>
  </si>
  <si>
    <t>611 62 65 21</t>
  </si>
  <si>
    <t>Siraes</t>
  </si>
  <si>
    <t>C. Torno, 3, 03690 Sant Vicent del Raspeig, Alicante</t>
  </si>
  <si>
    <t>siraes.es</t>
  </si>
  <si>
    <t>965 27 70 70</t>
  </si>
  <si>
    <t>MUDANZAS EBM</t>
  </si>
  <si>
    <t>Pol. Ind. Canastell 18-H Nave 3, 03690 San Vicente, Alicante</t>
  </si>
  <si>
    <t>Mudanzas TRF, Empresa De Mudanzas</t>
  </si>
  <si>
    <t>de Canastell, C. el Martillo, 40, B Polígono, 03690 Sant Vicent del Raspeig, Alicante</t>
  </si>
  <si>
    <t>mudanzastrf.com</t>
  </si>
  <si>
    <t>620 94 15 84</t>
  </si>
  <si>
    <t>Tecno Mudanzas Rojas</t>
  </si>
  <si>
    <t>C. San Antonio, 12, 14, 03690 Sant Vicent del Raspeig, Alicante</t>
  </si>
  <si>
    <t>619 08 46 99</t>
  </si>
  <si>
    <t>Bishopsmove Iberia</t>
  </si>
  <si>
    <t>Av. Maisonnave, 23, 03003 Alicante</t>
  </si>
  <si>
    <t>bishopsmove.com</t>
  </si>
  <si>
    <t>965 28 34 18</t>
  </si>
  <si>
    <t>enquiries@bishopsmove.com</t>
  </si>
  <si>
    <t>Mudanzas Sánchez</t>
  </si>
  <si>
    <t>Av. de la Condomina, 83, 03540 Alacant, Alicante</t>
  </si>
  <si>
    <t>965 26 45 72</t>
  </si>
  <si>
    <t>MUDANZAS ALICANTE BS</t>
  </si>
  <si>
    <t>Saytos Benjamin</t>
  </si>
  <si>
    <t>C. Doña Dolsa, 5, 3 izq, 03016 Alicante</t>
  </si>
  <si>
    <t>651 35 29 18</t>
  </si>
  <si>
    <t>Mudanzas y Guardamuebles Barbero Alicante</t>
  </si>
  <si>
    <t>C. Ramón y Cajal, 3, 03110 Mutxamel, Alicante</t>
  </si>
  <si>
    <t>Mutxamel</t>
  </si>
  <si>
    <t>Montajes Muebles,guardamuebles Y Mudanzas</t>
  </si>
  <si>
    <t>Carrer de les Àncores, 4, 6, 03560 El Campello, Alicante</t>
  </si>
  <si>
    <t>Campello</t>
  </si>
  <si>
    <t>Gias</t>
  </si>
  <si>
    <t>Avinguda de Dénia, 155, 03015 Alacant, Alicante</t>
  </si>
  <si>
    <t>vectalia.es</t>
  </si>
  <si>
    <t>902 10 69 92</t>
  </si>
  <si>
    <t>Mudanzas &amp;amp; portes Economicos</t>
  </si>
  <si>
    <t>03010 Alicante</t>
  </si>
  <si>
    <t>673 42 92 65</t>
  </si>
  <si>
    <t>Mudanzas Moreno Alicante</t>
  </si>
  <si>
    <t>624 21 79 34</t>
  </si>
  <si>
    <t>portes y mudanzas hector</t>
  </si>
  <si>
    <t>Camí del Carreret, 03690 Alacant, Alicante</t>
  </si>
  <si>
    <t>605 26 30 34</t>
  </si>
  <si>
    <t>Mudanzas Guerrero</t>
  </si>
  <si>
    <t>Partida, C. 6, 3, 03206 Carrus, Alicante</t>
  </si>
  <si>
    <t>Carrús</t>
  </si>
  <si>
    <t>mudanzasguerrero.net</t>
  </si>
  <si>
    <t>965 45 18 11</t>
  </si>
  <si>
    <t>MUDANZAS GIL STAUFFER ALICANTE</t>
  </si>
  <si>
    <t>Carrer Altea, 67, 03330 Polígon Industrial Catxapets, Alicante</t>
  </si>
  <si>
    <t>Pol. Ind. Cachapets</t>
  </si>
  <si>
    <t>Mudanzas Luar</t>
  </si>
  <si>
    <t>03690 Sant Vicent del Raspeig, Alicante</t>
  </si>
  <si>
    <t>640 04 11 00</t>
  </si>
  <si>
    <t>MUDANZAS ALICANTE GIL STAUFFER</t>
  </si>
  <si>
    <t>C. del Yunque, 9, 03690 Sant Vicent del Raspeig, Alicante</t>
  </si>
  <si>
    <t>BENIPORTES - Mudanzas en Benidorm, Alicante</t>
  </si>
  <si>
    <t>CALLE CASTELLON, 8, 03509 Polígono Industrial, Alicante</t>
  </si>
  <si>
    <t>beniportes.com</t>
  </si>
  <si>
    <t>608 87 99 18</t>
  </si>
  <si>
    <t>info@beniportes.com</t>
  </si>
  <si>
    <t>Mudanzas Alinop</t>
  </si>
  <si>
    <t>689 24 64 80</t>
  </si>
  <si>
    <t>Mudanzas Las Naciones : Alicante</t>
  </si>
  <si>
    <t>Edificio 5 torres, Av. Ausiàs March, 1, 03560 El Campello, Alicante</t>
  </si>
  <si>
    <t>965 63 44 92</t>
  </si>
  <si>
    <t>Mudanzas Económicas Fermín</t>
  </si>
  <si>
    <t>Carrer Puig Coronat, 5, 03560 El Campello, Alicante</t>
  </si>
  <si>
    <t>626 14 77 04</t>
  </si>
  <si>
    <t>Mudanzas Alicante (Particular)</t>
  </si>
  <si>
    <t>C. del Parque Miño, 51, 03177 San Fulgencio, Alicante</t>
  </si>
  <si>
    <t>San Fulgencio</t>
  </si>
  <si>
    <t>688 32 27 05</t>
  </si>
  <si>
    <t>Mudanzas y Guardamuebles Alcoy (Alicante)</t>
  </si>
  <si>
    <t>Av. Tirant lo Blanc, 2, 03802 Alcoi, Alicante</t>
  </si>
  <si>
    <t>Alcoy</t>
  </si>
  <si>
    <t>965 52 54 75</t>
  </si>
  <si>
    <t>Mudanzas Fernández</t>
  </si>
  <si>
    <t>Carrer Vicente Blasco Ibáñez, 72, 03201 Elx, Alicante</t>
  </si>
  <si>
    <t>Elche</t>
  </si>
  <si>
    <t>666 58 47 87</t>
  </si>
  <si>
    <t>Mudanzas Y Transportes Denia</t>
  </si>
  <si>
    <t>Ronda de les Muralles, 25B, 03700 Dénia, Alicante</t>
  </si>
  <si>
    <t>Mudanzas La Torre</t>
  </si>
  <si>
    <t>C. Pina, 21, Bajo, 30009 Murcia</t>
  </si>
  <si>
    <t>mudanzaslatorre.com</t>
  </si>
  <si>
    <t>968 28 60 66</t>
  </si>
  <si>
    <t>info@mudanzaslatorre.com</t>
  </si>
  <si>
    <t>Mudanzas Grande</t>
  </si>
  <si>
    <t>Calle Puerto del Perello, 3, Parque Logistico de Valencia, 46190 Riba-roja de Túria, Valencia</t>
  </si>
  <si>
    <t>Ribarroja de Turia</t>
  </si>
  <si>
    <t>mudanzas-grande.com</t>
  </si>
  <si>
    <t>961 64 08 39</t>
  </si>
  <si>
    <t>MUDANZAS Y TRANSPORTES MANUEL</t>
  </si>
  <si>
    <t>Cam. Ullal de la Comare, 29, 12100 Castellón de la Plana, Castellón</t>
  </si>
  <si>
    <t>646 09 82 26</t>
  </si>
  <si>
    <t>MUDANZAS BARATAS CASTELLON</t>
  </si>
  <si>
    <t>Aín</t>
  </si>
  <si>
    <t>679 47 39 20</t>
  </si>
  <si>
    <t>HN Servicios Integrales</t>
  </si>
  <si>
    <t>12004 Castellón de la Plana, Castellón</t>
  </si>
  <si>
    <t>hnserviciosintegrales.com</t>
  </si>
  <si>
    <t>633 87 56 96</t>
  </si>
  <si>
    <t>Mudanzas y Guardamuebles Castellon La Seda</t>
  </si>
  <si>
    <t>Polígono Industrial Los Cipreses, C. Mar Negro, 25, 12006 Castellón de la Plana, Castellón</t>
  </si>
  <si>
    <t>mudanzascastellon-laseda.es</t>
  </si>
  <si>
    <t>964 88 02 18</t>
  </si>
  <si>
    <t>Mudanzas Escudero</t>
  </si>
  <si>
    <t>Carrer de Vinaròs, 3, 12004 Castelló de la Plana, Castelló</t>
  </si>
  <si>
    <t>642 16 09 17</t>
  </si>
  <si>
    <t>Carrer les Pells, 11, 12600 La Vall d&amp;apos;Uixó, Castelló</t>
  </si>
  <si>
    <t>Vall de Uxó</t>
  </si>
  <si>
    <t>964 63 05 30</t>
  </si>
  <si>
    <t>subastas de transportes reca2</t>
  </si>
  <si>
    <t>Mudanzas Tortosa | Mudanzas en Valencia</t>
  </si>
  <si>
    <t>Carrer de Joaquin Benlloch, 87, 46026 València, Valencia</t>
  </si>
  <si>
    <t>mudanzastortosa.com</t>
  </si>
  <si>
    <t>963 78 49 24</t>
  </si>
  <si>
    <t>mudanzas@mudanzastortosa.com</t>
  </si>
  <si>
    <t>Mudanzas Mudanval</t>
  </si>
  <si>
    <t>Carrer de Fra Pere Vives, 22, 46009 València, Valencia</t>
  </si>
  <si>
    <t>mudanval.com</t>
  </si>
  <si>
    <t>963 21 14 45</t>
  </si>
  <si>
    <t>info@mudanval.com</t>
  </si>
  <si>
    <t>Mudanzas José Vidal Valencia</t>
  </si>
  <si>
    <t>Carrer de Yecla, 8, 46021 València, Valencia</t>
  </si>
  <si>
    <t>mudanzasjosevidal.com</t>
  </si>
  <si>
    <t>659 56 22 98</t>
  </si>
  <si>
    <t>info@mudanzasjosevidal.com</t>
  </si>
  <si>
    <t>Gran Via de Ferran el Catòlic, 46008 Valencia</t>
  </si>
  <si>
    <t>Carrer de Jaume Roig, 24, bajo, 46010 València, Valencia</t>
  </si>
  <si>
    <t>grande.es</t>
  </si>
  <si>
    <t>Mudanzas La Parrandera Valencia</t>
  </si>
  <si>
    <t>Carrer de Santiago Calatrava Arquitecte, 8, 18, 46035 Valencia</t>
  </si>
  <si>
    <t>627 51 92 84</t>
  </si>
  <si>
    <t>Mudanzas David valencia</t>
  </si>
  <si>
    <t>Ademuz</t>
  </si>
  <si>
    <t>mudanzasdavidvalencia.es</t>
  </si>
  <si>
    <t>629 65 28 12</t>
  </si>
  <si>
    <t>clientes@mudanzasdavidvalencia.es</t>
  </si>
  <si>
    <t>Mudanzas y Elevaciones El Micalet.</t>
  </si>
  <si>
    <t>Carrer dels Jurats, 3, 46018 València, Valencia</t>
  </si>
  <si>
    <t>632 76 34 18</t>
  </si>
  <si>
    <t>MUDANZAS VALENCIA GIL STAUFFER</t>
  </si>
  <si>
    <t>B, Carrer del Poligon, 5, 46960 Aldaia, Valencia</t>
  </si>
  <si>
    <t>Aldaya</t>
  </si>
  <si>
    <t>961 92 12 12</t>
  </si>
  <si>
    <t>Mudanzas Economicas Valencia-Barcelona</t>
  </si>
  <si>
    <t>valentins planels 1, C. Federico Maicas, 14, 46900 Torrent, Valencia</t>
  </si>
  <si>
    <t>Torrent</t>
  </si>
  <si>
    <t>mudanzasboxer.com</t>
  </si>
  <si>
    <t>656 88 70 43</t>
  </si>
  <si>
    <t>San Antonio Mudanzas</t>
  </si>
  <si>
    <t>Polígono Industrial Fuente del Jarro, Carrer Islas Canarias, 11, 46988 Paterna, Valencia</t>
  </si>
  <si>
    <t>Paterna</t>
  </si>
  <si>
    <t>sanantoniomudanzas.es</t>
  </si>
  <si>
    <t>961 35 05 77</t>
  </si>
  <si>
    <t>MUDANZAS PLAZA VALENCIA</t>
  </si>
  <si>
    <t>Carrer de Fray Francisco Cabezas, 13,4, 16, 46019 Valencia</t>
  </si>
  <si>
    <t>603 61 78 28</t>
  </si>
  <si>
    <t>Mudanzas Contmar</t>
  </si>
  <si>
    <t>Carrer del Mestre Serrano, 5, 46920 Mislata, Valencia</t>
  </si>
  <si>
    <t>contmar.com</t>
  </si>
  <si>
    <t>644 04 40 87</t>
  </si>
  <si>
    <t>admin@contmar.com</t>
  </si>
  <si>
    <t>Mudanzas y portes LIDER</t>
  </si>
  <si>
    <t>Gran Via de Ferran el Catòlic, 1, 46008 Valencia</t>
  </si>
  <si>
    <t>632 38 59 67</t>
  </si>
  <si>
    <t>PORTES VALENCIA - Envíos, recogidas y pequeñas mudanzas en Valencia</t>
  </si>
  <si>
    <t>portesvalencia.com</t>
  </si>
  <si>
    <t>674 98 33 90</t>
  </si>
  <si>
    <t>Mudanzas Jbm Valencia</t>
  </si>
  <si>
    <t>46002 Valencia</t>
  </si>
  <si>
    <t>mudanzasjbmvalencia.es</t>
  </si>
  <si>
    <t>618 24 20 09</t>
  </si>
  <si>
    <t>info@mudanzasjbmvalencia.es</t>
  </si>
  <si>
    <t>Transportes Roman</t>
  </si>
  <si>
    <t>Carrer de la Pobla de Farnals, 50, 46022 València, Valencia</t>
  </si>
  <si>
    <t>transportesroman.com</t>
  </si>
  <si>
    <t>649 55 40 07</t>
  </si>
  <si>
    <t>MUDANZAS EN VALENCIA - Mudanzavalencia.es</t>
  </si>
  <si>
    <t>Camí Vell d&amp;apos;Albal, 20, 46469 Beniparrell, Valencia</t>
  </si>
  <si>
    <t>Beniparrell</t>
  </si>
  <si>
    <t>mudanzavalencia.es</t>
  </si>
  <si>
    <t>610 26 42 34</t>
  </si>
  <si>
    <t>Empresa de mudanzas Valencia - Signes</t>
  </si>
  <si>
    <t>Carrer de Sevilla, 7, 46006 València, Valencia</t>
  </si>
  <si>
    <t>empresademudanzasvalencia.es</t>
  </si>
  <si>
    <t>672 14 99 59</t>
  </si>
  <si>
    <t>Inter-Servis Mudanzas</t>
  </si>
  <si>
    <t>Carrer del Moble, 4, 46469 Beniparrell, Valencia</t>
  </si>
  <si>
    <t>interservis-mudanzas.es</t>
  </si>
  <si>
    <t>961 34 12 95</t>
  </si>
  <si>
    <t>Mudanzas Baratas Valencia - Mudanzas Los Guapos</t>
  </si>
  <si>
    <t>Carrer del Professor Blanco, 14, 46014 València, Valencia</t>
  </si>
  <si>
    <t>605 08 53 69</t>
  </si>
  <si>
    <t>Urgmudanzas y transporte urgente</t>
  </si>
  <si>
    <t>Av. de Sant Josep Artesà, 15, 46025 València, Valencia</t>
  </si>
  <si>
    <t>671 38 69 21</t>
  </si>
  <si>
    <t>JJMUDANZAS</t>
  </si>
  <si>
    <t>Carrer del Cid, 23, 11, 46980 Paterna, Valencia</t>
  </si>
  <si>
    <t>jjmudanzasvalencia.es</t>
  </si>
  <si>
    <t>647 90 86 72</t>
  </si>
  <si>
    <t>Euromonde moving</t>
  </si>
  <si>
    <t>Carrer de Borriana, 21, 46005 València, Valencia</t>
  </si>
  <si>
    <t>euromondemoving.com</t>
  </si>
  <si>
    <t>616 63 70 01</t>
  </si>
  <si>
    <t>info@euromondemoving.com</t>
  </si>
  <si>
    <t>MudanzasValencia.NET</t>
  </si>
  <si>
    <t>Av. d&amp;apos;Ausiàs March, 64, 46017 València, Valencia</t>
  </si>
  <si>
    <t>mudanzasvalencia.net</t>
  </si>
  <si>
    <t>600 73 66 41</t>
  </si>
  <si>
    <t>info@mudanzasvalencia.net</t>
  </si>
  <si>
    <t>Mudanzas Russafa</t>
  </si>
  <si>
    <t>Carrer Botiguers, 3, 1 J, 46988 Paterna, Valencia</t>
  </si>
  <si>
    <t>mudanzasrussafa.com</t>
  </si>
  <si>
    <t>603 28 01 71</t>
  </si>
  <si>
    <t>comercial@mudanzasrussafa.com</t>
  </si>
  <si>
    <t>Portes y Mudanzas Nelson</t>
  </si>
  <si>
    <t>Carrer de Rafael Lapesa Melgar Gramatic i Lingüista, 8, puerta 44, 46017 València, Valencia</t>
  </si>
  <si>
    <t>mudanzaenvalencia.com</t>
  </si>
  <si>
    <t>634 22 35 34</t>
  </si>
  <si>
    <t>mudanzas grande canarias</t>
  </si>
  <si>
    <t>mudanzas-grandecanarias.es</t>
  </si>
  <si>
    <t>828 04 81 56</t>
  </si>
  <si>
    <t>Mudanzas Benicalap</t>
  </si>
  <si>
    <t>Carrer del Poeta Ricard Sanmartí, 26, 46020 València, Valencia</t>
  </si>
  <si>
    <t>mudanzasbenicalap.com</t>
  </si>
  <si>
    <t>963 01 81 11</t>
  </si>
  <si>
    <t>info@mudanzasbenicalap.com</t>
  </si>
  <si>
    <t>Mudanzas Pedraza</t>
  </si>
  <si>
    <t>Carrer de l&amp;apos;Humanista Mariner, 16, 46018 València, Valencia</t>
  </si>
  <si>
    <t>963 77 00 76</t>
  </si>
  <si>
    <t>Mudanzas Valencia Gil Stauffer</t>
  </si>
  <si>
    <t>Carrer d&amp;apos;Aparisi i Guijarro, 4, 46003 València, Valencia</t>
  </si>
  <si>
    <t>Transporte de la rosa</t>
  </si>
  <si>
    <t>Carrer de Sueca, 3, 46006 València, Valencia</t>
  </si>
  <si>
    <t>685 84 87 25</t>
  </si>
  <si>
    <t>MUDANZAS ESPAÑA</t>
  </si>
  <si>
    <t>Carrer de la Pau, 36, 46003 València, Valencia</t>
  </si>
  <si>
    <t>624 44 63 83</t>
  </si>
  <si>
    <t>MUDANZAS DE PISOS EN VALENCIA - Mudanzas Boxer</t>
  </si>
  <si>
    <t>Carrer de Valentín Planells, s/n, 46900 Torrent, Valencia</t>
  </si>
  <si>
    <t>Mudanzas EBM</t>
  </si>
  <si>
    <t>C/ ÀNECS, 9 POL. IND. LA ERMITA, 46430 Sollana, Valencia</t>
  </si>
  <si>
    <t>Sollana</t>
  </si>
  <si>
    <t>mudanzasvalenciabaratas.es</t>
  </si>
  <si>
    <t>966 44 80 61</t>
  </si>
  <si>
    <t>leaflet@1.5.1</t>
  </si>
  <si>
    <t>Mudanzas Valencia David</t>
  </si>
  <si>
    <t>Carrer Major, 46, 46920 València, Valencia</t>
  </si>
  <si>
    <t>Mudanzas Ideal</t>
  </si>
  <si>
    <t>Carrer del Cid, 1, 46980 Paterna, Valencia</t>
  </si>
  <si>
    <t>633 44 34 35</t>
  </si>
  <si>
    <t>Mudanzas abeja</t>
  </si>
  <si>
    <t>Av. del Puerto, 97, 46022 Valencia</t>
  </si>
  <si>
    <t>660 14 55 04</t>
  </si>
  <si>
    <t>Mudanzas Castellar</t>
  </si>
  <si>
    <t>Carrer de la Fortuna, 11, 46013 València, Valencia</t>
  </si>
  <si>
    <t>961 16 31 74</t>
  </si>
  <si>
    <t>MUDANZAS EN VALENCIA</t>
  </si>
  <si>
    <t>C. Jaume I, 54, 46970 Alaquàs, Valencia</t>
  </si>
  <si>
    <t>Alacuás</t>
  </si>
  <si>
    <t>mudanzas-en-valencia.com</t>
  </si>
  <si>
    <t>Mudanzas y Transportes Saeda</t>
  </si>
  <si>
    <t>Plaça del Xúquer, 10, 46021 València, Valencia</t>
  </si>
  <si>
    <t>960 72 34 85</t>
  </si>
  <si>
    <t>MUDANZAS Y SERVICIOS OLIVER</t>
  </si>
  <si>
    <t>Plaza CASTILLO DE JERICA, 46017 València, Valencia</t>
  </si>
  <si>
    <t>657 11 11 43</t>
  </si>
  <si>
    <t>GUARDAMUEBLES VALENCIA GIL STAUFFER</t>
  </si>
  <si>
    <t>Carrer de Cavanilles, 30, 46010 València, Valencia</t>
  </si>
  <si>
    <t>Mudanzas Internacionales Ecuador Richard Coronel</t>
  </si>
  <si>
    <t>Av. Ricard Hernández, 26, puerta 30, 46290 Alcàsser, Valencia</t>
  </si>
  <si>
    <t>Alcácer</t>
  </si>
  <si>
    <t>963 21 37 28</t>
  </si>
  <si>
    <t>Mudanzas Fernando</t>
  </si>
  <si>
    <t>C/ Pizarro, 1, (Pol. In. Areopuerto, 46940 Manises, Valencia</t>
  </si>
  <si>
    <t>Manises</t>
  </si>
  <si>
    <t>plataformaselevadorasvalencia.es</t>
  </si>
  <si>
    <t>628 86 52 23</t>
  </si>
  <si>
    <t>Marian Signes Mudanzas Internacionales</t>
  </si>
  <si>
    <t>Ctra. Madrid-Valencia, Km 343, Nave 4, 46930 Valencia</t>
  </si>
  <si>
    <t>Collado</t>
  </si>
  <si>
    <t>mariansignesmudanzas.com</t>
  </si>
  <si>
    <t>902 10 10 29</t>
  </si>
  <si>
    <t>info@mariansignesmudanzas.com</t>
  </si>
  <si>
    <t>Furgonetas Mudanzas</t>
  </si>
  <si>
    <t>Carrer de Barcelona, 6, 46003 València, Valencia</t>
  </si>
  <si>
    <t>635 13 11 13</t>
  </si>
  <si>
    <t>Edob Servicios y Medios S.L</t>
  </si>
  <si>
    <t>Carrer dels Palleters, 18, 46120 Alboraia, Valencia</t>
  </si>
  <si>
    <t>edob.net</t>
  </si>
  <si>
    <t>961 86 94 65</t>
  </si>
  <si>
    <t>Mudanzas Muvitrans con elevador</t>
  </si>
  <si>
    <t>Carrer Matricers, 34, 46133 Meliana, Valencia</t>
  </si>
  <si>
    <t>Meliana</t>
  </si>
  <si>
    <t>muvitrans.com</t>
  </si>
  <si>
    <t>961 48 12 94</t>
  </si>
  <si>
    <t>info@muvitrans.com</t>
  </si>
  <si>
    <t>Mudanzas y Transportes Cerezo</t>
  </si>
  <si>
    <t>Av. Cid, 2, 20, 46136 Museros, Valencia</t>
  </si>
  <si>
    <t>mudanzascerezo.com</t>
  </si>
  <si>
    <t>963 72 85 12</t>
  </si>
  <si>
    <t>Mudanzas turia</t>
  </si>
  <si>
    <t>C. Francisco Alcaide, 8, 46183 L&amp;apos;Eliana, Valencia</t>
  </si>
  <si>
    <t>La Eliana</t>
  </si>
  <si>
    <t>mudanzasturia.com</t>
  </si>
  <si>
    <t>656 87 48 99</t>
  </si>
  <si>
    <t>info@mudanzasturia.com</t>
  </si>
  <si>
    <t>Transportes Valencia</t>
  </si>
  <si>
    <t>Av. del Mediterráneo, 46910 Alfafar, Valencia</t>
  </si>
  <si>
    <t>Alfafar</t>
  </si>
  <si>
    <t>644 06 09 65</t>
  </si>
  <si>
    <t>Motos Transporte</t>
  </si>
  <si>
    <t>Av. de Blasco Ibáñez, 77, 46021 València, Valencia</t>
  </si>
  <si>
    <t>931 00 09 62</t>
  </si>
  <si>
    <t>Mudanzas Transportes Valero S L</t>
  </si>
  <si>
    <t>Carrer Ciutat de Sevilla, 40, 46988 Paterna, Valencia</t>
  </si>
  <si>
    <t>961 34 04 73</t>
  </si>
  <si>
    <t>Manuel Lacruz Mudanzas</t>
  </si>
  <si>
    <t>C/ de Pintor Stolz, 71, 46018 València, Valencia</t>
  </si>
  <si>
    <t>699 70 36 82</t>
  </si>
  <si>
    <t>Mudanzas Nando</t>
  </si>
  <si>
    <t>Plaça d&amp;apos;Espanya, 1, 46950 Xirivella, Valencia</t>
  </si>
  <si>
    <t>Chirivella</t>
  </si>
  <si>
    <t>635 25 54 61</t>
  </si>
  <si>
    <t>MUDANZAS Y TRANSPORTES FAMYLI H.C</t>
  </si>
  <si>
    <t>Carrer del Nou d&amp;apos;Octubre, 46014 València, Valencia</t>
  </si>
  <si>
    <t>647 55 72 35</t>
  </si>
  <si>
    <t>MudanzasJSLL</t>
  </si>
  <si>
    <t>Carrer de Xelva, 1, 46018 València, Valencia</t>
  </si>
  <si>
    <t>643 44 04 07</t>
  </si>
  <si>
    <t>Mudanzas Mediterránea</t>
  </si>
  <si>
    <t>Camí Vell d&amp;apos;Albal, 18, 46469 Beniparrell, Valencia</t>
  </si>
  <si>
    <t>mudanzasmediterranea.es</t>
  </si>
  <si>
    <t>612 40 13 80</t>
  </si>
  <si>
    <t>info@mudanzasmediterranea.es</t>
  </si>
  <si>
    <t>Vaciados Y Mudanzas Valencia</t>
  </si>
  <si>
    <t>Calle Cor, Carrer del Coronel Montesinos, 8, BAJO, 46019 Valencia</t>
  </si>
  <si>
    <t>vaciadosymudanzasvalencia.es</t>
  </si>
  <si>
    <t>603 70 57 03</t>
  </si>
  <si>
    <t>NICOTRAST Alquiler de trasteros y minialmacenes Valencia</t>
  </si>
  <si>
    <t>Carrer de Joan Llorenç, 36, 46008 València, Valencia</t>
  </si>
  <si>
    <t>960 23 53 72</t>
  </si>
  <si>
    <t>Trasteros Públicos S.L.</t>
  </si>
  <si>
    <t>Carrer Rabisancho, 27, 46910 Alfafar, Valencia</t>
  </si>
  <si>
    <t>trasterospublicos.com</t>
  </si>
  <si>
    <t>963 18 26 59</t>
  </si>
  <si>
    <t>Mudanzas Mantis</t>
  </si>
  <si>
    <t>Carrer d&amp;apos;Alcanyís, 32, plaza, 5, puerta 13, 46019 Valencia</t>
  </si>
  <si>
    <t>671 13 82 15</t>
  </si>
  <si>
    <t>Mudanzas JMG en Valencia y resto de España.</t>
  </si>
  <si>
    <t>Carrer de Saragossa, 3, 46900 Torrent, Valencia</t>
  </si>
  <si>
    <t>679 11 63 64</t>
  </si>
  <si>
    <t>Calle Ciutat De Barcelona (Pol. Ind. Fuente Del Jarro), 1, 46980 Paterna, Valencia</t>
  </si>
  <si>
    <t>963 34 66 98</t>
  </si>
  <si>
    <t>MUDANZAS,TRANSPORTES..AL MEJOR PRECIO!!!</t>
  </si>
  <si>
    <t>google.com</t>
  </si>
  <si>
    <t>640 91 98 46</t>
  </si>
  <si>
    <t>press@google.com</t>
  </si>
  <si>
    <t>rent for students in Valencia</t>
  </si>
  <si>
    <t>Pl. d&amp;apos;Hondures, 14, 46022 València, Valencia</t>
  </si>
  <si>
    <t>696 96 95 75</t>
  </si>
  <si>
    <t>Mudanzas Romoval</t>
  </si>
  <si>
    <t>Carrer Regatxo, 11, 46920 Mislata, Valencia</t>
  </si>
  <si>
    <t>961 84 77 11</t>
  </si>
  <si>
    <t>Mudanzas Valencia Info</t>
  </si>
  <si>
    <t>Pl. Pedro Iturralde Ochoa, 7, 46900 Torrent, Valencia</t>
  </si>
  <si>
    <t>mudanzasvalenciainfo.com</t>
  </si>
  <si>
    <t>Mudanzas Moon</t>
  </si>
  <si>
    <t>Carrer de Sant Joan Bosco, 46019 València, Valencia</t>
  </si>
  <si>
    <t>616 33 16 66</t>
  </si>
  <si>
    <t>MUDANZAS NOREÑA</t>
  </si>
  <si>
    <t>46019 Valencia</t>
  </si>
  <si>
    <t>632 03 79 51</t>
  </si>
  <si>
    <t>Mudanzas y Transportes Zuleman</t>
  </si>
  <si>
    <t>Carrer de Sant Joan de la Penya, 9, 46019 València, Valencia</t>
  </si>
  <si>
    <t>transportesuliman.es</t>
  </si>
  <si>
    <t>632 80 25 64</t>
  </si>
  <si>
    <t>Correos del Mediterráneo - Empresa de mudanzas en Valencia</t>
  </si>
  <si>
    <t>Maestro Serrano nº 5 Portal 5, Puerta 8, 46132 Almàssera, Valencia</t>
  </si>
  <si>
    <t>Almácera</t>
  </si>
  <si>
    <t>647 42 65 28</t>
  </si>
  <si>
    <t>Grupo Amygo Valencia</t>
  </si>
  <si>
    <t>C/ Sequia de Mestalla, 4 P. Industrial Alqueria de Morel, 46210 Picanya, Valencia</t>
  </si>
  <si>
    <t>Picaña</t>
  </si>
  <si>
    <t>Mudanza Correct</t>
  </si>
  <si>
    <t>Carrer de Paco Pierra, 19, 46013 València, Valencia</t>
  </si>
  <si>
    <t>Carrer de l&amp;apos;Algar, 46688 L&amp;apos;algar, Valencia</t>
  </si>
  <si>
    <t>Poliñá de Júcar</t>
  </si>
  <si>
    <t>Mudanzas Multiservice</t>
  </si>
  <si>
    <t>Av. Miniaturista Meseguer, 52, puerta 6, 46035 Valencia</t>
  </si>
  <si>
    <t>mudanzasmultiservice.com</t>
  </si>
  <si>
    <t>604 28 92 82</t>
  </si>
  <si>
    <t>info@mudanzasmultiservice.com</t>
  </si>
  <si>
    <t>Mudanzas Colón</t>
  </si>
  <si>
    <t>Carrer Sant Martí, 27, 46970 Alaquàs, Valencia</t>
  </si>
  <si>
    <t>960 05 93 23</t>
  </si>
  <si>
    <t>Mudanzas Cariñena</t>
  </si>
  <si>
    <t>Carrer de Castelló, 18, 46910 Sedaví, Valencia</t>
  </si>
  <si>
    <t>Sedaví</t>
  </si>
  <si>
    <t>APILA TRASTEROS VALENCIA</t>
  </si>
  <si>
    <t>CARRETERA DEL AEROPUERTO, 8, 46930 Quart de Poblet, Valencia</t>
  </si>
  <si>
    <t>Cuart de Poblet</t>
  </si>
  <si>
    <t>apila.es</t>
  </si>
  <si>
    <t>Mudanzas Ricardo</t>
  </si>
  <si>
    <t>Carrer de Sant Jeroni, 35, PUERTA 9, 46900 Torrent, Valencia</t>
  </si>
  <si>
    <t>671 13 84 72</t>
  </si>
  <si>
    <t>Av. Corregers, 5, 46394 Riba-roja de Túria, Valencia</t>
  </si>
  <si>
    <t>961 34 44 34</t>
  </si>
  <si>
    <t>MUDANZAS ML</t>
  </si>
  <si>
    <t>C. San Juan de Ribera, 29, 46900 Aldaya, Valencia</t>
  </si>
  <si>
    <t>Transportes Pedro</t>
  </si>
  <si>
    <t>C. del Literato Azorin, 12, 46910 Benetússer, Valencia</t>
  </si>
  <si>
    <t>Benetúser</t>
  </si>
  <si>
    <t>963 75 55 83</t>
  </si>
  <si>
    <t>CA Mudanzas</t>
  </si>
  <si>
    <t>Cami Varesa Sud, 30, 46469 Beniparrell, Valencia</t>
  </si>
  <si>
    <t>Transporte de vehiculos Valencia</t>
  </si>
  <si>
    <t>Av. d&amp;apos;Ausiàs March, S/N, 46013 València, Valencia</t>
  </si>
  <si>
    <t>Mudanzas en Badajoz.Obtenga el mejor precio para su Mudanza.</t>
  </si>
  <si>
    <t>C. Mario Roso de Luna, 1, 06006 Badajoz</t>
  </si>
  <si>
    <t>678 67 05 26</t>
  </si>
  <si>
    <t>ANGELPIANOS MUDANZAS Y SERVICIOS</t>
  </si>
  <si>
    <t>Av. Castillo Puebla de Alcocer, 6, 06006 Badajoz</t>
  </si>
  <si>
    <t>MUDANZAS BADAJOZ</t>
  </si>
  <si>
    <t>C. Serrano, 3, 06008 Badajoz</t>
  </si>
  <si>
    <t>badajoz.pro</t>
  </si>
  <si>
    <t>924 24 29 87</t>
  </si>
  <si>
    <t>info@badajoz.pro</t>
  </si>
  <si>
    <t>Mudanzas Marroquín</t>
  </si>
  <si>
    <t>C. Río Segura, 13, 06006 Badajoz</t>
  </si>
  <si>
    <t>mudanzasmarroquin.es</t>
  </si>
  <si>
    <t>652 09 09 16</t>
  </si>
  <si>
    <t>info@mudanzasmarroquin.com</t>
  </si>
  <si>
    <t>Mudanzas Badajoz Rey</t>
  </si>
  <si>
    <t>Acedera</t>
  </si>
  <si>
    <t>mudanzabadajoz.es</t>
  </si>
  <si>
    <t>691 71 05 32</t>
  </si>
  <si>
    <t>Vanesa Marroquín Autorizado</t>
  </si>
  <si>
    <t>C. Río Segura, 9, 13(COMPLEJO, 06006 LA MAR, Badajoz</t>
  </si>
  <si>
    <t>924 22 26 81</t>
  </si>
  <si>
    <t>Recogida de muebles y trastos de viviendas</t>
  </si>
  <si>
    <t>Eduardo Naranjo Pintor Siglo ⅩⅩ, bloque 11, portal 4 3 b, 06009 Badajoz</t>
  </si>
  <si>
    <t>688 76 14 81</t>
  </si>
  <si>
    <t>Mudanzas Extremeñas s.l</t>
  </si>
  <si>
    <t>C. Arturo Barea Ogazón, 16, 06800 Mérida, Badajoz</t>
  </si>
  <si>
    <t>Mérida</t>
  </si>
  <si>
    <t>924 31 40 52</t>
  </si>
  <si>
    <t>C. Almendro, 17, 06400 Don Benito, Badajoz</t>
  </si>
  <si>
    <t>Don Benito</t>
  </si>
  <si>
    <t>924 80 27 83</t>
  </si>
  <si>
    <t>Mudanzas Borayta</t>
  </si>
  <si>
    <t>Carretera de Medina, nº8, 06300, Badajoz</t>
  </si>
  <si>
    <t>Zafra</t>
  </si>
  <si>
    <t>mudanzasborayta.com</t>
  </si>
  <si>
    <t>670 42 74 84</t>
  </si>
  <si>
    <t>info@mudanzasborayta.com</t>
  </si>
  <si>
    <t>Mudanzas Hidalgo Mañero</t>
  </si>
  <si>
    <t>Plaza de Óscar Arias, 6, 1A, 06800 Mérida, Badajoz</t>
  </si>
  <si>
    <t>hidalgomanero.com</t>
  </si>
  <si>
    <t>607 92 38 62</t>
  </si>
  <si>
    <t>info@hidalgomanero.com</t>
  </si>
  <si>
    <t>MUDANZAS EN BADAJOZ BORAYTA EXTREMADURA</t>
  </si>
  <si>
    <t>Carr. de Medina, nº 8, 06310 Puebla de Sancho Pérez, Badajoz</t>
  </si>
  <si>
    <t>Puebla de Sancho Pérez</t>
  </si>
  <si>
    <t>extremaduradavida.com</t>
  </si>
  <si>
    <t>SAMUREX EXTREMADURA</t>
  </si>
  <si>
    <t>C. Manolo Mira, 4, 06100 Olivenza, Badajoz</t>
  </si>
  <si>
    <t>Olivenza</t>
  </si>
  <si>
    <t>Mudanzas y transportes Campiña Sur</t>
  </si>
  <si>
    <t>C. Teniente Coronel Prieto Molina, 61, A, 06920 Azuaga, Badajoz</t>
  </si>
  <si>
    <t>Azuaga</t>
  </si>
  <si>
    <t>mudanzascampiñasur.es</t>
  </si>
  <si>
    <t>671 82 80 19</t>
  </si>
  <si>
    <t>Carlos lopez zambrano</t>
  </si>
  <si>
    <t>06300, Badajoz</t>
  </si>
  <si>
    <t>Mudanzas J.R.</t>
  </si>
  <si>
    <t>Av. Extremadura, 20, 06800 Mérida, Badajoz</t>
  </si>
  <si>
    <t>662 28 49 72</t>
  </si>
  <si>
    <t>Jesús Vicente Jiménez Marina</t>
  </si>
  <si>
    <t>Av de José Martínez Ruiz &amp;apos;Azorín&amp;apos;, 06800 Mérida, Badajoz</t>
  </si>
  <si>
    <t>Mudanzas Gómez</t>
  </si>
  <si>
    <t>C. Oaxaca, 48, 10005 Cáceres</t>
  </si>
  <si>
    <t>mudanzasgomez.com</t>
  </si>
  <si>
    <t>927 23 23 16</t>
  </si>
  <si>
    <t>info@mudanzasgomez.com</t>
  </si>
  <si>
    <t>Mudanzas Campiña Sur</t>
  </si>
  <si>
    <t>Av. Extremadura, nº 13, 06920 Azuaga, Badajoz</t>
  </si>
  <si>
    <t>C. Potosí, 28, 10005 Cáceres</t>
  </si>
  <si>
    <t>927 23 89 49</t>
  </si>
  <si>
    <t>MUDANZAS MIGUEL ANGEL</t>
  </si>
  <si>
    <t>C. San Justo, 35, 10003 Cáceres</t>
  </si>
  <si>
    <t>676 46 33 37</t>
  </si>
  <si>
    <t>Mudanzas Extremeña</t>
  </si>
  <si>
    <t>C. Antonio Reyes Huertas, 40, 10002 Cáceres</t>
  </si>
  <si>
    <t>927 22 12 51</t>
  </si>
  <si>
    <t>Mudanzas Galeano</t>
  </si>
  <si>
    <t>Pol. Ind. las Arenas, C. M, 1, 10910 Malpartida de Cáceres, Cáceres</t>
  </si>
  <si>
    <t>Malpartida de Cáceres</t>
  </si>
  <si>
    <t>mudanzasgaleano.es</t>
  </si>
  <si>
    <t>687 30 23 21</t>
  </si>
  <si>
    <t>Roberto Martín Durán</t>
  </si>
  <si>
    <t>C. Gaspar Muñoz, 63, 10004 Cáceres</t>
  </si>
  <si>
    <t>927 21 18 05</t>
  </si>
  <si>
    <t>Cacereña de Transportes Mapetrans SL</t>
  </si>
  <si>
    <t>Av. los Narros, 66, 10004 Cáceres</t>
  </si>
  <si>
    <t>927 18 29 57</t>
  </si>
  <si>
    <t>Transportes Y Mudanzas LM</t>
  </si>
  <si>
    <t>C. Conquistadores, 31, 10181 Sierra de Fuentes, Cáceres</t>
  </si>
  <si>
    <t>Sierra de Fuentes</t>
  </si>
  <si>
    <t>685 40 39 20</t>
  </si>
  <si>
    <t>Mudanzas Y Transportes Jiménez</t>
  </si>
  <si>
    <t>C. Huerto Mojado, 30, 10182 Torreorgaz, Cáceres</t>
  </si>
  <si>
    <t>Torreorgaz</t>
  </si>
  <si>
    <t>Mudanzas Alfredo</t>
  </si>
  <si>
    <t>Av. de A Coruña, 78, bajo, 27003 Lugo</t>
  </si>
  <si>
    <t>Lugo</t>
  </si>
  <si>
    <t>629 47 70 28</t>
  </si>
  <si>
    <t>mini-medi mudanzas</t>
  </si>
  <si>
    <t>Rúa Río Chamoso, 8, 27002 Lugo</t>
  </si>
  <si>
    <t>mini-medi.com</t>
  </si>
  <si>
    <t>982 22 46 02</t>
  </si>
  <si>
    <t>mini-medi@hotmail.com</t>
  </si>
  <si>
    <t>Portes y Mudanzas O Camiño</t>
  </si>
  <si>
    <t>Rúa Santiago, 70, 27004 Lugo</t>
  </si>
  <si>
    <t>982 02 33 82</t>
  </si>
  <si>
    <t>TRANSPORTES Y MUDANZAS PABLO CASTRO</t>
  </si>
  <si>
    <t>Rúa das Mercadorías, 151d, 27003 Lugo</t>
  </si>
  <si>
    <t>transportespablocastro.com</t>
  </si>
  <si>
    <t>982 87 29 37</t>
  </si>
  <si>
    <t>info@transportespablocastro.com</t>
  </si>
  <si>
    <t>Mudanzas Alameda</t>
  </si>
  <si>
    <t>Carretera N-VI, 509 Km. 509 - Parque Empresarial, 27154 Guillar, Lugo</t>
  </si>
  <si>
    <t>Guillar</t>
  </si>
  <si>
    <t>mudanzasalameda.com</t>
  </si>
  <si>
    <t>982 20 21 85</t>
  </si>
  <si>
    <t>O Rocho 2</t>
  </si>
  <si>
    <t>Rúa Montero Ríos, 13, BAJO, 27002 Lugo</t>
  </si>
  <si>
    <t>602 32 23 80</t>
  </si>
  <si>
    <t>MUDANZAS LUGO MADRID</t>
  </si>
  <si>
    <t>Av. Madrid 38, entl. D-E, 27002 Lugo</t>
  </si>
  <si>
    <t>651 51 17 26</t>
  </si>
  <si>
    <t>MUDANZAS WENCES</t>
  </si>
  <si>
    <t>Lugar as EIRAS, 22, BAJO, 27790 San Cosme de Barreiros, Lugo</t>
  </si>
  <si>
    <t>San Cosme</t>
  </si>
  <si>
    <t>679 15 57 89</t>
  </si>
  <si>
    <t>Transportes FJS</t>
  </si>
  <si>
    <t>Rúa Pintor Laxeiro, 3F, 27780 Marzán, Lugo</t>
  </si>
  <si>
    <t>Foz</t>
  </si>
  <si>
    <t>657 01 03 75</t>
  </si>
  <si>
    <t>Mudanzas en Vigo con vaciado de pisos y guardamuebles movitran</t>
  </si>
  <si>
    <t>Rúa do Xuncal, 91, 36216 Vigo, Pontevedra</t>
  </si>
  <si>
    <t>Vigo</t>
  </si>
  <si>
    <t>movitran.es</t>
  </si>
  <si>
    <t>607 61 66 86</t>
  </si>
  <si>
    <t>ejemplo@ejemplo.com</t>
  </si>
  <si>
    <t>Mudanzas 365</t>
  </si>
  <si>
    <t>Rúa Ramón Menéndez Pidal, 13, 15007 A Coruña</t>
  </si>
  <si>
    <t>mudanzas365dias.es</t>
  </si>
  <si>
    <t>697 26 00 14</t>
  </si>
  <si>
    <t>Mudanzas Organero</t>
  </si>
  <si>
    <t>avd da autovia nº 106, nave 2, 36416 Vigo, Pontevedra</t>
  </si>
  <si>
    <t>mudanzasorganero.com</t>
  </si>
  <si>
    <t>986 41 23 39</t>
  </si>
  <si>
    <t>info@mudanzasorganero.com</t>
  </si>
  <si>
    <t>Rúa de Pi y Margall, 68, 36202 Vigo, Pontevedra</t>
  </si>
  <si>
    <t>986 20 54 37</t>
  </si>
  <si>
    <t>Transportes y Mudanzas Antonio</t>
  </si>
  <si>
    <t>Av. da Habana, 16, 32003 Ourense, Province of Ourense</t>
  </si>
  <si>
    <t>transportesantonio.com</t>
  </si>
  <si>
    <t>639 30 23 98</t>
  </si>
  <si>
    <t>info@transportesantonio.com</t>
  </si>
  <si>
    <t>Mudanzas LEDO</t>
  </si>
  <si>
    <t>Praza Alfonso Alcaraz, 9, 32002 Ourense, Province of Ourense</t>
  </si>
  <si>
    <t>619 80 06 72</t>
  </si>
  <si>
    <t>Mudanzas Ourense</t>
  </si>
  <si>
    <t>Rúa 30, 3, 32002 Ourense</t>
  </si>
  <si>
    <t>Mudanzas Ourense Alberto Arce Guardamuebles en Barbadás</t>
  </si>
  <si>
    <t>Rúa Requeixo, 34, 32930 O Piñeiro, Ourense</t>
  </si>
  <si>
    <t>O Piñeiro</t>
  </si>
  <si>
    <t>608 88 87 80</t>
  </si>
  <si>
    <t>No Solo Mudanzas</t>
  </si>
  <si>
    <t>Av. Portugal, 140, 32002 Ourense, Province of Ourense</t>
  </si>
  <si>
    <t>nosolomudanzas.com</t>
  </si>
  <si>
    <t>647 63 01 65</t>
  </si>
  <si>
    <t>info@nosolomudanzas.com</t>
  </si>
  <si>
    <t>Mudanzas y Transportes Galicia</t>
  </si>
  <si>
    <t>Allariz</t>
  </si>
  <si>
    <t>mudanzasytransportesgalicia.com</t>
  </si>
  <si>
    <t>659 44 90 71</t>
  </si>
  <si>
    <t>raulgibert_s@yahoo.es</t>
  </si>
  <si>
    <t>Vaciados de Pisos-Mudanzas y portes Galicia</t>
  </si>
  <si>
    <t>Praza do Cruceiro do Polvorín, 1, 32005 Ourense</t>
  </si>
  <si>
    <t>627 31 79 21</t>
  </si>
  <si>
    <t>Transportes Pozo, S.L.</t>
  </si>
  <si>
    <t>Carretera Nacional 525 Km. 227,1, 32691 Taboadela, Province of Ourense</t>
  </si>
  <si>
    <t>Taboadela</t>
  </si>
  <si>
    <t>transportespozo.com</t>
  </si>
  <si>
    <t>988 43 93 02</t>
  </si>
  <si>
    <t>info@transportespozo.com</t>
  </si>
  <si>
    <t>MUDANZAS ROCA S.L.</t>
  </si>
  <si>
    <t>Ctra. de Santiago, Km. 245, 32100 Gustei, Province of Ourense</t>
  </si>
  <si>
    <t>Gustei</t>
  </si>
  <si>
    <t>mudanzasroca.com</t>
  </si>
  <si>
    <t>988 20 42 53</t>
  </si>
  <si>
    <t>Rúa José Luis Baltar, 40, 32634 Os Blancos, Ourense</t>
  </si>
  <si>
    <t>Os Blancos</t>
  </si>
  <si>
    <t>mudanzasourense.com.es</t>
  </si>
  <si>
    <t>Leñas Ourense</t>
  </si>
  <si>
    <t>Rua Portela, 17, B, 32911 Calvos, Province of Ourense</t>
  </si>
  <si>
    <t>Calvos</t>
  </si>
  <si>
    <t>657 47 24 76</t>
  </si>
  <si>
    <t>Mudantia (Muda-t)</t>
  </si>
  <si>
    <t>Av. Augusto García Sánchez, 10, 8d, 36003 Pontevedra</t>
  </si>
  <si>
    <t>mudantia.es</t>
  </si>
  <si>
    <t>644 44 67 76</t>
  </si>
  <si>
    <t>info@mudantia.es</t>
  </si>
  <si>
    <t>Mudanzas Cresponte</t>
  </si>
  <si>
    <t>Calle Sabaris, 45, A, 36157 Pontevedra</t>
  </si>
  <si>
    <t>mudanzascresponte.com</t>
  </si>
  <si>
    <t>986 87 19 64</t>
  </si>
  <si>
    <t>comercial@mudanzascresponte.com</t>
  </si>
  <si>
    <t>Muda T</t>
  </si>
  <si>
    <t>R. Juan Bautista Andrade, 118, 36003 Pontevedra</t>
  </si>
  <si>
    <t>muda-t.es</t>
  </si>
  <si>
    <t>info@muda-t.es</t>
  </si>
  <si>
    <t>Grupo Amygo Pontevedra</t>
  </si>
  <si>
    <t>Calle Sabaris, 45, 36157, Pontevedra</t>
  </si>
  <si>
    <t>Barra</t>
  </si>
  <si>
    <t>Alquiler de furgona,con Conductor (Ford Transit)</t>
  </si>
  <si>
    <t>Rúa de Santa Xeve o Quinteiro, 36151 Pontevedra</t>
  </si>
  <si>
    <t>607 80 32 61</t>
  </si>
  <si>
    <t>Mudanzas y Transportes MoviTran</t>
  </si>
  <si>
    <t>Escalinata Da Quintana, 3, 36818 Redondela, Pontevedra</t>
  </si>
  <si>
    <t>Redondela</t>
  </si>
  <si>
    <t>mudanzasytransportesmovitran.com</t>
  </si>
  <si>
    <t>Mudanzas Seijo</t>
  </si>
  <si>
    <t>Estrada Peinador - Os Valos, 64, 36417 Vigo, Pontevedra</t>
  </si>
  <si>
    <t>Peinador</t>
  </si>
  <si>
    <t>616 74 90 63</t>
  </si>
  <si>
    <t>Mudanzas &amp;amp; Portes en Vigo -MUDANZAS PEDRO</t>
  </si>
  <si>
    <t>Rúa Portela, 13, 36205 Vigo, Pontevedra</t>
  </si>
  <si>
    <t>665 58 97 84</t>
  </si>
  <si>
    <t>Crespo Mudanzas</t>
  </si>
  <si>
    <t>Camiño de Sabarís, 45, 36213 Vigo, Pontevedra</t>
  </si>
  <si>
    <t>Mudanzas la Capitana</t>
  </si>
  <si>
    <t>Rúa do Brasil, 54, 36204 Vigo, Pontevedra</t>
  </si>
  <si>
    <t>mudanzas.solucionesamedida.com</t>
  </si>
  <si>
    <t>886 08 00 83</t>
  </si>
  <si>
    <t>MudaVigo</t>
  </si>
  <si>
    <t>autovia 106, Nave 2, 36416 Vigo, Pontevedra</t>
  </si>
  <si>
    <t>mudavigo.com</t>
  </si>
  <si>
    <t>986 22 18 26</t>
  </si>
  <si>
    <t>nombre@ejemplo.com</t>
  </si>
  <si>
    <t>Mudanzas Sol</t>
  </si>
  <si>
    <t>Rúa Marqués de Valterra, 33, 36202 Vigo, Pontevedra</t>
  </si>
  <si>
    <t>664 16 20 63</t>
  </si>
  <si>
    <t>Mudanzas David</t>
  </si>
  <si>
    <t>Rúa do Hórreo, 166, 15701 Santiago de Compostela, A Coruña</t>
  </si>
  <si>
    <t>Santiago de Compostela</t>
  </si>
  <si>
    <t>mudanzasdavid.es</t>
  </si>
  <si>
    <t>981 51 18 79</t>
  </si>
  <si>
    <t>contacto@mudanzasdavid.es</t>
  </si>
  <si>
    <t>Vaciados de Pisos Vigo</t>
  </si>
  <si>
    <t>Rúa do Conde de Torrecedeira, 38, 3-a, 36202 Vigo, Pontevedra</t>
  </si>
  <si>
    <t>vaciadosvigo.es</t>
  </si>
  <si>
    <t>632 45 72 35</t>
  </si>
  <si>
    <t>Mudanzas Camilo</t>
  </si>
  <si>
    <t>Av. de Ferrol, 49, 15706 Santiago de Compostela, A Coruña</t>
  </si>
  <si>
    <t>mudanzascamilo.es</t>
  </si>
  <si>
    <t>619 04 43 35</t>
  </si>
  <si>
    <t>info@mudanzascamilo.es</t>
  </si>
  <si>
    <t>Mudanzas Collazo</t>
  </si>
  <si>
    <t>Rúa do Castrón Douro, 41, 15703 Santiago de Compostela, A Coruña</t>
  </si>
  <si>
    <t>MUDANZAS GIL STAUFFER GALICIA</t>
  </si>
  <si>
    <t>Rúa Primeira Avenida, 25, A, 15190 Polígono de Pocomaco, A Coruña</t>
  </si>
  <si>
    <t>Polígono de Pocomaco</t>
  </si>
  <si>
    <t>981 17 13 79</t>
  </si>
  <si>
    <t>mudanzas galicia</t>
  </si>
  <si>
    <t>Pocomaco Av 5, d25, nave a, 15190 A Coruña</t>
  </si>
  <si>
    <t>mudanzasgalicia.com</t>
  </si>
  <si>
    <t>981 17 13 81</t>
  </si>
  <si>
    <t>info@mudanzasgalicia.com</t>
  </si>
  <si>
    <t>Mudanzas Madrid Coruña. La Coruñesa</t>
  </si>
  <si>
    <t>C. Pensamiento, 27, 3º Izqda, 28020 Madrid</t>
  </si>
  <si>
    <t>mudanzasmadridcoruña.es</t>
  </si>
  <si>
    <t>911 01 39 36</t>
  </si>
  <si>
    <t>Ronda Breogán, 18, 15002 A Coruña, La Coruña</t>
  </si>
  <si>
    <t>MUDANZAS IRUN S.L</t>
  </si>
  <si>
    <t>Auzolan Kalea, 23, 20303 Irun, Gipuzkoa</t>
  </si>
  <si>
    <t>Irún</t>
  </si>
  <si>
    <t>mudanzasirun.com</t>
  </si>
  <si>
    <t>665 73 35 60</t>
  </si>
  <si>
    <t>info@mudanzasirun.com</t>
  </si>
  <si>
    <t>Mudanzas Logroño</t>
  </si>
  <si>
    <t>Ábalos</t>
  </si>
  <si>
    <t>mudanzaslogroño.com</t>
  </si>
  <si>
    <t>671 70 93 93</t>
  </si>
  <si>
    <t>Mudanzas Ceballos</t>
  </si>
  <si>
    <t>La Portalada, C. Segador, 12, A - Pol, 26004 Logroño, La Rioja</t>
  </si>
  <si>
    <t>mudanzasceballos.com</t>
  </si>
  <si>
    <t>639 30 25 06</t>
  </si>
  <si>
    <t>Mudanzas Romero</t>
  </si>
  <si>
    <t>Calle Beato Berriochoa, 5 4-D, 26004 Logroño, La Rioja</t>
  </si>
  <si>
    <t>mudanzasromero.net</t>
  </si>
  <si>
    <t>607 45 52 30</t>
  </si>
  <si>
    <t>Mudanzas Mayoral</t>
  </si>
  <si>
    <t>Calle Serón, 7, 26006 Logroño, La Rioja</t>
  </si>
  <si>
    <t>mudanzasytransportesmayoral.com</t>
  </si>
  <si>
    <t>941 23 30 40</t>
  </si>
  <si>
    <t>Mudanzas desde Logroño</t>
  </si>
  <si>
    <t>641 45 73 42</t>
  </si>
  <si>
    <t>Mudanzas Bachiller</t>
  </si>
  <si>
    <t>C. Eibar, 18, 26007 Logroño, La Rioja</t>
  </si>
  <si>
    <t>607 41 73 36</t>
  </si>
  <si>
    <t>Mudanzas y transportes La Rioja</t>
  </si>
  <si>
    <t>C. Concepción Arenal, 13, 26009 Logroño, La Rioja</t>
  </si>
  <si>
    <t>666 50 72 22</t>
  </si>
  <si>
    <t>MUDANZAS Y TRANSPORTES S.L</t>
  </si>
  <si>
    <t>26005, Tr.ª San Lázaro, n 2, 26005 Logroño, La Rioja</t>
  </si>
  <si>
    <t>643 80 23 20</t>
  </si>
  <si>
    <t>DJtransport S.A</t>
  </si>
  <si>
    <t>C. Río Alhama, 26, 26142 Villamediana de Iregua, La Rioja</t>
  </si>
  <si>
    <t>Villamediana de Iregua</t>
  </si>
  <si>
    <t>633 58 74 37</t>
  </si>
  <si>
    <t>MUDANZAS Y DESALOJOS EN VITORIA, HERMANOS PEREZ</t>
  </si>
  <si>
    <t>Nazio Batuen Hiribidea, 01015 Gasteiz, Araba</t>
  </si>
  <si>
    <t>vitoriamudanzas.com</t>
  </si>
  <si>
    <t>651 66 45 77</t>
  </si>
  <si>
    <t>info@vitoriamudanzas.com</t>
  </si>
  <si>
    <t>Mudanzas Iruña</t>
  </si>
  <si>
    <t>Polígono Noain Esquiroz C/T 30, 31191 Esquiroz de Galar, Navarra</t>
  </si>
  <si>
    <t>Cordovilla</t>
  </si>
  <si>
    <t>mudanzasiruna.com</t>
  </si>
  <si>
    <t>948 31 63 57</t>
  </si>
  <si>
    <t>comercial@mudanzasiruna.com</t>
  </si>
  <si>
    <t>Mudanzas Pamplona</t>
  </si>
  <si>
    <t>Calle de Pamplona, 34, 31119 Imárcoain, Navarra</t>
  </si>
  <si>
    <t>Imárcoain</t>
  </si>
  <si>
    <t>mudanzaspamplona.com</t>
  </si>
  <si>
    <t>948 23 08 08</t>
  </si>
  <si>
    <t>info@mudanzaspamplona.com</t>
  </si>
  <si>
    <t>Mudanzas Mati Expert - Mudanzas y Traslados en Madrid</t>
  </si>
  <si>
    <t>C. de La Rioja, 9, 4ºD, escalera derecha, 28042 Madrid</t>
  </si>
  <si>
    <t>mudanzasmatiexpert.es</t>
  </si>
  <si>
    <t>677 60 26 48</t>
  </si>
  <si>
    <t>info@mudanzasmatiexpert.es</t>
  </si>
  <si>
    <t>Mudanzas en Navarra</t>
  </si>
  <si>
    <t>C. San Lorenzo, 14, 31001 Pamplona, Navarra</t>
  </si>
  <si>
    <t>Pamplona</t>
  </si>
  <si>
    <t>629 90 02 04</t>
  </si>
  <si>
    <t>Vaciados y desalojos perez</t>
  </si>
  <si>
    <t>Vitoriabidea Kalea, 12, 01010 Gasteiz, Araba</t>
  </si>
  <si>
    <t>Mudanzas MM logística.</t>
  </si>
  <si>
    <t>Pol. Ind. Berriainz, 183, 31013 Aizoáin, Navarra</t>
  </si>
  <si>
    <t>Aizoáin</t>
  </si>
  <si>
    <t>620 96 11 88</t>
  </si>
  <si>
    <t>Mudanzas en Pamplona-GIL STAUFFER MUDANZAS</t>
  </si>
  <si>
    <t>Av. de Bayona, 38, 31011 Pamplona, Navarra</t>
  </si>
  <si>
    <t>948 19 66 06</t>
  </si>
  <si>
    <t>Mudanzas MBM Madrid</t>
  </si>
  <si>
    <t>Av. de Baleares, 6, 28702 San Sebastián de los Reyes, Madrid</t>
  </si>
  <si>
    <t>mudanzasmbm.es</t>
  </si>
  <si>
    <t>664 19 25 80</t>
  </si>
  <si>
    <t>info@mudanzasmbm.es</t>
  </si>
  <si>
    <t>AnyVan.es</t>
  </si>
  <si>
    <t>C. de López de Hoyos, 35, 28002 Madrid</t>
  </si>
  <si>
    <t>anyvan.es</t>
  </si>
  <si>
    <t>914 14 79 50</t>
  </si>
  <si>
    <t>info@anyvan.es</t>
  </si>
  <si>
    <t>Mudanzas El Cid Madrid 🚚</t>
  </si>
  <si>
    <t>C. de Gabriel Lobo, 5, 28002 Madrid</t>
  </si>
  <si>
    <t>mudanzaselcid.com</t>
  </si>
  <si>
    <t>915 62 42 36</t>
  </si>
  <si>
    <t>elcid@mudanzaselcid.com</t>
  </si>
  <si>
    <t>MUDANZAS Y GUARDAMUEBLES CALLEJA MADRID</t>
  </si>
  <si>
    <t>C. de los Hermanos Gascón, 74, 28055 Madrid</t>
  </si>
  <si>
    <t>mudanzascalleja.com</t>
  </si>
  <si>
    <t>913 88 01 44</t>
  </si>
  <si>
    <t>%20info@mudanzascalleja.com</t>
  </si>
  <si>
    <t>Mudanzas Roy - Empresa de mudanzas en Madrid</t>
  </si>
  <si>
    <t>Pl. de la Beata María Ana de Jesús, 14, 28045 Madrid</t>
  </si>
  <si>
    <t>mudanzasroy.es</t>
  </si>
  <si>
    <t>699 67 68 33</t>
  </si>
  <si>
    <t>info@mudanzasroy.es</t>
  </si>
  <si>
    <t>AGS International Movers - Madrid</t>
  </si>
  <si>
    <t>C/ Mario Roso de Luna, Av. Fin de Semana, 29, Nave 11 Pol. Ind, 28022 Madrid</t>
  </si>
  <si>
    <t>agsmovers.es</t>
  </si>
  <si>
    <t>916 96 53 51</t>
  </si>
  <si>
    <t>MUDANZAS GODOY</t>
  </si>
  <si>
    <t>C. de Cronos, 8, 3ª-Planta, 28037 Madrid</t>
  </si>
  <si>
    <t>MUDANZAS - GUARDAMUEBLES &amp;quot; EL ESPAÑOL&amp;quot;</t>
  </si>
  <si>
    <t>C. Antonio Lanzuela, 12, 28029 Madrid</t>
  </si>
  <si>
    <t>917 33 07 82</t>
  </si>
  <si>
    <t>Mudanzas El Doctor</t>
  </si>
  <si>
    <t>C. de La Solana de Opañel, 23, 28019 Madrid</t>
  </si>
  <si>
    <t>604 16 90 99</t>
  </si>
  <si>
    <t>Mudanzas El Mundo</t>
  </si>
  <si>
    <t>C. Mar del Nte., 2, 28821 Coslada, Madrid</t>
  </si>
  <si>
    <t>mudanzaelmundo.com</t>
  </si>
  <si>
    <t>919 03 59 56</t>
  </si>
  <si>
    <t>info@mudanzaelmundo.es</t>
  </si>
  <si>
    <t>Mudanzas Alba Moving S.L</t>
  </si>
  <si>
    <t>Bo. de la Suiza, 14, 28231 Las Rozas de Madrid, Madrid</t>
  </si>
  <si>
    <t>albamovingmudanzas.es</t>
  </si>
  <si>
    <t>912 79 97 28</t>
  </si>
  <si>
    <t>Mudanzas ADEL</t>
  </si>
  <si>
    <t>C. del Carbón, 35, 28918 Leganés, Madrid</t>
  </si>
  <si>
    <t>mudanzasadel.com</t>
  </si>
  <si>
    <t>916 11 55 50</t>
  </si>
  <si>
    <t>info@mudanzasadel.com</t>
  </si>
  <si>
    <t>Mudanzas y Guardamuebles en Las Rozas</t>
  </si>
  <si>
    <t>C. Bruselas, numero 7, 28232 Las Rozas de Madrid, Madrid</t>
  </si>
  <si>
    <t>mudanzasenlasrozas.com</t>
  </si>
  <si>
    <t>Gil Stauffer Mudanzas Madrid</t>
  </si>
  <si>
    <t>Calle de Castelló, 102, 28001 Madrid</t>
  </si>
  <si>
    <t>916 78 49 90</t>
  </si>
  <si>
    <t>MUDANZAS NIETO</t>
  </si>
  <si>
    <t>Av. del Oeste, 29, 28922 Alcorcón, Madrid</t>
  </si>
  <si>
    <t>Alcorcón</t>
  </si>
  <si>
    <t>mudanzasnieto.es</t>
  </si>
  <si>
    <t>691 58 32 79</t>
  </si>
  <si>
    <t>info@mudanzasnieto.es</t>
  </si>
  <si>
    <t>Mudanzas Recio y guardamuebles</t>
  </si>
  <si>
    <t>C. Sta. Catalina, 13, 28220 Majadahonda, Madrid</t>
  </si>
  <si>
    <t>mudanzasrecio.com</t>
  </si>
  <si>
    <t>916 38 24 15</t>
  </si>
  <si>
    <t>info@mudanzasrecio.com</t>
  </si>
  <si>
    <t>mudanzas1euroxkm</t>
  </si>
  <si>
    <t>Av. del Juncal, 28703 San Sebastián de los Reyes, Madrid</t>
  </si>
  <si>
    <t>Presupuestos de Mudanzas en Madrid</t>
  </si>
  <si>
    <t>Sector Foresta, 43, 28760 Tres Cantos, Madrid</t>
  </si>
  <si>
    <t>Tres Cantos</t>
  </si>
  <si>
    <t>presupuestosmudanzasmadrid.com</t>
  </si>
  <si>
    <t>918 03 77 44</t>
  </si>
  <si>
    <t>info@presupuestosmudanzasmadrid.com</t>
  </si>
  <si>
    <t>MUDANZAS GUFERTRANS</t>
  </si>
  <si>
    <t>Calle de Luis I, 72, PORTAL 9 A 1º B, 28031 Madrid</t>
  </si>
  <si>
    <t>gufertrans.com</t>
  </si>
  <si>
    <t>913 80 66 37</t>
  </si>
  <si>
    <t>Wisse Moving S L - Mudanzas Internacionales</t>
  </si>
  <si>
    <t>Cam. Fuente de la Mora, 9, 28050 Madrid</t>
  </si>
  <si>
    <t>wissemoving.com</t>
  </si>
  <si>
    <t>910 75 90 64</t>
  </si>
  <si>
    <t>info@wissemoving.com</t>
  </si>
  <si>
    <t>Mudanzas Niro</t>
  </si>
  <si>
    <t>C. del Carbón, 23, 28918 Leganés, Madrid</t>
  </si>
  <si>
    <t>mudanzasniro.com</t>
  </si>
  <si>
    <t>912 99 39 55</t>
  </si>
  <si>
    <t>info@mudanzasniro.com</t>
  </si>
  <si>
    <t>Mudanzas Madrid MME</t>
  </si>
  <si>
    <t>Acebeda, La</t>
  </si>
  <si>
    <t>mudanza-madrid.eu</t>
  </si>
  <si>
    <t>911 41 27 12</t>
  </si>
  <si>
    <t>MUDANZAS PORTES EXPRESS MADRID TLF 620785481</t>
  </si>
  <si>
    <t>C. Fornillos, 38, LOCAL, 28026 Madrid</t>
  </si>
  <si>
    <t>620 78 54 81</t>
  </si>
  <si>
    <t>Mudanzas Fernando Mena</t>
  </si>
  <si>
    <t>C. Sierra Carbonera, 55, Local bajo, 28053 Madrid</t>
  </si>
  <si>
    <t>634 15 84 82</t>
  </si>
  <si>
    <t>Mudanzas Sandra</t>
  </si>
  <si>
    <t>Rda. de los Almendros, 24, 28500 Arganda del Rey, Madrid</t>
  </si>
  <si>
    <t>mudanzasandra.es</t>
  </si>
  <si>
    <t>622 87 64 62</t>
  </si>
  <si>
    <t>mudanzas y portes suerte</t>
  </si>
  <si>
    <t>C. de Madrid, 22, 28912 Leganés, Madrid</t>
  </si>
  <si>
    <t>602 87 77 92</t>
  </si>
  <si>
    <t>Mudanzas Clara del Rey S.L.</t>
  </si>
  <si>
    <t>Av. Astronomía, 51, 28830 Torrejón de Ardoz, Madrid</t>
  </si>
  <si>
    <t>claradelrey.es</t>
  </si>
  <si>
    <t>916 56 34 34</t>
  </si>
  <si>
    <t>info@claradelrey.es</t>
  </si>
  <si>
    <t>Mudanzas Madrid Castillo</t>
  </si>
  <si>
    <t>C. de Alejandro Morán, 8, 6º-C, 28025 Madrid</t>
  </si>
  <si>
    <t>mudanzasmadridcastillo.com</t>
  </si>
  <si>
    <t>672 25 65 02</t>
  </si>
  <si>
    <t>info@mudanzasmadridcastillo.com</t>
  </si>
  <si>
    <t>Mudanzas Madrid 24</t>
  </si>
  <si>
    <t>estacion de autobuses avenida de america, 28015 Madrid</t>
  </si>
  <si>
    <t>Mudanzas Urgentes - Empresa de mudanzas en Madrid</t>
  </si>
  <si>
    <t>C. del Canchal, 20, 28021 Madrid</t>
  </si>
  <si>
    <t>mudanzasurgentes.com</t>
  </si>
  <si>
    <t>628 04 03 37</t>
  </si>
  <si>
    <t>Mudanzas Madrid 24 horas Portes</t>
  </si>
  <si>
    <t>Calle de José Abascal, 31, 3.3, 28003 Madrid</t>
  </si>
  <si>
    <t>PORTES Y MUDANZA OLIVER</t>
  </si>
  <si>
    <t>C. Emperador, 5, 28915 Leganés, Madrid</t>
  </si>
  <si>
    <t>605 05 12 90</t>
  </si>
  <si>
    <t>mudanzas carabanchel</t>
  </si>
  <si>
    <t>C. Lola de Membrives, 4, bajo 4, 28019 Madrid</t>
  </si>
  <si>
    <t>mudanzascarabanchel.es</t>
  </si>
  <si>
    <t>Romero Soluciones,S.L.</t>
  </si>
  <si>
    <t>C. de Bravo Murillo, 15, 28015 Madrid</t>
  </si>
  <si>
    <t>mudanzasromero.com</t>
  </si>
  <si>
    <t>912 40 41 87</t>
  </si>
  <si>
    <t>info@romerosoluciones.com</t>
  </si>
  <si>
    <t>C. de Huesca, 15, 1, 28020 Madrid</t>
  </si>
  <si>
    <t>ECOPORTES | Mudanzas Madrid Alicante</t>
  </si>
  <si>
    <t>C. Pensamiento, 27, Escalera izq, Planta 3, Piso 2, 28020 Madrid</t>
  </si>
  <si>
    <t>mudanzasmadridalicante.com</t>
  </si>
  <si>
    <t>Mudanzas Madrid 24H económicas</t>
  </si>
  <si>
    <t>C. de Ramón Gómez de la Serna, 1, Escalera 3 1B, 28035 Madrid</t>
  </si>
  <si>
    <t>A. M. Romero Mudanzas</t>
  </si>
  <si>
    <t>Av. del Marqués de Corbera, 12, 28017 Madrid</t>
  </si>
  <si>
    <t>913 56 05 75</t>
  </si>
  <si>
    <t>Portes y Mudanzas Manuel</t>
  </si>
  <si>
    <t>C. de Godella, 219, 28021 Madrid</t>
  </si>
  <si>
    <t>642 31 12 62</t>
  </si>
  <si>
    <t>MUDANZAS MADRID DIRECTO</t>
  </si>
  <si>
    <t>C. de Lima, 27, 28945 Fuenlabrada, Madrid</t>
  </si>
  <si>
    <t>Montajes y Mudanzas Madrid</t>
  </si>
  <si>
    <t>C. de Lillo, 44, 28041 Madrid</t>
  </si>
  <si>
    <t>609 12 86 56</t>
  </si>
  <si>
    <t>Mudanzas Abarca</t>
  </si>
  <si>
    <t>C. de la Magdalena, 5, 28901 Getafe, Madrid</t>
  </si>
  <si>
    <t>mudanzasabarca.es</t>
  </si>
  <si>
    <t>608 42 06 02</t>
  </si>
  <si>
    <t>info@mudanzasabarca.es</t>
  </si>
  <si>
    <t>Mudanzas Económicas Madrid</t>
  </si>
  <si>
    <t>Av. de Baleares, 10, piso 1 puerta 4, 28703 San Sebastián de los Reyes, Madrid</t>
  </si>
  <si>
    <t>mudanzabaratamadrid.es</t>
  </si>
  <si>
    <t>Mudanzas Alonso - Empresa de mudanzas con traslados nacionales e internacionales en Coslada</t>
  </si>
  <si>
    <t>Av. de Berlin, 20, 28822 Coslada, Madrid</t>
  </si>
  <si>
    <t>mudanzasalonso.com</t>
  </si>
  <si>
    <t>916 71 41 93</t>
  </si>
  <si>
    <t>Mudanzas Galytrans</t>
  </si>
  <si>
    <t>C. de Pico Balaitus, 26, 28035 Madrid</t>
  </si>
  <si>
    <t>galytrans.com</t>
  </si>
  <si>
    <t>Quality Removals Spain</t>
  </si>
  <si>
    <t>C. Pico del Mulhacén, 8, 28500 Arganda del Rey, Madrid</t>
  </si>
  <si>
    <t>685 11 28 78</t>
  </si>
  <si>
    <t>Mudanzas Victoria</t>
  </si>
  <si>
    <t>C. de José Barbastre, 20, 28017 Madrid</t>
  </si>
  <si>
    <t>603 34 83 11</t>
  </si>
  <si>
    <t>Mudanzas Portes Exprés Madrid (ALBERTO) 620785481</t>
  </si>
  <si>
    <t>C. Juan Zofío, 37, 28026 Madrid</t>
  </si>
  <si>
    <t>Mudanzas y Transportes</t>
  </si>
  <si>
    <t>C. de Pedrezuela, 7E, 28017 Madrid</t>
  </si>
  <si>
    <t>madrid.plus</t>
  </si>
  <si>
    <t>607 70 06 64</t>
  </si>
  <si>
    <t>Jose Mudanzas Baratas Madrid</t>
  </si>
  <si>
    <t>C. de Granada, 25, 28007 Madrid</t>
  </si>
  <si>
    <t>688 23 97 59</t>
  </si>
  <si>
    <t>Mudanzas Ruano</t>
  </si>
  <si>
    <t>Pol. Ind. Sur, Calle del Azufre, 9 NAVE;A, 28770, Madrid</t>
  </si>
  <si>
    <t>Colmenar Viejo</t>
  </si>
  <si>
    <t>mudanzasruanomadrid.com</t>
  </si>
  <si>
    <t>918 46 45 22</t>
  </si>
  <si>
    <t>Mudinmar Mobility</t>
  </si>
  <si>
    <t>C. Palmera, 3, 28500 Arganda del Rey, Madrid</t>
  </si>
  <si>
    <t>917 45 89 30</t>
  </si>
  <si>
    <t>EUROMADRID</t>
  </si>
  <si>
    <t>C Antonio Ptrieto , 57 local, 28026 Madrid</t>
  </si>
  <si>
    <t>mudanzasmadridsl.com</t>
  </si>
  <si>
    <t>914 69 96 22</t>
  </si>
  <si>
    <t>Transportesmoving365</t>
  </si>
  <si>
    <t>C. de la Alegría de la Huerta, 41, 28041 Madrid</t>
  </si>
  <si>
    <t>transportesmoving365.es</t>
  </si>
  <si>
    <t>667 52 59 38</t>
  </si>
  <si>
    <t>Mudanzas baratas Madrid V J</t>
  </si>
  <si>
    <t>Paseo de la R. Cristina, 23, 28014 Madrid</t>
  </si>
  <si>
    <t>686 37 21 76</t>
  </si>
  <si>
    <t>Mudanzana S.L.</t>
  </si>
  <si>
    <t>Camponuevo, Calle Bronce, 18, 28863 Cobeña, Madrid</t>
  </si>
  <si>
    <t>Cobeña</t>
  </si>
  <si>
    <t>mudanzana.es</t>
  </si>
  <si>
    <t>913 23 24 57</t>
  </si>
  <si>
    <t>n@mudanzana.es</t>
  </si>
  <si>
    <t>mudanzas baratas</t>
  </si>
  <si>
    <t>Calle del Pico de la Mira, 7, 28944 Fuenlabrada, Madrid</t>
  </si>
  <si>
    <t>605 25 16 82</t>
  </si>
  <si>
    <t>Madrileña Mudanzas - Mudanzas en Madrid</t>
  </si>
  <si>
    <t>C. del Pino, 12, 28500 Arganda del Rey, Madrid</t>
  </si>
  <si>
    <t>Mudanzas Go Madrid</t>
  </si>
  <si>
    <t>Cl. de Ayala, 112, 3 Derecha, 28006 Madrid</t>
  </si>
  <si>
    <t>Madrid Portes y Mudanzas</t>
  </si>
  <si>
    <t>C. de Andévalo, 4, bajo b, 28053 Madrid</t>
  </si>
  <si>
    <t>616 12 36 79</t>
  </si>
  <si>
    <t>mudanzas centro madrid</t>
  </si>
  <si>
    <t>C. de Pericles, 30, 1ªiz, 28011 Madrid</t>
  </si>
  <si>
    <t>mudanzascentro.es</t>
  </si>
  <si>
    <t>653 03 65 14</t>
  </si>
  <si>
    <t>MUDANZAS JHON MADRID</t>
  </si>
  <si>
    <t>P.º Talleres, 3, NAVE 31, 28021 Madrid</t>
  </si>
  <si>
    <t>633 15 78 92</t>
  </si>
  <si>
    <t>Mudanzas España ✅ Mudanzas Madrid, Portes Baratos, Guardamuebles, Transporte Nacional</t>
  </si>
  <si>
    <t>C. de Córdoba, 9, 28970 Humanes de Madrid, Madrid</t>
  </si>
  <si>
    <t>Humanes de Madrid</t>
  </si>
  <si>
    <t>685 62 52 30</t>
  </si>
  <si>
    <t>MARIN TRANS EXPRESS MUDANZAS EN MADRID</t>
  </si>
  <si>
    <t>C. de La Bañeza, 40, 2º 4ª, 28029 Madrid</t>
  </si>
  <si>
    <t>642 43 11 92</t>
  </si>
  <si>
    <t>Mudanzas Y Transportes Z&amp;amp;Z</t>
  </si>
  <si>
    <t>Plaza Castillo de la Mota, 2, BAJO 2, 28037 Madrid</t>
  </si>
  <si>
    <t>678 21 87 18</t>
  </si>
  <si>
    <t>Mudanzas Fuentes</t>
  </si>
  <si>
    <t>2ºB 6, Calle de Ote., 28945 Fuenlabrada, Madrid</t>
  </si>
  <si>
    <t>mudanzastrescantos.com</t>
  </si>
  <si>
    <t>MUDANZAS ECONÓMICAS MADRID HORTALEZA</t>
  </si>
  <si>
    <t>C. de Cádiz, 28, 28320 Pinto, Madrid</t>
  </si>
  <si>
    <t>Pinto</t>
  </si>
  <si>
    <t>mudanzas-madrid-economicas.com</t>
  </si>
  <si>
    <t>630 09 96 77</t>
  </si>
  <si>
    <t>mudanzas madrid 24 horas sl</t>
  </si>
  <si>
    <t>Calle del Gral. Palanca, 38, bajo derecha, 28045 Madrid</t>
  </si>
  <si>
    <t>mudanzasenmadrid24horas.com</t>
  </si>
  <si>
    <t>697 80 93 75</t>
  </si>
  <si>
    <t>Mudanzas Madrid Sur</t>
  </si>
  <si>
    <t>C. de San Nicolás, 7, 28912 Leganés, Madrid</t>
  </si>
  <si>
    <t>672 50 79 47</t>
  </si>
  <si>
    <t>Mobel-Trans</t>
  </si>
  <si>
    <t>2º B 6 Bis, C. de Ote., 28945 Fuenlabrada, Madrid</t>
  </si>
  <si>
    <t>mobel-trans.com</t>
  </si>
  <si>
    <t>Mudanzas GHDL</t>
  </si>
  <si>
    <t>C. Piedrabuena, 14, 4º B, 28026 Madrid</t>
  </si>
  <si>
    <t>mudanzasmadridghdl.com</t>
  </si>
  <si>
    <t>667 03 43 32</t>
  </si>
  <si>
    <t>info@mudanzasmadridghdl.com</t>
  </si>
  <si>
    <t>Transporte y Mudanzas MD</t>
  </si>
  <si>
    <t>C. San Ciriaco, 3, 28032 Madrid</t>
  </si>
  <si>
    <t>642 51 75 66</t>
  </si>
  <si>
    <t>Mudanzas y Transportes Fátima</t>
  </si>
  <si>
    <t>C. Barrionuevo, 23, 28011 Madrid</t>
  </si>
  <si>
    <t>mudanzasytransportesfatima.com</t>
  </si>
  <si>
    <t>642 60 62 00</t>
  </si>
  <si>
    <t>Relocations España S.L.</t>
  </si>
  <si>
    <t>Av. de Pablo VI, 9, Oficinas, 28224 Pozuelo de Alarcón, Madrid</t>
  </si>
  <si>
    <t>Pozuelo de Alarcón</t>
  </si>
  <si>
    <t>relocationspain.com</t>
  </si>
  <si>
    <t>913 84 39 00</t>
  </si>
  <si>
    <t>info@relocationspain.com</t>
  </si>
  <si>
    <t>Mudanzas Adirrección</t>
  </si>
  <si>
    <t>C. Pescara, 4, 28032 Madrid</t>
  </si>
  <si>
    <t>mudanzasadir.com</t>
  </si>
  <si>
    <t>918 28 64 08</t>
  </si>
  <si>
    <t>info@mudanzasadir.com</t>
  </si>
  <si>
    <t>Mudanzas Condor</t>
  </si>
  <si>
    <t>C. Guabairo, 19, 28047 Madrid</t>
  </si>
  <si>
    <t>722 51 25 43</t>
  </si>
  <si>
    <t>C. Villalonso, 28021 Madrid</t>
  </si>
  <si>
    <t>Mudanzas Madrid RM</t>
  </si>
  <si>
    <t>C. del Marqués de la Valdavia, 28100 Alcobendas, Madrid</t>
  </si>
  <si>
    <t>Alcobendas</t>
  </si>
  <si>
    <t>mudanzasmadridrm.com</t>
  </si>
  <si>
    <t>Almacenes y Mudanzas La Extremeña</t>
  </si>
  <si>
    <t>Carretera Alcalá de Henares a, Calle Torrelaguna, km 18, 400, 28150 Valdetorres de Jarama, Madrid</t>
  </si>
  <si>
    <t>Valdetorres de Jarama</t>
  </si>
  <si>
    <t>mudanzaslaextremena.com</t>
  </si>
  <si>
    <t>607 65 61 53</t>
  </si>
  <si>
    <t>comercial@mudanzaslaextremena.com</t>
  </si>
  <si>
    <t>Mudanzas Carabanchel</t>
  </si>
  <si>
    <t>C. Maestro Arbós, 3, 28045 Madrid</t>
  </si>
  <si>
    <t>630 29 33 17</t>
  </si>
  <si>
    <t>A.Cuadro Mudanzas</t>
  </si>
  <si>
    <t>Av. de Asturias, 12, 28029 Madrid</t>
  </si>
  <si>
    <t>Mudanzas Elder</t>
  </si>
  <si>
    <t>C. de los Arrayanes, 160, 28047 Madrid</t>
  </si>
  <si>
    <t>mudanzasmadridelder.es</t>
  </si>
  <si>
    <t>679 29 85 96</t>
  </si>
  <si>
    <t>info@mudanzasmadridelder.es</t>
  </si>
  <si>
    <t>Mudanzas Andrés González E Hijos Amiko</t>
  </si>
  <si>
    <t>C. de Bravo Murillo, 52, 28003 Madrid</t>
  </si>
  <si>
    <t>916 77 88 08</t>
  </si>
  <si>
    <t>MUDANZAS Y MAS</t>
  </si>
  <si>
    <t>mudanzasymas.com</t>
  </si>
  <si>
    <t>677 22 88 35</t>
  </si>
  <si>
    <t>Mudanzas Neto</t>
  </si>
  <si>
    <t>C. Vicente Camarón, 56, 28011 Madrid</t>
  </si>
  <si>
    <t>mudanzasneto.webcindario.com</t>
  </si>
  <si>
    <t>685 95 03 87</t>
  </si>
  <si>
    <t>RF Movers - Empresa de mudanzas internacionales y nacionales en Arroyomolinos, Madrid</t>
  </si>
  <si>
    <t>C. de Laredo, 69, 28939 Arroyomolinos, Madrid</t>
  </si>
  <si>
    <t>Arroyomolinos</t>
  </si>
  <si>
    <t>rfmovers.es</t>
  </si>
  <si>
    <t>653 17 91 95</t>
  </si>
  <si>
    <t>Mudanzas y Transportes de Madrid el Quijote</t>
  </si>
  <si>
    <t>C. Jeromín, 3, 28911 Leganés, Madrid</t>
  </si>
  <si>
    <t>Mudanzas Hermanos Matías</t>
  </si>
  <si>
    <t>C. Zaragoza, 35, 28500 Arganda del Rey, Madrid</t>
  </si>
  <si>
    <t>918 71 77 46</t>
  </si>
  <si>
    <t>Mudanzas Isabela</t>
  </si>
  <si>
    <t>C. del Sabanero, 5, 28025 Madrid</t>
  </si>
  <si>
    <t>666 69 84 42</t>
  </si>
  <si>
    <t>Mudanzas Mgr</t>
  </si>
  <si>
    <t>C. de Ponferrada, 24, 28029 Madrid</t>
  </si>
  <si>
    <t>Guardamuebles. Mudanzas Recio</t>
  </si>
  <si>
    <t>Ctra. de La Coruña, A-6, km 18.200, 28231 Las Rozas de Madrid, Madrid</t>
  </si>
  <si>
    <t>Mudanzas Syc Ubicada en</t>
  </si>
  <si>
    <t>C. Francisco de Goya, 62, 28840 Mejorada del Campo, Madrid</t>
  </si>
  <si>
    <t>Mejorada del Campo</t>
  </si>
  <si>
    <t>empresamudanzasmadrid.es</t>
  </si>
  <si>
    <t>916 79 37 84</t>
  </si>
  <si>
    <t>info@mudanzasglobalexpress.com</t>
  </si>
  <si>
    <t>C. Felipe Estevez, 18, 28, 28901 Getafe, Madrid</t>
  </si>
  <si>
    <t>mudanzas reinaldo</t>
  </si>
  <si>
    <t>Av. de Abrantes, 139, 28025 Madrid</t>
  </si>
  <si>
    <t>608 56 81 06</t>
  </si>
  <si>
    <t>MudanzasMadrid Directo</t>
  </si>
  <si>
    <t>C. Espada, 18, 28921 Alcorcón, Madrid</t>
  </si>
  <si>
    <t>mudanzasmadriddirecto.com</t>
  </si>
  <si>
    <t>Mudanzas Star</t>
  </si>
  <si>
    <t>Av. de Las Águilas, 167, 28044 Madrid</t>
  </si>
  <si>
    <t>mudanzasstar.com</t>
  </si>
  <si>
    <t>605 46 48 80</t>
  </si>
  <si>
    <t>info@mudanzasstar.com</t>
  </si>
  <si>
    <t>Cam. de la Casilla, 38, 28944 Madrid</t>
  </si>
  <si>
    <t>Gestiser alquiler de plataformas elevadoras madrid</t>
  </si>
  <si>
    <t>C. del Marqués de la Valdavia, 8, 1a, 28100 Alcobendas, Madrid</t>
  </si>
  <si>
    <t>gestiserelevacion.com</t>
  </si>
  <si>
    <t>910 01 55 48</t>
  </si>
  <si>
    <t>comercial@gestiserelevacion.com</t>
  </si>
  <si>
    <t>Mudanzas Fuenlabrada</t>
  </si>
  <si>
    <t>C. de Fuendetodos, 10, 28944 Fuenlabrada, Madrid</t>
  </si>
  <si>
    <t>mudanzasfuenlabrada.es</t>
  </si>
  <si>
    <t>914 98 94 85</t>
  </si>
  <si>
    <t>Mudanzas Leganes</t>
  </si>
  <si>
    <t>C. Rio Duero, 45, 28913 Leganés, Madrid</t>
  </si>
  <si>
    <t>mudanzasleganes.es</t>
  </si>
  <si>
    <t>Mudanzas Salvador</t>
  </si>
  <si>
    <t>C. de Aguilar del Río, 2, 28044 Madrid</t>
  </si>
  <si>
    <t>640 70 46 10</t>
  </si>
  <si>
    <t>C. Sta. Ana, 13, 1, 28231 Las Rozas de Madrid, Madrid</t>
  </si>
  <si>
    <t>Mudanzas Reibass</t>
  </si>
  <si>
    <t>C/ de Emilio Carrere, 9, 28015 Madrid</t>
  </si>
  <si>
    <t>687 86 11 69</t>
  </si>
  <si>
    <t>Mudances Madrid</t>
  </si>
  <si>
    <t>C. de Ote., 6 Bis, 2ºB de, 28945 Madrid</t>
  </si>
  <si>
    <t>mudanzasfuent.com</t>
  </si>
  <si>
    <t>MUDANZAS J.MARTIN</t>
  </si>
  <si>
    <t>Carr. de Moraleja de Enmedio, 7, 28944 Fuenlabrada, Madrid</t>
  </si>
  <si>
    <t>Mudanzasen24horas</t>
  </si>
  <si>
    <t>C. de los Naranjos, 13, 28100 Alcobendas, Madrid</t>
  </si>
  <si>
    <t>mudanzasen24horas.es</t>
  </si>
  <si>
    <t>674 87 96 25</t>
  </si>
  <si>
    <t>Mudanzas Las Rozas 🚛 MOVE</t>
  </si>
  <si>
    <t>Pl. Ferrocarril, 2, 28290 Las Rozas de Madrid, Madrid</t>
  </si>
  <si>
    <t>mudanzasmove.com</t>
  </si>
  <si>
    <t>620 74 24 66</t>
  </si>
  <si>
    <t>abel@mudanzasmove.com</t>
  </si>
  <si>
    <t>Empresa de Mudanzas Metrópolis Madrid</t>
  </si>
  <si>
    <t>Cam. de los Malatones, 74, 28140 Fuente el Saz de Jarama, Madrid</t>
  </si>
  <si>
    <t>Fuente el Saz de Jarama</t>
  </si>
  <si>
    <t>618 24 11 41</t>
  </si>
  <si>
    <t>Mudanzas Novacasa</t>
  </si>
  <si>
    <t>C. de Albino Pérez Ayestarain, 28830 San Fernando de Henares, Madrid</t>
  </si>
  <si>
    <t>Transportes y Mudanza Husein</t>
  </si>
  <si>
    <t>Melilla</t>
  </si>
  <si>
    <t>671 35 27 35</t>
  </si>
  <si>
    <t>Transportes F.J. Fernández</t>
  </si>
  <si>
    <t>C. Gral. Astilleros, 15, 52006 Melilla</t>
  </si>
  <si>
    <t>952 31 12 83</t>
  </si>
  <si>
    <t>Mudanzas Malaga</t>
  </si>
  <si>
    <t>C. Obispo José de Gómez, 3, 29014 Málaga</t>
  </si>
  <si>
    <t>reymudanzas.com</t>
  </si>
  <si>
    <t>722 57 34 61</t>
  </si>
  <si>
    <t>C. Pintor Sobejano, 11, BAJO, 30004 Murcia</t>
  </si>
  <si>
    <t>mudanzas.atencionweb.es</t>
  </si>
  <si>
    <t>968 91 83 76</t>
  </si>
  <si>
    <t>La Flota</t>
  </si>
  <si>
    <t>C. La Flota, 1, 30008 Murcia</t>
  </si>
  <si>
    <t>mudanzaslaflota.com</t>
  </si>
  <si>
    <t>968 23 56 09</t>
  </si>
  <si>
    <t>info@mudanzaslaflota.com</t>
  </si>
  <si>
    <t>LA SEDA MURCIA | Mudanzas y Guardamuebles</t>
  </si>
  <si>
    <t>C. Cisne, 9, 30009 Murcia</t>
  </si>
  <si>
    <t>868 93 13 97</t>
  </si>
  <si>
    <t>Mudanzas F. Cárceles - Ronda Sur</t>
  </si>
  <si>
    <t>P.º de Florencia, 16, 30010 Murcia</t>
  </si>
  <si>
    <t>Mudanzas Grupo Alianza</t>
  </si>
  <si>
    <t>C. Desembojo, 14, 30009 Murcia</t>
  </si>
  <si>
    <t>mudanzas-en-murcia.com</t>
  </si>
  <si>
    <t>Mudanza Murcia</t>
  </si>
  <si>
    <t>Av. Miguel de Cervantes, 5d, 30009 Murcia</t>
  </si>
  <si>
    <t>mudanzasdomingo.com</t>
  </si>
  <si>
    <t>633 58 17 53</t>
  </si>
  <si>
    <t>Mudanzas D.H.P.</t>
  </si>
  <si>
    <t>C. Maestro Federico Ferrer, 2, 30007 Murcia</t>
  </si>
  <si>
    <t>murciacapital.es</t>
  </si>
  <si>
    <t>968 90 56 09</t>
  </si>
  <si>
    <t>C. Altamira, 18, 30120 El Palmar, Murcia</t>
  </si>
  <si>
    <t>El Palmar</t>
  </si>
  <si>
    <t>Mudanzas Victor Castillo</t>
  </si>
  <si>
    <t>Carril de los Morales, 12, 30012 Murcia</t>
  </si>
  <si>
    <t>mudanzasvictorcastillo.com</t>
  </si>
  <si>
    <t>968 29 16 36</t>
  </si>
  <si>
    <t>info@mudanzasvictorcastillo.com</t>
  </si>
  <si>
    <t>Mudamur</t>
  </si>
  <si>
    <t>C. Olivo, 62, 2º D, 30120 Murcia</t>
  </si>
  <si>
    <t>660 50 89 86</t>
  </si>
  <si>
    <t>Caridad Ferrer García</t>
  </si>
  <si>
    <t>Pl. Emilio Diez de Revenga, 4, 30008 Murcia</t>
  </si>
  <si>
    <t>968 23 32 29</t>
  </si>
  <si>
    <t>MUDANZAS COSTA CALIDA SL.</t>
  </si>
  <si>
    <t>Carr. de Alicante, S/N, 30160 Murcia</t>
  </si>
  <si>
    <t>682 25 59 46</t>
  </si>
  <si>
    <t>MTM</t>
  </si>
  <si>
    <t>Avenida Principal, Parc. 29, 26, 30169 Murcia</t>
  </si>
  <si>
    <t>Abanilla</t>
  </si>
  <si>
    <t>mudanzasmtm.com</t>
  </si>
  <si>
    <t>968 88 26 32</t>
  </si>
  <si>
    <t>info@mudanzasmtm.com</t>
  </si>
  <si>
    <t>Mudanzas El Adri somos económicos y rapidos</t>
  </si>
  <si>
    <t>Murcia, 30820 Alcantarilla, Murcia</t>
  </si>
  <si>
    <t>Alcantarilla</t>
  </si>
  <si>
    <t>616 62 92 91</t>
  </si>
  <si>
    <t>Mudanzas VProyecta</t>
  </si>
  <si>
    <t>Pol. Ind. la Polvorista, Calle Cieza nº 35, 30500 Molina de Segura, Murcia</t>
  </si>
  <si>
    <t>Molina de Segura</t>
  </si>
  <si>
    <t>mudanzasvproyecta.com</t>
  </si>
  <si>
    <t>968 07 62 25</t>
  </si>
  <si>
    <t>vproyecta@mudanzasvproyecta.com</t>
  </si>
  <si>
    <t>Mudanzas en Guadalupe</t>
  </si>
  <si>
    <t>Cam. Agridulce, n3, 30107 Guadalupe de Maciascoque, Murcia</t>
  </si>
  <si>
    <t>Guadalupe de Maciascoque</t>
  </si>
  <si>
    <t>630 93 94 40</t>
  </si>
  <si>
    <t>MUDANZAS MURCIA GIL STAUFFER</t>
  </si>
  <si>
    <t>Carretera Madrid Cartagena Km 437, 30319 Cartagena, Murcia</t>
  </si>
  <si>
    <t>Cartagena</t>
  </si>
  <si>
    <t>968 22 19 51</t>
  </si>
  <si>
    <t>El JAVIva . Recaderos en Alcantarilla (Murcia).</t>
  </si>
  <si>
    <t>Av. Martínez Campos, 14, 30820 Alcantarilla, Murcia</t>
  </si>
  <si>
    <t>verzonalaguia.es</t>
  </si>
  <si>
    <t>626 98 64 95</t>
  </si>
  <si>
    <t>info@verzonalaguia.es</t>
  </si>
  <si>
    <t>Empresas de Mudanzas guardamuebles Sureste</t>
  </si>
  <si>
    <t>Camino San José, C. San José de la Montaña, N125, 30570 Murcia</t>
  </si>
  <si>
    <t>968 34 67 99</t>
  </si>
  <si>
    <t>Poligono Industrial Oeste, Av. Principal pc19-36, 30169 Murcia</t>
  </si>
  <si>
    <t>Mudanzas Cárceles Hijos</t>
  </si>
  <si>
    <t>Calle Totana, 8 ( Centro Integrado De Transporte ), 30835 Sangonera la Seca</t>
  </si>
  <si>
    <t>Sangonera la Seca</t>
  </si>
  <si>
    <t>968 26 88 36</t>
  </si>
  <si>
    <t>Mudaser Servicios</t>
  </si>
  <si>
    <t>Calle de Los Lages, 34, 30157 Murcia</t>
  </si>
  <si>
    <t>868 04 39 89</t>
  </si>
  <si>
    <t>Mudanzas y guardamuebles BARBERO SL.</t>
  </si>
  <si>
    <t>Calle Pintor Portela 18 1ºIzq., 30203 Cartagena, Murcia</t>
  </si>
  <si>
    <t>mudanzasbarbero.es</t>
  </si>
  <si>
    <t>968 52 24 24</t>
  </si>
  <si>
    <t>info@mudanzasbarbero.es</t>
  </si>
  <si>
    <t>Mudanzas Cárceles Hijo</t>
  </si>
  <si>
    <t>Polígono Industrial Cit Musa, Calle Totana, 8, 30833 Sangonera la Verde, Murcia</t>
  </si>
  <si>
    <t>Sangonera la Verde</t>
  </si>
  <si>
    <t>615 65 89 20</t>
  </si>
  <si>
    <t>C. Yesera, 42, 30833 Sangonera la Verde, Murcia</t>
  </si>
  <si>
    <t>Mudanzas Sureste Torrevieja</t>
  </si>
  <si>
    <t>mudanzassureste.com</t>
  </si>
  <si>
    <t>650 95 08 71</t>
  </si>
  <si>
    <t>Mudanzas Porfirio</t>
  </si>
  <si>
    <t>C. San Fernando, 16, 30800 Lorca, Murcia</t>
  </si>
  <si>
    <t>Lorca</t>
  </si>
  <si>
    <t>mudanzasporfirio.com</t>
  </si>
  <si>
    <t>968 49 94 94</t>
  </si>
  <si>
    <t>xxxx@xxx.xx</t>
  </si>
  <si>
    <t>Grupo Amygo Murcia</t>
  </si>
  <si>
    <t>C/ Pintor Portela, 18 - 1º Izq, 30203 Cartagena, Murcia</t>
  </si>
  <si>
    <t>Mudanzas Caravaca</t>
  </si>
  <si>
    <t>Av. de los Andenes, 16, 30400 Caravaca de la Cruz, Murcia</t>
  </si>
  <si>
    <t>Caravaca de la Cruz</t>
  </si>
  <si>
    <t>mudanzascaravaca.es</t>
  </si>
  <si>
    <t>637 79 00 54</t>
  </si>
  <si>
    <t>info@mudanzascaravaca.es</t>
  </si>
  <si>
    <t>Mudanzas en cieza</t>
  </si>
  <si>
    <t>Av. Abarán, 40, 30530 Cieza, Murcia</t>
  </si>
  <si>
    <t>Cieza</t>
  </si>
  <si>
    <t>Mudanzas Gamo</t>
  </si>
  <si>
    <t>C. Burundoa, 31, 31192 Mutilva, Navarra</t>
  </si>
  <si>
    <t>Mutilva</t>
  </si>
  <si>
    <t>mudanzaselgamo.com</t>
  </si>
  <si>
    <t>948 23 12 43</t>
  </si>
  <si>
    <t>Mudanzas Express Pamplona</t>
  </si>
  <si>
    <t>C. Real, 56, 1D, 31110 Noáin, Navarra</t>
  </si>
  <si>
    <t>Noáin</t>
  </si>
  <si>
    <t>mudanzasexpressenpamplona.com</t>
  </si>
  <si>
    <t>653 06 07 57</t>
  </si>
  <si>
    <t>info@mudanzasexpressenpamplona.com</t>
  </si>
  <si>
    <t>Mudanzas joserra</t>
  </si>
  <si>
    <t>C. de Bartolomé de Carranza, 54, 1 A, 31008 Pamplona, Navarra</t>
  </si>
  <si>
    <t>jrservi.weebly.com</t>
  </si>
  <si>
    <t>694 50 53 95</t>
  </si>
  <si>
    <t>Navarra Mudanzas</t>
  </si>
  <si>
    <t>C. Benjamín de Tudela, 36, 31008 Pamplona, Navarra</t>
  </si>
  <si>
    <t>848 87 12 25</t>
  </si>
  <si>
    <t>Empresa de Limpiezas y Mudanzas Azoz</t>
  </si>
  <si>
    <t>Concejo De Sagasta, 15, 1A, 31016 Pamplona, Navarra</t>
  </si>
  <si>
    <t>632 54 68 73</t>
  </si>
  <si>
    <t>Colchoneriagorrincho</t>
  </si>
  <si>
    <t>Polígono Noáin-Esquíroz, 29, 31191 Esquíroz, Navarra</t>
  </si>
  <si>
    <t>Esquíroz</t>
  </si>
  <si>
    <t>Mudanzas 24 horas Guardamuebles Aglobal Services | Irún Gipuzkoa</t>
  </si>
  <si>
    <t>mudanzasytransportesasg.es</t>
  </si>
  <si>
    <t>622 29 99 29</t>
  </si>
  <si>
    <t>info@mudanzasytransportesasg.es</t>
  </si>
  <si>
    <t>Mudanzas Oliva</t>
  </si>
  <si>
    <t>makurren 3, 20100 Lezo, Gipuzkoa</t>
  </si>
  <si>
    <t>Lezo</t>
  </si>
  <si>
    <t>mudanzasoliva.com</t>
  </si>
  <si>
    <t>943 39 28 25</t>
  </si>
  <si>
    <t>info@mudanzasoliva.com</t>
  </si>
  <si>
    <t>MUDANZAS Y TRANSPORTES JOSE - EMPRESA DE MUDANZAS EN DONOSTIA</t>
  </si>
  <si>
    <t>Lauaizeta Kalea, 7, BAJO, 20017 Donostia-San Sebastian, Gipuzkoa</t>
  </si>
  <si>
    <t>San Sebastián</t>
  </si>
  <si>
    <t>mudanzasjose.com</t>
  </si>
  <si>
    <t>607 43 74 73</t>
  </si>
  <si>
    <t>info@mudanzasjose.com</t>
  </si>
  <si>
    <t>Mudanzas Rafa</t>
  </si>
  <si>
    <t>San Bartolome Kalea, 22, 20007 Donostia, Gipuzkoa</t>
  </si>
  <si>
    <t>mudanzasrafa.com</t>
  </si>
  <si>
    <t>943 46 20 07</t>
  </si>
  <si>
    <t>info@mudanzasrafa.com</t>
  </si>
  <si>
    <t>Mudanzas y Guardamuebles Rio</t>
  </si>
  <si>
    <t>Donibane Kalea, 25, 20110 Pasai Donibane, Gipuzkoa</t>
  </si>
  <si>
    <t>Pasai Donibane</t>
  </si>
  <si>
    <t>mudanzasrio.com</t>
  </si>
  <si>
    <t>943 51 19 04</t>
  </si>
  <si>
    <t>info@mudanzasrio.com</t>
  </si>
  <si>
    <t>Mudanzas Baskotaxi</t>
  </si>
  <si>
    <t>Kalea AKARREGI POLIGONOA, 2, 20120 Hernani, Gipuzkoa</t>
  </si>
  <si>
    <t>baskotaxi.es</t>
  </si>
  <si>
    <t>943 31 10 11</t>
  </si>
  <si>
    <t>baskotaxi@baskotaxi.es</t>
  </si>
  <si>
    <t>Mudanzas Legarra</t>
  </si>
  <si>
    <t>Baratzategi Kalea, 2, 20015 Donostia, Gipuzkoa</t>
  </si>
  <si>
    <t>mudanzaslegarra.com</t>
  </si>
  <si>
    <t>607 99 09 90</t>
  </si>
  <si>
    <t>logo@2x.png</t>
  </si>
  <si>
    <t>Mudanzas Río</t>
  </si>
  <si>
    <t>San Juan de Luz Plaza, 25, 20110 Pasaia, Gipuzkoa</t>
  </si>
  <si>
    <t>Pasajes</t>
  </si>
  <si>
    <t>639 66 24 99</t>
  </si>
  <si>
    <t>MUDANZAS DARWIN</t>
  </si>
  <si>
    <t>Bera&amp;apos;ko Karika, 10, 3ºB, 20301 Irun, Gipuzkoa</t>
  </si>
  <si>
    <t>670 08 98 78</t>
  </si>
  <si>
    <t>Mudanzas Hartu</t>
  </si>
  <si>
    <t>Menendez y Pelayo Marcelino Kalea, 36, 48006 Bilbo, Bizkaia</t>
  </si>
  <si>
    <t>662 27 72 15</t>
  </si>
  <si>
    <t>Mudanzas Carlos Rodriguez</t>
  </si>
  <si>
    <t>Correos Kalea, 8, 48920 Portugalete, Bizkaia</t>
  </si>
  <si>
    <t>Portugalete</t>
  </si>
  <si>
    <t>mudanzascarlosrodriguez.com</t>
  </si>
  <si>
    <t>944 95 88 52</t>
  </si>
  <si>
    <t>legal@mudanzascarlosrodriguez.com</t>
  </si>
  <si>
    <t>Mudanzas Ekuafran, Bilbao</t>
  </si>
  <si>
    <t>Babcock Wilcox Etxetaldea, 2, Bj Dch, 48902 Barakaldo, Biscay</t>
  </si>
  <si>
    <t>mudanzasekuafran.es</t>
  </si>
  <si>
    <t>620 17 92 65</t>
  </si>
  <si>
    <t>william@mudanzasekuafran.es</t>
  </si>
  <si>
    <t>Mudanzas Iker</t>
  </si>
  <si>
    <t>Zabalbide Kalea, 59, 48006 Bilbo, Bizkaia</t>
  </si>
  <si>
    <t>mudanzasiker.com</t>
  </si>
  <si>
    <t>618 39 90 02</t>
  </si>
  <si>
    <t>C. Luisene, 5, B, 48100 Mungia, Bizkaia</t>
  </si>
  <si>
    <t>Vaciados y mudanzas Bizkaia</t>
  </si>
  <si>
    <t>Grupo, Sagarminaga Kalea, 42, 48004 Bilbao, Biscay</t>
  </si>
  <si>
    <t>600 76 76 53</t>
  </si>
  <si>
    <t>LIMPIEZAS Y MUDANZAS PATXI</t>
  </si>
  <si>
    <t>Tutulu Kalea, 18, 48004 Bilbo, Bizkaia</t>
  </si>
  <si>
    <t>662 50 80 57</t>
  </si>
  <si>
    <t>MUDANZAS Y VACIADOS FERNÁNDEZ</t>
  </si>
  <si>
    <t>Larratundu Kalea, 18, 48004 Bilbo, Bizkaia</t>
  </si>
  <si>
    <t>fernandezmudanzas.es</t>
  </si>
  <si>
    <t>644 67 01 70</t>
  </si>
  <si>
    <t>Aurrekoetxea Kalea, 4, 3º Izquierda, 48006 Bilbo, Bizkaia</t>
  </si>
  <si>
    <t>638 27 81 04</t>
  </si>
  <si>
    <t>GULAM MUDANZAS Y PORTES</t>
  </si>
  <si>
    <t>Calle Askarri Auzoa, 5, 48960 Bilbo, Bizkaia</t>
  </si>
  <si>
    <t>gulammudanzasyportes.com</t>
  </si>
  <si>
    <t>631 47 72 00</t>
  </si>
  <si>
    <t>webmaster@gulammudanzasyportes.com</t>
  </si>
  <si>
    <t>Portes y Mudanzas 366</t>
  </si>
  <si>
    <t>Calle Groupo, Makaldi Etxetaldea, 5, 48004 Bilbo, Bizkaia</t>
  </si>
  <si>
    <t>602 51 78 00</t>
  </si>
  <si>
    <t>Rodríguez Arias Kalea, 59, 48013 Bilbo, Bizkaia</t>
  </si>
  <si>
    <t>617 95 92 34</t>
  </si>
  <si>
    <t>Ecuafran Mudanzas Getxo</t>
  </si>
  <si>
    <t>Landabarri Bidea, 3, 4, 48940 Elexalde, Bizkaia</t>
  </si>
  <si>
    <t>944 58 31 02</t>
  </si>
  <si>
    <t>ANDONI MUDANZAS Y LIMPIEZAS</t>
  </si>
  <si>
    <t>Gipuzkoa Kalea, 32, 48014 Bilbo, Bizkaia</t>
  </si>
  <si>
    <t>699 26 47 22</t>
  </si>
  <si>
    <t>Mudanzas Estrellas</t>
  </si>
  <si>
    <t>Bagatza Kalea, 4 Lonja, 48901 Barakaldo, Bizkaia</t>
  </si>
  <si>
    <t>mudanzasestrellas.es</t>
  </si>
  <si>
    <t>656 45 21 66</t>
  </si>
  <si>
    <t>Mudanzas Bryan</t>
  </si>
  <si>
    <t>C. Bruno Mauricio Zabala Kalea, 23, 48003 Bilbao, Biscay</t>
  </si>
  <si>
    <t>642 56 84 36</t>
  </si>
  <si>
    <t>Bilbo Patxi</t>
  </si>
  <si>
    <t>Kalea Manuel Allende, 12, 48010 Bilbo, Bizkaia</t>
  </si>
  <si>
    <t>644 64 17 49</t>
  </si>
  <si>
    <t>Mudanzas Jose</t>
  </si>
  <si>
    <t>Abadiño</t>
  </si>
  <si>
    <t>642 82 14 29</t>
  </si>
  <si>
    <t>Mudanzas Andoni</t>
  </si>
  <si>
    <t>Artsenalbidea, 1, 48013 Bilbo, Bizkaia</t>
  </si>
  <si>
    <t>675 57 27 20</t>
  </si>
  <si>
    <t>Mudanzas Y Limpiezas Patxi</t>
  </si>
  <si>
    <t>Txotena Kalea, 12, 48004 Bilbo, Bizkaia</t>
  </si>
  <si>
    <t>634 65 90 13</t>
  </si>
  <si>
    <t>Bizidem Mudanzas Bilbao</t>
  </si>
  <si>
    <t>Agirre Lehendakariaren Etorb., 11, 48014 Bilbo, Bizkaia</t>
  </si>
  <si>
    <t>mudanzas-bilbao.es</t>
  </si>
  <si>
    <t>688 78 00 00</t>
  </si>
  <si>
    <t>central@bizidem.com</t>
  </si>
  <si>
    <t>Mudanzas y Portes Bilbao</t>
  </si>
  <si>
    <t>Avenida Julián Gayarre s/n, 48004 Bilbao, Biscay</t>
  </si>
  <si>
    <t>643 09 85 02</t>
  </si>
  <si>
    <t>Grupo Amygo Bilbao</t>
  </si>
  <si>
    <t>Etxerre Kaminoa Kalea, 6, 48970 Basauri, Bizkaia</t>
  </si>
  <si>
    <t>Antonio Transportes y Mudanzas</t>
  </si>
  <si>
    <t>Lugar Barrio Olatxu, 3 -8 Dcha, 48003 Santa Isabel, Biscay</t>
  </si>
  <si>
    <t>Mudanzas Florián</t>
  </si>
  <si>
    <t>Cl. Epetxa, 1, 216, 48014 Bilbao, Biscay</t>
  </si>
  <si>
    <t>603 10 85 11</t>
  </si>
  <si>
    <t>MUDANZAS EKUAFAN BILBAO</t>
  </si>
  <si>
    <t>Basurtu Kastrexana Errepidea, 20, 48002 Bilbo, Bizkaia</t>
  </si>
  <si>
    <t>944 58 31 36</t>
  </si>
  <si>
    <t>MUDANZAS Y VACIADOS ECONOMÍCOS</t>
  </si>
  <si>
    <t>48006 Bilbao, Biscay</t>
  </si>
  <si>
    <t>milanuncios.com</t>
  </si>
  <si>
    <t>631 42 84 82</t>
  </si>
  <si>
    <t>Gipuzkoa Kalea, 1, 48450 Legizamon, Bizkaia</t>
  </si>
  <si>
    <t>Mudanzas Y Vaciados En Bilbao</t>
  </si>
  <si>
    <t>631 86 25 46</t>
  </si>
  <si>
    <t>mudanzas soha</t>
  </si>
  <si>
    <t>625 71 31 03</t>
  </si>
  <si>
    <t>Transportes IKER</t>
  </si>
  <si>
    <t>Kalea Ilumeneta, 13 2º izda, 48004 Bilbo, Bizkaia</t>
  </si>
  <si>
    <t>662 15 80 33</t>
  </si>
  <si>
    <t>Ekuafran SLU</t>
  </si>
  <si>
    <t>Barrondo Auzoa, 18, 48480 Zaratamo, Bizkaia</t>
  </si>
  <si>
    <t>Zarátamo</t>
  </si>
  <si>
    <t>JOSÉ LUÍS</t>
  </si>
  <si>
    <t>Txotena Kalea, 13, 48004 Bilbo, Bizkaia</t>
  </si>
  <si>
    <t>Transportes Y Mudanzas Mikel</t>
  </si>
  <si>
    <t>Kareaga Goikoa Kalea, 7, 48970 Basauri, Bizkaia</t>
  </si>
  <si>
    <t>transportesymudanzasmikel.es</t>
  </si>
  <si>
    <t>612 23 59 56</t>
  </si>
  <si>
    <t>TRANSPORTES Y MUDANZAS IVON</t>
  </si>
  <si>
    <t>Kalea, Lozoño Kalea, 26, 3º IZQ, 48004 Bilbo, Bizkaia</t>
  </si>
  <si>
    <t>643 41 57 02</t>
  </si>
  <si>
    <t>Portes y Mudanzas Julen</t>
  </si>
  <si>
    <t>641 37 25 60</t>
  </si>
  <si>
    <t>Mudanzas Fernan</t>
  </si>
  <si>
    <t>679 55 94 05</t>
  </si>
  <si>
    <t>LIMPIEZAS Y MUDANZAS JESUS VEGAS</t>
  </si>
  <si>
    <t>Txaeta Kalea, 18, 7d, 20500 Arrasate, Gipuzkoa</t>
  </si>
  <si>
    <t>Arrasate</t>
  </si>
  <si>
    <t>600 84 49 49</t>
  </si>
  <si>
    <t>Mudanzas Jubera</t>
  </si>
  <si>
    <t>Bergara Errepidea, 10, 01520 Mendibil, Araba</t>
  </si>
  <si>
    <t>Mendívil</t>
  </si>
  <si>
    <t>945 29 96 03</t>
  </si>
  <si>
    <t>Soluciones Garlito &amp;amp; Ivanov</t>
  </si>
  <si>
    <t>Bo. Rueda, Nave, 60, 39790 Cicero, Cantabria</t>
  </si>
  <si>
    <t>Cicero</t>
  </si>
  <si>
    <t>solucionesgi.es</t>
  </si>
  <si>
    <t>634 56 05 90</t>
  </si>
  <si>
    <t>TRANSPORTES EDGAR</t>
  </si>
  <si>
    <t>Sofia Erreginaren Hiribidea, 3, 3 3, 01015 Vitoria-Gasteiz, Álava</t>
  </si>
  <si>
    <t>677 84 09 38</t>
  </si>
  <si>
    <t>Transportes Alberto</t>
  </si>
  <si>
    <t>Gabriel Aresti Kalea, 3, bajo A, 01010 Vitoria-Gasteiz, Álava</t>
  </si>
  <si>
    <t>665 71 41 38</t>
  </si>
  <si>
    <t>Mudanzas Patxi</t>
  </si>
  <si>
    <t>Agurain/Salvatierra</t>
  </si>
  <si>
    <t>674 83 71 51</t>
  </si>
  <si>
    <t>Transportes y Vaciados Ander</t>
  </si>
  <si>
    <t>Txaeta Kalea, 18, 8º F, 20500 Arrasate, Gipuzkoa</t>
  </si>
  <si>
    <t>672 63 16 52</t>
  </si>
  <si>
    <t>Transmobil S.L</t>
  </si>
  <si>
    <t>Iberre Kalea, 5, 48150, Bizkaia</t>
  </si>
  <si>
    <t>Asua-Lauroeta</t>
  </si>
  <si>
    <t>944 71 17 31</t>
  </si>
  <si>
    <t>Gulam Mudanzas y Portes</t>
  </si>
  <si>
    <t>1º Derecha, N-634, 5, 48960 Galdakao, Biscay</t>
  </si>
  <si>
    <t>Galdácano</t>
  </si>
  <si>
    <t>946 53 32 61</t>
  </si>
  <si>
    <t>Mudanzas Carlos</t>
  </si>
  <si>
    <t>Donostia Ibilbidea, 26, 20115 Astigarraga, Gipuzkoa</t>
  </si>
  <si>
    <t>Astigarraga</t>
  </si>
  <si>
    <t>mudanzascarlos.com</t>
  </si>
  <si>
    <t>943 33 21 22</t>
  </si>
  <si>
    <t>carlos@carlostransport.com</t>
  </si>
  <si>
    <t>Mudanzas y Guardamuebles Norte</t>
  </si>
  <si>
    <t>Gibeleta, 15a, 20280 Hondarribia, Gipuzkoa</t>
  </si>
  <si>
    <t>Hondarribia</t>
  </si>
  <si>
    <t>mudanzasnorte.com</t>
  </si>
  <si>
    <t>943 64 40 99</t>
  </si>
  <si>
    <t>informacion@mudanzasnorte.com</t>
  </si>
  <si>
    <t>Gil Stauffer</t>
  </si>
  <si>
    <t>San Martzial Kalea, 0, 20001 San Sebastián-Donostia, Gipuzkoa</t>
  </si>
  <si>
    <t>943 42 19 78</t>
  </si>
  <si>
    <t>Mudanzas, vaciados y limpiezas Oscar</t>
  </si>
  <si>
    <t>Marinel Kalea, 8, 20303 Irun, Gipuzkoa</t>
  </si>
  <si>
    <t>671 41 91 55</t>
  </si>
  <si>
    <t>Gruas Y Transportes Iturrioz SL</t>
  </si>
  <si>
    <t>Poligono Industrial Ibaiondo, Pabellon 9-10, 20249 Itsasondo, Guipúzcoa, Gipuzkoa</t>
  </si>
  <si>
    <t>Isasondo</t>
  </si>
  <si>
    <t>transportesiturrioz.com</t>
  </si>
  <si>
    <t>943 88 83 95</t>
  </si>
  <si>
    <t>Mudanzas y Guardamuebles Río</t>
  </si>
  <si>
    <t>Oialume Bidea, 25, 20115 Astigarraga, Gipuzkoa</t>
  </si>
  <si>
    <t>943 33 00 12</t>
  </si>
  <si>
    <t>Transportes JCPR</t>
  </si>
  <si>
    <t>Urbanizacion Goiegi, 1, 3 A, 20160 Lasarte-Oria, Gipuzkoa</t>
  </si>
  <si>
    <t>Lasarte-Oria</t>
  </si>
  <si>
    <t>649 88 03 07</t>
  </si>
  <si>
    <t>Licinio Citores Antolín</t>
  </si>
  <si>
    <t>Del Cedro Plaza, 7, 20016 Donostia, Gipuzkoa</t>
  </si>
  <si>
    <t>615 74 10 18</t>
  </si>
  <si>
    <t>MUDANZAS EN NAVARRA</t>
  </si>
  <si>
    <t>C. Soto de Lezkairu, 11, 31006 Pamplona, Navarra</t>
  </si>
  <si>
    <t>mudanzasnavarra.me</t>
  </si>
  <si>
    <t>info@mudanzasnavarra.me</t>
  </si>
  <si>
    <t>Mudanza Navarra - Mudanzas nacionales - Traslados especiales - Guardamuebles</t>
  </si>
  <si>
    <t>Calle Alemania, 34, 31119 Óriz, Navarra</t>
  </si>
  <si>
    <t>Óriz</t>
  </si>
  <si>
    <t>mudanzanavarra.com</t>
  </si>
  <si>
    <t>900 701 033</t>
  </si>
  <si>
    <t>info@mudanzanavarra.com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</si>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</sst>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Mudanzas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FE-4CB1-8560-433CE53EA2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EFE-4CB1-8560-433CE53EA2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FE-4CB1-8560-433CE53EA2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FE-4CB1-8560-433CE53EA23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FE-4CB1-8560-433CE53EA23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1490</c:v>
                </c:pt>
                <c:pt idx="1">
                  <c:v>667</c:v>
                </c:pt>
                <c:pt idx="2">
                  <c:v>952</c:v>
                </c:pt>
                <c:pt idx="3">
                  <c:v>1381</c:v>
                </c:pt>
                <c:pt idx="4">
                  <c:v>555</c:v>
                </c:pt>
                <c:pt idx="5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E-4CB1-8560-433CE53EA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165392"/>
        <c:axId val="1566163728"/>
      </c:barChart>
      <c:catAx>
        <c:axId val="156616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63728"/>
        <c:crosses val="autoZero"/>
        <c:auto val="1"/>
        <c:lblAlgn val="ctr"/>
        <c:lblOffset val="100"/>
        <c:noMultiLvlLbl val="0"/>
      </c:catAx>
      <c:valAx>
        <c:axId val="15661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6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2</xdr:row>
      <xdr:rowOff>123824</xdr:rowOff>
    </xdr:from>
    <xdr:to>
      <xdr:col>5</xdr:col>
      <xdr:colOff>2489199</xdr:colOff>
      <xdr:row>33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E7856-9175-27DE-8093-1DD7E20F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D8EF-FD61-4377-B444-3852EDACF0C3}">
  <dimension ref="A1:I110"/>
  <sheetViews>
    <sheetView workbookViewId="0">
      <selection activeCell="H4" sqref="H4"/>
    </sheetView>
  </sheetViews>
  <sheetFormatPr defaultRowHeight="15"/>
  <cols>
    <col min="1" max="1" width="67" customWidth="1"/>
    <col min="8" max="8" width="40.14062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1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b">
        <v>1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26</v>
      </c>
      <c r="F4" t="s">
        <v>27</v>
      </c>
      <c r="G4" t="s">
        <v>28</v>
      </c>
      <c r="H4" t="s">
        <v>29</v>
      </c>
      <c r="I4" t="b">
        <v>1</v>
      </c>
    </row>
    <row r="5" spans="1:9">
      <c r="A5" t="s">
        <v>30</v>
      </c>
      <c r="B5" t="s">
        <v>24</v>
      </c>
      <c r="C5" t="s">
        <v>31</v>
      </c>
      <c r="D5" t="s">
        <v>26</v>
      </c>
      <c r="E5" t="s">
        <v>26</v>
      </c>
      <c r="F5" t="s">
        <v>32</v>
      </c>
      <c r="G5" t="s">
        <v>33</v>
      </c>
      <c r="H5" t="s">
        <v>34</v>
      </c>
      <c r="I5" t="b">
        <v>1</v>
      </c>
    </row>
    <row r="6" spans="1:9">
      <c r="A6" t="s">
        <v>35</v>
      </c>
      <c r="B6" t="s">
        <v>36</v>
      </c>
      <c r="C6" t="s">
        <v>37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b">
        <v>1</v>
      </c>
    </row>
    <row r="7" spans="1:9">
      <c r="A7" t="s">
        <v>42</v>
      </c>
      <c r="B7" t="s">
        <v>10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b">
        <v>1</v>
      </c>
    </row>
    <row r="8" spans="1:9">
      <c r="A8" t="s">
        <v>49</v>
      </c>
      <c r="B8" t="s">
        <v>24</v>
      </c>
      <c r="C8" t="s">
        <v>50</v>
      </c>
      <c r="D8" t="s">
        <v>51</v>
      </c>
      <c r="E8" t="s">
        <v>45</v>
      </c>
      <c r="F8" t="s">
        <v>52</v>
      </c>
      <c r="G8" t="s">
        <v>53</v>
      </c>
      <c r="H8" t="s">
        <v>54</v>
      </c>
      <c r="I8" t="b">
        <v>1</v>
      </c>
    </row>
    <row r="9" spans="1:9">
      <c r="A9" t="s">
        <v>55</v>
      </c>
      <c r="B9" t="s">
        <v>24</v>
      </c>
      <c r="C9" t="s">
        <v>56</v>
      </c>
      <c r="D9" t="s">
        <v>57</v>
      </c>
      <c r="E9" t="s">
        <v>57</v>
      </c>
      <c r="F9" t="s">
        <v>58</v>
      </c>
      <c r="G9" t="s">
        <v>59</v>
      </c>
      <c r="H9" t="s">
        <v>60</v>
      </c>
      <c r="I9" t="b">
        <v>1</v>
      </c>
    </row>
    <row r="10" spans="1:9">
      <c r="A10" t="s">
        <v>61</v>
      </c>
      <c r="B10" t="s">
        <v>24</v>
      </c>
      <c r="C10" t="s">
        <v>62</v>
      </c>
      <c r="D10" t="s">
        <v>38</v>
      </c>
      <c r="E10" t="s">
        <v>38</v>
      </c>
      <c r="F10" t="s">
        <v>63</v>
      </c>
      <c r="G10" t="s">
        <v>64</v>
      </c>
      <c r="H10" t="s">
        <v>65</v>
      </c>
      <c r="I10" t="b">
        <v>1</v>
      </c>
    </row>
    <row r="11" spans="1:9">
      <c r="A11" t="s">
        <v>66</v>
      </c>
      <c r="B11" t="s">
        <v>24</v>
      </c>
      <c r="C11" t="s">
        <v>67</v>
      </c>
      <c r="D11" t="s">
        <v>26</v>
      </c>
      <c r="E11" t="s">
        <v>26</v>
      </c>
      <c r="F11" t="s">
        <v>68</v>
      </c>
      <c r="G11" t="s">
        <v>69</v>
      </c>
      <c r="H11" t="s">
        <v>70</v>
      </c>
      <c r="I11" t="b">
        <v>1</v>
      </c>
    </row>
    <row r="12" spans="1:9">
      <c r="A12" t="s">
        <v>71</v>
      </c>
      <c r="B12" t="s">
        <v>10</v>
      </c>
      <c r="C12" t="s">
        <v>72</v>
      </c>
      <c r="D12" t="s">
        <v>73</v>
      </c>
      <c r="E12" t="s">
        <v>73</v>
      </c>
      <c r="F12" t="s">
        <v>74</v>
      </c>
      <c r="G12" t="s">
        <v>75</v>
      </c>
      <c r="H12" t="s">
        <v>76</v>
      </c>
      <c r="I12" t="b">
        <v>1</v>
      </c>
    </row>
    <row r="13" spans="1:9">
      <c r="A13" t="s">
        <v>77</v>
      </c>
      <c r="B13" t="s">
        <v>24</v>
      </c>
      <c r="C13" t="s">
        <v>78</v>
      </c>
      <c r="D13" t="s">
        <v>79</v>
      </c>
      <c r="E13" t="s">
        <v>78</v>
      </c>
      <c r="F13" t="s">
        <v>80</v>
      </c>
      <c r="G13" t="s">
        <v>81</v>
      </c>
      <c r="H13" t="s">
        <v>82</v>
      </c>
      <c r="I13" t="b">
        <v>1</v>
      </c>
    </row>
    <row r="14" spans="1:9">
      <c r="A14" t="s">
        <v>83</v>
      </c>
      <c r="B14" t="s">
        <v>24</v>
      </c>
      <c r="C14" t="s">
        <v>84</v>
      </c>
      <c r="D14" t="s">
        <v>85</v>
      </c>
      <c r="E14" t="s">
        <v>85</v>
      </c>
      <c r="F14" t="s">
        <v>86</v>
      </c>
      <c r="G14" t="s">
        <v>87</v>
      </c>
      <c r="H14" t="s">
        <v>88</v>
      </c>
      <c r="I14" t="b">
        <v>1</v>
      </c>
    </row>
    <row r="15" spans="1:9">
      <c r="A15" t="s">
        <v>89</v>
      </c>
      <c r="B15" t="s">
        <v>24</v>
      </c>
      <c r="C15" t="s">
        <v>90</v>
      </c>
      <c r="D15" t="s">
        <v>91</v>
      </c>
      <c r="E15" t="s">
        <v>91</v>
      </c>
      <c r="F15" t="s">
        <v>92</v>
      </c>
      <c r="G15" t="s">
        <v>93</v>
      </c>
      <c r="H15" t="s">
        <v>94</v>
      </c>
      <c r="I15" t="b">
        <v>1</v>
      </c>
    </row>
    <row r="16" spans="1:9">
      <c r="A16" t="s">
        <v>95</v>
      </c>
      <c r="B16" t="s">
        <v>24</v>
      </c>
      <c r="C16" t="s">
        <v>96</v>
      </c>
      <c r="D16" t="s">
        <v>91</v>
      </c>
      <c r="E16" t="s">
        <v>91</v>
      </c>
      <c r="F16" t="s">
        <v>97</v>
      </c>
      <c r="G16" t="s">
        <v>98</v>
      </c>
      <c r="H16" t="s">
        <v>99</v>
      </c>
      <c r="I16" t="b">
        <v>1</v>
      </c>
    </row>
    <row r="17" spans="1:9">
      <c r="A17" t="s">
        <v>100</v>
      </c>
      <c r="B17" t="s">
        <v>24</v>
      </c>
      <c r="C17" t="s">
        <v>101</v>
      </c>
      <c r="D17" t="s">
        <v>91</v>
      </c>
      <c r="E17" t="s">
        <v>91</v>
      </c>
      <c r="F17" t="s">
        <v>102</v>
      </c>
      <c r="G17" t="s">
        <v>103</v>
      </c>
      <c r="H17" t="s">
        <v>104</v>
      </c>
      <c r="I17" t="b">
        <v>1</v>
      </c>
    </row>
    <row r="18" spans="1:9">
      <c r="A18" t="s">
        <v>105</v>
      </c>
      <c r="B18" t="s">
        <v>24</v>
      </c>
      <c r="C18" t="s">
        <v>106</v>
      </c>
      <c r="D18" t="s">
        <v>91</v>
      </c>
      <c r="E18" t="s">
        <v>91</v>
      </c>
      <c r="F18" t="s">
        <v>107</v>
      </c>
      <c r="G18" t="s">
        <v>93</v>
      </c>
      <c r="H18" t="s">
        <v>108</v>
      </c>
      <c r="I18" t="b">
        <v>1</v>
      </c>
    </row>
    <row r="19" spans="1:9">
      <c r="A19" t="s">
        <v>109</v>
      </c>
      <c r="B19" t="s">
        <v>24</v>
      </c>
      <c r="C19" t="s">
        <v>110</v>
      </c>
      <c r="D19" t="s">
        <v>38</v>
      </c>
      <c r="E19" t="s">
        <v>38</v>
      </c>
      <c r="F19" t="s">
        <v>111</v>
      </c>
      <c r="G19" t="s">
        <v>112</v>
      </c>
      <c r="H19" t="s">
        <v>113</v>
      </c>
      <c r="I19" t="b">
        <v>1</v>
      </c>
    </row>
    <row r="20" spans="1:9">
      <c r="A20" t="s">
        <v>114</v>
      </c>
      <c r="B20" t="s">
        <v>24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b">
        <v>1</v>
      </c>
    </row>
    <row r="21" spans="1:9">
      <c r="A21" t="s">
        <v>121</v>
      </c>
      <c r="B21" t="s">
        <v>10</v>
      </c>
      <c r="C21" t="s">
        <v>122</v>
      </c>
      <c r="D21" t="s">
        <v>117</v>
      </c>
      <c r="E21" t="s">
        <v>117</v>
      </c>
      <c r="F21" t="s">
        <v>123</v>
      </c>
      <c r="G21" t="s">
        <v>124</v>
      </c>
      <c r="H21" t="s">
        <v>125</v>
      </c>
      <c r="I21" t="b">
        <v>1</v>
      </c>
    </row>
    <row r="22" spans="1:9">
      <c r="A22" t="s">
        <v>126</v>
      </c>
      <c r="B22" t="s">
        <v>24</v>
      </c>
      <c r="C22" t="s">
        <v>127</v>
      </c>
      <c r="D22" t="s">
        <v>128</v>
      </c>
      <c r="E22" t="s">
        <v>117</v>
      </c>
      <c r="F22" t="s">
        <v>129</v>
      </c>
      <c r="G22" t="s">
        <v>130</v>
      </c>
      <c r="H22" t="s">
        <v>131</v>
      </c>
      <c r="I22" t="b">
        <v>1</v>
      </c>
    </row>
    <row r="23" spans="1:9">
      <c r="A23" t="s">
        <v>132</v>
      </c>
      <c r="B23" t="s">
        <v>10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b">
        <v>1</v>
      </c>
    </row>
    <row r="24" spans="1:9">
      <c r="A24" t="s">
        <v>139</v>
      </c>
      <c r="B24" t="s">
        <v>10</v>
      </c>
      <c r="C24" t="s">
        <v>140</v>
      </c>
      <c r="D24" t="s">
        <v>141</v>
      </c>
      <c r="E24" t="s">
        <v>38</v>
      </c>
      <c r="F24" t="s">
        <v>142</v>
      </c>
      <c r="G24" t="s">
        <v>143</v>
      </c>
      <c r="H24" t="s">
        <v>144</v>
      </c>
      <c r="I24" t="b">
        <v>1</v>
      </c>
    </row>
    <row r="25" spans="1:9">
      <c r="A25" t="s">
        <v>145</v>
      </c>
      <c r="B25" t="s">
        <v>10</v>
      </c>
      <c r="C25" t="s">
        <v>146</v>
      </c>
      <c r="D25" t="s">
        <v>147</v>
      </c>
      <c r="E25" t="s">
        <v>38</v>
      </c>
      <c r="F25" t="s">
        <v>148</v>
      </c>
      <c r="G25" t="s">
        <v>149</v>
      </c>
      <c r="H25" t="s">
        <v>150</v>
      </c>
      <c r="I25" t="b">
        <v>1</v>
      </c>
    </row>
    <row r="26" spans="1:9">
      <c r="A26" t="s">
        <v>151</v>
      </c>
      <c r="B26" t="s">
        <v>24</v>
      </c>
      <c r="C26" t="s">
        <v>152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 t="b">
        <v>1</v>
      </c>
    </row>
    <row r="27" spans="1:9">
      <c r="A27" t="s">
        <v>158</v>
      </c>
      <c r="B27" t="s">
        <v>24</v>
      </c>
      <c r="C27" t="s">
        <v>159</v>
      </c>
      <c r="D27" t="s">
        <v>160</v>
      </c>
      <c r="E27" t="s">
        <v>160</v>
      </c>
      <c r="F27" t="s">
        <v>161</v>
      </c>
      <c r="G27" t="s">
        <v>162</v>
      </c>
      <c r="H27" t="s">
        <v>163</v>
      </c>
      <c r="I27" t="b">
        <v>1</v>
      </c>
    </row>
    <row r="28" spans="1:9">
      <c r="A28" t="s">
        <v>164</v>
      </c>
      <c r="B28" t="s">
        <v>24</v>
      </c>
      <c r="C28" t="s">
        <v>165</v>
      </c>
      <c r="D28" t="s">
        <v>160</v>
      </c>
      <c r="E28" t="s">
        <v>160</v>
      </c>
      <c r="F28" t="s">
        <v>166</v>
      </c>
      <c r="G28" t="s">
        <v>167</v>
      </c>
      <c r="H28" t="s">
        <v>168</v>
      </c>
      <c r="I28" t="b">
        <v>1</v>
      </c>
    </row>
    <row r="29" spans="1:9">
      <c r="A29" t="s">
        <v>169</v>
      </c>
      <c r="B29" t="s">
        <v>24</v>
      </c>
      <c r="C29" t="s">
        <v>170</v>
      </c>
      <c r="D29" t="s">
        <v>160</v>
      </c>
      <c r="E29" t="s">
        <v>160</v>
      </c>
      <c r="F29" t="s">
        <v>171</v>
      </c>
      <c r="G29" t="s">
        <v>172</v>
      </c>
      <c r="H29" t="s">
        <v>173</v>
      </c>
      <c r="I29" t="b">
        <v>1</v>
      </c>
    </row>
    <row r="30" spans="1:9">
      <c r="A30" t="s">
        <v>174</v>
      </c>
      <c r="B30" t="s">
        <v>24</v>
      </c>
      <c r="C30" t="s">
        <v>175</v>
      </c>
      <c r="D30" t="s">
        <v>160</v>
      </c>
      <c r="E30" t="s">
        <v>160</v>
      </c>
      <c r="F30" t="s">
        <v>176</v>
      </c>
      <c r="G30" t="s">
        <v>177</v>
      </c>
      <c r="H30" t="s">
        <v>178</v>
      </c>
      <c r="I30" t="b">
        <v>1</v>
      </c>
    </row>
    <row r="31" spans="1:9">
      <c r="A31" t="s">
        <v>179</v>
      </c>
      <c r="B31" t="s">
        <v>24</v>
      </c>
      <c r="C31" t="s">
        <v>78</v>
      </c>
      <c r="D31" t="s">
        <v>180</v>
      </c>
      <c r="E31" t="s">
        <v>78</v>
      </c>
      <c r="F31" t="s">
        <v>181</v>
      </c>
      <c r="G31" t="s">
        <v>182</v>
      </c>
      <c r="H31" t="s">
        <v>183</v>
      </c>
      <c r="I31" t="b">
        <v>1</v>
      </c>
    </row>
    <row r="32" spans="1:9">
      <c r="A32" t="s">
        <v>184</v>
      </c>
      <c r="B32" t="s">
        <v>24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t="s">
        <v>190</v>
      </c>
      <c r="I32" t="b">
        <v>1</v>
      </c>
    </row>
    <row r="33" spans="1:9">
      <c r="A33" t="s">
        <v>191</v>
      </c>
      <c r="B33" t="s">
        <v>24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  <c r="I33" t="b">
        <v>1</v>
      </c>
    </row>
    <row r="34" spans="1:9">
      <c r="A34" t="s">
        <v>198</v>
      </c>
      <c r="B34" t="s">
        <v>24</v>
      </c>
      <c r="C34" t="s">
        <v>199</v>
      </c>
      <c r="D34" t="s">
        <v>200</v>
      </c>
      <c r="E34" t="s">
        <v>194</v>
      </c>
      <c r="F34" t="s">
        <v>201</v>
      </c>
      <c r="G34" t="s">
        <v>202</v>
      </c>
      <c r="H34" t="s">
        <v>203</v>
      </c>
      <c r="I34" t="b">
        <v>1</v>
      </c>
    </row>
    <row r="35" spans="1:9">
      <c r="A35" t="s">
        <v>204</v>
      </c>
      <c r="B35" t="s">
        <v>24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  <c r="I35" t="b">
        <v>1</v>
      </c>
    </row>
    <row r="36" spans="1:9">
      <c r="A36" t="s">
        <v>211</v>
      </c>
      <c r="B36" t="s">
        <v>24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b">
        <v>1</v>
      </c>
    </row>
    <row r="37" spans="1:9">
      <c r="A37" t="s">
        <v>218</v>
      </c>
      <c r="B37" t="s">
        <v>10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  <c r="I37" t="b">
        <v>1</v>
      </c>
    </row>
    <row r="38" spans="1:9">
      <c r="A38" t="s">
        <v>225</v>
      </c>
      <c r="B38" t="s">
        <v>24</v>
      </c>
      <c r="C38" t="s">
        <v>226</v>
      </c>
      <c r="D38" t="s">
        <v>227</v>
      </c>
      <c r="E38" t="s">
        <v>227</v>
      </c>
      <c r="F38" t="s">
        <v>228</v>
      </c>
      <c r="G38" t="s">
        <v>229</v>
      </c>
      <c r="H38" t="s">
        <v>230</v>
      </c>
      <c r="I38" t="b">
        <v>1</v>
      </c>
    </row>
    <row r="39" spans="1:9">
      <c r="A39" t="s">
        <v>231</v>
      </c>
      <c r="B39" t="s">
        <v>10</v>
      </c>
      <c r="C39" t="s">
        <v>232</v>
      </c>
      <c r="D39" t="s">
        <v>233</v>
      </c>
      <c r="E39" t="s">
        <v>234</v>
      </c>
      <c r="F39" t="s">
        <v>235</v>
      </c>
      <c r="G39" t="s">
        <v>236</v>
      </c>
      <c r="H39" t="s">
        <v>237</v>
      </c>
      <c r="I39" t="b">
        <v>1</v>
      </c>
    </row>
    <row r="40" spans="1:9">
      <c r="A40" t="s">
        <v>238</v>
      </c>
      <c r="B40" t="s">
        <v>10</v>
      </c>
      <c r="C40" t="s">
        <v>239</v>
      </c>
      <c r="D40" t="s">
        <v>240</v>
      </c>
      <c r="E40" t="s">
        <v>241</v>
      </c>
      <c r="F40" t="s">
        <v>242</v>
      </c>
      <c r="G40" t="s">
        <v>243</v>
      </c>
      <c r="H40" t="s">
        <v>244</v>
      </c>
      <c r="I40" t="b">
        <v>1</v>
      </c>
    </row>
    <row r="41" spans="1:9">
      <c r="A41" t="s">
        <v>245</v>
      </c>
      <c r="B41" t="s">
        <v>10</v>
      </c>
      <c r="C41" t="s">
        <v>78</v>
      </c>
      <c r="D41" t="s">
        <v>246</v>
      </c>
      <c r="E41" t="s">
        <v>78</v>
      </c>
      <c r="F41" t="s">
        <v>247</v>
      </c>
      <c r="G41" t="s">
        <v>248</v>
      </c>
      <c r="H41" t="s">
        <v>249</v>
      </c>
      <c r="I41" t="b">
        <v>1</v>
      </c>
    </row>
    <row r="42" spans="1:9">
      <c r="A42" t="s">
        <v>250</v>
      </c>
      <c r="B42" t="s">
        <v>24</v>
      </c>
      <c r="C42" t="s">
        <v>251</v>
      </c>
      <c r="D42" t="s">
        <v>252</v>
      </c>
      <c r="E42" t="s">
        <v>252</v>
      </c>
      <c r="F42" t="s">
        <v>253</v>
      </c>
      <c r="G42" t="s">
        <v>254</v>
      </c>
      <c r="H42" t="s">
        <v>255</v>
      </c>
      <c r="I42" t="b">
        <v>1</v>
      </c>
    </row>
    <row r="43" spans="1:9">
      <c r="A43" t="s">
        <v>256</v>
      </c>
      <c r="B43" t="s">
        <v>24</v>
      </c>
      <c r="C43" t="s">
        <v>257</v>
      </c>
      <c r="D43" t="s">
        <v>258</v>
      </c>
      <c r="E43" t="s">
        <v>258</v>
      </c>
      <c r="F43" t="s">
        <v>259</v>
      </c>
      <c r="G43" t="s">
        <v>260</v>
      </c>
      <c r="H43" t="s">
        <v>261</v>
      </c>
      <c r="I43" t="b">
        <v>1</v>
      </c>
    </row>
    <row r="44" spans="1:9">
      <c r="A44" t="s">
        <v>262</v>
      </c>
      <c r="B44" t="s">
        <v>24</v>
      </c>
      <c r="C44" t="s">
        <v>263</v>
      </c>
      <c r="D44" t="s">
        <v>264</v>
      </c>
      <c r="E44" t="s">
        <v>265</v>
      </c>
      <c r="F44" t="s">
        <v>266</v>
      </c>
      <c r="G44" t="s">
        <v>267</v>
      </c>
      <c r="H44" t="s">
        <v>268</v>
      </c>
      <c r="I44" t="b">
        <v>1</v>
      </c>
    </row>
    <row r="45" spans="1:9">
      <c r="A45" t="s">
        <v>269</v>
      </c>
      <c r="B45" t="s">
        <v>24</v>
      </c>
      <c r="C45" t="s">
        <v>270</v>
      </c>
      <c r="D45" t="s">
        <v>271</v>
      </c>
      <c r="E45" t="s">
        <v>38</v>
      </c>
      <c r="F45" t="s">
        <v>272</v>
      </c>
      <c r="G45" t="s">
        <v>273</v>
      </c>
      <c r="H45" t="s">
        <v>274</v>
      </c>
      <c r="I45" t="b">
        <v>1</v>
      </c>
    </row>
    <row r="46" spans="1:9">
      <c r="A46" t="s">
        <v>275</v>
      </c>
      <c r="B46" t="s">
        <v>24</v>
      </c>
      <c r="C46" t="s">
        <v>276</v>
      </c>
      <c r="D46" t="s">
        <v>277</v>
      </c>
      <c r="E46" t="s">
        <v>38</v>
      </c>
      <c r="F46" t="s">
        <v>278</v>
      </c>
      <c r="G46" t="s">
        <v>279</v>
      </c>
      <c r="H46" t="s">
        <v>280</v>
      </c>
      <c r="I46" t="b">
        <v>1</v>
      </c>
    </row>
    <row r="47" spans="1:9">
      <c r="A47" t="s">
        <v>281</v>
      </c>
      <c r="B47" t="s">
        <v>10</v>
      </c>
      <c r="C47" t="s">
        <v>282</v>
      </c>
      <c r="D47" t="s">
        <v>283</v>
      </c>
      <c r="E47" t="s">
        <v>284</v>
      </c>
      <c r="F47" t="s">
        <v>285</v>
      </c>
      <c r="G47" t="s">
        <v>286</v>
      </c>
      <c r="H47" t="s">
        <v>287</v>
      </c>
      <c r="I47" t="b">
        <v>1</v>
      </c>
    </row>
    <row r="48" spans="1:9">
      <c r="A48" t="s">
        <v>288</v>
      </c>
      <c r="B48" t="s">
        <v>36</v>
      </c>
      <c r="C48" t="s">
        <v>289</v>
      </c>
      <c r="D48" t="s">
        <v>38</v>
      </c>
      <c r="E48" t="s">
        <v>38</v>
      </c>
      <c r="F48" t="s">
        <v>290</v>
      </c>
      <c r="G48" t="s">
        <v>291</v>
      </c>
      <c r="H48" t="s">
        <v>292</v>
      </c>
      <c r="I48" t="b">
        <v>1</v>
      </c>
    </row>
    <row r="49" spans="1:9">
      <c r="A49" t="s">
        <v>293</v>
      </c>
      <c r="B49" t="s">
        <v>24</v>
      </c>
      <c r="C49" t="s">
        <v>294</v>
      </c>
      <c r="D49" t="s">
        <v>295</v>
      </c>
      <c r="E49" t="s">
        <v>295</v>
      </c>
      <c r="F49" t="s">
        <v>296</v>
      </c>
      <c r="G49" t="s">
        <v>297</v>
      </c>
      <c r="H49" t="s">
        <v>298</v>
      </c>
      <c r="I49" t="b">
        <v>1</v>
      </c>
    </row>
    <row r="50" spans="1:9">
      <c r="A50" t="s">
        <v>299</v>
      </c>
      <c r="B50" t="s">
        <v>24</v>
      </c>
      <c r="C50" t="s">
        <v>300</v>
      </c>
      <c r="D50" t="s">
        <v>295</v>
      </c>
      <c r="E50" t="s">
        <v>295</v>
      </c>
      <c r="F50" t="s">
        <v>301</v>
      </c>
      <c r="G50" t="s">
        <v>302</v>
      </c>
      <c r="H50" t="s">
        <v>303</v>
      </c>
      <c r="I50" t="b">
        <v>1</v>
      </c>
    </row>
    <row r="51" spans="1:9">
      <c r="A51" t="s">
        <v>304</v>
      </c>
      <c r="B51" t="s">
        <v>24</v>
      </c>
      <c r="C51" t="s">
        <v>305</v>
      </c>
      <c r="D51" t="s">
        <v>284</v>
      </c>
      <c r="E51" t="s">
        <v>284</v>
      </c>
      <c r="F51" t="s">
        <v>306</v>
      </c>
      <c r="G51" t="s">
        <v>307</v>
      </c>
      <c r="H51" t="s">
        <v>308</v>
      </c>
      <c r="I51" t="b">
        <v>1</v>
      </c>
    </row>
    <row r="52" spans="1:9">
      <c r="A52" t="s">
        <v>309</v>
      </c>
      <c r="B52" t="s">
        <v>24</v>
      </c>
      <c r="C52" t="s">
        <v>310</v>
      </c>
      <c r="D52" t="s">
        <v>284</v>
      </c>
      <c r="E52" t="s">
        <v>284</v>
      </c>
      <c r="F52" t="s">
        <v>311</v>
      </c>
      <c r="G52" t="s">
        <v>312</v>
      </c>
      <c r="H52" t="s">
        <v>313</v>
      </c>
      <c r="I52" t="b">
        <v>1</v>
      </c>
    </row>
    <row r="53" spans="1:9">
      <c r="A53" t="s">
        <v>314</v>
      </c>
      <c r="B53" t="s">
        <v>10</v>
      </c>
      <c r="C53" t="s">
        <v>315</v>
      </c>
      <c r="D53" t="s">
        <v>316</v>
      </c>
      <c r="E53" t="s">
        <v>284</v>
      </c>
      <c r="F53" t="s">
        <v>317</v>
      </c>
      <c r="G53" t="s">
        <v>318</v>
      </c>
      <c r="H53" t="s">
        <v>319</v>
      </c>
      <c r="I53" t="b">
        <v>1</v>
      </c>
    </row>
    <row r="54" spans="1:9">
      <c r="A54" t="s">
        <v>320</v>
      </c>
      <c r="B54" t="s">
        <v>24</v>
      </c>
      <c r="C54" t="s">
        <v>321</v>
      </c>
      <c r="D54" t="s">
        <v>284</v>
      </c>
      <c r="E54" t="s">
        <v>284</v>
      </c>
      <c r="F54" t="s">
        <v>322</v>
      </c>
      <c r="G54" t="s">
        <v>323</v>
      </c>
      <c r="H54" t="s">
        <v>324</v>
      </c>
      <c r="I54" t="b">
        <v>1</v>
      </c>
    </row>
    <row r="55" spans="1:9">
      <c r="A55" t="s">
        <v>325</v>
      </c>
      <c r="B55" t="s">
        <v>24</v>
      </c>
      <c r="C55" t="s">
        <v>326</v>
      </c>
      <c r="D55" t="s">
        <v>327</v>
      </c>
      <c r="E55" t="s">
        <v>284</v>
      </c>
      <c r="F55" t="s">
        <v>328</v>
      </c>
      <c r="G55" t="s">
        <v>329</v>
      </c>
      <c r="H55" t="s">
        <v>330</v>
      </c>
      <c r="I55" t="b">
        <v>1</v>
      </c>
    </row>
    <row r="56" spans="1:9">
      <c r="A56" t="s">
        <v>331</v>
      </c>
      <c r="B56" t="s">
        <v>24</v>
      </c>
      <c r="C56" t="s">
        <v>332</v>
      </c>
      <c r="D56" t="s">
        <v>333</v>
      </c>
      <c r="E56" t="s">
        <v>284</v>
      </c>
      <c r="F56" t="s">
        <v>334</v>
      </c>
      <c r="G56" t="s">
        <v>335</v>
      </c>
      <c r="H56" t="s">
        <v>336</v>
      </c>
      <c r="I56" t="b">
        <v>1</v>
      </c>
    </row>
    <row r="57" spans="1:9">
      <c r="A57" t="s">
        <v>337</v>
      </c>
      <c r="B57" t="s">
        <v>24</v>
      </c>
      <c r="C57" t="s">
        <v>338</v>
      </c>
      <c r="D57" t="s">
        <v>284</v>
      </c>
      <c r="E57" t="s">
        <v>284</v>
      </c>
      <c r="F57" t="s">
        <v>339</v>
      </c>
      <c r="G57" t="s">
        <v>340</v>
      </c>
      <c r="H57" t="s">
        <v>341</v>
      </c>
      <c r="I57" t="b">
        <v>1</v>
      </c>
    </row>
    <row r="58" spans="1:9">
      <c r="A58" t="s">
        <v>342</v>
      </c>
      <c r="B58" t="s">
        <v>24</v>
      </c>
      <c r="C58" t="s">
        <v>343</v>
      </c>
      <c r="D58" t="s">
        <v>327</v>
      </c>
      <c r="E58" t="s">
        <v>284</v>
      </c>
      <c r="F58" t="s">
        <v>344</v>
      </c>
      <c r="G58" t="s">
        <v>345</v>
      </c>
      <c r="H58" t="s">
        <v>346</v>
      </c>
      <c r="I58" t="b">
        <v>1</v>
      </c>
    </row>
    <row r="59" spans="1:9">
      <c r="A59" t="s">
        <v>347</v>
      </c>
      <c r="B59" t="s">
        <v>24</v>
      </c>
      <c r="C59" t="s">
        <v>348</v>
      </c>
      <c r="D59" t="s">
        <v>284</v>
      </c>
      <c r="E59" t="s">
        <v>284</v>
      </c>
      <c r="F59" t="s">
        <v>349</v>
      </c>
      <c r="G59" t="s">
        <v>350</v>
      </c>
      <c r="H59" t="s">
        <v>351</v>
      </c>
      <c r="I59" t="b">
        <v>1</v>
      </c>
    </row>
    <row r="60" spans="1:9">
      <c r="A60" t="s">
        <v>352</v>
      </c>
      <c r="B60" t="s">
        <v>10</v>
      </c>
      <c r="C60" t="s">
        <v>353</v>
      </c>
      <c r="D60" t="s">
        <v>284</v>
      </c>
      <c r="E60" t="s">
        <v>284</v>
      </c>
      <c r="F60" t="s">
        <v>354</v>
      </c>
      <c r="G60" t="s">
        <v>355</v>
      </c>
      <c r="H60" t="s">
        <v>356</v>
      </c>
      <c r="I60" t="b">
        <v>1</v>
      </c>
    </row>
    <row r="61" spans="1:9">
      <c r="A61" t="s">
        <v>357</v>
      </c>
      <c r="B61" t="s">
        <v>24</v>
      </c>
      <c r="C61" t="s">
        <v>358</v>
      </c>
      <c r="D61" t="s">
        <v>284</v>
      </c>
      <c r="E61" t="s">
        <v>284</v>
      </c>
      <c r="F61" t="s">
        <v>359</v>
      </c>
      <c r="G61" t="s">
        <v>360</v>
      </c>
      <c r="H61" t="s">
        <v>361</v>
      </c>
      <c r="I61" t="b">
        <v>1</v>
      </c>
    </row>
    <row r="62" spans="1:9">
      <c r="A62" t="s">
        <v>362</v>
      </c>
      <c r="B62" t="s">
        <v>10</v>
      </c>
      <c r="C62" t="s">
        <v>78</v>
      </c>
      <c r="D62" t="s">
        <v>363</v>
      </c>
      <c r="E62" t="s">
        <v>78</v>
      </c>
      <c r="F62" t="s">
        <v>364</v>
      </c>
      <c r="G62" t="s">
        <v>365</v>
      </c>
      <c r="H62" t="s">
        <v>366</v>
      </c>
      <c r="I62" t="b">
        <v>1</v>
      </c>
    </row>
    <row r="63" spans="1:9">
      <c r="A63" t="s">
        <v>367</v>
      </c>
      <c r="B63" t="s">
        <v>24</v>
      </c>
      <c r="C63" t="s">
        <v>368</v>
      </c>
      <c r="D63" t="s">
        <v>369</v>
      </c>
      <c r="E63" t="s">
        <v>284</v>
      </c>
      <c r="F63" t="s">
        <v>370</v>
      </c>
      <c r="G63" t="s">
        <v>371</v>
      </c>
      <c r="H63" t="s">
        <v>372</v>
      </c>
      <c r="I63" t="b">
        <v>1</v>
      </c>
    </row>
    <row r="64" spans="1:9">
      <c r="A64" t="s">
        <v>373</v>
      </c>
      <c r="B64" t="s">
        <v>24</v>
      </c>
      <c r="C64" t="s">
        <v>374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 t="b">
        <v>1</v>
      </c>
    </row>
    <row r="65" spans="1:9">
      <c r="A65" t="s">
        <v>380</v>
      </c>
      <c r="B65" t="s">
        <v>24</v>
      </c>
      <c r="C65" t="s">
        <v>381</v>
      </c>
      <c r="D65" t="s">
        <v>382</v>
      </c>
      <c r="E65" t="s">
        <v>383</v>
      </c>
      <c r="F65" t="s">
        <v>384</v>
      </c>
      <c r="G65" t="s">
        <v>385</v>
      </c>
      <c r="H65" t="s">
        <v>386</v>
      </c>
      <c r="I65" t="b">
        <v>1</v>
      </c>
    </row>
    <row r="66" spans="1:9">
      <c r="A66" t="s">
        <v>387</v>
      </c>
      <c r="B66" t="s">
        <v>24</v>
      </c>
      <c r="C66" t="s">
        <v>388</v>
      </c>
      <c r="D66" t="s">
        <v>389</v>
      </c>
      <c r="E66" t="s">
        <v>389</v>
      </c>
      <c r="F66" t="s">
        <v>390</v>
      </c>
      <c r="G66" t="s">
        <v>391</v>
      </c>
      <c r="H66" t="s">
        <v>392</v>
      </c>
      <c r="I66" t="b">
        <v>1</v>
      </c>
    </row>
    <row r="67" spans="1:9">
      <c r="A67" t="s">
        <v>393</v>
      </c>
      <c r="B67" t="s">
        <v>24</v>
      </c>
      <c r="C67" t="s">
        <v>394</v>
      </c>
      <c r="D67" t="s">
        <v>395</v>
      </c>
      <c r="E67" t="s">
        <v>396</v>
      </c>
      <c r="F67" t="s">
        <v>397</v>
      </c>
      <c r="G67" t="s">
        <v>398</v>
      </c>
      <c r="H67" t="s">
        <v>399</v>
      </c>
      <c r="I67" t="b">
        <v>1</v>
      </c>
    </row>
    <row r="68" spans="1:9">
      <c r="A68" t="s">
        <v>400</v>
      </c>
      <c r="B68" t="s">
        <v>24</v>
      </c>
      <c r="C68" t="s">
        <v>401</v>
      </c>
      <c r="D68" t="s">
        <v>395</v>
      </c>
      <c r="E68" t="s">
        <v>396</v>
      </c>
      <c r="F68" t="s">
        <v>402</v>
      </c>
      <c r="G68" t="s">
        <v>403</v>
      </c>
      <c r="H68" t="s">
        <v>404</v>
      </c>
      <c r="I68" t="b">
        <v>1</v>
      </c>
    </row>
    <row r="69" spans="1:9">
      <c r="A69" t="s">
        <v>405</v>
      </c>
      <c r="B69" t="s">
        <v>24</v>
      </c>
      <c r="C69" t="s">
        <v>406</v>
      </c>
      <c r="D69" t="s">
        <v>407</v>
      </c>
      <c r="E69" t="s">
        <v>408</v>
      </c>
      <c r="F69" t="s">
        <v>409</v>
      </c>
      <c r="G69" t="s">
        <v>410</v>
      </c>
      <c r="H69" t="s">
        <v>411</v>
      </c>
      <c r="I69" t="b">
        <v>1</v>
      </c>
    </row>
    <row r="70" spans="1:9">
      <c r="A70" t="s">
        <v>412</v>
      </c>
      <c r="B70" t="s">
        <v>10</v>
      </c>
      <c r="C70" t="s">
        <v>413</v>
      </c>
      <c r="D70" t="s">
        <v>186</v>
      </c>
      <c r="E70" t="s">
        <v>414</v>
      </c>
      <c r="F70" t="s">
        <v>415</v>
      </c>
      <c r="G70" t="s">
        <v>416</v>
      </c>
      <c r="H70" t="s">
        <v>417</v>
      </c>
      <c r="I70" t="b">
        <v>1</v>
      </c>
    </row>
    <row r="71" spans="1:9">
      <c r="A71" t="s">
        <v>418</v>
      </c>
      <c r="B71" t="s">
        <v>10</v>
      </c>
      <c r="C71" t="s">
        <v>419</v>
      </c>
      <c r="D71" t="s">
        <v>186</v>
      </c>
      <c r="E71" t="s">
        <v>414</v>
      </c>
      <c r="F71" t="s">
        <v>420</v>
      </c>
      <c r="G71" t="s">
        <v>421</v>
      </c>
      <c r="H71" t="s">
        <v>422</v>
      </c>
      <c r="I71" t="b">
        <v>1</v>
      </c>
    </row>
    <row r="72" spans="1:9">
      <c r="A72" t="s">
        <v>423</v>
      </c>
      <c r="B72" t="s">
        <v>24</v>
      </c>
      <c r="C72" t="s">
        <v>424</v>
      </c>
      <c r="D72" t="s">
        <v>186</v>
      </c>
      <c r="E72" t="s">
        <v>187</v>
      </c>
      <c r="F72" t="s">
        <v>425</v>
      </c>
      <c r="G72" t="s">
        <v>426</v>
      </c>
      <c r="H72" t="s">
        <v>427</v>
      </c>
      <c r="I72" t="b">
        <v>1</v>
      </c>
    </row>
    <row r="73" spans="1:9">
      <c r="A73" t="s">
        <v>428</v>
      </c>
      <c r="B73" t="s">
        <v>24</v>
      </c>
      <c r="C73" t="s">
        <v>429</v>
      </c>
      <c r="D73" t="s">
        <v>430</v>
      </c>
      <c r="E73" t="s">
        <v>430</v>
      </c>
      <c r="F73" t="s">
        <v>431</v>
      </c>
      <c r="G73" t="s">
        <v>432</v>
      </c>
      <c r="H73" t="s">
        <v>433</v>
      </c>
      <c r="I73" t="b">
        <v>1</v>
      </c>
    </row>
    <row r="74" spans="1:9">
      <c r="A74" t="s">
        <v>434</v>
      </c>
      <c r="B74" t="s">
        <v>24</v>
      </c>
      <c r="C74" t="s">
        <v>435</v>
      </c>
      <c r="D74" t="s">
        <v>430</v>
      </c>
      <c r="E74" t="s">
        <v>430</v>
      </c>
      <c r="F74" t="s">
        <v>436</v>
      </c>
      <c r="G74" t="s">
        <v>437</v>
      </c>
      <c r="H74" t="s">
        <v>438</v>
      </c>
      <c r="I74" t="b">
        <v>1</v>
      </c>
    </row>
    <row r="75" spans="1:9">
      <c r="A75" t="s">
        <v>439</v>
      </c>
      <c r="B75" t="s">
        <v>10</v>
      </c>
      <c r="C75" t="s">
        <v>440</v>
      </c>
      <c r="D75" t="s">
        <v>441</v>
      </c>
      <c r="E75" t="s">
        <v>430</v>
      </c>
      <c r="F75" t="s">
        <v>442</v>
      </c>
      <c r="G75" t="s">
        <v>443</v>
      </c>
      <c r="H75" t="s">
        <v>444</v>
      </c>
      <c r="I75" t="b">
        <v>1</v>
      </c>
    </row>
    <row r="76" spans="1:9">
      <c r="A76" t="s">
        <v>445</v>
      </c>
      <c r="B76" t="s">
        <v>24</v>
      </c>
      <c r="C76" t="s">
        <v>446</v>
      </c>
      <c r="D76" t="s">
        <v>430</v>
      </c>
      <c r="E76" t="s">
        <v>430</v>
      </c>
      <c r="F76" t="s">
        <v>447</v>
      </c>
      <c r="G76" t="s">
        <v>448</v>
      </c>
      <c r="H76" t="s">
        <v>449</v>
      </c>
      <c r="I76" t="b">
        <v>1</v>
      </c>
    </row>
    <row r="77" spans="1:9">
      <c r="A77" t="s">
        <v>450</v>
      </c>
      <c r="B77" t="s">
        <v>10</v>
      </c>
      <c r="C77" t="s">
        <v>451</v>
      </c>
      <c r="D77" t="s">
        <v>452</v>
      </c>
      <c r="E77" t="s">
        <v>430</v>
      </c>
      <c r="F77" t="s">
        <v>453</v>
      </c>
      <c r="G77" t="s">
        <v>454</v>
      </c>
      <c r="H77" t="s">
        <v>455</v>
      </c>
      <c r="I77" t="b">
        <v>1</v>
      </c>
    </row>
    <row r="78" spans="1:9">
      <c r="A78" t="s">
        <v>456</v>
      </c>
      <c r="B78" t="s">
        <v>10</v>
      </c>
      <c r="C78" t="s">
        <v>457</v>
      </c>
      <c r="D78" t="s">
        <v>458</v>
      </c>
      <c r="E78" t="s">
        <v>430</v>
      </c>
      <c r="F78" t="s">
        <v>459</v>
      </c>
      <c r="G78" t="s">
        <v>460</v>
      </c>
      <c r="H78" t="s">
        <v>461</v>
      </c>
      <c r="I78" t="b">
        <v>1</v>
      </c>
    </row>
    <row r="79" spans="1:9">
      <c r="A79" t="s">
        <v>462</v>
      </c>
      <c r="B79" t="s">
        <v>24</v>
      </c>
      <c r="C79" t="s">
        <v>463</v>
      </c>
      <c r="D79" t="s">
        <v>464</v>
      </c>
      <c r="E79" t="s">
        <v>430</v>
      </c>
      <c r="F79" t="s">
        <v>465</v>
      </c>
      <c r="G79" t="s">
        <v>466</v>
      </c>
      <c r="H79" t="s">
        <v>467</v>
      </c>
      <c r="I79" t="b">
        <v>1</v>
      </c>
    </row>
    <row r="80" spans="1:9">
      <c r="A80" t="s">
        <v>468</v>
      </c>
      <c r="B80" t="s">
        <v>24</v>
      </c>
      <c r="C80" t="s">
        <v>469</v>
      </c>
      <c r="D80" t="s">
        <v>470</v>
      </c>
      <c r="E80" t="s">
        <v>470</v>
      </c>
      <c r="F80" t="s">
        <v>471</v>
      </c>
      <c r="G80" t="s">
        <v>472</v>
      </c>
      <c r="H80" t="s">
        <v>473</v>
      </c>
      <c r="I80" t="b">
        <v>1</v>
      </c>
    </row>
    <row r="81" spans="1:9">
      <c r="A81" t="s">
        <v>474</v>
      </c>
      <c r="B81" t="s">
        <v>24</v>
      </c>
      <c r="C81" t="s">
        <v>475</v>
      </c>
      <c r="D81" t="s">
        <v>476</v>
      </c>
      <c r="E81" t="s">
        <v>470</v>
      </c>
      <c r="F81" t="s">
        <v>477</v>
      </c>
      <c r="G81" t="s">
        <v>478</v>
      </c>
      <c r="H81" t="s">
        <v>479</v>
      </c>
      <c r="I81" t="b">
        <v>1</v>
      </c>
    </row>
    <row r="82" spans="1:9">
      <c r="A82" t="s">
        <v>480</v>
      </c>
      <c r="B82" t="s">
        <v>10</v>
      </c>
      <c r="C82" t="s">
        <v>481</v>
      </c>
      <c r="D82" t="s">
        <v>482</v>
      </c>
      <c r="E82" t="s">
        <v>482</v>
      </c>
      <c r="F82" t="s">
        <v>483</v>
      </c>
      <c r="G82" t="s">
        <v>484</v>
      </c>
      <c r="H82" t="s">
        <v>485</v>
      </c>
      <c r="I82" t="b">
        <v>1</v>
      </c>
    </row>
    <row r="83" spans="1:9">
      <c r="A83" t="s">
        <v>480</v>
      </c>
      <c r="B83" t="s">
        <v>24</v>
      </c>
      <c r="C83" t="s">
        <v>486</v>
      </c>
      <c r="D83" t="s">
        <v>487</v>
      </c>
      <c r="E83" t="s">
        <v>482</v>
      </c>
      <c r="F83" t="s">
        <v>488</v>
      </c>
      <c r="G83" t="s">
        <v>489</v>
      </c>
      <c r="H83" t="s">
        <v>490</v>
      </c>
      <c r="I83" t="b">
        <v>1</v>
      </c>
    </row>
    <row r="84" spans="1:9">
      <c r="A84" t="s">
        <v>491</v>
      </c>
      <c r="B84" t="s">
        <v>24</v>
      </c>
      <c r="C84" t="s">
        <v>78</v>
      </c>
      <c r="D84" t="s">
        <v>492</v>
      </c>
      <c r="E84" t="s">
        <v>78</v>
      </c>
      <c r="F84" t="s">
        <v>493</v>
      </c>
      <c r="G84" t="s">
        <v>494</v>
      </c>
      <c r="H84" t="s">
        <v>495</v>
      </c>
      <c r="I84" t="b">
        <v>1</v>
      </c>
    </row>
    <row r="85" spans="1:9">
      <c r="A85" t="s">
        <v>496</v>
      </c>
      <c r="B85" t="s">
        <v>24</v>
      </c>
      <c r="C85" t="s">
        <v>497</v>
      </c>
      <c r="D85" t="s">
        <v>498</v>
      </c>
      <c r="E85" t="s">
        <v>499</v>
      </c>
      <c r="F85" t="s">
        <v>500</v>
      </c>
      <c r="G85" t="s">
        <v>501</v>
      </c>
      <c r="H85" t="s">
        <v>502</v>
      </c>
      <c r="I85" t="b">
        <v>1</v>
      </c>
    </row>
    <row r="86" spans="1:9">
      <c r="A86" t="s">
        <v>503</v>
      </c>
      <c r="B86" t="s">
        <v>10</v>
      </c>
      <c r="C86" t="s">
        <v>504</v>
      </c>
      <c r="D86" t="s">
        <v>498</v>
      </c>
      <c r="E86" t="s">
        <v>499</v>
      </c>
      <c r="F86" t="s">
        <v>505</v>
      </c>
      <c r="G86" t="s">
        <v>506</v>
      </c>
      <c r="H86" t="s">
        <v>507</v>
      </c>
      <c r="I86" t="b">
        <v>1</v>
      </c>
    </row>
    <row r="87" spans="1:9">
      <c r="A87" t="s">
        <v>508</v>
      </c>
      <c r="B87" t="s">
        <v>10</v>
      </c>
      <c r="C87" t="s">
        <v>509</v>
      </c>
      <c r="D87" t="s">
        <v>510</v>
      </c>
      <c r="E87" t="s">
        <v>511</v>
      </c>
      <c r="F87" t="s">
        <v>512</v>
      </c>
      <c r="G87" t="s">
        <v>513</v>
      </c>
      <c r="H87" t="s">
        <v>514</v>
      </c>
      <c r="I87" t="b">
        <v>1</v>
      </c>
    </row>
    <row r="88" spans="1:9">
      <c r="A88" t="s">
        <v>515</v>
      </c>
      <c r="B88" t="s">
        <v>24</v>
      </c>
      <c r="C88" t="s">
        <v>516</v>
      </c>
      <c r="D88" t="s">
        <v>517</v>
      </c>
      <c r="E88" t="s">
        <v>518</v>
      </c>
      <c r="F88" t="s">
        <v>519</v>
      </c>
      <c r="G88" t="s">
        <v>520</v>
      </c>
      <c r="H88" t="s">
        <v>521</v>
      </c>
      <c r="I88" t="b">
        <v>1</v>
      </c>
    </row>
    <row r="89" spans="1:9">
      <c r="A89" t="s">
        <v>522</v>
      </c>
      <c r="B89" t="s">
        <v>10</v>
      </c>
      <c r="C89" t="s">
        <v>523</v>
      </c>
      <c r="D89" t="s">
        <v>524</v>
      </c>
      <c r="E89" t="s">
        <v>524</v>
      </c>
      <c r="F89" t="s">
        <v>525</v>
      </c>
      <c r="G89" t="s">
        <v>526</v>
      </c>
      <c r="H89" t="s">
        <v>527</v>
      </c>
      <c r="I89" t="b">
        <v>1</v>
      </c>
    </row>
    <row r="90" spans="1:9">
      <c r="A90" t="s">
        <v>528</v>
      </c>
      <c r="B90" t="s">
        <v>24</v>
      </c>
      <c r="C90" t="s">
        <v>529</v>
      </c>
      <c r="D90" t="s">
        <v>524</v>
      </c>
      <c r="E90" t="s">
        <v>530</v>
      </c>
      <c r="F90" t="s">
        <v>531</v>
      </c>
      <c r="G90" t="s">
        <v>532</v>
      </c>
      <c r="H90" t="s">
        <v>533</v>
      </c>
      <c r="I90" t="b">
        <v>1</v>
      </c>
    </row>
    <row r="91" spans="1:9">
      <c r="A91" t="s">
        <v>534</v>
      </c>
      <c r="B91" t="s">
        <v>24</v>
      </c>
      <c r="C91" t="s">
        <v>535</v>
      </c>
      <c r="D91" t="s">
        <v>536</v>
      </c>
      <c r="E91" t="s">
        <v>524</v>
      </c>
      <c r="F91" t="s">
        <v>537</v>
      </c>
      <c r="G91" t="s">
        <v>538</v>
      </c>
      <c r="H91" t="s">
        <v>539</v>
      </c>
      <c r="I91" t="b">
        <v>1</v>
      </c>
    </row>
    <row r="92" spans="1:9">
      <c r="A92" t="s">
        <v>540</v>
      </c>
      <c r="B92" t="s">
        <v>24</v>
      </c>
      <c r="C92" t="s">
        <v>541</v>
      </c>
      <c r="D92" t="s">
        <v>542</v>
      </c>
      <c r="E92" t="s">
        <v>543</v>
      </c>
      <c r="F92" t="s">
        <v>544</v>
      </c>
      <c r="G92" t="s">
        <v>545</v>
      </c>
      <c r="H92" t="s">
        <v>546</v>
      </c>
      <c r="I92" t="b">
        <v>1</v>
      </c>
    </row>
    <row r="93" spans="1:9">
      <c r="A93" t="s">
        <v>547</v>
      </c>
      <c r="B93" t="s">
        <v>10</v>
      </c>
      <c r="C93" t="s">
        <v>548</v>
      </c>
      <c r="D93" t="s">
        <v>549</v>
      </c>
      <c r="E93" t="s">
        <v>550</v>
      </c>
      <c r="F93" t="s">
        <v>551</v>
      </c>
      <c r="G93" t="s">
        <v>552</v>
      </c>
      <c r="H93" t="s">
        <v>553</v>
      </c>
      <c r="I93" t="b">
        <v>1</v>
      </c>
    </row>
    <row r="94" spans="1:9">
      <c r="A94" t="s">
        <v>554</v>
      </c>
      <c r="B94" t="s">
        <v>24</v>
      </c>
      <c r="C94" t="s">
        <v>555</v>
      </c>
      <c r="D94" t="s">
        <v>213</v>
      </c>
      <c r="E94" t="s">
        <v>556</v>
      </c>
      <c r="F94" t="s">
        <v>557</v>
      </c>
      <c r="G94" t="s">
        <v>558</v>
      </c>
      <c r="H94" t="s">
        <v>559</v>
      </c>
      <c r="I94" t="b">
        <v>1</v>
      </c>
    </row>
    <row r="95" spans="1:9">
      <c r="A95" t="s">
        <v>560</v>
      </c>
      <c r="B95" t="s">
        <v>10</v>
      </c>
      <c r="C95" t="s">
        <v>561</v>
      </c>
      <c r="D95" t="s">
        <v>38</v>
      </c>
      <c r="E95" t="s">
        <v>38</v>
      </c>
      <c r="F95" t="s">
        <v>562</v>
      </c>
      <c r="G95" t="s">
        <v>563</v>
      </c>
      <c r="H95" t="s">
        <v>564</v>
      </c>
      <c r="I95" t="b">
        <v>1</v>
      </c>
    </row>
    <row r="96" spans="1:9">
      <c r="A96" t="s">
        <v>565</v>
      </c>
      <c r="B96" t="s">
        <v>24</v>
      </c>
      <c r="C96" t="s">
        <v>566</v>
      </c>
      <c r="D96" t="s">
        <v>567</v>
      </c>
      <c r="E96" t="s">
        <v>38</v>
      </c>
      <c r="F96" t="s">
        <v>568</v>
      </c>
      <c r="G96" t="s">
        <v>569</v>
      </c>
      <c r="H96" t="s">
        <v>570</v>
      </c>
      <c r="I96" t="b">
        <v>1</v>
      </c>
    </row>
    <row r="97" spans="1:9">
      <c r="A97" t="s">
        <v>571</v>
      </c>
      <c r="B97" t="s">
        <v>10</v>
      </c>
      <c r="C97" t="s">
        <v>572</v>
      </c>
      <c r="D97" t="s">
        <v>573</v>
      </c>
      <c r="E97" t="s">
        <v>38</v>
      </c>
      <c r="F97" t="s">
        <v>574</v>
      </c>
      <c r="G97" t="s">
        <v>575</v>
      </c>
      <c r="H97" t="s">
        <v>576</v>
      </c>
      <c r="I97" t="b">
        <v>1</v>
      </c>
    </row>
    <row r="98" spans="1:9">
      <c r="A98" t="s">
        <v>577</v>
      </c>
      <c r="B98" t="s">
        <v>10</v>
      </c>
      <c r="C98" t="s">
        <v>578</v>
      </c>
      <c r="D98" t="s">
        <v>579</v>
      </c>
      <c r="E98" t="s">
        <v>38</v>
      </c>
      <c r="F98" t="s">
        <v>580</v>
      </c>
      <c r="G98" t="s">
        <v>581</v>
      </c>
      <c r="H98" t="s">
        <v>582</v>
      </c>
      <c r="I98" t="b">
        <v>1</v>
      </c>
    </row>
    <row r="99" spans="1:9">
      <c r="A99" t="s">
        <v>583</v>
      </c>
      <c r="B99" t="s">
        <v>24</v>
      </c>
      <c r="C99" t="s">
        <v>584</v>
      </c>
      <c r="D99" t="s">
        <v>567</v>
      </c>
      <c r="E99" t="s">
        <v>38</v>
      </c>
      <c r="F99" t="s">
        <v>585</v>
      </c>
      <c r="G99" t="s">
        <v>586</v>
      </c>
      <c r="H99" t="s">
        <v>587</v>
      </c>
      <c r="I99" t="b">
        <v>1</v>
      </c>
    </row>
    <row r="100" spans="1:9">
      <c r="A100" t="s">
        <v>588</v>
      </c>
      <c r="B100" t="s">
        <v>24</v>
      </c>
      <c r="C100" t="s">
        <v>589</v>
      </c>
      <c r="D100" t="s">
        <v>590</v>
      </c>
      <c r="E100" t="s">
        <v>38</v>
      </c>
      <c r="F100" t="s">
        <v>591</v>
      </c>
      <c r="G100" t="s">
        <v>592</v>
      </c>
      <c r="H100" t="s">
        <v>593</v>
      </c>
      <c r="I100" t="b">
        <v>1</v>
      </c>
    </row>
    <row r="101" spans="1:9">
      <c r="A101" t="s">
        <v>594</v>
      </c>
      <c r="B101" t="s">
        <v>10</v>
      </c>
      <c r="C101" t="s">
        <v>595</v>
      </c>
      <c r="D101" t="s">
        <v>596</v>
      </c>
      <c r="E101" t="s">
        <v>38</v>
      </c>
      <c r="F101" t="s">
        <v>597</v>
      </c>
      <c r="G101" t="s">
        <v>598</v>
      </c>
      <c r="H101" t="s">
        <v>599</v>
      </c>
      <c r="I101" t="b">
        <v>1</v>
      </c>
    </row>
    <row r="102" spans="1:9">
      <c r="A102" t="s">
        <v>600</v>
      </c>
      <c r="B102" t="s">
        <v>10</v>
      </c>
      <c r="C102" t="s">
        <v>601</v>
      </c>
      <c r="D102" t="s">
        <v>602</v>
      </c>
      <c r="E102" t="s">
        <v>38</v>
      </c>
      <c r="F102" t="s">
        <v>603</v>
      </c>
      <c r="G102" t="s">
        <v>604</v>
      </c>
      <c r="H102" t="s">
        <v>605</v>
      </c>
      <c r="I102" t="b">
        <v>1</v>
      </c>
    </row>
    <row r="103" spans="1:9">
      <c r="A103" t="s">
        <v>606</v>
      </c>
      <c r="B103" t="s">
        <v>24</v>
      </c>
      <c r="C103" t="s">
        <v>607</v>
      </c>
      <c r="D103" t="s">
        <v>38</v>
      </c>
      <c r="E103" t="s">
        <v>38</v>
      </c>
      <c r="F103" t="s">
        <v>608</v>
      </c>
      <c r="G103" t="s">
        <v>609</v>
      </c>
      <c r="H103" t="s">
        <v>610</v>
      </c>
      <c r="I103" t="b">
        <v>1</v>
      </c>
    </row>
    <row r="104" spans="1:9">
      <c r="A104" t="s">
        <v>611</v>
      </c>
      <c r="B104" t="s">
        <v>24</v>
      </c>
      <c r="C104" t="s">
        <v>612</v>
      </c>
      <c r="D104" t="s">
        <v>38</v>
      </c>
      <c r="E104" t="s">
        <v>38</v>
      </c>
      <c r="F104" t="s">
        <v>613</v>
      </c>
      <c r="G104" t="s">
        <v>614</v>
      </c>
      <c r="H104" t="s">
        <v>615</v>
      </c>
      <c r="I104" t="b">
        <v>1</v>
      </c>
    </row>
    <row r="105" spans="1:9">
      <c r="A105" t="s">
        <v>616</v>
      </c>
      <c r="B105" t="s">
        <v>24</v>
      </c>
      <c r="C105" t="s">
        <v>617</v>
      </c>
      <c r="D105" t="s">
        <v>618</v>
      </c>
      <c r="E105" t="s">
        <v>618</v>
      </c>
      <c r="F105" t="s">
        <v>619</v>
      </c>
      <c r="G105" t="s">
        <v>620</v>
      </c>
      <c r="H105" t="s">
        <v>621</v>
      </c>
      <c r="I105" t="b">
        <v>1</v>
      </c>
    </row>
    <row r="106" spans="1:9">
      <c r="A106" t="s">
        <v>622</v>
      </c>
      <c r="B106" t="s">
        <v>24</v>
      </c>
      <c r="C106" t="s">
        <v>623</v>
      </c>
      <c r="D106" t="s">
        <v>624</v>
      </c>
      <c r="E106" t="s">
        <v>625</v>
      </c>
      <c r="F106" t="s">
        <v>626</v>
      </c>
      <c r="G106" t="s">
        <v>627</v>
      </c>
      <c r="H106" t="s">
        <v>628</v>
      </c>
      <c r="I106" t="b">
        <v>1</v>
      </c>
    </row>
    <row r="107" spans="1:9">
      <c r="A107" t="s">
        <v>629</v>
      </c>
      <c r="B107" t="s">
        <v>24</v>
      </c>
      <c r="C107" t="s">
        <v>630</v>
      </c>
      <c r="D107" t="s">
        <v>631</v>
      </c>
      <c r="E107" t="s">
        <v>625</v>
      </c>
      <c r="F107" t="s">
        <v>632</v>
      </c>
      <c r="G107" t="s">
        <v>633</v>
      </c>
      <c r="H107" t="s">
        <v>634</v>
      </c>
      <c r="I107" t="b">
        <v>1</v>
      </c>
    </row>
    <row r="108" spans="1:9">
      <c r="A108" t="s">
        <v>635</v>
      </c>
      <c r="B108" t="s">
        <v>24</v>
      </c>
      <c r="C108" t="s">
        <v>78</v>
      </c>
      <c r="D108" t="s">
        <v>636</v>
      </c>
      <c r="E108" t="s">
        <v>78</v>
      </c>
      <c r="F108" t="s">
        <v>637</v>
      </c>
      <c r="G108" t="s">
        <v>638</v>
      </c>
      <c r="H108" t="s">
        <v>639</v>
      </c>
      <c r="I108" t="b">
        <v>1</v>
      </c>
    </row>
    <row r="109" spans="1:9">
      <c r="A109" t="s">
        <v>640</v>
      </c>
      <c r="B109" t="s">
        <v>10</v>
      </c>
      <c r="C109" t="s">
        <v>641</v>
      </c>
      <c r="D109" t="s">
        <v>642</v>
      </c>
      <c r="E109" t="s">
        <v>643</v>
      </c>
      <c r="F109" t="s">
        <v>644</v>
      </c>
      <c r="G109" t="s">
        <v>645</v>
      </c>
      <c r="H109" t="s">
        <v>646</v>
      </c>
      <c r="I109" t="b">
        <v>1</v>
      </c>
    </row>
    <row r="110" spans="1:9">
      <c r="A110" t="s">
        <v>647</v>
      </c>
      <c r="B110" t="s">
        <v>10</v>
      </c>
      <c r="C110" t="s">
        <v>648</v>
      </c>
      <c r="D110" t="s">
        <v>649</v>
      </c>
      <c r="E110" t="s">
        <v>38</v>
      </c>
      <c r="F110" t="s">
        <v>650</v>
      </c>
      <c r="G110" t="s">
        <v>651</v>
      </c>
      <c r="H110" t="s">
        <v>652</v>
      </c>
      <c r="I1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FC6E-8C1B-4C8E-870E-98F7D5F4B5CF}">
  <sheetPr filterMode="1"/>
  <dimension ref="A1:I1491"/>
  <sheetViews>
    <sheetView topLeftCell="A1300" workbookViewId="0">
      <selection activeCell="I1" sqref="A1:I1481"/>
    </sheetView>
  </sheetViews>
  <sheetFormatPr defaultColWidth="11.42578125" defaultRowHeight="14.45"/>
  <cols>
    <col min="1" max="1" width="41.140625" customWidth="1"/>
    <col min="2" max="2" width="35.140625" customWidth="1"/>
    <col min="6" max="6" width="38.85546875" bestFit="1" customWidth="1"/>
    <col min="7" max="7" width="16.85546875" bestFit="1" customWidth="1"/>
    <col min="8" max="8" width="51.85546875" customWidth="1"/>
    <col min="9" max="9" width="14.42578125" bestFit="1" customWidth="1"/>
  </cols>
  <sheetData>
    <row r="1" spans="1:9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 hidden="1">
      <c r="A2" s="1" t="s">
        <v>653</v>
      </c>
      <c r="B2" s="1" t="s">
        <v>24</v>
      </c>
      <c r="C2" s="1" t="s">
        <v>654</v>
      </c>
      <c r="D2" s="1" t="s">
        <v>13</v>
      </c>
      <c r="E2" s="1" t="s">
        <v>13</v>
      </c>
      <c r="F2" s="1" t="s">
        <v>655</v>
      </c>
      <c r="G2" s="1" t="s">
        <v>656</v>
      </c>
      <c r="H2" s="1" t="s">
        <v>657</v>
      </c>
      <c r="I2" t="b">
        <f>COUNTIF(Estadísticas!I:I,'centraldecomunicacion.es'!H2)&gt;0</f>
        <v>0</v>
      </c>
    </row>
    <row r="3" spans="1:9" hidden="1">
      <c r="A3" s="1" t="s">
        <v>658</v>
      </c>
      <c r="B3" s="1" t="s">
        <v>10</v>
      </c>
      <c r="C3" s="1" t="s">
        <v>659</v>
      </c>
      <c r="D3" s="1" t="s">
        <v>13</v>
      </c>
      <c r="E3" s="1" t="s">
        <v>13</v>
      </c>
      <c r="F3" s="1" t="s">
        <v>660</v>
      </c>
      <c r="G3" s="1" t="s">
        <v>661</v>
      </c>
      <c r="H3" s="1" t="s">
        <v>662</v>
      </c>
      <c r="I3" t="b">
        <f>COUNTIF(Estadísticas!I:I,'centraldecomunicacion.es'!H3)&gt;0</f>
        <v>0</v>
      </c>
    </row>
    <row r="4" spans="1:9" hidden="1">
      <c r="A4" s="1" t="s">
        <v>663</v>
      </c>
      <c r="B4" s="1" t="s">
        <v>24</v>
      </c>
      <c r="C4" s="1" t="s">
        <v>664</v>
      </c>
      <c r="D4" s="1" t="s">
        <v>13</v>
      </c>
      <c r="E4" s="1" t="s">
        <v>13</v>
      </c>
      <c r="F4" s="1" t="s">
        <v>665</v>
      </c>
      <c r="G4" s="1" t="s">
        <v>666</v>
      </c>
      <c r="H4" s="1" t="s">
        <v>657</v>
      </c>
      <c r="I4" t="b">
        <f>COUNTIF(Estadísticas!I:I,'centraldecomunicacion.es'!H4)&gt;0</f>
        <v>0</v>
      </c>
    </row>
    <row r="5" spans="1:9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t="b">
        <f>COUNTIF(Estadísticas!I:I,'centraldecomunicacion.es'!H5)&gt;0</f>
        <v>1</v>
      </c>
    </row>
    <row r="6" spans="1:9" hidden="1">
      <c r="A6" s="1" t="s">
        <v>667</v>
      </c>
      <c r="B6" s="1" t="s">
        <v>10</v>
      </c>
      <c r="C6" s="1" t="s">
        <v>668</v>
      </c>
      <c r="D6" s="1" t="s">
        <v>12</v>
      </c>
      <c r="E6" s="1" t="s">
        <v>12</v>
      </c>
      <c r="F6" s="1" t="s">
        <v>669</v>
      </c>
      <c r="G6" s="1" t="s">
        <v>670</v>
      </c>
      <c r="H6" s="1" t="s">
        <v>657</v>
      </c>
      <c r="I6" t="b">
        <f>COUNTIF(Estadísticas!I:I,'centraldecomunicacion.es'!H6)&gt;0</f>
        <v>0</v>
      </c>
    </row>
    <row r="7" spans="1:9" hidden="1">
      <c r="A7" s="1" t="s">
        <v>671</v>
      </c>
      <c r="B7" s="1" t="s">
        <v>24</v>
      </c>
      <c r="C7" s="1" t="s">
        <v>672</v>
      </c>
      <c r="D7" s="1" t="s">
        <v>13</v>
      </c>
      <c r="E7" s="1" t="s">
        <v>13</v>
      </c>
      <c r="F7" s="1" t="s">
        <v>673</v>
      </c>
      <c r="G7" s="1" t="s">
        <v>674</v>
      </c>
      <c r="H7" s="1" t="s">
        <v>657</v>
      </c>
      <c r="I7" t="b">
        <f>COUNTIF(Estadísticas!I:I,'centraldecomunicacion.es'!H7)&gt;0</f>
        <v>0</v>
      </c>
    </row>
    <row r="8" spans="1:9" hidden="1">
      <c r="A8" s="1" t="s">
        <v>675</v>
      </c>
      <c r="B8" s="1" t="s">
        <v>24</v>
      </c>
      <c r="C8" s="1" t="s">
        <v>676</v>
      </c>
      <c r="D8" s="1" t="s">
        <v>12</v>
      </c>
      <c r="E8" s="1" t="s">
        <v>13</v>
      </c>
      <c r="F8" s="1" t="s">
        <v>677</v>
      </c>
      <c r="G8" s="1" t="s">
        <v>678</v>
      </c>
      <c r="H8" s="1" t="s">
        <v>679</v>
      </c>
      <c r="I8" t="b">
        <f>COUNTIF(Estadísticas!I:I,'centraldecomunicacion.es'!H8)&gt;0</f>
        <v>0</v>
      </c>
    </row>
    <row r="9" spans="1:9" hidden="1">
      <c r="A9" s="1" t="s">
        <v>680</v>
      </c>
      <c r="B9" s="1" t="s">
        <v>24</v>
      </c>
      <c r="C9" s="1" t="s">
        <v>681</v>
      </c>
      <c r="D9" s="1" t="s">
        <v>13</v>
      </c>
      <c r="E9" s="1" t="s">
        <v>13</v>
      </c>
      <c r="F9" s="1" t="s">
        <v>682</v>
      </c>
      <c r="G9" s="1" t="s">
        <v>683</v>
      </c>
      <c r="H9" s="1" t="s">
        <v>684</v>
      </c>
      <c r="I9" t="b">
        <f>COUNTIF(Estadísticas!I:I,'centraldecomunicacion.es'!H9)&gt;0</f>
        <v>0</v>
      </c>
    </row>
    <row r="10" spans="1:9" hidden="1">
      <c r="A10" s="1" t="s">
        <v>663</v>
      </c>
      <c r="B10" s="1" t="s">
        <v>10</v>
      </c>
      <c r="C10" s="1" t="s">
        <v>685</v>
      </c>
      <c r="D10" s="1" t="s">
        <v>12</v>
      </c>
      <c r="E10" s="1" t="s">
        <v>13</v>
      </c>
      <c r="F10" s="1" t="s">
        <v>665</v>
      </c>
      <c r="G10" s="1" t="s">
        <v>666</v>
      </c>
      <c r="H10" s="1" t="s">
        <v>686</v>
      </c>
      <c r="I10" t="b">
        <f>COUNTIF(Estadísticas!I:I,'centraldecomunicacion.es'!H10)&gt;0</f>
        <v>0</v>
      </c>
    </row>
    <row r="11" spans="1:9" hidden="1">
      <c r="A11" s="1" t="s">
        <v>687</v>
      </c>
      <c r="B11" s="1" t="s">
        <v>24</v>
      </c>
      <c r="C11" s="1" t="s">
        <v>688</v>
      </c>
      <c r="D11" s="1" t="s">
        <v>13</v>
      </c>
      <c r="E11" s="1" t="s">
        <v>13</v>
      </c>
      <c r="F11" s="1" t="s">
        <v>677</v>
      </c>
      <c r="G11" s="1" t="s">
        <v>678</v>
      </c>
      <c r="H11" s="1" t="s">
        <v>679</v>
      </c>
      <c r="I11" t="b">
        <f>COUNTIF(Estadísticas!I:I,'centraldecomunicacion.es'!H11)&gt;0</f>
        <v>0</v>
      </c>
    </row>
    <row r="12" spans="1:9">
      <c r="A12" s="1" t="s">
        <v>17</v>
      </c>
      <c r="B12" s="1" t="s">
        <v>10</v>
      </c>
      <c r="C12" s="1" t="s">
        <v>18</v>
      </c>
      <c r="D12" s="1" t="s">
        <v>19</v>
      </c>
      <c r="E12" s="1" t="s">
        <v>13</v>
      </c>
      <c r="F12" s="1" t="s">
        <v>20</v>
      </c>
      <c r="G12" s="1" t="s">
        <v>21</v>
      </c>
      <c r="H12" s="1" t="s">
        <v>22</v>
      </c>
      <c r="I12" t="b">
        <f>COUNTIF(Estadísticas!I:I,'centraldecomunicacion.es'!H12)&gt;0</f>
        <v>1</v>
      </c>
    </row>
    <row r="13" spans="1:9" hidden="1">
      <c r="A13" s="1" t="s">
        <v>689</v>
      </c>
      <c r="B13" s="1" t="s">
        <v>24</v>
      </c>
      <c r="C13" s="1" t="s">
        <v>690</v>
      </c>
      <c r="D13" s="1" t="s">
        <v>13</v>
      </c>
      <c r="E13" s="1" t="s">
        <v>13</v>
      </c>
      <c r="F13" s="1" t="s">
        <v>78</v>
      </c>
      <c r="G13" s="1" t="s">
        <v>691</v>
      </c>
      <c r="H13" s="1" t="s">
        <v>657</v>
      </c>
      <c r="I13" t="b">
        <f>COUNTIF(Estadísticas!I:I,'centraldecomunicacion.es'!H13)&gt;0</f>
        <v>0</v>
      </c>
    </row>
    <row r="14" spans="1:9" hidden="1">
      <c r="A14" s="1" t="s">
        <v>692</v>
      </c>
      <c r="B14" s="1" t="s">
        <v>24</v>
      </c>
      <c r="C14" s="1" t="s">
        <v>693</v>
      </c>
      <c r="D14" s="1" t="s">
        <v>694</v>
      </c>
      <c r="E14" s="1" t="s">
        <v>13</v>
      </c>
      <c r="F14" s="1" t="s">
        <v>78</v>
      </c>
      <c r="G14" s="1" t="s">
        <v>695</v>
      </c>
      <c r="H14" s="1" t="s">
        <v>657</v>
      </c>
      <c r="I14" t="b">
        <f>COUNTIF(Estadísticas!I:I,'centraldecomunicacion.es'!H14)&gt;0</f>
        <v>0</v>
      </c>
    </row>
    <row r="15" spans="1:9" hidden="1">
      <c r="A15" s="1" t="s">
        <v>696</v>
      </c>
      <c r="B15" s="1" t="s">
        <v>24</v>
      </c>
      <c r="C15" s="1" t="s">
        <v>697</v>
      </c>
      <c r="D15" s="1" t="s">
        <v>698</v>
      </c>
      <c r="E15" s="1" t="s">
        <v>13</v>
      </c>
      <c r="F15" s="1" t="s">
        <v>78</v>
      </c>
      <c r="G15" s="1" t="s">
        <v>699</v>
      </c>
      <c r="H15" s="1" t="s">
        <v>657</v>
      </c>
      <c r="I15" t="b">
        <f>COUNTIF(Estadísticas!I:I,'centraldecomunicacion.es'!H15)&gt;0</f>
        <v>0</v>
      </c>
    </row>
    <row r="16" spans="1:9" hidden="1">
      <c r="A16" s="1" t="s">
        <v>700</v>
      </c>
      <c r="B16" s="1" t="s">
        <v>24</v>
      </c>
      <c r="C16" s="1" t="s">
        <v>676</v>
      </c>
      <c r="D16" s="1" t="s">
        <v>12</v>
      </c>
      <c r="E16" s="1" t="s">
        <v>13</v>
      </c>
      <c r="F16" s="1" t="s">
        <v>78</v>
      </c>
      <c r="G16" s="1" t="s">
        <v>701</v>
      </c>
      <c r="H16" s="1" t="s">
        <v>657</v>
      </c>
      <c r="I16" t="b">
        <f>COUNTIF(Estadísticas!I:I,'centraldecomunicacion.es'!H16)&gt;0</f>
        <v>0</v>
      </c>
    </row>
    <row r="17" spans="1:9" hidden="1">
      <c r="A17" s="1" t="s">
        <v>667</v>
      </c>
      <c r="B17" s="1" t="s">
        <v>10</v>
      </c>
      <c r="C17" s="1" t="s">
        <v>702</v>
      </c>
      <c r="D17" s="1" t="s">
        <v>703</v>
      </c>
      <c r="E17" s="1" t="s">
        <v>13</v>
      </c>
      <c r="F17" s="1" t="s">
        <v>704</v>
      </c>
      <c r="G17" s="1" t="s">
        <v>670</v>
      </c>
      <c r="H17" s="1" t="s">
        <v>705</v>
      </c>
      <c r="I17" t="b">
        <f>COUNTIF(Estadísticas!I:I,'centraldecomunicacion.es'!H17)&gt;0</f>
        <v>0</v>
      </c>
    </row>
    <row r="18" spans="1:9" hidden="1">
      <c r="A18" s="1" t="s">
        <v>706</v>
      </c>
      <c r="B18" s="1" t="s">
        <v>24</v>
      </c>
      <c r="C18" s="1" t="s">
        <v>707</v>
      </c>
      <c r="D18" s="1" t="s">
        <v>19</v>
      </c>
      <c r="E18" s="1" t="s">
        <v>13</v>
      </c>
      <c r="F18" s="1" t="s">
        <v>78</v>
      </c>
      <c r="G18" s="1" t="s">
        <v>699</v>
      </c>
      <c r="H18" s="1" t="s">
        <v>657</v>
      </c>
      <c r="I18" t="b">
        <f>COUNTIF(Estadísticas!I:I,'centraldecomunicacion.es'!H18)&gt;0</f>
        <v>0</v>
      </c>
    </row>
    <row r="19" spans="1:9">
      <c r="A19" s="1" t="s">
        <v>17</v>
      </c>
      <c r="B19" s="1" t="s">
        <v>24</v>
      </c>
      <c r="C19" s="1" t="s">
        <v>708</v>
      </c>
      <c r="D19" s="1" t="s">
        <v>698</v>
      </c>
      <c r="E19" s="1" t="s">
        <v>13</v>
      </c>
      <c r="F19" s="1" t="s">
        <v>20</v>
      </c>
      <c r="G19" s="1" t="s">
        <v>21</v>
      </c>
      <c r="H19" s="1" t="s">
        <v>22</v>
      </c>
      <c r="I19" t="b">
        <f>COUNTIF(Estadísticas!I:I,'centraldecomunicacion.es'!H19)&gt;0</f>
        <v>1</v>
      </c>
    </row>
    <row r="20" spans="1:9" hidden="1">
      <c r="A20" s="1" t="s">
        <v>709</v>
      </c>
      <c r="B20" s="1" t="s">
        <v>10</v>
      </c>
      <c r="C20" s="1" t="s">
        <v>710</v>
      </c>
      <c r="D20" s="1" t="s">
        <v>711</v>
      </c>
      <c r="E20" s="1" t="s">
        <v>13</v>
      </c>
      <c r="F20" s="1" t="s">
        <v>78</v>
      </c>
      <c r="G20" s="1" t="s">
        <v>712</v>
      </c>
      <c r="H20" s="1" t="s">
        <v>657</v>
      </c>
      <c r="I20" t="b">
        <f>COUNTIF(Estadísticas!I:I,'centraldecomunicacion.es'!H20)&gt;0</f>
        <v>0</v>
      </c>
    </row>
    <row r="21" spans="1:9" hidden="1">
      <c r="A21" s="1" t="s">
        <v>713</v>
      </c>
      <c r="B21" s="1" t="s">
        <v>10</v>
      </c>
      <c r="C21" s="1" t="s">
        <v>714</v>
      </c>
      <c r="D21" s="1" t="s">
        <v>698</v>
      </c>
      <c r="E21" s="1" t="s">
        <v>13</v>
      </c>
      <c r="F21" s="1" t="s">
        <v>669</v>
      </c>
      <c r="G21" s="1" t="s">
        <v>670</v>
      </c>
      <c r="H21" s="1" t="s">
        <v>657</v>
      </c>
      <c r="I21" t="b">
        <f>COUNTIF(Estadísticas!I:I,'centraldecomunicacion.es'!H21)&gt;0</f>
        <v>0</v>
      </c>
    </row>
    <row r="22" spans="1:9" hidden="1">
      <c r="A22" s="1" t="s">
        <v>663</v>
      </c>
      <c r="B22" s="1" t="s">
        <v>10</v>
      </c>
      <c r="C22" s="1" t="s">
        <v>78</v>
      </c>
      <c r="D22" s="1" t="s">
        <v>715</v>
      </c>
      <c r="E22" s="1" t="s">
        <v>78</v>
      </c>
      <c r="F22" s="1" t="s">
        <v>665</v>
      </c>
      <c r="G22" s="1" t="s">
        <v>666</v>
      </c>
      <c r="H22" s="1" t="s">
        <v>657</v>
      </c>
      <c r="I22" t="b">
        <f>COUNTIF(Estadísticas!I:I,'centraldecomunicacion.es'!H22)&gt;0</f>
        <v>0</v>
      </c>
    </row>
    <row r="23" spans="1:9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26</v>
      </c>
      <c r="F23" s="1" t="s">
        <v>27</v>
      </c>
      <c r="G23" s="1" t="s">
        <v>28</v>
      </c>
      <c r="H23" s="1" t="s">
        <v>29</v>
      </c>
      <c r="I23" t="b">
        <f>COUNTIF(Estadísticas!I:I,'centraldecomunicacion.es'!H23)&gt;0</f>
        <v>1</v>
      </c>
    </row>
    <row r="24" spans="1:9" hidden="1">
      <c r="A24" s="1" t="s">
        <v>716</v>
      </c>
      <c r="B24" s="1" t="s">
        <v>10</v>
      </c>
      <c r="C24" s="1" t="s">
        <v>717</v>
      </c>
      <c r="D24" s="1" t="s">
        <v>26</v>
      </c>
      <c r="E24" s="1" t="s">
        <v>26</v>
      </c>
      <c r="F24" s="1" t="s">
        <v>718</v>
      </c>
      <c r="G24" s="1" t="s">
        <v>719</v>
      </c>
      <c r="H24" s="1" t="s">
        <v>662</v>
      </c>
      <c r="I24" t="b">
        <f>COUNTIF(Estadísticas!I:I,'centraldecomunicacion.es'!H24)&gt;0</f>
        <v>0</v>
      </c>
    </row>
    <row r="25" spans="1:9" hidden="1">
      <c r="A25" s="1" t="s">
        <v>720</v>
      </c>
      <c r="B25" s="1" t="s">
        <v>10</v>
      </c>
      <c r="C25" s="1" t="s">
        <v>721</v>
      </c>
      <c r="D25" s="1" t="s">
        <v>722</v>
      </c>
      <c r="E25" s="1" t="s">
        <v>26</v>
      </c>
      <c r="F25" s="1" t="s">
        <v>723</v>
      </c>
      <c r="G25" s="1" t="s">
        <v>724</v>
      </c>
      <c r="H25" s="1" t="s">
        <v>725</v>
      </c>
      <c r="I25" t="b">
        <f>COUNTIF(Estadísticas!I:I,'centraldecomunicacion.es'!H25)&gt;0</f>
        <v>0</v>
      </c>
    </row>
    <row r="26" spans="1:9">
      <c r="A26" s="1" t="s">
        <v>30</v>
      </c>
      <c r="B26" s="1" t="s">
        <v>24</v>
      </c>
      <c r="C26" s="1" t="s">
        <v>31</v>
      </c>
      <c r="D26" s="1" t="s">
        <v>26</v>
      </c>
      <c r="E26" s="1" t="s">
        <v>26</v>
      </c>
      <c r="F26" s="1" t="s">
        <v>32</v>
      </c>
      <c r="G26" s="1" t="s">
        <v>33</v>
      </c>
      <c r="H26" s="1" t="s">
        <v>34</v>
      </c>
      <c r="I26" t="b">
        <f>COUNTIF(Estadísticas!I:I,'centraldecomunicacion.es'!H26)&gt;0</f>
        <v>1</v>
      </c>
    </row>
    <row r="27" spans="1:9" hidden="1">
      <c r="A27" s="1" t="s">
        <v>726</v>
      </c>
      <c r="B27" s="1" t="s">
        <v>24</v>
      </c>
      <c r="C27" s="1" t="s">
        <v>727</v>
      </c>
      <c r="D27" s="1" t="s">
        <v>618</v>
      </c>
      <c r="E27" s="1" t="s">
        <v>618</v>
      </c>
      <c r="F27" s="1" t="s">
        <v>78</v>
      </c>
      <c r="G27" s="1" t="s">
        <v>728</v>
      </c>
      <c r="H27" s="1" t="s">
        <v>657</v>
      </c>
      <c r="I27" t="b">
        <f>COUNTIF(Estadísticas!I:I,'centraldecomunicacion.es'!H27)&gt;0</f>
        <v>0</v>
      </c>
    </row>
    <row r="28" spans="1:9">
      <c r="A28" s="1" t="s">
        <v>35</v>
      </c>
      <c r="B28" s="1" t="s">
        <v>36</v>
      </c>
      <c r="C28" s="1" t="s">
        <v>37</v>
      </c>
      <c r="D28" s="1" t="s">
        <v>38</v>
      </c>
      <c r="E28" s="1" t="s">
        <v>38</v>
      </c>
      <c r="F28" s="1" t="s">
        <v>39</v>
      </c>
      <c r="G28" s="1" t="s">
        <v>40</v>
      </c>
      <c r="H28" s="1" t="s">
        <v>41</v>
      </c>
      <c r="I28" t="b">
        <f>COUNTIF(Estadísticas!I:I,'centraldecomunicacion.es'!H28)&gt;0</f>
        <v>1</v>
      </c>
    </row>
    <row r="29" spans="1:9" hidden="1">
      <c r="A29" s="1" t="s">
        <v>729</v>
      </c>
      <c r="B29" s="1" t="s">
        <v>24</v>
      </c>
      <c r="C29" s="1" t="s">
        <v>730</v>
      </c>
      <c r="D29" s="1" t="s">
        <v>731</v>
      </c>
      <c r="E29" s="1" t="s">
        <v>732</v>
      </c>
      <c r="F29" s="1" t="s">
        <v>733</v>
      </c>
      <c r="G29" s="1" t="s">
        <v>734</v>
      </c>
      <c r="H29" s="1" t="s">
        <v>735</v>
      </c>
      <c r="I29" t="b">
        <f>COUNTIF(Estadísticas!I:I,'centraldecomunicacion.es'!H29)&gt;0</f>
        <v>0</v>
      </c>
    </row>
    <row r="30" spans="1:9" hidden="1">
      <c r="A30" s="1" t="s">
        <v>736</v>
      </c>
      <c r="B30" s="1" t="s">
        <v>10</v>
      </c>
      <c r="C30" s="1" t="s">
        <v>737</v>
      </c>
      <c r="D30" s="1" t="s">
        <v>738</v>
      </c>
      <c r="E30" s="1" t="s">
        <v>91</v>
      </c>
      <c r="F30" s="1" t="s">
        <v>739</v>
      </c>
      <c r="G30" s="1" t="s">
        <v>740</v>
      </c>
      <c r="H30" s="1" t="s">
        <v>657</v>
      </c>
      <c r="I30" t="b">
        <f>COUNTIF(Estadísticas!I:I,'centraldecomunicacion.es'!H30)&gt;0</f>
        <v>0</v>
      </c>
    </row>
    <row r="31" spans="1:9" hidden="1">
      <c r="A31" s="1" t="s">
        <v>741</v>
      </c>
      <c r="B31" s="1" t="s">
        <v>24</v>
      </c>
      <c r="C31" s="1" t="s">
        <v>742</v>
      </c>
      <c r="D31" s="1" t="s">
        <v>743</v>
      </c>
      <c r="E31" s="1" t="s">
        <v>430</v>
      </c>
      <c r="F31" s="1" t="s">
        <v>744</v>
      </c>
      <c r="G31" s="1" t="s">
        <v>745</v>
      </c>
      <c r="H31" s="1" t="s">
        <v>746</v>
      </c>
      <c r="I31" t="b">
        <f>COUNTIF(Estadísticas!I:I,'centraldecomunicacion.es'!H31)&gt;0</f>
        <v>0</v>
      </c>
    </row>
    <row r="32" spans="1:9" hidden="1">
      <c r="A32" s="1" t="s">
        <v>747</v>
      </c>
      <c r="B32" s="1" t="s">
        <v>10</v>
      </c>
      <c r="C32" s="1" t="s">
        <v>748</v>
      </c>
      <c r="D32" s="1" t="s">
        <v>117</v>
      </c>
      <c r="E32" s="1" t="s">
        <v>117</v>
      </c>
      <c r="F32" s="1" t="s">
        <v>749</v>
      </c>
      <c r="G32" s="1" t="s">
        <v>750</v>
      </c>
      <c r="H32" s="1" t="s">
        <v>657</v>
      </c>
      <c r="I32" t="b">
        <f>COUNTIF(Estadísticas!I:I,'centraldecomunicacion.es'!H32)&gt;0</f>
        <v>0</v>
      </c>
    </row>
    <row r="33" spans="1:9" hidden="1">
      <c r="A33" s="1" t="s">
        <v>751</v>
      </c>
      <c r="B33" s="1" t="s">
        <v>10</v>
      </c>
      <c r="C33" s="1" t="s">
        <v>78</v>
      </c>
      <c r="D33" s="1" t="s">
        <v>715</v>
      </c>
      <c r="E33" s="1" t="s">
        <v>78</v>
      </c>
      <c r="F33" s="1" t="s">
        <v>752</v>
      </c>
      <c r="G33" s="1" t="s">
        <v>753</v>
      </c>
      <c r="H33" s="1" t="s">
        <v>754</v>
      </c>
      <c r="I33" t="b">
        <f>COUNTIF(Estadísticas!I:I,'centraldecomunicacion.es'!H33)&gt;0</f>
        <v>0</v>
      </c>
    </row>
    <row r="34" spans="1:9" hidden="1">
      <c r="A34" s="1" t="s">
        <v>755</v>
      </c>
      <c r="B34" s="1" t="s">
        <v>24</v>
      </c>
      <c r="C34" s="1" t="s">
        <v>756</v>
      </c>
      <c r="D34" s="1" t="s">
        <v>38</v>
      </c>
      <c r="E34" s="1" t="s">
        <v>38</v>
      </c>
      <c r="F34" s="1" t="s">
        <v>757</v>
      </c>
      <c r="G34" s="1" t="s">
        <v>758</v>
      </c>
      <c r="H34" s="1" t="s">
        <v>759</v>
      </c>
      <c r="I34" t="b">
        <f>COUNTIF(Estadísticas!I:I,'centraldecomunicacion.es'!H34)&gt;0</f>
        <v>0</v>
      </c>
    </row>
    <row r="35" spans="1:9">
      <c r="A35" s="1" t="s">
        <v>42</v>
      </c>
      <c r="B35" s="1" t="s">
        <v>10</v>
      </c>
      <c r="C35" s="1" t="s">
        <v>43</v>
      </c>
      <c r="D35" s="1" t="s">
        <v>44</v>
      </c>
      <c r="E35" s="1" t="s">
        <v>45</v>
      </c>
      <c r="F35" s="1" t="s">
        <v>46</v>
      </c>
      <c r="G35" s="1" t="s">
        <v>47</v>
      </c>
      <c r="H35" s="1" t="s">
        <v>48</v>
      </c>
      <c r="I35" t="b">
        <f>COUNTIF(Estadísticas!I:I,'centraldecomunicacion.es'!H35)&gt;0</f>
        <v>1</v>
      </c>
    </row>
    <row r="36" spans="1:9" hidden="1">
      <c r="A36" s="1" t="s">
        <v>760</v>
      </c>
      <c r="B36" s="1" t="s">
        <v>24</v>
      </c>
      <c r="C36" s="1" t="s">
        <v>761</v>
      </c>
      <c r="D36" s="1" t="s">
        <v>45</v>
      </c>
      <c r="E36" s="1" t="s">
        <v>45</v>
      </c>
      <c r="F36" s="1" t="s">
        <v>762</v>
      </c>
      <c r="G36" s="1" t="s">
        <v>763</v>
      </c>
      <c r="H36" s="1" t="s">
        <v>764</v>
      </c>
      <c r="I36" t="b">
        <f>COUNTIF(Estadísticas!I:I,'centraldecomunicacion.es'!H36)&gt;0</f>
        <v>0</v>
      </c>
    </row>
    <row r="37" spans="1:9" hidden="1">
      <c r="A37" s="1" t="s">
        <v>765</v>
      </c>
      <c r="B37" s="1" t="s">
        <v>10</v>
      </c>
      <c r="C37" s="1" t="s">
        <v>766</v>
      </c>
      <c r="D37" s="1" t="s">
        <v>45</v>
      </c>
      <c r="E37" s="1" t="s">
        <v>45</v>
      </c>
      <c r="F37" s="1" t="s">
        <v>767</v>
      </c>
      <c r="G37" s="1" t="s">
        <v>768</v>
      </c>
      <c r="H37" s="1" t="s">
        <v>769</v>
      </c>
      <c r="I37" t="b">
        <f>COUNTIF(Estadísticas!I:I,'centraldecomunicacion.es'!H37)&gt;0</f>
        <v>0</v>
      </c>
    </row>
    <row r="38" spans="1:9" hidden="1">
      <c r="A38" s="1" t="s">
        <v>770</v>
      </c>
      <c r="B38" s="1" t="s">
        <v>10</v>
      </c>
      <c r="C38" s="1" t="s">
        <v>771</v>
      </c>
      <c r="D38" s="1" t="s">
        <v>45</v>
      </c>
      <c r="E38" s="1" t="s">
        <v>45</v>
      </c>
      <c r="F38" s="1" t="s">
        <v>78</v>
      </c>
      <c r="G38" s="1" t="s">
        <v>772</v>
      </c>
      <c r="H38" s="1" t="s">
        <v>657</v>
      </c>
      <c r="I38" t="b">
        <f>COUNTIF(Estadísticas!I:I,'centraldecomunicacion.es'!H38)&gt;0</f>
        <v>0</v>
      </c>
    </row>
    <row r="39" spans="1:9" hidden="1">
      <c r="A39" s="1" t="s">
        <v>773</v>
      </c>
      <c r="B39" s="1" t="s">
        <v>10</v>
      </c>
      <c r="C39" s="1" t="s">
        <v>774</v>
      </c>
      <c r="D39" s="1" t="s">
        <v>45</v>
      </c>
      <c r="E39" s="1" t="s">
        <v>45</v>
      </c>
      <c r="F39" s="1" t="s">
        <v>775</v>
      </c>
      <c r="G39" s="1" t="s">
        <v>776</v>
      </c>
      <c r="H39" s="1" t="s">
        <v>777</v>
      </c>
      <c r="I39" t="b">
        <f>COUNTIF(Estadísticas!I:I,'centraldecomunicacion.es'!H39)&gt;0</f>
        <v>0</v>
      </c>
    </row>
    <row r="40" spans="1:9" hidden="1">
      <c r="A40" s="1" t="s">
        <v>778</v>
      </c>
      <c r="B40" s="1" t="s">
        <v>10</v>
      </c>
      <c r="C40" s="1" t="s">
        <v>78</v>
      </c>
      <c r="D40" s="1" t="s">
        <v>779</v>
      </c>
      <c r="E40" s="1" t="s">
        <v>78</v>
      </c>
      <c r="F40" s="1" t="s">
        <v>78</v>
      </c>
      <c r="G40" s="1" t="s">
        <v>780</v>
      </c>
      <c r="H40" s="1" t="s">
        <v>657</v>
      </c>
      <c r="I40" t="b">
        <f>COUNTIF(Estadísticas!I:I,'centraldecomunicacion.es'!H40)&gt;0</f>
        <v>0</v>
      </c>
    </row>
    <row r="41" spans="1:9" hidden="1">
      <c r="A41" s="1" t="s">
        <v>781</v>
      </c>
      <c r="B41" s="1" t="s">
        <v>24</v>
      </c>
      <c r="C41" s="1" t="s">
        <v>782</v>
      </c>
      <c r="D41" s="1" t="s">
        <v>45</v>
      </c>
      <c r="E41" s="1" t="s">
        <v>45</v>
      </c>
      <c r="F41" s="1" t="s">
        <v>783</v>
      </c>
      <c r="G41" s="1" t="s">
        <v>784</v>
      </c>
      <c r="H41" s="1" t="s">
        <v>657</v>
      </c>
      <c r="I41" t="b">
        <f>COUNTIF(Estadísticas!I:I,'centraldecomunicacion.es'!H41)&gt;0</f>
        <v>0</v>
      </c>
    </row>
    <row r="42" spans="1:9" hidden="1">
      <c r="A42" s="1" t="s">
        <v>785</v>
      </c>
      <c r="B42" s="1" t="s">
        <v>10</v>
      </c>
      <c r="C42" s="1" t="s">
        <v>786</v>
      </c>
      <c r="D42" s="1" t="s">
        <v>45</v>
      </c>
      <c r="E42" s="1" t="s">
        <v>45</v>
      </c>
      <c r="F42" s="1" t="s">
        <v>78</v>
      </c>
      <c r="G42" s="1" t="s">
        <v>78</v>
      </c>
      <c r="H42" s="1" t="s">
        <v>657</v>
      </c>
      <c r="I42" t="b">
        <f>COUNTIF(Estadísticas!I:I,'centraldecomunicacion.es'!H42)&gt;0</f>
        <v>0</v>
      </c>
    </row>
    <row r="43" spans="1:9" hidden="1">
      <c r="A43" s="1" t="s">
        <v>787</v>
      </c>
      <c r="B43" s="1" t="s">
        <v>24</v>
      </c>
      <c r="C43" s="1" t="s">
        <v>788</v>
      </c>
      <c r="D43" s="1" t="s">
        <v>45</v>
      </c>
      <c r="E43" s="1" t="s">
        <v>45</v>
      </c>
      <c r="F43" s="1" t="s">
        <v>78</v>
      </c>
      <c r="G43" s="1" t="s">
        <v>78</v>
      </c>
      <c r="H43" s="1" t="s">
        <v>657</v>
      </c>
      <c r="I43" t="b">
        <f>COUNTIF(Estadísticas!I:I,'centraldecomunicacion.es'!H43)&gt;0</f>
        <v>0</v>
      </c>
    </row>
    <row r="44" spans="1:9" hidden="1">
      <c r="A44" s="1" t="s">
        <v>789</v>
      </c>
      <c r="B44" s="1" t="s">
        <v>10</v>
      </c>
      <c r="C44" s="1" t="s">
        <v>790</v>
      </c>
      <c r="D44" s="1" t="s">
        <v>45</v>
      </c>
      <c r="E44" s="1" t="s">
        <v>45</v>
      </c>
      <c r="F44" s="1" t="s">
        <v>791</v>
      </c>
      <c r="G44" s="1" t="s">
        <v>792</v>
      </c>
      <c r="H44" s="1" t="s">
        <v>657</v>
      </c>
      <c r="I44" t="b">
        <f>COUNTIF(Estadísticas!I:I,'centraldecomunicacion.es'!H44)&gt;0</f>
        <v>0</v>
      </c>
    </row>
    <row r="45" spans="1:9" hidden="1">
      <c r="A45" s="1" t="s">
        <v>793</v>
      </c>
      <c r="B45" s="1" t="s">
        <v>10</v>
      </c>
      <c r="C45" s="1" t="s">
        <v>794</v>
      </c>
      <c r="D45" s="1" t="s">
        <v>44</v>
      </c>
      <c r="E45" s="1" t="s">
        <v>45</v>
      </c>
      <c r="F45" s="1" t="s">
        <v>795</v>
      </c>
      <c r="G45" s="1" t="s">
        <v>796</v>
      </c>
      <c r="H45" s="1" t="s">
        <v>797</v>
      </c>
      <c r="I45" t="b">
        <f>COUNTIF(Estadísticas!I:I,'centraldecomunicacion.es'!H45)&gt;0</f>
        <v>0</v>
      </c>
    </row>
    <row r="46" spans="1:9" hidden="1">
      <c r="A46" s="1" t="s">
        <v>798</v>
      </c>
      <c r="B46" s="1" t="s">
        <v>24</v>
      </c>
      <c r="C46" s="1" t="s">
        <v>799</v>
      </c>
      <c r="D46" s="1" t="s">
        <v>800</v>
      </c>
      <c r="E46" s="1" t="s">
        <v>45</v>
      </c>
      <c r="F46" s="1" t="s">
        <v>801</v>
      </c>
      <c r="G46" s="1" t="s">
        <v>802</v>
      </c>
      <c r="H46" s="1" t="s">
        <v>657</v>
      </c>
      <c r="I46" t="b">
        <f>COUNTIF(Estadísticas!I:I,'centraldecomunicacion.es'!H46)&gt;0</f>
        <v>0</v>
      </c>
    </row>
    <row r="47" spans="1:9" hidden="1">
      <c r="A47" s="1" t="s">
        <v>803</v>
      </c>
      <c r="B47" s="1" t="s">
        <v>10</v>
      </c>
      <c r="C47" s="1" t="s">
        <v>804</v>
      </c>
      <c r="D47" s="1" t="s">
        <v>51</v>
      </c>
      <c r="E47" s="1" t="s">
        <v>45</v>
      </c>
      <c r="F47" s="1" t="s">
        <v>805</v>
      </c>
      <c r="G47" s="1" t="s">
        <v>806</v>
      </c>
      <c r="H47" s="1" t="s">
        <v>807</v>
      </c>
      <c r="I47" t="b">
        <f>COUNTIF(Estadísticas!I:I,'centraldecomunicacion.es'!H47)&gt;0</f>
        <v>0</v>
      </c>
    </row>
    <row r="48" spans="1:9">
      <c r="A48" s="1" t="s">
        <v>49</v>
      </c>
      <c r="B48" s="1" t="s">
        <v>24</v>
      </c>
      <c r="C48" s="1" t="s">
        <v>50</v>
      </c>
      <c r="D48" s="1" t="s">
        <v>51</v>
      </c>
      <c r="E48" s="1" t="s">
        <v>45</v>
      </c>
      <c r="F48" s="1" t="s">
        <v>52</v>
      </c>
      <c r="G48" s="1" t="s">
        <v>53</v>
      </c>
      <c r="H48" s="1" t="s">
        <v>54</v>
      </c>
      <c r="I48" t="b">
        <f>COUNTIF(Estadísticas!I:I,'centraldecomunicacion.es'!H48)&gt;0</f>
        <v>1</v>
      </c>
    </row>
    <row r="49" spans="1:9" hidden="1">
      <c r="A49" s="1" t="s">
        <v>808</v>
      </c>
      <c r="B49" s="1" t="s">
        <v>24</v>
      </c>
      <c r="C49" s="1" t="s">
        <v>809</v>
      </c>
      <c r="D49" s="1" t="s">
        <v>810</v>
      </c>
      <c r="E49" s="1" t="s">
        <v>45</v>
      </c>
      <c r="F49" s="1" t="s">
        <v>78</v>
      </c>
      <c r="G49" s="1" t="s">
        <v>811</v>
      </c>
      <c r="H49" s="1" t="s">
        <v>657</v>
      </c>
      <c r="I49" t="b">
        <f>COUNTIF(Estadísticas!I:I,'centraldecomunicacion.es'!H49)&gt;0</f>
        <v>0</v>
      </c>
    </row>
    <row r="50" spans="1:9" hidden="1">
      <c r="A50" s="1" t="s">
        <v>812</v>
      </c>
      <c r="B50" s="1" t="s">
        <v>24</v>
      </c>
      <c r="C50" s="1" t="s">
        <v>813</v>
      </c>
      <c r="D50" s="1" t="s">
        <v>51</v>
      </c>
      <c r="E50" s="1" t="s">
        <v>45</v>
      </c>
      <c r="F50" s="1" t="s">
        <v>78</v>
      </c>
      <c r="G50" s="1" t="s">
        <v>814</v>
      </c>
      <c r="H50" s="1" t="s">
        <v>657</v>
      </c>
      <c r="I50" t="b">
        <f>COUNTIF(Estadísticas!I:I,'centraldecomunicacion.es'!H50)&gt;0</f>
        <v>0</v>
      </c>
    </row>
    <row r="51" spans="1:9" hidden="1">
      <c r="A51" s="1" t="s">
        <v>815</v>
      </c>
      <c r="B51" s="1" t="s">
        <v>24</v>
      </c>
      <c r="C51" s="1" t="s">
        <v>816</v>
      </c>
      <c r="D51" s="1" t="s">
        <v>817</v>
      </c>
      <c r="E51" s="1" t="s">
        <v>45</v>
      </c>
      <c r="F51" s="1" t="s">
        <v>78</v>
      </c>
      <c r="G51" s="1" t="s">
        <v>818</v>
      </c>
      <c r="H51" s="1" t="s">
        <v>657</v>
      </c>
      <c r="I51" t="b">
        <f>COUNTIF(Estadísticas!I:I,'centraldecomunicacion.es'!H51)&gt;0</f>
        <v>0</v>
      </c>
    </row>
    <row r="52" spans="1:9" hidden="1">
      <c r="A52" s="1" t="s">
        <v>819</v>
      </c>
      <c r="B52" s="1" t="s">
        <v>24</v>
      </c>
      <c r="C52" s="1" t="s">
        <v>820</v>
      </c>
      <c r="D52" s="1" t="s">
        <v>821</v>
      </c>
      <c r="E52" s="1" t="s">
        <v>45</v>
      </c>
      <c r="F52" s="1" t="s">
        <v>78</v>
      </c>
      <c r="G52" s="1" t="s">
        <v>822</v>
      </c>
      <c r="H52" s="1" t="s">
        <v>657</v>
      </c>
      <c r="I52" t="b">
        <f>COUNTIF(Estadísticas!I:I,'centraldecomunicacion.es'!H52)&gt;0</f>
        <v>0</v>
      </c>
    </row>
    <row r="53" spans="1:9" hidden="1">
      <c r="A53" s="1" t="s">
        <v>823</v>
      </c>
      <c r="B53" s="1" t="s">
        <v>24</v>
      </c>
      <c r="C53" s="1" t="s">
        <v>824</v>
      </c>
      <c r="D53" s="1" t="s">
        <v>51</v>
      </c>
      <c r="E53" s="1" t="s">
        <v>45</v>
      </c>
      <c r="F53" s="1" t="s">
        <v>825</v>
      </c>
      <c r="G53" s="1" t="s">
        <v>53</v>
      </c>
      <c r="H53" s="1" t="s">
        <v>826</v>
      </c>
      <c r="I53" t="b">
        <f>COUNTIF(Estadísticas!I:I,'centraldecomunicacion.es'!H53)&gt;0</f>
        <v>0</v>
      </c>
    </row>
    <row r="54" spans="1:9" hidden="1">
      <c r="A54" s="1" t="s">
        <v>827</v>
      </c>
      <c r="B54" s="1" t="s">
        <v>24</v>
      </c>
      <c r="C54" s="1" t="s">
        <v>828</v>
      </c>
      <c r="D54" s="1" t="s">
        <v>117</v>
      </c>
      <c r="E54" s="1" t="s">
        <v>117</v>
      </c>
      <c r="F54" s="1" t="s">
        <v>829</v>
      </c>
      <c r="G54" s="1" t="s">
        <v>830</v>
      </c>
      <c r="H54" s="1" t="s">
        <v>831</v>
      </c>
      <c r="I54" t="b">
        <f>COUNTIF(Estadísticas!I:I,'centraldecomunicacion.es'!H54)&gt;0</f>
        <v>0</v>
      </c>
    </row>
    <row r="55" spans="1:9" hidden="1">
      <c r="A55" s="1" t="s">
        <v>832</v>
      </c>
      <c r="B55" s="1" t="s">
        <v>24</v>
      </c>
      <c r="C55" s="1" t="s">
        <v>833</v>
      </c>
      <c r="D55" s="1" t="s">
        <v>91</v>
      </c>
      <c r="E55" s="1" t="s">
        <v>91</v>
      </c>
      <c r="F55" s="1" t="s">
        <v>834</v>
      </c>
      <c r="G55" s="1" t="s">
        <v>835</v>
      </c>
      <c r="H55" s="1" t="s">
        <v>836</v>
      </c>
      <c r="I55" t="b">
        <f>COUNTIF(Estadísticas!I:I,'centraldecomunicacion.es'!H55)&gt;0</f>
        <v>0</v>
      </c>
    </row>
    <row r="56" spans="1:9" hidden="1">
      <c r="A56" s="1" t="s">
        <v>837</v>
      </c>
      <c r="B56" s="1" t="s">
        <v>10</v>
      </c>
      <c r="C56" s="1" t="s">
        <v>838</v>
      </c>
      <c r="D56" s="1" t="s">
        <v>839</v>
      </c>
      <c r="E56" s="1" t="s">
        <v>117</v>
      </c>
      <c r="F56" s="1" t="s">
        <v>829</v>
      </c>
      <c r="G56" s="1" t="s">
        <v>840</v>
      </c>
      <c r="H56" s="1" t="s">
        <v>831</v>
      </c>
      <c r="I56" t="b">
        <f>COUNTIF(Estadísticas!I:I,'centraldecomunicacion.es'!H56)&gt;0</f>
        <v>0</v>
      </c>
    </row>
    <row r="57" spans="1:9" hidden="1">
      <c r="A57" s="1" t="s">
        <v>841</v>
      </c>
      <c r="B57" s="1" t="s">
        <v>10</v>
      </c>
      <c r="C57" s="1" t="s">
        <v>842</v>
      </c>
      <c r="D57" s="1" t="s">
        <v>73</v>
      </c>
      <c r="E57" s="1" t="s">
        <v>73</v>
      </c>
      <c r="F57" s="1" t="s">
        <v>78</v>
      </c>
      <c r="G57" s="1" t="s">
        <v>843</v>
      </c>
      <c r="H57" s="1" t="s">
        <v>657</v>
      </c>
      <c r="I57" t="b">
        <f>COUNTIF(Estadísticas!I:I,'centraldecomunicacion.es'!H57)&gt;0</f>
        <v>0</v>
      </c>
    </row>
    <row r="58" spans="1:9" hidden="1">
      <c r="A58" s="1" t="s">
        <v>844</v>
      </c>
      <c r="B58" s="1" t="s">
        <v>24</v>
      </c>
      <c r="C58" s="1" t="s">
        <v>845</v>
      </c>
      <c r="D58" s="1" t="s">
        <v>117</v>
      </c>
      <c r="E58" s="1" t="s">
        <v>117</v>
      </c>
      <c r="F58" s="1" t="s">
        <v>846</v>
      </c>
      <c r="G58" s="1" t="s">
        <v>847</v>
      </c>
      <c r="H58" s="1" t="s">
        <v>848</v>
      </c>
      <c r="I58" t="b">
        <f>COUNTIF(Estadísticas!I:I,'centraldecomunicacion.es'!H58)&gt;0</f>
        <v>0</v>
      </c>
    </row>
    <row r="59" spans="1:9" hidden="1">
      <c r="A59" s="1" t="s">
        <v>849</v>
      </c>
      <c r="B59" s="1" t="s">
        <v>24</v>
      </c>
      <c r="C59" s="1" t="s">
        <v>850</v>
      </c>
      <c r="D59" s="1" t="s">
        <v>839</v>
      </c>
      <c r="E59" s="1" t="s">
        <v>117</v>
      </c>
      <c r="F59" s="1" t="s">
        <v>851</v>
      </c>
      <c r="G59" s="1" t="s">
        <v>852</v>
      </c>
      <c r="H59" s="1" t="s">
        <v>853</v>
      </c>
      <c r="I59" t="b">
        <f>COUNTIF(Estadísticas!I:I,'centraldecomunicacion.es'!H59)&gt;0</f>
        <v>0</v>
      </c>
    </row>
    <row r="60" spans="1:9" hidden="1">
      <c r="A60" s="1" t="s">
        <v>854</v>
      </c>
      <c r="B60" s="1" t="s">
        <v>24</v>
      </c>
      <c r="C60" s="1" t="s">
        <v>855</v>
      </c>
      <c r="D60" s="1" t="s">
        <v>856</v>
      </c>
      <c r="E60" s="1" t="s">
        <v>91</v>
      </c>
      <c r="F60" s="1" t="s">
        <v>857</v>
      </c>
      <c r="G60" s="1" t="s">
        <v>858</v>
      </c>
      <c r="H60" s="1" t="s">
        <v>859</v>
      </c>
      <c r="I60" t="b">
        <f>COUNTIF(Estadísticas!I:I,'centraldecomunicacion.es'!H60)&gt;0</f>
        <v>0</v>
      </c>
    </row>
    <row r="61" spans="1:9" hidden="1">
      <c r="A61" s="1" t="s">
        <v>860</v>
      </c>
      <c r="B61" s="1" t="s">
        <v>10</v>
      </c>
      <c r="C61" s="1" t="s">
        <v>861</v>
      </c>
      <c r="D61" s="1" t="s">
        <v>862</v>
      </c>
      <c r="E61" s="1" t="s">
        <v>117</v>
      </c>
      <c r="F61" s="1" t="s">
        <v>863</v>
      </c>
      <c r="G61" s="1" t="s">
        <v>864</v>
      </c>
      <c r="H61" s="1" t="s">
        <v>657</v>
      </c>
      <c r="I61" t="b">
        <f>COUNTIF(Estadísticas!I:I,'centraldecomunicacion.es'!H61)&gt;0</f>
        <v>0</v>
      </c>
    </row>
    <row r="62" spans="1:9" hidden="1">
      <c r="A62" s="1" t="s">
        <v>865</v>
      </c>
      <c r="B62" s="1" t="s">
        <v>24</v>
      </c>
      <c r="C62" s="1" t="s">
        <v>866</v>
      </c>
      <c r="D62" s="1" t="s">
        <v>867</v>
      </c>
      <c r="E62" s="1" t="s">
        <v>91</v>
      </c>
      <c r="F62" s="1" t="s">
        <v>78</v>
      </c>
      <c r="G62" s="1" t="s">
        <v>78</v>
      </c>
      <c r="H62" s="1" t="s">
        <v>657</v>
      </c>
      <c r="I62" t="b">
        <f>COUNTIF(Estadísticas!I:I,'centraldecomunicacion.es'!H62)&gt;0</f>
        <v>0</v>
      </c>
    </row>
    <row r="63" spans="1:9" hidden="1">
      <c r="A63" s="1" t="s">
        <v>868</v>
      </c>
      <c r="B63" s="1" t="s">
        <v>10</v>
      </c>
      <c r="C63" s="1" t="s">
        <v>869</v>
      </c>
      <c r="D63" s="1" t="s">
        <v>870</v>
      </c>
      <c r="E63" s="1" t="s">
        <v>38</v>
      </c>
      <c r="F63" s="1" t="s">
        <v>871</v>
      </c>
      <c r="G63" s="1" t="s">
        <v>872</v>
      </c>
      <c r="H63" s="1" t="s">
        <v>873</v>
      </c>
      <c r="I63" t="b">
        <f>COUNTIF(Estadísticas!I:I,'centraldecomunicacion.es'!H63)&gt;0</f>
        <v>0</v>
      </c>
    </row>
    <row r="64" spans="1:9" hidden="1">
      <c r="A64" s="1" t="s">
        <v>874</v>
      </c>
      <c r="B64" s="1" t="s">
        <v>24</v>
      </c>
      <c r="C64" s="1" t="s">
        <v>875</v>
      </c>
      <c r="D64" s="1" t="s">
        <v>876</v>
      </c>
      <c r="E64" s="1" t="s">
        <v>38</v>
      </c>
      <c r="F64" s="1" t="s">
        <v>877</v>
      </c>
      <c r="G64" s="1" t="s">
        <v>878</v>
      </c>
      <c r="H64" s="1" t="s">
        <v>879</v>
      </c>
      <c r="I64" t="b">
        <f>COUNTIF(Estadísticas!I:I,'centraldecomunicacion.es'!H64)&gt;0</f>
        <v>0</v>
      </c>
    </row>
    <row r="65" spans="1:9" hidden="1">
      <c r="A65" s="1" t="s">
        <v>880</v>
      </c>
      <c r="B65" s="1" t="s">
        <v>24</v>
      </c>
      <c r="C65" s="1" t="s">
        <v>881</v>
      </c>
      <c r="D65" s="1" t="s">
        <v>38</v>
      </c>
      <c r="E65" s="1" t="s">
        <v>38</v>
      </c>
      <c r="F65" s="1" t="s">
        <v>78</v>
      </c>
      <c r="G65" s="1" t="s">
        <v>882</v>
      </c>
      <c r="H65" s="1" t="s">
        <v>657</v>
      </c>
      <c r="I65" t="b">
        <f>COUNTIF(Estadísticas!I:I,'centraldecomunicacion.es'!H65)&gt;0</f>
        <v>0</v>
      </c>
    </row>
    <row r="66" spans="1:9" hidden="1">
      <c r="A66" s="1" t="s">
        <v>883</v>
      </c>
      <c r="B66" s="1" t="s">
        <v>24</v>
      </c>
      <c r="C66" s="1" t="s">
        <v>884</v>
      </c>
      <c r="D66" s="1" t="s">
        <v>284</v>
      </c>
      <c r="E66" s="1" t="s">
        <v>284</v>
      </c>
      <c r="F66" s="1" t="s">
        <v>885</v>
      </c>
      <c r="G66" s="1" t="s">
        <v>886</v>
      </c>
      <c r="H66" s="1" t="s">
        <v>887</v>
      </c>
      <c r="I66" t="b">
        <f>COUNTIF(Estadísticas!I:I,'centraldecomunicacion.es'!H66)&gt;0</f>
        <v>0</v>
      </c>
    </row>
    <row r="67" spans="1:9" hidden="1">
      <c r="A67" s="1" t="s">
        <v>888</v>
      </c>
      <c r="B67" s="1" t="s">
        <v>24</v>
      </c>
      <c r="C67" s="1" t="s">
        <v>889</v>
      </c>
      <c r="D67" s="1" t="s">
        <v>890</v>
      </c>
      <c r="E67" s="1" t="s">
        <v>284</v>
      </c>
      <c r="F67" s="1" t="s">
        <v>829</v>
      </c>
      <c r="G67" s="1" t="s">
        <v>891</v>
      </c>
      <c r="H67" s="1" t="s">
        <v>831</v>
      </c>
      <c r="I67" t="b">
        <f>COUNTIF(Estadísticas!I:I,'centraldecomunicacion.es'!H67)&gt;0</f>
        <v>0</v>
      </c>
    </row>
    <row r="68" spans="1:9" hidden="1">
      <c r="A68" s="1" t="s">
        <v>892</v>
      </c>
      <c r="B68" s="1" t="s">
        <v>10</v>
      </c>
      <c r="C68" s="1" t="s">
        <v>893</v>
      </c>
      <c r="D68" s="1" t="s">
        <v>894</v>
      </c>
      <c r="E68" s="1" t="s">
        <v>38</v>
      </c>
      <c r="F68" s="1" t="s">
        <v>895</v>
      </c>
      <c r="G68" s="1" t="s">
        <v>896</v>
      </c>
      <c r="H68" s="1" t="s">
        <v>897</v>
      </c>
      <c r="I68" t="b">
        <f>COUNTIF(Estadísticas!I:I,'centraldecomunicacion.es'!H68)&gt;0</f>
        <v>0</v>
      </c>
    </row>
    <row r="69" spans="1:9" hidden="1">
      <c r="A69" s="1" t="s">
        <v>898</v>
      </c>
      <c r="B69" s="1" t="s">
        <v>24</v>
      </c>
      <c r="C69" s="1" t="s">
        <v>899</v>
      </c>
      <c r="D69" s="1" t="s">
        <v>57</v>
      </c>
      <c r="E69" s="1" t="s">
        <v>57</v>
      </c>
      <c r="F69" s="1" t="s">
        <v>900</v>
      </c>
      <c r="G69" s="1" t="s">
        <v>901</v>
      </c>
      <c r="H69" s="1" t="s">
        <v>902</v>
      </c>
      <c r="I69" t="b">
        <f>COUNTIF(Estadísticas!I:I,'centraldecomunicacion.es'!H69)&gt;0</f>
        <v>0</v>
      </c>
    </row>
    <row r="70" spans="1:9">
      <c r="A70" s="1" t="s">
        <v>55</v>
      </c>
      <c r="B70" s="1" t="s">
        <v>24</v>
      </c>
      <c r="C70" s="1" t="s">
        <v>56</v>
      </c>
      <c r="D70" s="1" t="s">
        <v>57</v>
      </c>
      <c r="E70" s="1" t="s">
        <v>57</v>
      </c>
      <c r="F70" s="1" t="s">
        <v>58</v>
      </c>
      <c r="G70" s="1" t="s">
        <v>59</v>
      </c>
      <c r="H70" s="1" t="s">
        <v>60</v>
      </c>
      <c r="I70" t="b">
        <f>COUNTIF(Estadísticas!I:I,'centraldecomunicacion.es'!H70)&gt;0</f>
        <v>1</v>
      </c>
    </row>
    <row r="71" spans="1:9" hidden="1">
      <c r="A71" s="1" t="s">
        <v>903</v>
      </c>
      <c r="B71" s="1" t="s">
        <v>24</v>
      </c>
      <c r="C71" s="1" t="s">
        <v>904</v>
      </c>
      <c r="D71" s="1" t="s">
        <v>57</v>
      </c>
      <c r="E71" s="1" t="s">
        <v>57</v>
      </c>
      <c r="F71" s="1" t="s">
        <v>905</v>
      </c>
      <c r="G71" s="1" t="s">
        <v>906</v>
      </c>
      <c r="H71" s="1" t="s">
        <v>657</v>
      </c>
      <c r="I71" t="b">
        <f>COUNTIF(Estadísticas!I:I,'centraldecomunicacion.es'!H71)&gt;0</f>
        <v>0</v>
      </c>
    </row>
    <row r="72" spans="1:9" hidden="1">
      <c r="A72" s="1" t="s">
        <v>907</v>
      </c>
      <c r="B72" s="1" t="s">
        <v>10</v>
      </c>
      <c r="C72" s="1" t="s">
        <v>908</v>
      </c>
      <c r="D72" s="1" t="s">
        <v>57</v>
      </c>
      <c r="E72" s="1" t="s">
        <v>57</v>
      </c>
      <c r="F72" s="1" t="s">
        <v>909</v>
      </c>
      <c r="G72" s="1" t="s">
        <v>740</v>
      </c>
      <c r="H72" s="1" t="s">
        <v>657</v>
      </c>
      <c r="I72" t="b">
        <f>COUNTIF(Estadísticas!I:I,'centraldecomunicacion.es'!H72)&gt;0</f>
        <v>0</v>
      </c>
    </row>
    <row r="73" spans="1:9" hidden="1">
      <c r="A73" s="1" t="s">
        <v>910</v>
      </c>
      <c r="B73" s="1" t="s">
        <v>24</v>
      </c>
      <c r="C73" s="1" t="s">
        <v>911</v>
      </c>
      <c r="D73" s="1" t="s">
        <v>57</v>
      </c>
      <c r="E73" s="1" t="s">
        <v>57</v>
      </c>
      <c r="F73" s="1" t="s">
        <v>912</v>
      </c>
      <c r="G73" s="1" t="s">
        <v>913</v>
      </c>
      <c r="H73" s="1" t="s">
        <v>914</v>
      </c>
      <c r="I73" t="b">
        <f>COUNTIF(Estadísticas!I:I,'centraldecomunicacion.es'!H73)&gt;0</f>
        <v>0</v>
      </c>
    </row>
    <row r="74" spans="1:9" hidden="1">
      <c r="A74" s="1" t="s">
        <v>915</v>
      </c>
      <c r="B74" s="1" t="s">
        <v>24</v>
      </c>
      <c r="C74" s="1" t="s">
        <v>916</v>
      </c>
      <c r="D74" s="1" t="s">
        <v>57</v>
      </c>
      <c r="E74" s="1" t="s">
        <v>57</v>
      </c>
      <c r="F74" s="1" t="s">
        <v>917</v>
      </c>
      <c r="G74" s="1" t="s">
        <v>918</v>
      </c>
      <c r="H74" s="1" t="s">
        <v>919</v>
      </c>
      <c r="I74" t="b">
        <f>COUNTIF(Estadísticas!I:I,'centraldecomunicacion.es'!H74)&gt;0</f>
        <v>0</v>
      </c>
    </row>
    <row r="75" spans="1:9" hidden="1">
      <c r="A75" s="1" t="s">
        <v>920</v>
      </c>
      <c r="B75" s="1" t="s">
        <v>24</v>
      </c>
      <c r="C75" s="1" t="s">
        <v>921</v>
      </c>
      <c r="D75" s="1" t="s">
        <v>57</v>
      </c>
      <c r="E75" s="1" t="s">
        <v>57</v>
      </c>
      <c r="F75" s="1" t="s">
        <v>922</v>
      </c>
      <c r="G75" s="1" t="s">
        <v>923</v>
      </c>
      <c r="H75" s="1" t="s">
        <v>924</v>
      </c>
      <c r="I75" t="b">
        <f>COUNTIF(Estadísticas!I:I,'centraldecomunicacion.es'!H75)&gt;0</f>
        <v>0</v>
      </c>
    </row>
    <row r="76" spans="1:9" hidden="1">
      <c r="A76" s="1" t="s">
        <v>925</v>
      </c>
      <c r="B76" s="1" t="s">
        <v>10</v>
      </c>
      <c r="C76" s="1" t="s">
        <v>926</v>
      </c>
      <c r="D76" s="1" t="s">
        <v>57</v>
      </c>
      <c r="E76" s="1" t="s">
        <v>57</v>
      </c>
      <c r="F76" s="1" t="s">
        <v>927</v>
      </c>
      <c r="G76" s="1" t="s">
        <v>928</v>
      </c>
      <c r="H76" s="1" t="s">
        <v>929</v>
      </c>
      <c r="I76" t="b">
        <f>COUNTIF(Estadísticas!I:I,'centraldecomunicacion.es'!H76)&gt;0</f>
        <v>0</v>
      </c>
    </row>
    <row r="77" spans="1:9" hidden="1">
      <c r="A77" s="1" t="s">
        <v>930</v>
      </c>
      <c r="B77" s="1" t="s">
        <v>10</v>
      </c>
      <c r="C77" s="1" t="s">
        <v>931</v>
      </c>
      <c r="D77" s="1" t="s">
        <v>57</v>
      </c>
      <c r="E77" s="1" t="s">
        <v>57</v>
      </c>
      <c r="F77" s="1" t="s">
        <v>795</v>
      </c>
      <c r="G77" s="1" t="s">
        <v>796</v>
      </c>
      <c r="H77" s="1" t="s">
        <v>797</v>
      </c>
      <c r="I77" t="b">
        <f>COUNTIF(Estadísticas!I:I,'centraldecomunicacion.es'!H77)&gt;0</f>
        <v>0</v>
      </c>
    </row>
    <row r="78" spans="1:9" hidden="1">
      <c r="A78" s="1" t="s">
        <v>932</v>
      </c>
      <c r="B78" s="1" t="s">
        <v>10</v>
      </c>
      <c r="C78" s="1" t="s">
        <v>933</v>
      </c>
      <c r="D78" s="1" t="s">
        <v>934</v>
      </c>
      <c r="E78" s="1" t="s">
        <v>57</v>
      </c>
      <c r="F78" s="1" t="s">
        <v>909</v>
      </c>
      <c r="G78" s="1" t="s">
        <v>740</v>
      </c>
      <c r="H78" s="1" t="s">
        <v>657</v>
      </c>
      <c r="I78" t="b">
        <f>COUNTIF(Estadísticas!I:I,'centraldecomunicacion.es'!H78)&gt;0</f>
        <v>0</v>
      </c>
    </row>
    <row r="79" spans="1:9" hidden="1">
      <c r="A79" s="1" t="s">
        <v>935</v>
      </c>
      <c r="B79" s="1" t="s">
        <v>10</v>
      </c>
      <c r="C79" s="1" t="s">
        <v>936</v>
      </c>
      <c r="D79" s="1" t="s">
        <v>937</v>
      </c>
      <c r="E79" s="1" t="s">
        <v>57</v>
      </c>
      <c r="F79" s="1" t="s">
        <v>909</v>
      </c>
      <c r="G79" s="1" t="s">
        <v>740</v>
      </c>
      <c r="H79" s="1" t="s">
        <v>657</v>
      </c>
      <c r="I79" t="b">
        <f>COUNTIF(Estadísticas!I:I,'centraldecomunicacion.es'!H79)&gt;0</f>
        <v>0</v>
      </c>
    </row>
    <row r="80" spans="1:9" hidden="1">
      <c r="A80" s="1" t="s">
        <v>938</v>
      </c>
      <c r="B80" s="1" t="s">
        <v>10</v>
      </c>
      <c r="C80" s="1" t="s">
        <v>939</v>
      </c>
      <c r="D80" s="1" t="s">
        <v>940</v>
      </c>
      <c r="E80" s="1" t="s">
        <v>57</v>
      </c>
      <c r="F80" s="1" t="s">
        <v>78</v>
      </c>
      <c r="G80" s="1" t="s">
        <v>78</v>
      </c>
      <c r="H80" s="1" t="s">
        <v>657</v>
      </c>
      <c r="I80" t="b">
        <f>COUNTIF(Estadísticas!I:I,'centraldecomunicacion.es'!H80)&gt;0</f>
        <v>0</v>
      </c>
    </row>
    <row r="81" spans="1:9" hidden="1">
      <c r="A81" s="1" t="s">
        <v>941</v>
      </c>
      <c r="B81" s="1" t="s">
        <v>10</v>
      </c>
      <c r="C81" s="1" t="s">
        <v>942</v>
      </c>
      <c r="D81" s="1" t="s">
        <v>943</v>
      </c>
      <c r="E81" s="1" t="s">
        <v>57</v>
      </c>
      <c r="F81" s="1" t="s">
        <v>78</v>
      </c>
      <c r="G81" s="1" t="s">
        <v>944</v>
      </c>
      <c r="H81" s="1" t="s">
        <v>657</v>
      </c>
      <c r="I81" t="b">
        <f>COUNTIF(Estadísticas!I:I,'centraldecomunicacion.es'!H81)&gt;0</f>
        <v>0</v>
      </c>
    </row>
    <row r="82" spans="1:9">
      <c r="A82" s="1" t="s">
        <v>61</v>
      </c>
      <c r="B82" s="1" t="s">
        <v>24</v>
      </c>
      <c r="C82" s="1" t="s">
        <v>62</v>
      </c>
      <c r="D82" s="1" t="s">
        <v>38</v>
      </c>
      <c r="E82" s="1" t="s">
        <v>38</v>
      </c>
      <c r="F82" s="1" t="s">
        <v>63</v>
      </c>
      <c r="G82" s="1" t="s">
        <v>64</v>
      </c>
      <c r="H82" s="1" t="s">
        <v>65</v>
      </c>
      <c r="I82" t="b">
        <f>COUNTIF(Estadísticas!I:I,'centraldecomunicacion.es'!H82)&gt;0</f>
        <v>1</v>
      </c>
    </row>
    <row r="83" spans="1:9" hidden="1">
      <c r="A83" s="1" t="s">
        <v>945</v>
      </c>
      <c r="B83" s="1" t="s">
        <v>10</v>
      </c>
      <c r="C83" s="1" t="s">
        <v>946</v>
      </c>
      <c r="D83" s="1" t="s">
        <v>57</v>
      </c>
      <c r="E83" s="1" t="s">
        <v>57</v>
      </c>
      <c r="F83" s="1" t="s">
        <v>78</v>
      </c>
      <c r="G83" s="1" t="s">
        <v>947</v>
      </c>
      <c r="H83" s="1" t="s">
        <v>657</v>
      </c>
      <c r="I83" t="b">
        <f>COUNTIF(Estadísticas!I:I,'centraldecomunicacion.es'!H83)&gt;0</f>
        <v>0</v>
      </c>
    </row>
    <row r="84" spans="1:9" hidden="1">
      <c r="A84" s="1" t="s">
        <v>948</v>
      </c>
      <c r="B84" s="1" t="s">
        <v>24</v>
      </c>
      <c r="C84" s="1" t="s">
        <v>949</v>
      </c>
      <c r="D84" s="1" t="s">
        <v>950</v>
      </c>
      <c r="E84" s="1" t="s">
        <v>117</v>
      </c>
      <c r="F84" s="1" t="s">
        <v>829</v>
      </c>
      <c r="G84" s="1" t="s">
        <v>951</v>
      </c>
      <c r="H84" s="1" t="s">
        <v>831</v>
      </c>
      <c r="I84" t="b">
        <f>COUNTIF(Estadísticas!I:I,'centraldecomunicacion.es'!H84)&gt;0</f>
        <v>0</v>
      </c>
    </row>
    <row r="85" spans="1:9" hidden="1">
      <c r="A85" s="1" t="s">
        <v>952</v>
      </c>
      <c r="B85" s="1" t="s">
        <v>24</v>
      </c>
      <c r="C85" s="1" t="s">
        <v>953</v>
      </c>
      <c r="D85" s="1" t="s">
        <v>26</v>
      </c>
      <c r="E85" s="1" t="s">
        <v>26</v>
      </c>
      <c r="F85" s="1" t="s">
        <v>682</v>
      </c>
      <c r="G85" s="1" t="s">
        <v>683</v>
      </c>
      <c r="H85" s="1" t="s">
        <v>684</v>
      </c>
      <c r="I85" t="b">
        <f>COUNTIF(Estadísticas!I:I,'centraldecomunicacion.es'!H85)&gt;0</f>
        <v>0</v>
      </c>
    </row>
    <row r="86" spans="1:9" hidden="1">
      <c r="A86" s="1" t="s">
        <v>954</v>
      </c>
      <c r="B86" s="1" t="s">
        <v>10</v>
      </c>
      <c r="C86" s="1" t="s">
        <v>955</v>
      </c>
      <c r="D86" s="1" t="s">
        <v>26</v>
      </c>
      <c r="E86" s="1" t="s">
        <v>26</v>
      </c>
      <c r="F86" s="1" t="s">
        <v>956</v>
      </c>
      <c r="G86" s="1" t="s">
        <v>957</v>
      </c>
      <c r="H86" s="1" t="s">
        <v>958</v>
      </c>
      <c r="I86" t="b">
        <f>COUNTIF(Estadísticas!I:I,'centraldecomunicacion.es'!H86)&gt;0</f>
        <v>0</v>
      </c>
    </row>
    <row r="87" spans="1:9" hidden="1">
      <c r="A87" s="1" t="s">
        <v>959</v>
      </c>
      <c r="B87" s="1" t="s">
        <v>24</v>
      </c>
      <c r="C87" s="1" t="s">
        <v>960</v>
      </c>
      <c r="D87" s="1" t="s">
        <v>26</v>
      </c>
      <c r="E87" s="1" t="s">
        <v>26</v>
      </c>
      <c r="F87" s="1" t="s">
        <v>961</v>
      </c>
      <c r="G87" s="1" t="s">
        <v>962</v>
      </c>
      <c r="H87" s="1" t="s">
        <v>657</v>
      </c>
      <c r="I87" t="b">
        <f>COUNTIF(Estadísticas!I:I,'centraldecomunicacion.es'!H87)&gt;0</f>
        <v>0</v>
      </c>
    </row>
    <row r="88" spans="1:9" hidden="1">
      <c r="A88" s="1" t="s">
        <v>963</v>
      </c>
      <c r="B88" s="1" t="s">
        <v>24</v>
      </c>
      <c r="C88" s="1" t="s">
        <v>964</v>
      </c>
      <c r="D88" s="1" t="s">
        <v>26</v>
      </c>
      <c r="E88" s="1" t="s">
        <v>26</v>
      </c>
      <c r="F88" s="1" t="s">
        <v>965</v>
      </c>
      <c r="G88" s="1" t="s">
        <v>966</v>
      </c>
      <c r="H88" s="1" t="s">
        <v>967</v>
      </c>
      <c r="I88" t="b">
        <f>COUNTIF(Estadísticas!I:I,'centraldecomunicacion.es'!H88)&gt;0</f>
        <v>0</v>
      </c>
    </row>
    <row r="89" spans="1:9" hidden="1">
      <c r="A89" s="1" t="s">
        <v>968</v>
      </c>
      <c r="B89" s="1" t="s">
        <v>24</v>
      </c>
      <c r="C89" s="1" t="s">
        <v>78</v>
      </c>
      <c r="D89" s="1" t="s">
        <v>969</v>
      </c>
      <c r="E89" s="1" t="s">
        <v>78</v>
      </c>
      <c r="F89" s="1" t="s">
        <v>78</v>
      </c>
      <c r="G89" s="1" t="s">
        <v>691</v>
      </c>
      <c r="H89" s="1" t="s">
        <v>657</v>
      </c>
      <c r="I89" t="b">
        <f>COUNTIF(Estadísticas!I:I,'centraldecomunicacion.es'!H89)&gt;0</f>
        <v>0</v>
      </c>
    </row>
    <row r="90" spans="1:9" hidden="1">
      <c r="A90" s="1" t="s">
        <v>970</v>
      </c>
      <c r="B90" s="1" t="s">
        <v>24</v>
      </c>
      <c r="C90" s="1" t="s">
        <v>78</v>
      </c>
      <c r="D90" s="1" t="s">
        <v>969</v>
      </c>
      <c r="E90" s="1" t="s">
        <v>78</v>
      </c>
      <c r="F90" s="1" t="s">
        <v>78</v>
      </c>
      <c r="G90" s="1" t="s">
        <v>971</v>
      </c>
      <c r="H90" s="1" t="s">
        <v>657</v>
      </c>
      <c r="I90" t="b">
        <f>COUNTIF(Estadísticas!I:I,'centraldecomunicacion.es'!H90)&gt;0</f>
        <v>0</v>
      </c>
    </row>
    <row r="91" spans="1:9" hidden="1">
      <c r="A91" s="1" t="s">
        <v>972</v>
      </c>
      <c r="B91" s="1" t="s">
        <v>24</v>
      </c>
      <c r="C91" s="1" t="s">
        <v>973</v>
      </c>
      <c r="D91" s="1" t="s">
        <v>974</v>
      </c>
      <c r="E91" s="1" t="s">
        <v>26</v>
      </c>
      <c r="F91" s="1" t="s">
        <v>975</v>
      </c>
      <c r="G91" s="1" t="s">
        <v>976</v>
      </c>
      <c r="H91" s="1" t="s">
        <v>977</v>
      </c>
      <c r="I91" t="b">
        <f>COUNTIF(Estadísticas!I:I,'centraldecomunicacion.es'!H91)&gt;0</f>
        <v>0</v>
      </c>
    </row>
    <row r="92" spans="1:9">
      <c r="A92" s="1" t="s">
        <v>66</v>
      </c>
      <c r="B92" s="1" t="s">
        <v>24</v>
      </c>
      <c r="C92" s="1" t="s">
        <v>67</v>
      </c>
      <c r="D92" s="1" t="s">
        <v>26</v>
      </c>
      <c r="E92" s="1" t="s">
        <v>26</v>
      </c>
      <c r="F92" s="1" t="s">
        <v>68</v>
      </c>
      <c r="G92" s="1" t="s">
        <v>69</v>
      </c>
      <c r="H92" s="1" t="s">
        <v>70</v>
      </c>
      <c r="I92" t="b">
        <f>COUNTIF(Estadísticas!I:I,'centraldecomunicacion.es'!H92)&gt;0</f>
        <v>1</v>
      </c>
    </row>
    <row r="93" spans="1:9" hidden="1">
      <c r="A93" s="1" t="s">
        <v>978</v>
      </c>
      <c r="B93" s="1" t="s">
        <v>10</v>
      </c>
      <c r="C93" s="1" t="s">
        <v>979</v>
      </c>
      <c r="D93" s="1" t="s">
        <v>980</v>
      </c>
      <c r="E93" s="1" t="s">
        <v>26</v>
      </c>
      <c r="F93" s="1" t="s">
        <v>961</v>
      </c>
      <c r="G93" s="1" t="s">
        <v>962</v>
      </c>
      <c r="H93" s="1" t="s">
        <v>657</v>
      </c>
      <c r="I93" t="b">
        <f>COUNTIF(Estadísticas!I:I,'centraldecomunicacion.es'!H93)&gt;0</f>
        <v>0</v>
      </c>
    </row>
    <row r="94" spans="1:9" hidden="1">
      <c r="A94" s="1" t="s">
        <v>981</v>
      </c>
      <c r="B94" s="1" t="s">
        <v>10</v>
      </c>
      <c r="C94" s="1" t="s">
        <v>78</v>
      </c>
      <c r="D94" s="1" t="s">
        <v>969</v>
      </c>
      <c r="E94" s="1" t="s">
        <v>78</v>
      </c>
      <c r="F94" s="1" t="s">
        <v>78</v>
      </c>
      <c r="G94" s="1" t="s">
        <v>982</v>
      </c>
      <c r="H94" s="1" t="s">
        <v>657</v>
      </c>
      <c r="I94" t="b">
        <f>COUNTIF(Estadísticas!I:I,'centraldecomunicacion.es'!H94)&gt;0</f>
        <v>0</v>
      </c>
    </row>
    <row r="95" spans="1:9" hidden="1">
      <c r="A95" s="1" t="s">
        <v>983</v>
      </c>
      <c r="B95" s="1" t="s">
        <v>24</v>
      </c>
      <c r="C95" s="1" t="s">
        <v>984</v>
      </c>
      <c r="D95" s="1" t="s">
        <v>985</v>
      </c>
      <c r="E95" s="1" t="s">
        <v>26</v>
      </c>
      <c r="F95" s="1" t="s">
        <v>78</v>
      </c>
      <c r="G95" s="1" t="s">
        <v>986</v>
      </c>
      <c r="H95" s="1" t="s">
        <v>657</v>
      </c>
      <c r="I95" t="b">
        <f>COUNTIF(Estadísticas!I:I,'centraldecomunicacion.es'!H95)&gt;0</f>
        <v>0</v>
      </c>
    </row>
    <row r="96" spans="1:9" hidden="1">
      <c r="A96" s="1" t="s">
        <v>987</v>
      </c>
      <c r="B96" s="1" t="s">
        <v>24</v>
      </c>
      <c r="C96" s="1" t="s">
        <v>988</v>
      </c>
      <c r="D96" s="1" t="s">
        <v>989</v>
      </c>
      <c r="E96" s="1" t="s">
        <v>26</v>
      </c>
      <c r="F96" s="1" t="s">
        <v>78</v>
      </c>
      <c r="G96" s="1" t="s">
        <v>990</v>
      </c>
      <c r="H96" s="1" t="s">
        <v>657</v>
      </c>
      <c r="I96" t="b">
        <f>COUNTIF(Estadísticas!I:I,'centraldecomunicacion.es'!H96)&gt;0</f>
        <v>0</v>
      </c>
    </row>
    <row r="97" spans="1:9" hidden="1">
      <c r="A97" s="1" t="s">
        <v>991</v>
      </c>
      <c r="B97" s="1" t="s">
        <v>24</v>
      </c>
      <c r="C97" s="1" t="s">
        <v>992</v>
      </c>
      <c r="D97" s="1" t="s">
        <v>993</v>
      </c>
      <c r="E97" s="1" t="s">
        <v>26</v>
      </c>
      <c r="F97" s="1" t="s">
        <v>78</v>
      </c>
      <c r="G97" s="1" t="s">
        <v>994</v>
      </c>
      <c r="H97" s="1" t="s">
        <v>657</v>
      </c>
      <c r="I97" t="b">
        <f>COUNTIF(Estadísticas!I:I,'centraldecomunicacion.es'!H97)&gt;0</f>
        <v>0</v>
      </c>
    </row>
    <row r="98" spans="1:9" hidden="1">
      <c r="A98" s="1" t="s">
        <v>995</v>
      </c>
      <c r="B98" s="1" t="s">
        <v>24</v>
      </c>
      <c r="C98" s="1" t="s">
        <v>78</v>
      </c>
      <c r="D98" s="1" t="s">
        <v>969</v>
      </c>
      <c r="E98" s="1" t="s">
        <v>78</v>
      </c>
      <c r="F98" s="1" t="s">
        <v>78</v>
      </c>
      <c r="G98" s="1" t="s">
        <v>996</v>
      </c>
      <c r="H98" s="1" t="s">
        <v>657</v>
      </c>
      <c r="I98" t="b">
        <f>COUNTIF(Estadísticas!I:I,'centraldecomunicacion.es'!H98)&gt;0</f>
        <v>0</v>
      </c>
    </row>
    <row r="99" spans="1:9" hidden="1">
      <c r="A99" s="1" t="s">
        <v>997</v>
      </c>
      <c r="B99" s="1" t="s">
        <v>10</v>
      </c>
      <c r="C99" s="1" t="s">
        <v>998</v>
      </c>
      <c r="D99" s="1" t="s">
        <v>999</v>
      </c>
      <c r="E99" s="1" t="s">
        <v>26</v>
      </c>
      <c r="F99" s="1" t="s">
        <v>1000</v>
      </c>
      <c r="G99" s="1" t="s">
        <v>1001</v>
      </c>
      <c r="H99" s="1" t="s">
        <v>1002</v>
      </c>
      <c r="I99" t="b">
        <f>COUNTIF(Estadísticas!I:I,'centraldecomunicacion.es'!H99)&gt;0</f>
        <v>0</v>
      </c>
    </row>
    <row r="100" spans="1:9" hidden="1">
      <c r="A100" s="1" t="s">
        <v>1003</v>
      </c>
      <c r="B100" s="1" t="s">
        <v>24</v>
      </c>
      <c r="C100" s="1" t="s">
        <v>1004</v>
      </c>
      <c r="D100" s="1" t="s">
        <v>1005</v>
      </c>
      <c r="E100" s="1" t="s">
        <v>26</v>
      </c>
      <c r="F100" s="1" t="s">
        <v>78</v>
      </c>
      <c r="G100" s="1" t="s">
        <v>990</v>
      </c>
      <c r="H100" s="1" t="s">
        <v>657</v>
      </c>
      <c r="I100" t="b">
        <f>COUNTIF(Estadísticas!I:I,'centraldecomunicacion.es'!H100)&gt;0</f>
        <v>0</v>
      </c>
    </row>
    <row r="101" spans="1:9" hidden="1">
      <c r="A101" s="1" t="s">
        <v>1006</v>
      </c>
      <c r="B101" s="1" t="s">
        <v>10</v>
      </c>
      <c r="C101" s="1" t="s">
        <v>1007</v>
      </c>
      <c r="D101" s="1" t="s">
        <v>980</v>
      </c>
      <c r="E101" s="1" t="s">
        <v>26</v>
      </c>
      <c r="F101" s="1" t="s">
        <v>961</v>
      </c>
      <c r="G101" s="1" t="s">
        <v>962</v>
      </c>
      <c r="H101" s="1" t="s">
        <v>657</v>
      </c>
      <c r="I101" t="b">
        <f>COUNTIF(Estadísticas!I:I,'centraldecomunicacion.es'!H101)&gt;0</f>
        <v>0</v>
      </c>
    </row>
    <row r="102" spans="1:9" hidden="1">
      <c r="A102" s="1" t="s">
        <v>1008</v>
      </c>
      <c r="B102" s="1" t="s">
        <v>24</v>
      </c>
      <c r="C102" s="1" t="s">
        <v>1009</v>
      </c>
      <c r="D102" s="1" t="s">
        <v>1010</v>
      </c>
      <c r="E102" s="1" t="s">
        <v>26</v>
      </c>
      <c r="F102" s="1" t="s">
        <v>78</v>
      </c>
      <c r="G102" s="1" t="s">
        <v>1011</v>
      </c>
      <c r="H102" s="1" t="s">
        <v>657</v>
      </c>
      <c r="I102" t="b">
        <f>COUNTIF(Estadísticas!I:I,'centraldecomunicacion.es'!H102)&gt;0</f>
        <v>0</v>
      </c>
    </row>
    <row r="103" spans="1:9" hidden="1">
      <c r="A103" s="1" t="s">
        <v>1012</v>
      </c>
      <c r="B103" s="1" t="s">
        <v>24</v>
      </c>
      <c r="C103" s="1" t="s">
        <v>1013</v>
      </c>
      <c r="D103" s="1" t="s">
        <v>1014</v>
      </c>
      <c r="E103" s="1" t="s">
        <v>26</v>
      </c>
      <c r="F103" s="1" t="s">
        <v>78</v>
      </c>
      <c r="G103" s="1" t="s">
        <v>1015</v>
      </c>
      <c r="H103" s="1" t="s">
        <v>657</v>
      </c>
      <c r="I103" t="b">
        <f>COUNTIF(Estadísticas!I:I,'centraldecomunicacion.es'!H103)&gt;0</f>
        <v>0</v>
      </c>
    </row>
    <row r="104" spans="1:9" hidden="1">
      <c r="A104" s="1" t="s">
        <v>1016</v>
      </c>
      <c r="B104" s="1" t="s">
        <v>10</v>
      </c>
      <c r="C104" s="1" t="s">
        <v>1017</v>
      </c>
      <c r="D104" s="1" t="s">
        <v>856</v>
      </c>
      <c r="E104" s="1" t="s">
        <v>91</v>
      </c>
      <c r="F104" s="1" t="s">
        <v>1018</v>
      </c>
      <c r="G104" s="1" t="s">
        <v>1019</v>
      </c>
      <c r="H104" s="1" t="s">
        <v>1020</v>
      </c>
      <c r="I104" t="b">
        <f>COUNTIF(Estadísticas!I:I,'centraldecomunicacion.es'!H104)&gt;0</f>
        <v>0</v>
      </c>
    </row>
    <row r="105" spans="1:9" hidden="1">
      <c r="A105" s="1" t="s">
        <v>1021</v>
      </c>
      <c r="B105" s="1" t="s">
        <v>10</v>
      </c>
      <c r="C105" s="1" t="s">
        <v>1022</v>
      </c>
      <c r="D105" s="1" t="s">
        <v>73</v>
      </c>
      <c r="E105" s="1" t="s">
        <v>73</v>
      </c>
      <c r="F105" s="1" t="s">
        <v>1023</v>
      </c>
      <c r="G105" s="1" t="s">
        <v>1024</v>
      </c>
      <c r="H105" s="1" t="s">
        <v>657</v>
      </c>
      <c r="I105" t="b">
        <f>COUNTIF(Estadísticas!I:I,'centraldecomunicacion.es'!H105)&gt;0</f>
        <v>0</v>
      </c>
    </row>
    <row r="106" spans="1:9" hidden="1">
      <c r="A106" s="1" t="s">
        <v>1025</v>
      </c>
      <c r="B106" s="1" t="s">
        <v>24</v>
      </c>
      <c r="C106" s="1" t="s">
        <v>1026</v>
      </c>
      <c r="D106" s="1" t="s">
        <v>73</v>
      </c>
      <c r="E106" s="1" t="s">
        <v>73</v>
      </c>
      <c r="F106" s="1" t="s">
        <v>1027</v>
      </c>
      <c r="G106" s="1" t="s">
        <v>1028</v>
      </c>
      <c r="H106" s="1" t="s">
        <v>657</v>
      </c>
      <c r="I106" t="b">
        <f>COUNTIF(Estadísticas!I:I,'centraldecomunicacion.es'!H106)&gt;0</f>
        <v>0</v>
      </c>
    </row>
    <row r="107" spans="1:9">
      <c r="A107" s="1" t="s">
        <v>71</v>
      </c>
      <c r="B107" s="1" t="s">
        <v>10</v>
      </c>
      <c r="C107" s="1" t="s">
        <v>72</v>
      </c>
      <c r="D107" s="1" t="s">
        <v>73</v>
      </c>
      <c r="E107" s="1" t="s">
        <v>73</v>
      </c>
      <c r="F107" s="1" t="s">
        <v>74</v>
      </c>
      <c r="G107" s="1" t="s">
        <v>75</v>
      </c>
      <c r="H107" s="1" t="s">
        <v>76</v>
      </c>
      <c r="I107" t="b">
        <f>COUNTIF(Estadísticas!I:I,'centraldecomunicacion.es'!H107)&gt;0</f>
        <v>1</v>
      </c>
    </row>
    <row r="108" spans="1:9" hidden="1">
      <c r="A108" s="1" t="s">
        <v>1029</v>
      </c>
      <c r="B108" s="1" t="s">
        <v>10</v>
      </c>
      <c r="C108" s="1" t="s">
        <v>1030</v>
      </c>
      <c r="D108" s="1" t="s">
        <v>73</v>
      </c>
      <c r="E108" s="1" t="s">
        <v>73</v>
      </c>
      <c r="F108" s="1" t="s">
        <v>1031</v>
      </c>
      <c r="G108" s="1" t="s">
        <v>1032</v>
      </c>
      <c r="H108" s="1" t="s">
        <v>657</v>
      </c>
      <c r="I108" t="b">
        <f>COUNTIF(Estadísticas!I:I,'centraldecomunicacion.es'!H108)&gt;0</f>
        <v>0</v>
      </c>
    </row>
    <row r="109" spans="1:9">
      <c r="A109" s="1" t="s">
        <v>77</v>
      </c>
      <c r="B109" s="1" t="s">
        <v>24</v>
      </c>
      <c r="C109" s="1" t="s">
        <v>78</v>
      </c>
      <c r="D109" s="1" t="s">
        <v>79</v>
      </c>
      <c r="E109" s="1" t="s">
        <v>78</v>
      </c>
      <c r="F109" s="1" t="s">
        <v>80</v>
      </c>
      <c r="G109" s="1" t="s">
        <v>81</v>
      </c>
      <c r="H109" s="1" t="s">
        <v>82</v>
      </c>
      <c r="I109" t="b">
        <f>COUNTIF(Estadísticas!I:I,'centraldecomunicacion.es'!H109)&gt;0</f>
        <v>1</v>
      </c>
    </row>
    <row r="110" spans="1:9" hidden="1">
      <c r="A110" s="1" t="s">
        <v>1033</v>
      </c>
      <c r="B110" s="1" t="s">
        <v>24</v>
      </c>
      <c r="C110" s="1" t="s">
        <v>1034</v>
      </c>
      <c r="D110" s="1" t="s">
        <v>1035</v>
      </c>
      <c r="E110" s="1" t="s">
        <v>73</v>
      </c>
      <c r="F110" s="1" t="s">
        <v>78</v>
      </c>
      <c r="G110" s="1" t="s">
        <v>1032</v>
      </c>
      <c r="H110" s="1" t="s">
        <v>657</v>
      </c>
      <c r="I110" t="b">
        <f>COUNTIF(Estadísticas!I:I,'centraldecomunicacion.es'!H110)&gt;0</f>
        <v>0</v>
      </c>
    </row>
    <row r="111" spans="1:9" hidden="1">
      <c r="A111" s="1" t="s">
        <v>1036</v>
      </c>
      <c r="B111" s="1" t="s">
        <v>24</v>
      </c>
      <c r="C111" s="1" t="s">
        <v>1037</v>
      </c>
      <c r="D111" s="1" t="s">
        <v>117</v>
      </c>
      <c r="E111" s="1" t="s">
        <v>117</v>
      </c>
      <c r="F111" s="1" t="s">
        <v>829</v>
      </c>
      <c r="G111" s="1" t="s">
        <v>1038</v>
      </c>
      <c r="H111" s="1" t="s">
        <v>831</v>
      </c>
      <c r="I111" t="b">
        <f>COUNTIF(Estadísticas!I:I,'centraldecomunicacion.es'!H111)&gt;0</f>
        <v>0</v>
      </c>
    </row>
    <row r="112" spans="1:9" hidden="1">
      <c r="A112" s="1" t="s">
        <v>1039</v>
      </c>
      <c r="B112" s="1" t="s">
        <v>24</v>
      </c>
      <c r="C112" s="1" t="s">
        <v>1040</v>
      </c>
      <c r="D112" s="1" t="s">
        <v>1041</v>
      </c>
      <c r="E112" s="1" t="s">
        <v>73</v>
      </c>
      <c r="F112" s="1" t="s">
        <v>78</v>
      </c>
      <c r="G112" s="1" t="s">
        <v>1042</v>
      </c>
      <c r="H112" s="1" t="s">
        <v>657</v>
      </c>
      <c r="I112" t="b">
        <f>COUNTIF(Estadísticas!I:I,'centraldecomunicacion.es'!H112)&gt;0</f>
        <v>0</v>
      </c>
    </row>
    <row r="113" spans="1:9">
      <c r="A113" s="1" t="s">
        <v>83</v>
      </c>
      <c r="B113" s="1" t="s">
        <v>24</v>
      </c>
      <c r="C113" s="1" t="s">
        <v>84</v>
      </c>
      <c r="D113" s="1" t="s">
        <v>85</v>
      </c>
      <c r="E113" s="1" t="s">
        <v>85</v>
      </c>
      <c r="F113" s="1" t="s">
        <v>86</v>
      </c>
      <c r="G113" s="1" t="s">
        <v>87</v>
      </c>
      <c r="H113" s="1" t="s">
        <v>88</v>
      </c>
      <c r="I113" t="b">
        <f>COUNTIF(Estadísticas!I:I,'centraldecomunicacion.es'!H113)&gt;0</f>
        <v>1</v>
      </c>
    </row>
    <row r="114" spans="1:9" hidden="1">
      <c r="A114" s="1" t="s">
        <v>1043</v>
      </c>
      <c r="B114" s="1" t="s">
        <v>10</v>
      </c>
      <c r="C114" s="1" t="s">
        <v>1044</v>
      </c>
      <c r="D114" s="1" t="s">
        <v>85</v>
      </c>
      <c r="E114" s="1" t="s">
        <v>85</v>
      </c>
      <c r="F114" s="1" t="s">
        <v>1045</v>
      </c>
      <c r="G114" s="1" t="s">
        <v>1046</v>
      </c>
      <c r="H114" s="1" t="s">
        <v>1047</v>
      </c>
      <c r="I114" t="b">
        <f>COUNTIF(Estadísticas!I:I,'centraldecomunicacion.es'!H114)&gt;0</f>
        <v>0</v>
      </c>
    </row>
    <row r="115" spans="1:9" hidden="1">
      <c r="A115" s="1" t="s">
        <v>1048</v>
      </c>
      <c r="B115" s="1" t="s">
        <v>24</v>
      </c>
      <c r="C115" s="1" t="s">
        <v>78</v>
      </c>
      <c r="D115" s="1" t="s">
        <v>1049</v>
      </c>
      <c r="E115" s="1" t="s">
        <v>78</v>
      </c>
      <c r="F115" s="1" t="s">
        <v>682</v>
      </c>
      <c r="G115" s="1" t="s">
        <v>1050</v>
      </c>
      <c r="H115" s="1" t="s">
        <v>684</v>
      </c>
      <c r="I115" t="b">
        <f>COUNTIF(Estadísticas!I:I,'centraldecomunicacion.es'!H115)&gt;0</f>
        <v>0</v>
      </c>
    </row>
    <row r="116" spans="1:9" hidden="1">
      <c r="A116" s="1" t="s">
        <v>1051</v>
      </c>
      <c r="B116" s="1" t="s">
        <v>24</v>
      </c>
      <c r="C116" s="1" t="s">
        <v>1052</v>
      </c>
      <c r="D116" s="1" t="s">
        <v>85</v>
      </c>
      <c r="E116" s="1" t="s">
        <v>85</v>
      </c>
      <c r="F116" s="1" t="s">
        <v>1053</v>
      </c>
      <c r="G116" s="1" t="s">
        <v>1054</v>
      </c>
      <c r="H116" s="1" t="s">
        <v>1055</v>
      </c>
      <c r="I116" t="b">
        <f>COUNTIF(Estadísticas!I:I,'centraldecomunicacion.es'!H116)&gt;0</f>
        <v>0</v>
      </c>
    </row>
    <row r="117" spans="1:9" hidden="1">
      <c r="A117" s="1" t="s">
        <v>1056</v>
      </c>
      <c r="B117" s="1" t="s">
        <v>10</v>
      </c>
      <c r="C117" s="1" t="s">
        <v>1057</v>
      </c>
      <c r="D117" s="1" t="s">
        <v>85</v>
      </c>
      <c r="E117" s="1" t="s">
        <v>85</v>
      </c>
      <c r="F117" s="1" t="s">
        <v>1058</v>
      </c>
      <c r="G117" s="1" t="s">
        <v>1059</v>
      </c>
      <c r="H117" s="1" t="s">
        <v>662</v>
      </c>
      <c r="I117" t="b">
        <f>COUNTIF(Estadísticas!I:I,'centraldecomunicacion.es'!H117)&gt;0</f>
        <v>0</v>
      </c>
    </row>
    <row r="118" spans="1:9" hidden="1">
      <c r="A118" s="1" t="s">
        <v>1060</v>
      </c>
      <c r="B118" s="1" t="s">
        <v>24</v>
      </c>
      <c r="C118" s="1" t="s">
        <v>1061</v>
      </c>
      <c r="D118" s="1" t="s">
        <v>85</v>
      </c>
      <c r="E118" s="1" t="s">
        <v>85</v>
      </c>
      <c r="F118" s="1" t="s">
        <v>1062</v>
      </c>
      <c r="G118" s="1" t="s">
        <v>1063</v>
      </c>
      <c r="H118" s="1" t="s">
        <v>1064</v>
      </c>
      <c r="I118" t="b">
        <f>COUNTIF(Estadísticas!I:I,'centraldecomunicacion.es'!H118)&gt;0</f>
        <v>0</v>
      </c>
    </row>
    <row r="119" spans="1:9" hidden="1">
      <c r="A119" s="1" t="s">
        <v>1065</v>
      </c>
      <c r="B119" s="1" t="s">
        <v>24</v>
      </c>
      <c r="C119" s="1" t="s">
        <v>1066</v>
      </c>
      <c r="D119" s="1" t="s">
        <v>85</v>
      </c>
      <c r="E119" s="1" t="s">
        <v>85</v>
      </c>
      <c r="F119" s="1" t="s">
        <v>1067</v>
      </c>
      <c r="G119" s="1" t="s">
        <v>1068</v>
      </c>
      <c r="H119" s="1" t="s">
        <v>1069</v>
      </c>
      <c r="I119" t="b">
        <f>COUNTIF(Estadísticas!I:I,'centraldecomunicacion.es'!H119)&gt;0</f>
        <v>0</v>
      </c>
    </row>
    <row r="120" spans="1:9" hidden="1">
      <c r="A120" s="1" t="s">
        <v>1070</v>
      </c>
      <c r="B120" s="1" t="s">
        <v>24</v>
      </c>
      <c r="C120" s="1" t="s">
        <v>1071</v>
      </c>
      <c r="D120" s="1" t="s">
        <v>85</v>
      </c>
      <c r="E120" s="1" t="s">
        <v>85</v>
      </c>
      <c r="F120" s="1" t="s">
        <v>78</v>
      </c>
      <c r="G120" s="1" t="s">
        <v>1072</v>
      </c>
      <c r="H120" s="1" t="s">
        <v>657</v>
      </c>
      <c r="I120" t="b">
        <f>COUNTIF(Estadísticas!I:I,'centraldecomunicacion.es'!H120)&gt;0</f>
        <v>0</v>
      </c>
    </row>
    <row r="121" spans="1:9" hidden="1">
      <c r="A121" s="1" t="s">
        <v>1073</v>
      </c>
      <c r="B121" s="1" t="s">
        <v>10</v>
      </c>
      <c r="C121" s="1" t="s">
        <v>1074</v>
      </c>
      <c r="D121" s="1" t="s">
        <v>85</v>
      </c>
      <c r="E121" s="1" t="s">
        <v>85</v>
      </c>
      <c r="F121" s="1" t="s">
        <v>78</v>
      </c>
      <c r="G121" s="1" t="s">
        <v>1046</v>
      </c>
      <c r="H121" s="1" t="s">
        <v>657</v>
      </c>
      <c r="I121" t="b">
        <f>COUNTIF(Estadísticas!I:I,'centraldecomunicacion.es'!H121)&gt;0</f>
        <v>0</v>
      </c>
    </row>
    <row r="122" spans="1:9" hidden="1">
      <c r="A122" s="1" t="s">
        <v>1075</v>
      </c>
      <c r="B122" s="1" t="s">
        <v>10</v>
      </c>
      <c r="C122" s="1" t="s">
        <v>78</v>
      </c>
      <c r="D122" s="1" t="s">
        <v>1049</v>
      </c>
      <c r="E122" s="1" t="s">
        <v>78</v>
      </c>
      <c r="F122" s="1" t="s">
        <v>1076</v>
      </c>
      <c r="G122" s="1" t="s">
        <v>1077</v>
      </c>
      <c r="H122" s="1" t="s">
        <v>657</v>
      </c>
      <c r="I122" t="b">
        <f>COUNTIF(Estadísticas!I:I,'centraldecomunicacion.es'!H122)&gt;0</f>
        <v>0</v>
      </c>
    </row>
    <row r="123" spans="1:9" hidden="1">
      <c r="A123" s="1" t="s">
        <v>1078</v>
      </c>
      <c r="B123" s="1" t="s">
        <v>10</v>
      </c>
      <c r="C123" s="1" t="s">
        <v>1079</v>
      </c>
      <c r="D123" s="1" t="s">
        <v>1080</v>
      </c>
      <c r="E123" s="1" t="s">
        <v>85</v>
      </c>
      <c r="F123" s="1" t="s">
        <v>1081</v>
      </c>
      <c r="G123" s="1" t="s">
        <v>1082</v>
      </c>
      <c r="H123" s="1" t="s">
        <v>1083</v>
      </c>
      <c r="I123" t="b">
        <f>COUNTIF(Estadísticas!I:I,'centraldecomunicacion.es'!H123)&gt;0</f>
        <v>0</v>
      </c>
    </row>
    <row r="124" spans="1:9" hidden="1">
      <c r="A124" s="1" t="s">
        <v>1084</v>
      </c>
      <c r="B124" s="1" t="s">
        <v>24</v>
      </c>
      <c r="C124" s="1" t="s">
        <v>1085</v>
      </c>
      <c r="D124" s="1" t="s">
        <v>1086</v>
      </c>
      <c r="E124" s="1" t="s">
        <v>85</v>
      </c>
      <c r="F124" s="1" t="s">
        <v>78</v>
      </c>
      <c r="G124" s="1" t="s">
        <v>78</v>
      </c>
      <c r="H124" s="1" t="s">
        <v>657</v>
      </c>
      <c r="I124" t="b">
        <f>COUNTIF(Estadísticas!I:I,'centraldecomunicacion.es'!H124)&gt;0</f>
        <v>0</v>
      </c>
    </row>
    <row r="125" spans="1:9" hidden="1">
      <c r="A125" s="1" t="s">
        <v>1087</v>
      </c>
      <c r="B125" s="1" t="s">
        <v>10</v>
      </c>
      <c r="C125" s="1" t="s">
        <v>1088</v>
      </c>
      <c r="D125" s="1" t="s">
        <v>1089</v>
      </c>
      <c r="E125" s="1" t="s">
        <v>85</v>
      </c>
      <c r="F125" s="1" t="s">
        <v>1090</v>
      </c>
      <c r="G125" s="1" t="s">
        <v>1091</v>
      </c>
      <c r="H125" s="1" t="s">
        <v>657</v>
      </c>
      <c r="I125" t="b">
        <f>COUNTIF(Estadísticas!I:I,'centraldecomunicacion.es'!H125)&gt;0</f>
        <v>0</v>
      </c>
    </row>
    <row r="126" spans="1:9" hidden="1">
      <c r="A126" s="1" t="s">
        <v>1092</v>
      </c>
      <c r="B126" s="1" t="s">
        <v>24</v>
      </c>
      <c r="C126" s="1" t="s">
        <v>1093</v>
      </c>
      <c r="D126" s="1" t="s">
        <v>1094</v>
      </c>
      <c r="E126" s="1" t="s">
        <v>85</v>
      </c>
      <c r="F126" s="1" t="s">
        <v>78</v>
      </c>
      <c r="G126" s="1" t="s">
        <v>78</v>
      </c>
      <c r="H126" s="1" t="s">
        <v>657</v>
      </c>
      <c r="I126" t="b">
        <f>COUNTIF(Estadísticas!I:I,'centraldecomunicacion.es'!H126)&gt;0</f>
        <v>0</v>
      </c>
    </row>
    <row r="127" spans="1:9" hidden="1">
      <c r="A127" s="1" t="s">
        <v>1095</v>
      </c>
      <c r="B127" s="1" t="s">
        <v>24</v>
      </c>
      <c r="C127" s="1" t="s">
        <v>78</v>
      </c>
      <c r="D127" s="1" t="s">
        <v>1049</v>
      </c>
      <c r="E127" s="1" t="s">
        <v>78</v>
      </c>
      <c r="F127" s="1" t="s">
        <v>78</v>
      </c>
      <c r="G127" s="1" t="s">
        <v>1096</v>
      </c>
      <c r="H127" s="1" t="s">
        <v>657</v>
      </c>
      <c r="I127" t="b">
        <f>COUNTIF(Estadísticas!I:I,'centraldecomunicacion.es'!H127)&gt;0</f>
        <v>0</v>
      </c>
    </row>
    <row r="128" spans="1:9" hidden="1">
      <c r="A128" s="1" t="s">
        <v>1078</v>
      </c>
      <c r="B128" s="1" t="s">
        <v>24</v>
      </c>
      <c r="C128" s="1" t="s">
        <v>1097</v>
      </c>
      <c r="D128" s="1" t="s">
        <v>1098</v>
      </c>
      <c r="E128" s="1" t="s">
        <v>85</v>
      </c>
      <c r="F128" s="1" t="s">
        <v>78</v>
      </c>
      <c r="G128" s="1" t="s">
        <v>78</v>
      </c>
      <c r="H128" s="1" t="s">
        <v>657</v>
      </c>
      <c r="I128" t="b">
        <f>COUNTIF(Estadísticas!I:I,'centraldecomunicacion.es'!H128)&gt;0</f>
        <v>0</v>
      </c>
    </row>
    <row r="129" spans="1:9" hidden="1">
      <c r="A129" s="1" t="s">
        <v>1099</v>
      </c>
      <c r="B129" s="1" t="s">
        <v>24</v>
      </c>
      <c r="C129" s="1" t="s">
        <v>1100</v>
      </c>
      <c r="D129" s="1" t="s">
        <v>91</v>
      </c>
      <c r="E129" s="1" t="s">
        <v>91</v>
      </c>
      <c r="F129" s="1" t="s">
        <v>829</v>
      </c>
      <c r="G129" s="1" t="s">
        <v>1101</v>
      </c>
      <c r="H129" s="1" t="s">
        <v>831</v>
      </c>
      <c r="I129" t="b">
        <f>COUNTIF(Estadísticas!I:I,'centraldecomunicacion.es'!H129)&gt;0</f>
        <v>0</v>
      </c>
    </row>
    <row r="130" spans="1:9" hidden="1">
      <c r="A130" s="1" t="s">
        <v>1102</v>
      </c>
      <c r="B130" s="1" t="s">
        <v>24</v>
      </c>
      <c r="C130" s="1" t="s">
        <v>1103</v>
      </c>
      <c r="D130" s="1" t="s">
        <v>26</v>
      </c>
      <c r="E130" s="1" t="s">
        <v>26</v>
      </c>
      <c r="F130" s="1" t="s">
        <v>1104</v>
      </c>
      <c r="G130" s="1" t="s">
        <v>1105</v>
      </c>
      <c r="H130" s="1" t="s">
        <v>657</v>
      </c>
      <c r="I130" t="b">
        <f>COUNTIF(Estadísticas!I:I,'centraldecomunicacion.es'!H130)&gt;0</f>
        <v>0</v>
      </c>
    </row>
    <row r="131" spans="1:9" hidden="1">
      <c r="A131" s="1" t="s">
        <v>1106</v>
      </c>
      <c r="B131" s="1" t="s">
        <v>24</v>
      </c>
      <c r="C131" s="1" t="s">
        <v>1107</v>
      </c>
      <c r="D131" s="1" t="s">
        <v>91</v>
      </c>
      <c r="E131" s="1" t="s">
        <v>91</v>
      </c>
      <c r="F131" s="1" t="s">
        <v>682</v>
      </c>
      <c r="G131" s="1" t="s">
        <v>1108</v>
      </c>
      <c r="H131" s="1" t="s">
        <v>684</v>
      </c>
      <c r="I131" t="b">
        <f>COUNTIF(Estadísticas!I:I,'centraldecomunicacion.es'!H131)&gt;0</f>
        <v>0</v>
      </c>
    </row>
    <row r="132" spans="1:9" hidden="1">
      <c r="A132" s="1" t="s">
        <v>1109</v>
      </c>
      <c r="B132" s="1" t="s">
        <v>24</v>
      </c>
      <c r="C132" s="1" t="s">
        <v>1110</v>
      </c>
      <c r="D132" s="1" t="s">
        <v>91</v>
      </c>
      <c r="E132" s="1" t="s">
        <v>91</v>
      </c>
      <c r="F132" s="1" t="s">
        <v>1111</v>
      </c>
      <c r="G132" s="1" t="s">
        <v>1112</v>
      </c>
      <c r="H132" s="1" t="s">
        <v>764</v>
      </c>
      <c r="I132" t="b">
        <f>COUNTIF(Estadísticas!I:I,'centraldecomunicacion.es'!H132)&gt;0</f>
        <v>0</v>
      </c>
    </row>
    <row r="133" spans="1:9" hidden="1">
      <c r="A133" s="1" t="s">
        <v>1113</v>
      </c>
      <c r="B133" s="1" t="s">
        <v>10</v>
      </c>
      <c r="C133" s="1" t="s">
        <v>1114</v>
      </c>
      <c r="D133" s="1" t="s">
        <v>91</v>
      </c>
      <c r="E133" s="1" t="s">
        <v>91</v>
      </c>
      <c r="F133" s="1" t="s">
        <v>1115</v>
      </c>
      <c r="G133" s="1" t="s">
        <v>1116</v>
      </c>
      <c r="H133" s="1" t="s">
        <v>1117</v>
      </c>
      <c r="I133" t="b">
        <f>COUNTIF(Estadísticas!I:I,'centraldecomunicacion.es'!H133)&gt;0</f>
        <v>0</v>
      </c>
    </row>
    <row r="134" spans="1:9" hidden="1">
      <c r="A134" s="1" t="s">
        <v>1118</v>
      </c>
      <c r="B134" s="1" t="s">
        <v>10</v>
      </c>
      <c r="C134" s="1" t="s">
        <v>1119</v>
      </c>
      <c r="D134" s="1" t="s">
        <v>91</v>
      </c>
      <c r="E134" s="1" t="s">
        <v>91</v>
      </c>
      <c r="F134" s="1" t="s">
        <v>1120</v>
      </c>
      <c r="G134" s="1" t="s">
        <v>1121</v>
      </c>
      <c r="H134" s="1" t="s">
        <v>1122</v>
      </c>
      <c r="I134" t="b">
        <f>COUNTIF(Estadísticas!I:I,'centraldecomunicacion.es'!H134)&gt;0</f>
        <v>0</v>
      </c>
    </row>
    <row r="135" spans="1:9" hidden="1">
      <c r="A135" s="1" t="s">
        <v>1123</v>
      </c>
      <c r="B135" s="1" t="s">
        <v>24</v>
      </c>
      <c r="C135" s="1" t="s">
        <v>1124</v>
      </c>
      <c r="D135" s="1" t="s">
        <v>91</v>
      </c>
      <c r="E135" s="1" t="s">
        <v>91</v>
      </c>
      <c r="F135" s="1" t="s">
        <v>1125</v>
      </c>
      <c r="G135" s="1" t="s">
        <v>1126</v>
      </c>
      <c r="H135" s="1" t="s">
        <v>657</v>
      </c>
      <c r="I135" t="b">
        <f>COUNTIF(Estadísticas!I:I,'centraldecomunicacion.es'!H135)&gt;0</f>
        <v>0</v>
      </c>
    </row>
    <row r="136" spans="1:9" hidden="1">
      <c r="A136" s="1" t="s">
        <v>1127</v>
      </c>
      <c r="B136" s="1" t="s">
        <v>10</v>
      </c>
      <c r="C136" s="1" t="s">
        <v>1128</v>
      </c>
      <c r="D136" s="1" t="s">
        <v>91</v>
      </c>
      <c r="E136" s="1" t="s">
        <v>91</v>
      </c>
      <c r="F136" s="1" t="s">
        <v>1120</v>
      </c>
      <c r="G136" s="1" t="s">
        <v>1121</v>
      </c>
      <c r="H136" s="1" t="s">
        <v>1122</v>
      </c>
      <c r="I136" t="b">
        <f>COUNTIF(Estadísticas!I:I,'centraldecomunicacion.es'!H136)&gt;0</f>
        <v>0</v>
      </c>
    </row>
    <row r="137" spans="1:9">
      <c r="A137" s="1" t="s">
        <v>89</v>
      </c>
      <c r="B137" s="1" t="s">
        <v>24</v>
      </c>
      <c r="C137" s="1" t="s">
        <v>90</v>
      </c>
      <c r="D137" s="1" t="s">
        <v>91</v>
      </c>
      <c r="E137" s="1" t="s">
        <v>91</v>
      </c>
      <c r="F137" s="1" t="s">
        <v>92</v>
      </c>
      <c r="G137" s="1" t="s">
        <v>93</v>
      </c>
      <c r="H137" s="1" t="s">
        <v>94</v>
      </c>
      <c r="I137" t="b">
        <f>COUNTIF(Estadísticas!I:I,'centraldecomunicacion.es'!H137)&gt;0</f>
        <v>1</v>
      </c>
    </row>
    <row r="138" spans="1:9" hidden="1">
      <c r="A138" s="1" t="s">
        <v>1129</v>
      </c>
      <c r="B138" s="1" t="s">
        <v>10</v>
      </c>
      <c r="C138" s="1" t="s">
        <v>1130</v>
      </c>
      <c r="D138" s="1" t="s">
        <v>91</v>
      </c>
      <c r="E138" s="1" t="s">
        <v>91</v>
      </c>
      <c r="F138" s="1" t="s">
        <v>1131</v>
      </c>
      <c r="G138" s="1" t="s">
        <v>1132</v>
      </c>
      <c r="H138" s="1" t="s">
        <v>1133</v>
      </c>
      <c r="I138" t="b">
        <f>COUNTIF(Estadísticas!I:I,'centraldecomunicacion.es'!H138)&gt;0</f>
        <v>0</v>
      </c>
    </row>
    <row r="139" spans="1:9" hidden="1">
      <c r="A139" s="1" t="s">
        <v>1134</v>
      </c>
      <c r="B139" s="1" t="s">
        <v>10</v>
      </c>
      <c r="C139" s="1" t="s">
        <v>1135</v>
      </c>
      <c r="D139" s="1" t="s">
        <v>1136</v>
      </c>
      <c r="E139" s="1" t="s">
        <v>91</v>
      </c>
      <c r="F139" s="1" t="s">
        <v>1137</v>
      </c>
      <c r="G139" s="1" t="s">
        <v>740</v>
      </c>
      <c r="H139" s="1" t="s">
        <v>657</v>
      </c>
      <c r="I139" t="b">
        <f>COUNTIF(Estadísticas!I:I,'centraldecomunicacion.es'!H139)&gt;0</f>
        <v>0</v>
      </c>
    </row>
    <row r="140" spans="1:9" hidden="1">
      <c r="A140" s="1" t="s">
        <v>1138</v>
      </c>
      <c r="B140" s="1" t="s">
        <v>10</v>
      </c>
      <c r="C140" s="1" t="s">
        <v>1139</v>
      </c>
      <c r="D140" s="1" t="s">
        <v>91</v>
      </c>
      <c r="E140" s="1" t="s">
        <v>91</v>
      </c>
      <c r="F140" s="1" t="s">
        <v>1140</v>
      </c>
      <c r="G140" s="1" t="s">
        <v>1141</v>
      </c>
      <c r="H140" s="1" t="s">
        <v>1142</v>
      </c>
      <c r="I140" t="b">
        <f>COUNTIF(Estadísticas!I:I,'centraldecomunicacion.es'!H140)&gt;0</f>
        <v>0</v>
      </c>
    </row>
    <row r="141" spans="1:9" hidden="1">
      <c r="A141" s="1" t="s">
        <v>1143</v>
      </c>
      <c r="B141" s="1" t="s">
        <v>24</v>
      </c>
      <c r="C141" s="1" t="s">
        <v>1144</v>
      </c>
      <c r="D141" s="1" t="s">
        <v>91</v>
      </c>
      <c r="E141" s="1" t="s">
        <v>91</v>
      </c>
      <c r="F141" s="1" t="s">
        <v>1137</v>
      </c>
      <c r="G141" s="1" t="s">
        <v>740</v>
      </c>
      <c r="H141" s="1" t="s">
        <v>657</v>
      </c>
      <c r="I141" t="b">
        <f>COUNTIF(Estadísticas!I:I,'centraldecomunicacion.es'!H141)&gt;0</f>
        <v>0</v>
      </c>
    </row>
    <row r="142" spans="1:9">
      <c r="A142" s="1" t="s">
        <v>95</v>
      </c>
      <c r="B142" s="1" t="s">
        <v>24</v>
      </c>
      <c r="C142" s="1" t="s">
        <v>96</v>
      </c>
      <c r="D142" s="1" t="s">
        <v>91</v>
      </c>
      <c r="E142" s="1" t="s">
        <v>91</v>
      </c>
      <c r="F142" s="1" t="s">
        <v>97</v>
      </c>
      <c r="G142" s="1" t="s">
        <v>98</v>
      </c>
      <c r="H142" s="1" t="s">
        <v>99</v>
      </c>
      <c r="I142" t="b">
        <f>COUNTIF(Estadísticas!I:I,'centraldecomunicacion.es'!H142)&gt;0</f>
        <v>1</v>
      </c>
    </row>
    <row r="143" spans="1:9" hidden="1">
      <c r="A143" s="1" t="s">
        <v>1145</v>
      </c>
      <c r="B143" s="1" t="s">
        <v>10</v>
      </c>
      <c r="C143" s="1" t="s">
        <v>1146</v>
      </c>
      <c r="D143" s="1" t="s">
        <v>91</v>
      </c>
      <c r="E143" s="1" t="s">
        <v>91</v>
      </c>
      <c r="F143" s="1" t="s">
        <v>1137</v>
      </c>
      <c r="G143" s="1" t="s">
        <v>740</v>
      </c>
      <c r="H143" s="1" t="s">
        <v>657</v>
      </c>
      <c r="I143" t="b">
        <f>COUNTIF(Estadísticas!I:I,'centraldecomunicacion.es'!H143)&gt;0</f>
        <v>0</v>
      </c>
    </row>
    <row r="144" spans="1:9" hidden="1">
      <c r="A144" s="1" t="s">
        <v>1147</v>
      </c>
      <c r="B144" s="1" t="s">
        <v>24</v>
      </c>
      <c r="C144" s="1" t="s">
        <v>1148</v>
      </c>
      <c r="D144" s="1" t="s">
        <v>91</v>
      </c>
      <c r="E144" s="1" t="s">
        <v>91</v>
      </c>
      <c r="F144" s="1" t="s">
        <v>78</v>
      </c>
      <c r="G144" s="1" t="s">
        <v>1149</v>
      </c>
      <c r="H144" s="1" t="s">
        <v>657</v>
      </c>
      <c r="I144" t="b">
        <f>COUNTIF(Estadísticas!I:I,'centraldecomunicacion.es'!H144)&gt;0</f>
        <v>0</v>
      </c>
    </row>
    <row r="145" spans="1:9" hidden="1">
      <c r="A145" s="1" t="s">
        <v>1150</v>
      </c>
      <c r="B145" s="1" t="s">
        <v>10</v>
      </c>
      <c r="C145" s="1" t="s">
        <v>1151</v>
      </c>
      <c r="D145" s="1" t="s">
        <v>91</v>
      </c>
      <c r="E145" s="1" t="s">
        <v>91</v>
      </c>
      <c r="F145" s="1" t="s">
        <v>739</v>
      </c>
      <c r="G145" s="1" t="s">
        <v>740</v>
      </c>
      <c r="H145" s="1" t="s">
        <v>657</v>
      </c>
      <c r="I145" t="b">
        <f>COUNTIF(Estadísticas!I:I,'centraldecomunicacion.es'!H145)&gt;0</f>
        <v>0</v>
      </c>
    </row>
    <row r="146" spans="1:9" hidden="1">
      <c r="A146" s="1" t="s">
        <v>1152</v>
      </c>
      <c r="B146" s="1" t="s">
        <v>10</v>
      </c>
      <c r="C146" s="1" t="s">
        <v>1153</v>
      </c>
      <c r="D146" s="1" t="s">
        <v>91</v>
      </c>
      <c r="E146" s="1" t="s">
        <v>91</v>
      </c>
      <c r="F146" s="1" t="s">
        <v>78</v>
      </c>
      <c r="G146" s="1" t="s">
        <v>1154</v>
      </c>
      <c r="H146" s="1" t="s">
        <v>657</v>
      </c>
      <c r="I146" t="b">
        <f>COUNTIF(Estadísticas!I:I,'centraldecomunicacion.es'!H146)&gt;0</f>
        <v>0</v>
      </c>
    </row>
    <row r="147" spans="1:9" hidden="1">
      <c r="A147" s="1" t="s">
        <v>1155</v>
      </c>
      <c r="B147" s="1" t="s">
        <v>10</v>
      </c>
      <c r="C147" s="1" t="s">
        <v>78</v>
      </c>
      <c r="D147" s="1" t="s">
        <v>1156</v>
      </c>
      <c r="E147" s="1" t="s">
        <v>78</v>
      </c>
      <c r="F147" s="1" t="s">
        <v>78</v>
      </c>
      <c r="G147" s="1" t="s">
        <v>1157</v>
      </c>
      <c r="H147" s="1" t="s">
        <v>657</v>
      </c>
      <c r="I147" t="b">
        <f>COUNTIF(Estadísticas!I:I,'centraldecomunicacion.es'!H147)&gt;0</f>
        <v>0</v>
      </c>
    </row>
    <row r="148" spans="1:9" hidden="1">
      <c r="A148" s="1" t="s">
        <v>1158</v>
      </c>
      <c r="B148" s="1" t="s">
        <v>10</v>
      </c>
      <c r="C148" s="1" t="s">
        <v>1159</v>
      </c>
      <c r="D148" s="1" t="s">
        <v>91</v>
      </c>
      <c r="E148" s="1" t="s">
        <v>91</v>
      </c>
      <c r="F148" s="1" t="s">
        <v>1120</v>
      </c>
      <c r="G148" s="1" t="s">
        <v>1160</v>
      </c>
      <c r="H148" s="1" t="s">
        <v>1122</v>
      </c>
      <c r="I148" t="b">
        <f>COUNTIF(Estadísticas!I:I,'centraldecomunicacion.es'!H148)&gt;0</f>
        <v>0</v>
      </c>
    </row>
    <row r="149" spans="1:9" hidden="1">
      <c r="A149" s="1" t="s">
        <v>1161</v>
      </c>
      <c r="B149" s="1" t="s">
        <v>24</v>
      </c>
      <c r="C149" s="1" t="s">
        <v>1162</v>
      </c>
      <c r="D149" s="1" t="s">
        <v>91</v>
      </c>
      <c r="E149" s="1" t="s">
        <v>91</v>
      </c>
      <c r="F149" s="1" t="s">
        <v>78</v>
      </c>
      <c r="G149" s="1" t="s">
        <v>1063</v>
      </c>
      <c r="H149" s="1" t="s">
        <v>657</v>
      </c>
      <c r="I149" t="b">
        <f>COUNTIF(Estadísticas!I:I,'centraldecomunicacion.es'!H149)&gt;0</f>
        <v>0</v>
      </c>
    </row>
    <row r="150" spans="1:9" hidden="1">
      <c r="A150" s="1" t="s">
        <v>1163</v>
      </c>
      <c r="B150" s="1" t="s">
        <v>24</v>
      </c>
      <c r="C150" s="1" t="s">
        <v>1164</v>
      </c>
      <c r="D150" s="1" t="s">
        <v>91</v>
      </c>
      <c r="E150" s="1" t="s">
        <v>91</v>
      </c>
      <c r="F150" s="1" t="s">
        <v>78</v>
      </c>
      <c r="G150" s="1" t="s">
        <v>1165</v>
      </c>
      <c r="H150" s="1" t="s">
        <v>657</v>
      </c>
      <c r="I150" t="b">
        <f>COUNTIF(Estadísticas!I:I,'centraldecomunicacion.es'!H150)&gt;0</f>
        <v>0</v>
      </c>
    </row>
    <row r="151" spans="1:9" hidden="1">
      <c r="A151" s="1" t="s">
        <v>1166</v>
      </c>
      <c r="B151" s="1" t="s">
        <v>10</v>
      </c>
      <c r="C151" s="1" t="s">
        <v>1167</v>
      </c>
      <c r="D151" s="1" t="s">
        <v>91</v>
      </c>
      <c r="E151" s="1" t="s">
        <v>91</v>
      </c>
      <c r="F151" s="1" t="s">
        <v>78</v>
      </c>
      <c r="G151" s="1" t="s">
        <v>563</v>
      </c>
      <c r="H151" s="1" t="s">
        <v>657</v>
      </c>
      <c r="I151" t="b">
        <f>COUNTIF(Estadísticas!I:I,'centraldecomunicacion.es'!H151)&gt;0</f>
        <v>0</v>
      </c>
    </row>
    <row r="152" spans="1:9" hidden="1">
      <c r="A152" s="1" t="s">
        <v>1168</v>
      </c>
      <c r="B152" s="1" t="s">
        <v>10</v>
      </c>
      <c r="C152" s="1" t="s">
        <v>1169</v>
      </c>
      <c r="D152" s="1" t="s">
        <v>91</v>
      </c>
      <c r="E152" s="1" t="s">
        <v>91</v>
      </c>
      <c r="F152" s="1" t="s">
        <v>78</v>
      </c>
      <c r="G152" s="1" t="s">
        <v>98</v>
      </c>
      <c r="H152" s="1" t="s">
        <v>657</v>
      </c>
      <c r="I152" t="b">
        <f>COUNTIF(Estadísticas!I:I,'centraldecomunicacion.es'!H152)&gt;0</f>
        <v>0</v>
      </c>
    </row>
    <row r="153" spans="1:9">
      <c r="A153" s="1" t="s">
        <v>100</v>
      </c>
      <c r="B153" s="1" t="s">
        <v>24</v>
      </c>
      <c r="C153" s="1" t="s">
        <v>101</v>
      </c>
      <c r="D153" s="1" t="s">
        <v>91</v>
      </c>
      <c r="E153" s="1" t="s">
        <v>91</v>
      </c>
      <c r="F153" s="1" t="s">
        <v>102</v>
      </c>
      <c r="G153" s="1" t="s">
        <v>103</v>
      </c>
      <c r="H153" s="1" t="s">
        <v>104</v>
      </c>
      <c r="I153" t="b">
        <f>COUNTIF(Estadísticas!I:I,'centraldecomunicacion.es'!H153)&gt;0</f>
        <v>1</v>
      </c>
    </row>
    <row r="154" spans="1:9" hidden="1">
      <c r="A154" s="1" t="s">
        <v>1170</v>
      </c>
      <c r="B154" s="1" t="s">
        <v>24</v>
      </c>
      <c r="C154" s="1" t="s">
        <v>1171</v>
      </c>
      <c r="D154" s="1" t="s">
        <v>91</v>
      </c>
      <c r="E154" s="1" t="s">
        <v>91</v>
      </c>
      <c r="F154" s="1" t="s">
        <v>78</v>
      </c>
      <c r="G154" s="1" t="s">
        <v>78</v>
      </c>
      <c r="H154" s="1" t="s">
        <v>657</v>
      </c>
      <c r="I154" t="b">
        <f>COUNTIF(Estadísticas!I:I,'centraldecomunicacion.es'!H154)&gt;0</f>
        <v>0</v>
      </c>
    </row>
    <row r="155" spans="1:9" hidden="1">
      <c r="A155" s="1" t="s">
        <v>1172</v>
      </c>
      <c r="B155" s="1" t="s">
        <v>24</v>
      </c>
      <c r="C155" s="1" t="s">
        <v>78</v>
      </c>
      <c r="D155" s="1" t="s">
        <v>1156</v>
      </c>
      <c r="E155" s="1" t="s">
        <v>78</v>
      </c>
      <c r="F155" s="1" t="s">
        <v>78</v>
      </c>
      <c r="G155" s="1" t="s">
        <v>1173</v>
      </c>
      <c r="H155" s="1" t="s">
        <v>657</v>
      </c>
      <c r="I155" t="b">
        <f>COUNTIF(Estadísticas!I:I,'centraldecomunicacion.es'!H155)&gt;0</f>
        <v>0</v>
      </c>
    </row>
    <row r="156" spans="1:9" hidden="1">
      <c r="A156" s="1" t="s">
        <v>1174</v>
      </c>
      <c r="B156" s="1" t="s">
        <v>10</v>
      </c>
      <c r="C156" s="1" t="s">
        <v>1175</v>
      </c>
      <c r="D156" s="1" t="s">
        <v>91</v>
      </c>
      <c r="E156" s="1" t="s">
        <v>91</v>
      </c>
      <c r="F156" s="1" t="s">
        <v>829</v>
      </c>
      <c r="G156" s="1" t="s">
        <v>1101</v>
      </c>
      <c r="H156" s="1" t="s">
        <v>831</v>
      </c>
      <c r="I156" t="b">
        <f>COUNTIF(Estadísticas!I:I,'centraldecomunicacion.es'!H156)&gt;0</f>
        <v>0</v>
      </c>
    </row>
    <row r="157" spans="1:9" hidden="1">
      <c r="A157" s="1" t="s">
        <v>1176</v>
      </c>
      <c r="B157" s="1" t="s">
        <v>24</v>
      </c>
      <c r="C157" s="1" t="s">
        <v>1177</v>
      </c>
      <c r="D157" s="1" t="s">
        <v>91</v>
      </c>
      <c r="E157" s="1" t="s">
        <v>91</v>
      </c>
      <c r="F157" s="1" t="s">
        <v>78</v>
      </c>
      <c r="G157" s="1" t="s">
        <v>1178</v>
      </c>
      <c r="H157" s="1" t="s">
        <v>657</v>
      </c>
      <c r="I157" t="b">
        <f>COUNTIF(Estadísticas!I:I,'centraldecomunicacion.es'!H157)&gt;0</f>
        <v>0</v>
      </c>
    </row>
    <row r="158" spans="1:9" hidden="1">
      <c r="A158" s="1" t="s">
        <v>1179</v>
      </c>
      <c r="B158" s="1" t="s">
        <v>24</v>
      </c>
      <c r="C158" s="1" t="s">
        <v>78</v>
      </c>
      <c r="D158" s="1" t="s">
        <v>1156</v>
      </c>
      <c r="E158" s="1" t="s">
        <v>78</v>
      </c>
      <c r="F158" s="1" t="s">
        <v>1180</v>
      </c>
      <c r="G158" s="1" t="s">
        <v>1181</v>
      </c>
      <c r="H158" s="1" t="s">
        <v>1182</v>
      </c>
      <c r="I158" t="b">
        <f>COUNTIF(Estadísticas!I:I,'centraldecomunicacion.es'!H158)&gt;0</f>
        <v>0</v>
      </c>
    </row>
    <row r="159" spans="1:9" hidden="1">
      <c r="A159" s="1" t="s">
        <v>1183</v>
      </c>
      <c r="B159" s="1" t="s">
        <v>10</v>
      </c>
      <c r="C159" s="1" t="s">
        <v>1184</v>
      </c>
      <c r="D159" s="1" t="s">
        <v>1156</v>
      </c>
      <c r="E159" s="1" t="s">
        <v>1185</v>
      </c>
      <c r="F159" s="1" t="s">
        <v>1186</v>
      </c>
      <c r="G159" s="1" t="s">
        <v>1187</v>
      </c>
      <c r="H159" s="1" t="s">
        <v>657</v>
      </c>
      <c r="I159" t="b">
        <f>COUNTIF(Estadísticas!I:I,'centraldecomunicacion.es'!H159)&gt;0</f>
        <v>0</v>
      </c>
    </row>
    <row r="160" spans="1:9" hidden="1">
      <c r="A160" s="1" t="s">
        <v>1188</v>
      </c>
      <c r="B160" s="1" t="s">
        <v>10</v>
      </c>
      <c r="C160" s="1" t="s">
        <v>1189</v>
      </c>
      <c r="D160" s="1" t="s">
        <v>91</v>
      </c>
      <c r="E160" s="1" t="s">
        <v>91</v>
      </c>
      <c r="F160" s="1" t="s">
        <v>1190</v>
      </c>
      <c r="G160" s="1" t="s">
        <v>1191</v>
      </c>
      <c r="H160" s="1" t="s">
        <v>1192</v>
      </c>
      <c r="I160" t="b">
        <f>COUNTIF(Estadísticas!I:I,'centraldecomunicacion.es'!H160)&gt;0</f>
        <v>0</v>
      </c>
    </row>
    <row r="161" spans="1:9">
      <c r="A161" s="1" t="s">
        <v>105</v>
      </c>
      <c r="B161" s="1" t="s">
        <v>24</v>
      </c>
      <c r="C161" s="1" t="s">
        <v>106</v>
      </c>
      <c r="D161" s="1" t="s">
        <v>91</v>
      </c>
      <c r="E161" s="1" t="s">
        <v>91</v>
      </c>
      <c r="F161" s="1" t="s">
        <v>107</v>
      </c>
      <c r="G161" s="1" t="s">
        <v>93</v>
      </c>
      <c r="H161" s="1" t="s">
        <v>108</v>
      </c>
      <c r="I161" t="b">
        <f>COUNTIF(Estadísticas!I:I,'centraldecomunicacion.es'!H161)&gt;0</f>
        <v>1</v>
      </c>
    </row>
    <row r="162" spans="1:9" hidden="1">
      <c r="A162" s="1" t="s">
        <v>1193</v>
      </c>
      <c r="B162" s="1" t="s">
        <v>24</v>
      </c>
      <c r="C162" s="1" t="s">
        <v>1194</v>
      </c>
      <c r="D162" s="1" t="s">
        <v>91</v>
      </c>
      <c r="E162" s="1" t="s">
        <v>91</v>
      </c>
      <c r="F162" s="1" t="s">
        <v>78</v>
      </c>
      <c r="G162" s="1" t="s">
        <v>1195</v>
      </c>
      <c r="H162" s="1" t="s">
        <v>657</v>
      </c>
      <c r="I162" t="b">
        <f>COUNTIF(Estadísticas!I:I,'centraldecomunicacion.es'!H162)&gt;0</f>
        <v>0</v>
      </c>
    </row>
    <row r="163" spans="1:9" hidden="1">
      <c r="A163" s="1" t="s">
        <v>1196</v>
      </c>
      <c r="B163" s="1" t="s">
        <v>10</v>
      </c>
      <c r="C163" s="1" t="s">
        <v>78</v>
      </c>
      <c r="D163" s="1" t="s">
        <v>1156</v>
      </c>
      <c r="E163" s="1" t="s">
        <v>78</v>
      </c>
      <c r="F163" s="1" t="s">
        <v>78</v>
      </c>
      <c r="G163" s="1" t="s">
        <v>1197</v>
      </c>
      <c r="H163" s="1" t="s">
        <v>657</v>
      </c>
      <c r="I163" t="b">
        <f>COUNTIF(Estadísticas!I:I,'centraldecomunicacion.es'!H163)&gt;0</f>
        <v>0</v>
      </c>
    </row>
    <row r="164" spans="1:9" hidden="1">
      <c r="A164" s="1" t="s">
        <v>1198</v>
      </c>
      <c r="B164" s="1" t="s">
        <v>10</v>
      </c>
      <c r="C164" s="1" t="s">
        <v>1199</v>
      </c>
      <c r="D164" s="1" t="s">
        <v>91</v>
      </c>
      <c r="E164" s="1" t="s">
        <v>91</v>
      </c>
      <c r="F164" s="1" t="s">
        <v>78</v>
      </c>
      <c r="G164" s="1" t="s">
        <v>78</v>
      </c>
      <c r="H164" s="1" t="s">
        <v>657</v>
      </c>
      <c r="I164" t="b">
        <f>COUNTIF(Estadísticas!I:I,'centraldecomunicacion.es'!H164)&gt;0</f>
        <v>0</v>
      </c>
    </row>
    <row r="165" spans="1:9" hidden="1">
      <c r="A165" s="1" t="s">
        <v>1200</v>
      </c>
      <c r="B165" s="1" t="s">
        <v>10</v>
      </c>
      <c r="C165" s="1" t="s">
        <v>1201</v>
      </c>
      <c r="D165" s="1" t="s">
        <v>1202</v>
      </c>
      <c r="E165" s="1" t="s">
        <v>91</v>
      </c>
      <c r="F165" s="1" t="s">
        <v>1203</v>
      </c>
      <c r="G165" s="1" t="s">
        <v>1204</v>
      </c>
      <c r="H165" s="1" t="s">
        <v>1205</v>
      </c>
      <c r="I165" t="b">
        <f>COUNTIF(Estadísticas!I:I,'centraldecomunicacion.es'!H165)&gt;0</f>
        <v>0</v>
      </c>
    </row>
    <row r="166" spans="1:9" hidden="1">
      <c r="A166" s="1" t="s">
        <v>1206</v>
      </c>
      <c r="B166" s="1" t="s">
        <v>24</v>
      </c>
      <c r="C166" s="1" t="s">
        <v>78</v>
      </c>
      <c r="D166" s="1" t="s">
        <v>1156</v>
      </c>
      <c r="E166" s="1" t="s">
        <v>78</v>
      </c>
      <c r="F166" s="1" t="s">
        <v>1207</v>
      </c>
      <c r="G166" s="1" t="s">
        <v>1208</v>
      </c>
      <c r="H166" s="1" t="s">
        <v>1209</v>
      </c>
      <c r="I166" t="b">
        <f>COUNTIF(Estadísticas!I:I,'centraldecomunicacion.es'!H166)&gt;0</f>
        <v>0</v>
      </c>
    </row>
    <row r="167" spans="1:9" hidden="1">
      <c r="A167" s="1" t="s">
        <v>1210</v>
      </c>
      <c r="B167" s="1" t="s">
        <v>24</v>
      </c>
      <c r="C167" s="1" t="s">
        <v>1211</v>
      </c>
      <c r="D167" s="1" t="s">
        <v>1202</v>
      </c>
      <c r="E167" s="1" t="s">
        <v>91</v>
      </c>
      <c r="F167" s="1" t="s">
        <v>801</v>
      </c>
      <c r="G167" s="1" t="s">
        <v>1212</v>
      </c>
      <c r="H167" s="1" t="s">
        <v>657</v>
      </c>
      <c r="I167" t="b">
        <f>COUNTIF(Estadísticas!I:I,'centraldecomunicacion.es'!H167)&gt;0</f>
        <v>0</v>
      </c>
    </row>
    <row r="168" spans="1:9" hidden="1">
      <c r="A168" s="1" t="s">
        <v>1213</v>
      </c>
      <c r="B168" s="1" t="s">
        <v>24</v>
      </c>
      <c r="C168" s="1" t="s">
        <v>1214</v>
      </c>
      <c r="D168" s="1" t="s">
        <v>91</v>
      </c>
      <c r="E168" s="1" t="s">
        <v>91</v>
      </c>
      <c r="F168" s="1" t="s">
        <v>78</v>
      </c>
      <c r="G168" s="1" t="s">
        <v>1215</v>
      </c>
      <c r="H168" s="1" t="s">
        <v>657</v>
      </c>
      <c r="I168" t="b">
        <f>COUNTIF(Estadísticas!I:I,'centraldecomunicacion.es'!H168)&gt;0</f>
        <v>0</v>
      </c>
    </row>
    <row r="169" spans="1:9" hidden="1">
      <c r="A169" s="1" t="s">
        <v>1216</v>
      </c>
      <c r="B169" s="1" t="s">
        <v>24</v>
      </c>
      <c r="C169" s="1" t="s">
        <v>1217</v>
      </c>
      <c r="D169" s="1" t="s">
        <v>1218</v>
      </c>
      <c r="E169" s="1" t="s">
        <v>91</v>
      </c>
      <c r="F169" s="1" t="s">
        <v>1219</v>
      </c>
      <c r="G169" s="1" t="s">
        <v>1220</v>
      </c>
      <c r="H169" s="1" t="s">
        <v>764</v>
      </c>
      <c r="I169" t="b">
        <f>COUNTIF(Estadísticas!I:I,'centraldecomunicacion.es'!H169)&gt;0</f>
        <v>0</v>
      </c>
    </row>
    <row r="170" spans="1:9">
      <c r="A170" s="1" t="s">
        <v>1221</v>
      </c>
      <c r="B170" s="1" t="s">
        <v>10</v>
      </c>
      <c r="C170" s="1" t="s">
        <v>1222</v>
      </c>
      <c r="D170" s="1" t="s">
        <v>1136</v>
      </c>
      <c r="E170" s="1" t="s">
        <v>91</v>
      </c>
      <c r="F170" s="1" t="s">
        <v>1223</v>
      </c>
      <c r="G170" s="1" t="s">
        <v>1224</v>
      </c>
      <c r="H170" s="1" t="s">
        <v>99</v>
      </c>
      <c r="I170" t="b">
        <f>COUNTIF(Estadísticas!I:I,'centraldecomunicacion.es'!H170)&gt;0</f>
        <v>1</v>
      </c>
    </row>
    <row r="171" spans="1:9" hidden="1">
      <c r="A171" s="1" t="s">
        <v>1225</v>
      </c>
      <c r="B171" s="1" t="s">
        <v>24</v>
      </c>
      <c r="C171" s="1" t="s">
        <v>1226</v>
      </c>
      <c r="D171" s="1" t="s">
        <v>1227</v>
      </c>
      <c r="E171" s="1" t="s">
        <v>91</v>
      </c>
      <c r="F171" s="1" t="s">
        <v>78</v>
      </c>
      <c r="G171" s="1" t="s">
        <v>1228</v>
      </c>
      <c r="H171" s="1" t="s">
        <v>657</v>
      </c>
      <c r="I171" t="b">
        <f>COUNTIF(Estadísticas!I:I,'centraldecomunicacion.es'!H171)&gt;0</f>
        <v>0</v>
      </c>
    </row>
    <row r="172" spans="1:9" hidden="1">
      <c r="A172" s="1" t="s">
        <v>1229</v>
      </c>
      <c r="B172" s="1" t="s">
        <v>24</v>
      </c>
      <c r="C172" s="1" t="s">
        <v>1230</v>
      </c>
      <c r="D172" s="1" t="s">
        <v>1202</v>
      </c>
      <c r="E172" s="1" t="s">
        <v>91</v>
      </c>
      <c r="F172" s="1" t="s">
        <v>801</v>
      </c>
      <c r="G172" s="1" t="s">
        <v>1231</v>
      </c>
      <c r="H172" s="1" t="s">
        <v>657</v>
      </c>
      <c r="I172" t="b">
        <f>COUNTIF(Estadísticas!I:I,'centraldecomunicacion.es'!H172)&gt;0</f>
        <v>0</v>
      </c>
    </row>
    <row r="173" spans="1:9" hidden="1">
      <c r="A173" s="1" t="s">
        <v>1232</v>
      </c>
      <c r="B173" s="1" t="s">
        <v>24</v>
      </c>
      <c r="C173" s="1" t="s">
        <v>1233</v>
      </c>
      <c r="D173" s="1" t="s">
        <v>91</v>
      </c>
      <c r="E173" s="1" t="s">
        <v>91</v>
      </c>
      <c r="F173" s="1" t="s">
        <v>1234</v>
      </c>
      <c r="G173" s="1" t="s">
        <v>1235</v>
      </c>
      <c r="H173" s="1" t="s">
        <v>1236</v>
      </c>
      <c r="I173" t="b">
        <f>COUNTIF(Estadísticas!I:I,'centraldecomunicacion.es'!H173)&gt;0</f>
        <v>0</v>
      </c>
    </row>
    <row r="174" spans="1:9" hidden="1">
      <c r="A174" s="1" t="s">
        <v>1237</v>
      </c>
      <c r="B174" s="1" t="s">
        <v>24</v>
      </c>
      <c r="C174" s="1" t="s">
        <v>1238</v>
      </c>
      <c r="D174" s="1" t="s">
        <v>1218</v>
      </c>
      <c r="E174" s="1" t="s">
        <v>91</v>
      </c>
      <c r="F174" s="1" t="s">
        <v>1239</v>
      </c>
      <c r="G174" s="1" t="s">
        <v>1181</v>
      </c>
      <c r="H174" s="1" t="s">
        <v>657</v>
      </c>
      <c r="I174" t="b">
        <f>COUNTIF(Estadísticas!I:I,'centraldecomunicacion.es'!H174)&gt;0</f>
        <v>0</v>
      </c>
    </row>
    <row r="175" spans="1:9" hidden="1">
      <c r="A175" s="1" t="s">
        <v>1240</v>
      </c>
      <c r="B175" s="1" t="s">
        <v>24</v>
      </c>
      <c r="C175" s="1" t="s">
        <v>1241</v>
      </c>
      <c r="D175" s="1" t="s">
        <v>1242</v>
      </c>
      <c r="E175" s="1" t="s">
        <v>91</v>
      </c>
      <c r="F175" s="1" t="s">
        <v>1137</v>
      </c>
      <c r="G175" s="1" t="s">
        <v>740</v>
      </c>
      <c r="H175" s="1" t="s">
        <v>657</v>
      </c>
      <c r="I175" t="b">
        <f>COUNTIF(Estadísticas!I:I,'centraldecomunicacion.es'!H175)&gt;0</f>
        <v>0</v>
      </c>
    </row>
    <row r="176" spans="1:9" hidden="1">
      <c r="A176" s="1" t="s">
        <v>1243</v>
      </c>
      <c r="B176" s="1" t="s">
        <v>10</v>
      </c>
      <c r="C176" s="1" t="s">
        <v>1244</v>
      </c>
      <c r="D176" s="1" t="s">
        <v>856</v>
      </c>
      <c r="E176" s="1" t="s">
        <v>91</v>
      </c>
      <c r="F176" s="1" t="s">
        <v>1245</v>
      </c>
      <c r="G176" s="1" t="s">
        <v>1246</v>
      </c>
      <c r="H176" s="1" t="s">
        <v>1247</v>
      </c>
      <c r="I176" t="b">
        <f>COUNTIF(Estadísticas!I:I,'centraldecomunicacion.es'!H176)&gt;0</f>
        <v>0</v>
      </c>
    </row>
    <row r="177" spans="1:9" hidden="1">
      <c r="A177" s="1" t="s">
        <v>1248</v>
      </c>
      <c r="B177" s="1" t="s">
        <v>24</v>
      </c>
      <c r="C177" s="1" t="s">
        <v>1249</v>
      </c>
      <c r="D177" s="1" t="s">
        <v>1250</v>
      </c>
      <c r="E177" s="1" t="s">
        <v>91</v>
      </c>
      <c r="F177" s="1" t="s">
        <v>1251</v>
      </c>
      <c r="G177" s="1" t="s">
        <v>1252</v>
      </c>
      <c r="H177" s="1" t="s">
        <v>1253</v>
      </c>
      <c r="I177" t="b">
        <f>COUNTIF(Estadísticas!I:I,'centraldecomunicacion.es'!H177)&gt;0</f>
        <v>0</v>
      </c>
    </row>
    <row r="178" spans="1:9" hidden="1">
      <c r="A178" s="1" t="s">
        <v>1254</v>
      </c>
      <c r="B178" s="1" t="s">
        <v>10</v>
      </c>
      <c r="C178" s="1" t="s">
        <v>1255</v>
      </c>
      <c r="D178" s="1" t="s">
        <v>1242</v>
      </c>
      <c r="E178" s="1" t="s">
        <v>91</v>
      </c>
      <c r="F178" s="1" t="s">
        <v>78</v>
      </c>
      <c r="G178" s="1" t="s">
        <v>1256</v>
      </c>
      <c r="H178" s="1" t="s">
        <v>657</v>
      </c>
      <c r="I178" t="b">
        <f>COUNTIF(Estadísticas!I:I,'centraldecomunicacion.es'!H178)&gt;0</f>
        <v>0</v>
      </c>
    </row>
    <row r="179" spans="1:9" hidden="1">
      <c r="A179" s="1" t="s">
        <v>1257</v>
      </c>
      <c r="B179" s="1" t="s">
        <v>10</v>
      </c>
      <c r="C179" s="1" t="s">
        <v>1258</v>
      </c>
      <c r="D179" s="1" t="s">
        <v>1259</v>
      </c>
      <c r="E179" s="1" t="s">
        <v>91</v>
      </c>
      <c r="F179" s="1" t="s">
        <v>795</v>
      </c>
      <c r="G179" s="1" t="s">
        <v>796</v>
      </c>
      <c r="H179" s="1" t="s">
        <v>797</v>
      </c>
      <c r="I179" t="b">
        <f>COUNTIF(Estadísticas!I:I,'centraldecomunicacion.es'!H179)&gt;0</f>
        <v>0</v>
      </c>
    </row>
    <row r="180" spans="1:9" hidden="1">
      <c r="A180" s="1" t="s">
        <v>1260</v>
      </c>
      <c r="B180" s="1" t="s">
        <v>10</v>
      </c>
      <c r="C180" s="1" t="s">
        <v>1261</v>
      </c>
      <c r="D180" s="1" t="s">
        <v>1262</v>
      </c>
      <c r="E180" s="1" t="s">
        <v>91</v>
      </c>
      <c r="F180" s="1" t="s">
        <v>739</v>
      </c>
      <c r="G180" s="1" t="s">
        <v>740</v>
      </c>
      <c r="H180" s="1" t="s">
        <v>657</v>
      </c>
      <c r="I180" t="b">
        <f>COUNTIF(Estadísticas!I:I,'centraldecomunicacion.es'!H180)&gt;0</f>
        <v>0</v>
      </c>
    </row>
    <row r="181" spans="1:9" hidden="1">
      <c r="A181" s="1" t="s">
        <v>1263</v>
      </c>
      <c r="B181" s="1" t="s">
        <v>10</v>
      </c>
      <c r="C181" s="1" t="s">
        <v>1264</v>
      </c>
      <c r="D181" s="1" t="s">
        <v>1242</v>
      </c>
      <c r="E181" s="1" t="s">
        <v>91</v>
      </c>
      <c r="F181" s="1" t="s">
        <v>78</v>
      </c>
      <c r="G181" s="1" t="s">
        <v>944</v>
      </c>
      <c r="H181" s="1" t="s">
        <v>657</v>
      </c>
      <c r="I181" t="b">
        <f>COUNTIF(Estadísticas!I:I,'centraldecomunicacion.es'!H181)&gt;0</f>
        <v>0</v>
      </c>
    </row>
    <row r="182" spans="1:9" hidden="1">
      <c r="A182" s="1" t="s">
        <v>1265</v>
      </c>
      <c r="B182" s="1" t="s">
        <v>24</v>
      </c>
      <c r="C182" s="1" t="s">
        <v>1266</v>
      </c>
      <c r="D182" s="1" t="s">
        <v>1267</v>
      </c>
      <c r="E182" s="1" t="s">
        <v>91</v>
      </c>
      <c r="F182" s="1" t="s">
        <v>1268</v>
      </c>
      <c r="G182" s="1" t="s">
        <v>1269</v>
      </c>
      <c r="H182" s="1" t="s">
        <v>1270</v>
      </c>
      <c r="I182" t="b">
        <f>COUNTIF(Estadísticas!I:I,'centraldecomunicacion.es'!H182)&gt;0</f>
        <v>0</v>
      </c>
    </row>
    <row r="183" spans="1:9" hidden="1">
      <c r="A183" s="1" t="s">
        <v>1271</v>
      </c>
      <c r="B183" s="1" t="s">
        <v>24</v>
      </c>
      <c r="C183" s="1" t="s">
        <v>1272</v>
      </c>
      <c r="D183" s="1" t="s">
        <v>1259</v>
      </c>
      <c r="E183" s="1" t="s">
        <v>91</v>
      </c>
      <c r="F183" s="1" t="s">
        <v>1273</v>
      </c>
      <c r="G183" s="1" t="s">
        <v>1274</v>
      </c>
      <c r="H183" s="1" t="s">
        <v>1275</v>
      </c>
      <c r="I183" t="b">
        <f>COUNTIF(Estadísticas!I:I,'centraldecomunicacion.es'!H183)&gt;0</f>
        <v>0</v>
      </c>
    </row>
    <row r="184" spans="1:9" hidden="1">
      <c r="A184" s="1" t="s">
        <v>1276</v>
      </c>
      <c r="B184" s="1" t="s">
        <v>24</v>
      </c>
      <c r="C184" s="1" t="s">
        <v>1277</v>
      </c>
      <c r="D184" s="1" t="s">
        <v>1278</v>
      </c>
      <c r="E184" s="1" t="s">
        <v>91</v>
      </c>
      <c r="F184" s="1" t="s">
        <v>1279</v>
      </c>
      <c r="G184" s="1" t="s">
        <v>1280</v>
      </c>
      <c r="H184" s="1" t="s">
        <v>1281</v>
      </c>
      <c r="I184" t="b">
        <f>COUNTIF(Estadísticas!I:I,'centraldecomunicacion.es'!H184)&gt;0</f>
        <v>0</v>
      </c>
    </row>
    <row r="185" spans="1:9" hidden="1">
      <c r="A185" s="1" t="s">
        <v>1282</v>
      </c>
      <c r="B185" s="1" t="s">
        <v>24</v>
      </c>
      <c r="C185" s="1" t="s">
        <v>78</v>
      </c>
      <c r="D185" s="1" t="s">
        <v>1156</v>
      </c>
      <c r="E185" s="1" t="s">
        <v>78</v>
      </c>
      <c r="F185" s="1" t="s">
        <v>78</v>
      </c>
      <c r="G185" s="1" t="s">
        <v>1283</v>
      </c>
      <c r="H185" s="1" t="s">
        <v>657</v>
      </c>
      <c r="I185" t="b">
        <f>COUNTIF(Estadísticas!I:I,'centraldecomunicacion.es'!H185)&gt;0</f>
        <v>0</v>
      </c>
    </row>
    <row r="186" spans="1:9" hidden="1">
      <c r="A186" s="1" t="s">
        <v>1284</v>
      </c>
      <c r="B186" s="1" t="s">
        <v>24</v>
      </c>
      <c r="C186" s="1" t="s">
        <v>1285</v>
      </c>
      <c r="D186" s="1" t="s">
        <v>116</v>
      </c>
      <c r="E186" s="1" t="s">
        <v>117</v>
      </c>
      <c r="F186" s="1" t="s">
        <v>1286</v>
      </c>
      <c r="G186" s="1" t="s">
        <v>1287</v>
      </c>
      <c r="H186" s="1" t="s">
        <v>1288</v>
      </c>
      <c r="I186" t="b">
        <f>COUNTIF(Estadísticas!I:I,'centraldecomunicacion.es'!H186)&gt;0</f>
        <v>0</v>
      </c>
    </row>
    <row r="187" spans="1:9" hidden="1">
      <c r="A187" s="1" t="s">
        <v>1289</v>
      </c>
      <c r="B187" s="1" t="s">
        <v>10</v>
      </c>
      <c r="C187" s="1" t="s">
        <v>1290</v>
      </c>
      <c r="D187" s="1" t="s">
        <v>470</v>
      </c>
      <c r="E187" s="1" t="s">
        <v>470</v>
      </c>
      <c r="F187" s="1" t="s">
        <v>1291</v>
      </c>
      <c r="G187" s="1" t="s">
        <v>1292</v>
      </c>
      <c r="H187" s="1" t="s">
        <v>1293</v>
      </c>
      <c r="I187" t="b">
        <f>COUNTIF(Estadísticas!I:I,'centraldecomunicacion.es'!H187)&gt;0</f>
        <v>0</v>
      </c>
    </row>
    <row r="188" spans="1:9" hidden="1">
      <c r="A188" s="1" t="s">
        <v>1294</v>
      </c>
      <c r="B188" s="1" t="s">
        <v>24</v>
      </c>
      <c r="C188" s="1" t="s">
        <v>1295</v>
      </c>
      <c r="D188" s="1" t="s">
        <v>38</v>
      </c>
      <c r="E188" s="1" t="s">
        <v>38</v>
      </c>
      <c r="F188" s="1" t="s">
        <v>1296</v>
      </c>
      <c r="G188" s="1" t="s">
        <v>1297</v>
      </c>
      <c r="H188" s="1" t="s">
        <v>1298</v>
      </c>
      <c r="I188" t="b">
        <f>COUNTIF(Estadísticas!I:I,'centraldecomunicacion.es'!H188)&gt;0</f>
        <v>0</v>
      </c>
    </row>
    <row r="189" spans="1:9">
      <c r="A189" s="1" t="s">
        <v>109</v>
      </c>
      <c r="B189" s="1" t="s">
        <v>24</v>
      </c>
      <c r="C189" s="1" t="s">
        <v>110</v>
      </c>
      <c r="D189" s="1" t="s">
        <v>38</v>
      </c>
      <c r="E189" s="1" t="s">
        <v>38</v>
      </c>
      <c r="F189" s="1" t="s">
        <v>111</v>
      </c>
      <c r="G189" s="1" t="s">
        <v>112</v>
      </c>
      <c r="H189" s="1" t="s">
        <v>113</v>
      </c>
      <c r="I189" t="b">
        <f>COUNTIF(Estadísticas!I:I,'centraldecomunicacion.es'!H189)&gt;0</f>
        <v>1</v>
      </c>
    </row>
    <row r="190" spans="1:9">
      <c r="A190" s="1" t="s">
        <v>114</v>
      </c>
      <c r="B190" s="1" t="s">
        <v>24</v>
      </c>
      <c r="C190" s="1" t="s">
        <v>115</v>
      </c>
      <c r="D190" s="1" t="s">
        <v>116</v>
      </c>
      <c r="E190" s="1" t="s">
        <v>117</v>
      </c>
      <c r="F190" s="1" t="s">
        <v>118</v>
      </c>
      <c r="G190" s="1" t="s">
        <v>119</v>
      </c>
      <c r="H190" s="1" t="s">
        <v>120</v>
      </c>
      <c r="I190" t="b">
        <f>COUNTIF(Estadísticas!I:I,'centraldecomunicacion.es'!H190)&gt;0</f>
        <v>1</v>
      </c>
    </row>
    <row r="191" spans="1:9">
      <c r="A191" s="1" t="s">
        <v>121</v>
      </c>
      <c r="B191" s="1" t="s">
        <v>10</v>
      </c>
      <c r="C191" s="1" t="s">
        <v>122</v>
      </c>
      <c r="D191" s="1" t="s">
        <v>117</v>
      </c>
      <c r="E191" s="1" t="s">
        <v>117</v>
      </c>
      <c r="F191" s="1" t="s">
        <v>123</v>
      </c>
      <c r="G191" s="1" t="s">
        <v>124</v>
      </c>
      <c r="H191" s="1" t="s">
        <v>125</v>
      </c>
      <c r="I191" t="b">
        <f>COUNTIF(Estadísticas!I:I,'centraldecomunicacion.es'!H191)&gt;0</f>
        <v>1</v>
      </c>
    </row>
    <row r="192" spans="1:9" hidden="1">
      <c r="A192" s="1" t="s">
        <v>1299</v>
      </c>
      <c r="B192" s="1" t="s">
        <v>10</v>
      </c>
      <c r="C192" s="1" t="s">
        <v>1300</v>
      </c>
      <c r="D192" s="1" t="s">
        <v>117</v>
      </c>
      <c r="E192" s="1" t="s">
        <v>117</v>
      </c>
      <c r="F192" s="1" t="s">
        <v>829</v>
      </c>
      <c r="G192" s="1" t="s">
        <v>840</v>
      </c>
      <c r="H192" s="1" t="s">
        <v>831</v>
      </c>
      <c r="I192" t="b">
        <f>COUNTIF(Estadísticas!I:I,'centraldecomunicacion.es'!H192)&gt;0</f>
        <v>0</v>
      </c>
    </row>
    <row r="193" spans="1:9" hidden="1">
      <c r="A193" s="1" t="s">
        <v>1301</v>
      </c>
      <c r="B193" s="1" t="s">
        <v>24</v>
      </c>
      <c r="C193" s="1" t="s">
        <v>1302</v>
      </c>
      <c r="D193" s="1" t="s">
        <v>117</v>
      </c>
      <c r="E193" s="1" t="s">
        <v>117</v>
      </c>
      <c r="F193" s="1" t="s">
        <v>78</v>
      </c>
      <c r="G193" s="1" t="s">
        <v>1303</v>
      </c>
      <c r="H193" s="1" t="s">
        <v>657</v>
      </c>
      <c r="I193" t="b">
        <f>COUNTIF(Estadísticas!I:I,'centraldecomunicacion.es'!H193)&gt;0</f>
        <v>0</v>
      </c>
    </row>
    <row r="194" spans="1:9" hidden="1">
      <c r="A194" s="1" t="s">
        <v>1304</v>
      </c>
      <c r="B194" s="1" t="s">
        <v>24</v>
      </c>
      <c r="C194" s="1" t="s">
        <v>1305</v>
      </c>
      <c r="D194" s="1" t="s">
        <v>117</v>
      </c>
      <c r="E194" s="1" t="s">
        <v>117</v>
      </c>
      <c r="F194" s="1" t="s">
        <v>1306</v>
      </c>
      <c r="G194" s="1" t="s">
        <v>1307</v>
      </c>
      <c r="H194" s="1" t="s">
        <v>657</v>
      </c>
      <c r="I194" t="b">
        <f>COUNTIF(Estadísticas!I:I,'centraldecomunicacion.es'!H194)&gt;0</f>
        <v>0</v>
      </c>
    </row>
    <row r="195" spans="1:9" hidden="1">
      <c r="A195" s="1" t="s">
        <v>1308</v>
      </c>
      <c r="B195" s="1" t="s">
        <v>24</v>
      </c>
      <c r="C195" s="1" t="s">
        <v>78</v>
      </c>
      <c r="D195" s="1" t="s">
        <v>698</v>
      </c>
      <c r="E195" s="1" t="s">
        <v>78</v>
      </c>
      <c r="F195" s="1" t="s">
        <v>1309</v>
      </c>
      <c r="G195" s="1" t="s">
        <v>1310</v>
      </c>
      <c r="H195" s="1" t="s">
        <v>657</v>
      </c>
      <c r="I195" t="b">
        <f>COUNTIF(Estadísticas!I:I,'centraldecomunicacion.es'!H195)&gt;0</f>
        <v>0</v>
      </c>
    </row>
    <row r="196" spans="1:9" hidden="1">
      <c r="A196" s="1" t="s">
        <v>1311</v>
      </c>
      <c r="B196" s="1" t="s">
        <v>24</v>
      </c>
      <c r="C196" s="1" t="s">
        <v>1312</v>
      </c>
      <c r="D196" s="1" t="s">
        <v>117</v>
      </c>
      <c r="E196" s="1" t="s">
        <v>117</v>
      </c>
      <c r="F196" s="1" t="s">
        <v>1313</v>
      </c>
      <c r="G196" s="1" t="s">
        <v>1314</v>
      </c>
      <c r="H196" s="1" t="s">
        <v>1315</v>
      </c>
      <c r="I196" t="b">
        <f>COUNTIF(Estadísticas!I:I,'centraldecomunicacion.es'!H196)&gt;0</f>
        <v>0</v>
      </c>
    </row>
    <row r="197" spans="1:9" hidden="1">
      <c r="A197" s="1" t="s">
        <v>1316</v>
      </c>
      <c r="B197" s="1" t="s">
        <v>24</v>
      </c>
      <c r="C197" s="1" t="s">
        <v>1317</v>
      </c>
      <c r="D197" s="1" t="s">
        <v>117</v>
      </c>
      <c r="E197" s="1" t="s">
        <v>117</v>
      </c>
      <c r="F197" s="1" t="s">
        <v>1318</v>
      </c>
      <c r="G197" s="1" t="s">
        <v>1319</v>
      </c>
      <c r="H197" s="1" t="s">
        <v>1320</v>
      </c>
      <c r="I197" t="b">
        <f>COUNTIF(Estadísticas!I:I,'centraldecomunicacion.es'!H197)&gt;0</f>
        <v>0</v>
      </c>
    </row>
    <row r="198" spans="1:9" hidden="1">
      <c r="A198" s="1" t="s">
        <v>1321</v>
      </c>
      <c r="B198" s="1" t="s">
        <v>24</v>
      </c>
      <c r="C198" s="1" t="s">
        <v>1322</v>
      </c>
      <c r="D198" s="1" t="s">
        <v>117</v>
      </c>
      <c r="E198" s="1" t="s">
        <v>117</v>
      </c>
      <c r="F198" s="1" t="s">
        <v>1323</v>
      </c>
      <c r="G198" s="1" t="s">
        <v>1324</v>
      </c>
      <c r="H198" s="1" t="s">
        <v>657</v>
      </c>
      <c r="I198" t="b">
        <f>COUNTIF(Estadísticas!I:I,'centraldecomunicacion.es'!H198)&gt;0</f>
        <v>0</v>
      </c>
    </row>
    <row r="199" spans="1:9" hidden="1">
      <c r="A199" s="1" t="s">
        <v>1325</v>
      </c>
      <c r="B199" s="1" t="s">
        <v>10</v>
      </c>
      <c r="C199" s="1" t="s">
        <v>1326</v>
      </c>
      <c r="D199" s="1" t="s">
        <v>117</v>
      </c>
      <c r="E199" s="1" t="s">
        <v>117</v>
      </c>
      <c r="F199" s="1" t="s">
        <v>1327</v>
      </c>
      <c r="G199" s="1" t="s">
        <v>1328</v>
      </c>
      <c r="H199" s="1" t="s">
        <v>657</v>
      </c>
      <c r="I199" t="b">
        <f>COUNTIF(Estadísticas!I:I,'centraldecomunicacion.es'!H199)&gt;0</f>
        <v>0</v>
      </c>
    </row>
    <row r="200" spans="1:9" hidden="1">
      <c r="A200" s="1" t="s">
        <v>1329</v>
      </c>
      <c r="B200" s="1" t="s">
        <v>10</v>
      </c>
      <c r="C200" s="1" t="s">
        <v>1330</v>
      </c>
      <c r="D200" s="1" t="s">
        <v>117</v>
      </c>
      <c r="E200" s="1" t="s">
        <v>117</v>
      </c>
      <c r="F200" s="1" t="s">
        <v>1331</v>
      </c>
      <c r="G200" s="1" t="s">
        <v>1332</v>
      </c>
      <c r="H200" s="1" t="s">
        <v>657</v>
      </c>
      <c r="I200" t="b">
        <f>COUNTIF(Estadísticas!I:I,'centraldecomunicacion.es'!H200)&gt;0</f>
        <v>0</v>
      </c>
    </row>
    <row r="201" spans="1:9" hidden="1">
      <c r="A201" s="1" t="s">
        <v>1333</v>
      </c>
      <c r="B201" s="1" t="s">
        <v>24</v>
      </c>
      <c r="C201" s="1" t="s">
        <v>1334</v>
      </c>
      <c r="D201" s="1" t="s">
        <v>116</v>
      </c>
      <c r="E201" s="1" t="s">
        <v>117</v>
      </c>
      <c r="F201" s="1" t="s">
        <v>1335</v>
      </c>
      <c r="G201" s="1" t="s">
        <v>1336</v>
      </c>
      <c r="H201" s="1" t="s">
        <v>1337</v>
      </c>
      <c r="I201" t="b">
        <f>COUNTIF(Estadísticas!I:I,'centraldecomunicacion.es'!H201)&gt;0</f>
        <v>0</v>
      </c>
    </row>
    <row r="202" spans="1:9" hidden="1">
      <c r="A202" s="1" t="s">
        <v>1338</v>
      </c>
      <c r="B202" s="1" t="s">
        <v>24</v>
      </c>
      <c r="C202" s="1" t="s">
        <v>1339</v>
      </c>
      <c r="D202" s="1" t="s">
        <v>117</v>
      </c>
      <c r="E202" s="1" t="s">
        <v>117</v>
      </c>
      <c r="F202" s="1" t="s">
        <v>1340</v>
      </c>
      <c r="G202" s="1" t="s">
        <v>1341</v>
      </c>
      <c r="H202" s="1" t="s">
        <v>1342</v>
      </c>
      <c r="I202" t="b">
        <f>COUNTIF(Estadísticas!I:I,'centraldecomunicacion.es'!H202)&gt;0</f>
        <v>0</v>
      </c>
    </row>
    <row r="203" spans="1:9" hidden="1">
      <c r="A203" s="1" t="s">
        <v>1343</v>
      </c>
      <c r="B203" s="1" t="s">
        <v>24</v>
      </c>
      <c r="C203" s="1" t="s">
        <v>78</v>
      </c>
      <c r="D203" s="1" t="s">
        <v>698</v>
      </c>
      <c r="E203" s="1" t="s">
        <v>78</v>
      </c>
      <c r="F203" s="1" t="s">
        <v>1344</v>
      </c>
      <c r="G203" s="1" t="s">
        <v>1345</v>
      </c>
      <c r="H203" s="1" t="s">
        <v>1346</v>
      </c>
      <c r="I203" t="b">
        <f>COUNTIF(Estadísticas!I:I,'centraldecomunicacion.es'!H203)&gt;0</f>
        <v>0</v>
      </c>
    </row>
    <row r="204" spans="1:9" hidden="1">
      <c r="A204" s="1" t="s">
        <v>1347</v>
      </c>
      <c r="B204" s="1" t="s">
        <v>10</v>
      </c>
      <c r="C204" s="1" t="s">
        <v>1348</v>
      </c>
      <c r="D204" s="1" t="s">
        <v>117</v>
      </c>
      <c r="E204" s="1" t="s">
        <v>117</v>
      </c>
      <c r="F204" s="1" t="s">
        <v>1349</v>
      </c>
      <c r="G204" s="1" t="s">
        <v>1350</v>
      </c>
      <c r="H204" s="1" t="s">
        <v>657</v>
      </c>
      <c r="I204" t="b">
        <f>COUNTIF(Estadísticas!I:I,'centraldecomunicacion.es'!H204)&gt;0</f>
        <v>0</v>
      </c>
    </row>
    <row r="205" spans="1:9" hidden="1">
      <c r="A205" s="1" t="s">
        <v>1351</v>
      </c>
      <c r="B205" s="1" t="s">
        <v>24</v>
      </c>
      <c r="C205" s="1" t="s">
        <v>1352</v>
      </c>
      <c r="D205" s="1" t="s">
        <v>1353</v>
      </c>
      <c r="E205" s="1" t="s">
        <v>117</v>
      </c>
      <c r="F205" s="1" t="s">
        <v>1354</v>
      </c>
      <c r="G205" s="1" t="s">
        <v>1355</v>
      </c>
      <c r="H205" s="1" t="s">
        <v>1356</v>
      </c>
      <c r="I205" t="b">
        <f>COUNTIF(Estadísticas!I:I,'centraldecomunicacion.es'!H205)&gt;0</f>
        <v>0</v>
      </c>
    </row>
    <row r="206" spans="1:9" hidden="1">
      <c r="A206" s="1" t="s">
        <v>1357</v>
      </c>
      <c r="B206" s="1" t="s">
        <v>24</v>
      </c>
      <c r="C206" s="1" t="s">
        <v>78</v>
      </c>
      <c r="D206" s="1" t="s">
        <v>698</v>
      </c>
      <c r="E206" s="1" t="s">
        <v>78</v>
      </c>
      <c r="F206" s="1" t="s">
        <v>1027</v>
      </c>
      <c r="G206" s="1" t="s">
        <v>1028</v>
      </c>
      <c r="H206" s="1" t="s">
        <v>657</v>
      </c>
      <c r="I206" t="b">
        <f>COUNTIF(Estadísticas!I:I,'centraldecomunicacion.es'!H206)&gt;0</f>
        <v>0</v>
      </c>
    </row>
    <row r="207" spans="1:9" hidden="1">
      <c r="A207" s="1" t="s">
        <v>1358</v>
      </c>
      <c r="B207" s="1" t="s">
        <v>10</v>
      </c>
      <c r="C207" s="1" t="s">
        <v>1359</v>
      </c>
      <c r="D207" s="1" t="s">
        <v>1360</v>
      </c>
      <c r="E207" s="1" t="s">
        <v>117</v>
      </c>
      <c r="F207" s="1" t="s">
        <v>78</v>
      </c>
      <c r="G207" s="1" t="s">
        <v>1361</v>
      </c>
      <c r="H207" s="1" t="s">
        <v>657</v>
      </c>
      <c r="I207" t="b">
        <f>COUNTIF(Estadísticas!I:I,'centraldecomunicacion.es'!H207)&gt;0</f>
        <v>0</v>
      </c>
    </row>
    <row r="208" spans="1:9" hidden="1">
      <c r="A208" s="1" t="s">
        <v>1362</v>
      </c>
      <c r="B208" s="1" t="s">
        <v>10</v>
      </c>
      <c r="C208" s="1" t="s">
        <v>1363</v>
      </c>
      <c r="D208" s="1" t="s">
        <v>116</v>
      </c>
      <c r="E208" s="1" t="s">
        <v>117</v>
      </c>
      <c r="F208" s="1" t="s">
        <v>1364</v>
      </c>
      <c r="G208" s="1" t="s">
        <v>1365</v>
      </c>
      <c r="H208" s="1" t="s">
        <v>1366</v>
      </c>
      <c r="I208" t="b">
        <f>COUNTIF(Estadísticas!I:I,'centraldecomunicacion.es'!H208)&gt;0</f>
        <v>0</v>
      </c>
    </row>
    <row r="209" spans="1:9" hidden="1">
      <c r="A209" s="1" t="s">
        <v>1367</v>
      </c>
      <c r="B209" s="1" t="s">
        <v>10</v>
      </c>
      <c r="C209" s="1" t="s">
        <v>1368</v>
      </c>
      <c r="D209" s="1" t="s">
        <v>1369</v>
      </c>
      <c r="E209" s="1" t="s">
        <v>117</v>
      </c>
      <c r="F209" s="1" t="s">
        <v>1370</v>
      </c>
      <c r="G209" s="1" t="s">
        <v>1371</v>
      </c>
      <c r="H209" s="1" t="s">
        <v>1372</v>
      </c>
      <c r="I209" t="b">
        <f>COUNTIF(Estadísticas!I:I,'centraldecomunicacion.es'!H209)&gt;0</f>
        <v>0</v>
      </c>
    </row>
    <row r="210" spans="1:9" hidden="1">
      <c r="A210" s="1" t="s">
        <v>1373</v>
      </c>
      <c r="B210" s="1" t="s">
        <v>24</v>
      </c>
      <c r="C210" s="1" t="s">
        <v>1374</v>
      </c>
      <c r="D210" s="1" t="s">
        <v>117</v>
      </c>
      <c r="E210" s="1" t="s">
        <v>117</v>
      </c>
      <c r="F210" s="1" t="s">
        <v>1375</v>
      </c>
      <c r="G210" s="1" t="s">
        <v>1376</v>
      </c>
      <c r="H210" s="1" t="s">
        <v>657</v>
      </c>
      <c r="I210" t="b">
        <f>COUNTIF(Estadísticas!I:I,'centraldecomunicacion.es'!H210)&gt;0</f>
        <v>0</v>
      </c>
    </row>
    <row r="211" spans="1:9" hidden="1">
      <c r="A211" s="1" t="s">
        <v>1377</v>
      </c>
      <c r="B211" s="1" t="s">
        <v>10</v>
      </c>
      <c r="C211" s="1" t="s">
        <v>1378</v>
      </c>
      <c r="D211" s="1" t="s">
        <v>116</v>
      </c>
      <c r="E211" s="1" t="s">
        <v>117</v>
      </c>
      <c r="F211" s="1" t="s">
        <v>795</v>
      </c>
      <c r="G211" s="1" t="s">
        <v>119</v>
      </c>
      <c r="H211" s="1" t="s">
        <v>797</v>
      </c>
      <c r="I211" t="b">
        <f>COUNTIF(Estadísticas!I:I,'centraldecomunicacion.es'!H211)&gt;0</f>
        <v>0</v>
      </c>
    </row>
    <row r="212" spans="1:9" hidden="1">
      <c r="A212" s="1" t="s">
        <v>1379</v>
      </c>
      <c r="B212" s="1" t="s">
        <v>24</v>
      </c>
      <c r="C212" s="1" t="s">
        <v>1380</v>
      </c>
      <c r="D212" s="1" t="s">
        <v>117</v>
      </c>
      <c r="E212" s="1" t="s">
        <v>117</v>
      </c>
      <c r="F212" s="1" t="s">
        <v>78</v>
      </c>
      <c r="G212" s="1" t="s">
        <v>1381</v>
      </c>
      <c r="H212" s="1" t="s">
        <v>657</v>
      </c>
      <c r="I212" t="b">
        <f>COUNTIF(Estadísticas!I:I,'centraldecomunicacion.es'!H212)&gt;0</f>
        <v>0</v>
      </c>
    </row>
    <row r="213" spans="1:9" hidden="1">
      <c r="A213" s="1" t="s">
        <v>1382</v>
      </c>
      <c r="B213" s="1" t="s">
        <v>24</v>
      </c>
      <c r="C213" s="1" t="s">
        <v>676</v>
      </c>
      <c r="D213" s="1" t="s">
        <v>12</v>
      </c>
      <c r="E213" s="1" t="s">
        <v>13</v>
      </c>
      <c r="F213" s="1" t="s">
        <v>677</v>
      </c>
      <c r="G213" s="1" t="s">
        <v>678</v>
      </c>
      <c r="H213" s="1" t="s">
        <v>679</v>
      </c>
      <c r="I213" t="b">
        <f>COUNTIF(Estadísticas!I:I,'centraldecomunicacion.es'!H213)&gt;0</f>
        <v>0</v>
      </c>
    </row>
    <row r="214" spans="1:9" hidden="1">
      <c r="A214" s="1" t="s">
        <v>1383</v>
      </c>
      <c r="B214" s="1" t="s">
        <v>24</v>
      </c>
      <c r="C214" s="1" t="s">
        <v>1384</v>
      </c>
      <c r="D214" s="1" t="s">
        <v>117</v>
      </c>
      <c r="E214" s="1" t="s">
        <v>117</v>
      </c>
      <c r="F214" s="1" t="s">
        <v>1067</v>
      </c>
      <c r="G214" s="1" t="s">
        <v>1385</v>
      </c>
      <c r="H214" s="1" t="s">
        <v>1069</v>
      </c>
      <c r="I214" t="b">
        <f>COUNTIF(Estadísticas!I:I,'centraldecomunicacion.es'!H214)&gt;0</f>
        <v>0</v>
      </c>
    </row>
    <row r="215" spans="1:9" hidden="1">
      <c r="A215" s="1" t="s">
        <v>1386</v>
      </c>
      <c r="B215" s="1" t="s">
        <v>24</v>
      </c>
      <c r="C215" s="1" t="s">
        <v>1387</v>
      </c>
      <c r="D215" s="1" t="s">
        <v>117</v>
      </c>
      <c r="E215" s="1" t="s">
        <v>117</v>
      </c>
      <c r="F215" s="1" t="s">
        <v>78</v>
      </c>
      <c r="G215" s="1" t="s">
        <v>1388</v>
      </c>
      <c r="H215" s="1" t="s">
        <v>657</v>
      </c>
      <c r="I215" t="b">
        <f>COUNTIF(Estadísticas!I:I,'centraldecomunicacion.es'!H215)&gt;0</f>
        <v>0</v>
      </c>
    </row>
    <row r="216" spans="1:9" hidden="1">
      <c r="A216" s="1" t="s">
        <v>1389</v>
      </c>
      <c r="B216" s="1" t="s">
        <v>24</v>
      </c>
      <c r="C216" s="1" t="s">
        <v>1390</v>
      </c>
      <c r="D216" s="1" t="s">
        <v>117</v>
      </c>
      <c r="E216" s="1" t="s">
        <v>117</v>
      </c>
      <c r="F216" s="1" t="s">
        <v>78</v>
      </c>
      <c r="G216" s="1" t="s">
        <v>1303</v>
      </c>
      <c r="H216" s="1" t="s">
        <v>657</v>
      </c>
      <c r="I216" t="b">
        <f>COUNTIF(Estadísticas!I:I,'centraldecomunicacion.es'!H216)&gt;0</f>
        <v>0</v>
      </c>
    </row>
    <row r="217" spans="1:9" hidden="1">
      <c r="A217" s="1" t="s">
        <v>1391</v>
      </c>
      <c r="B217" s="1" t="s">
        <v>24</v>
      </c>
      <c r="C217" s="1" t="s">
        <v>1392</v>
      </c>
      <c r="D217" s="1" t="s">
        <v>117</v>
      </c>
      <c r="E217" s="1" t="s">
        <v>117</v>
      </c>
      <c r="F217" s="1" t="s">
        <v>78</v>
      </c>
      <c r="G217" s="1" t="s">
        <v>1393</v>
      </c>
      <c r="H217" s="1" t="s">
        <v>657</v>
      </c>
      <c r="I217" t="b">
        <f>COUNTIF(Estadísticas!I:I,'centraldecomunicacion.es'!H217)&gt;0</f>
        <v>0</v>
      </c>
    </row>
    <row r="218" spans="1:9" hidden="1">
      <c r="A218" s="1" t="s">
        <v>1394</v>
      </c>
      <c r="B218" s="1" t="s">
        <v>24</v>
      </c>
      <c r="C218" s="1" t="s">
        <v>1395</v>
      </c>
      <c r="D218" s="1" t="s">
        <v>1396</v>
      </c>
      <c r="E218" s="1" t="s">
        <v>117</v>
      </c>
      <c r="F218" s="1" t="s">
        <v>1397</v>
      </c>
      <c r="G218" s="1" t="s">
        <v>1398</v>
      </c>
      <c r="H218" s="1" t="s">
        <v>657</v>
      </c>
      <c r="I218" t="b">
        <f>COUNTIF(Estadísticas!I:I,'centraldecomunicacion.es'!H218)&gt;0</f>
        <v>0</v>
      </c>
    </row>
    <row r="219" spans="1:9" hidden="1">
      <c r="A219" s="1" t="s">
        <v>1399</v>
      </c>
      <c r="B219" s="1" t="s">
        <v>10</v>
      </c>
      <c r="C219" s="1" t="s">
        <v>1400</v>
      </c>
      <c r="D219" s="1" t="s">
        <v>1401</v>
      </c>
      <c r="E219" s="1" t="s">
        <v>117</v>
      </c>
      <c r="F219" s="1" t="s">
        <v>1402</v>
      </c>
      <c r="G219" s="1" t="s">
        <v>1403</v>
      </c>
      <c r="H219" s="1" t="s">
        <v>1404</v>
      </c>
      <c r="I219" t="b">
        <f>COUNTIF(Estadísticas!I:I,'centraldecomunicacion.es'!H219)&gt;0</f>
        <v>0</v>
      </c>
    </row>
    <row r="220" spans="1:9" hidden="1">
      <c r="A220" s="1" t="s">
        <v>1405</v>
      </c>
      <c r="B220" s="1" t="s">
        <v>24</v>
      </c>
      <c r="C220" s="1" t="s">
        <v>1406</v>
      </c>
      <c r="D220" s="1" t="s">
        <v>117</v>
      </c>
      <c r="E220" s="1" t="s">
        <v>117</v>
      </c>
      <c r="F220" s="1" t="s">
        <v>78</v>
      </c>
      <c r="G220" s="1" t="s">
        <v>78</v>
      </c>
      <c r="H220" s="1" t="s">
        <v>657</v>
      </c>
      <c r="I220" t="b">
        <f>COUNTIF(Estadísticas!I:I,'centraldecomunicacion.es'!H220)&gt;0</f>
        <v>0</v>
      </c>
    </row>
    <row r="221" spans="1:9" hidden="1">
      <c r="A221" s="1" t="s">
        <v>1407</v>
      </c>
      <c r="B221" s="1" t="s">
        <v>10</v>
      </c>
      <c r="C221" s="1" t="s">
        <v>1408</v>
      </c>
      <c r="D221" s="1" t="s">
        <v>117</v>
      </c>
      <c r="E221" s="1" t="s">
        <v>117</v>
      </c>
      <c r="F221" s="1" t="s">
        <v>1340</v>
      </c>
      <c r="G221" s="1" t="s">
        <v>1341</v>
      </c>
      <c r="H221" s="1" t="s">
        <v>1342</v>
      </c>
      <c r="I221" t="b">
        <f>COUNTIF(Estadísticas!I:I,'centraldecomunicacion.es'!H221)&gt;0</f>
        <v>0</v>
      </c>
    </row>
    <row r="222" spans="1:9" hidden="1">
      <c r="A222" s="1" t="s">
        <v>1409</v>
      </c>
      <c r="B222" s="1" t="s">
        <v>24</v>
      </c>
      <c r="C222" s="1" t="s">
        <v>1410</v>
      </c>
      <c r="D222" s="1" t="s">
        <v>117</v>
      </c>
      <c r="E222" s="1" t="s">
        <v>117</v>
      </c>
      <c r="F222" s="1" t="s">
        <v>78</v>
      </c>
      <c r="G222" s="1" t="s">
        <v>1411</v>
      </c>
      <c r="H222" s="1" t="s">
        <v>657</v>
      </c>
      <c r="I222" t="b">
        <f>COUNTIF(Estadísticas!I:I,'centraldecomunicacion.es'!H222)&gt;0</f>
        <v>0</v>
      </c>
    </row>
    <row r="223" spans="1:9" hidden="1">
      <c r="A223" s="1" t="s">
        <v>1412</v>
      </c>
      <c r="B223" s="1" t="s">
        <v>10</v>
      </c>
      <c r="C223" s="1" t="s">
        <v>1413</v>
      </c>
      <c r="D223" s="1" t="s">
        <v>1414</v>
      </c>
      <c r="E223" s="1" t="s">
        <v>117</v>
      </c>
      <c r="F223" s="1" t="s">
        <v>1415</v>
      </c>
      <c r="G223" s="1" t="s">
        <v>1416</v>
      </c>
      <c r="H223" s="1" t="s">
        <v>1417</v>
      </c>
      <c r="I223" t="b">
        <f>COUNTIF(Estadísticas!I:I,'centraldecomunicacion.es'!H223)&gt;0</f>
        <v>0</v>
      </c>
    </row>
    <row r="224" spans="1:9" hidden="1">
      <c r="A224" s="1" t="s">
        <v>1418</v>
      </c>
      <c r="B224" s="1" t="s">
        <v>10</v>
      </c>
      <c r="C224" s="1" t="s">
        <v>78</v>
      </c>
      <c r="D224" s="1" t="s">
        <v>698</v>
      </c>
      <c r="E224" s="1" t="s">
        <v>78</v>
      </c>
      <c r="F224" s="1" t="s">
        <v>829</v>
      </c>
      <c r="G224" s="1" t="s">
        <v>1419</v>
      </c>
      <c r="H224" s="1" t="s">
        <v>831</v>
      </c>
      <c r="I224" t="b">
        <f>COUNTIF(Estadísticas!I:I,'centraldecomunicacion.es'!H224)&gt;0</f>
        <v>0</v>
      </c>
    </row>
    <row r="225" spans="1:9" hidden="1">
      <c r="A225" s="1" t="s">
        <v>1420</v>
      </c>
      <c r="B225" s="1" t="s">
        <v>10</v>
      </c>
      <c r="C225" s="1" t="s">
        <v>1421</v>
      </c>
      <c r="D225" s="1" t="s">
        <v>1353</v>
      </c>
      <c r="E225" s="1" t="s">
        <v>117</v>
      </c>
      <c r="F225" s="1" t="s">
        <v>1422</v>
      </c>
      <c r="G225" s="1" t="s">
        <v>1423</v>
      </c>
      <c r="H225" s="1" t="s">
        <v>1424</v>
      </c>
      <c r="I225" t="b">
        <f>COUNTIF(Estadísticas!I:I,'centraldecomunicacion.es'!H225)&gt;0</f>
        <v>0</v>
      </c>
    </row>
    <row r="226" spans="1:9" hidden="1">
      <c r="A226" s="1" t="s">
        <v>1425</v>
      </c>
      <c r="B226" s="1" t="s">
        <v>24</v>
      </c>
      <c r="C226" s="1" t="s">
        <v>1426</v>
      </c>
      <c r="D226" s="1" t="s">
        <v>117</v>
      </c>
      <c r="E226" s="1" t="s">
        <v>117</v>
      </c>
      <c r="F226" s="1" t="s">
        <v>78</v>
      </c>
      <c r="G226" s="1" t="s">
        <v>1427</v>
      </c>
      <c r="H226" s="1" t="s">
        <v>657</v>
      </c>
      <c r="I226" t="b">
        <f>COUNTIF(Estadísticas!I:I,'centraldecomunicacion.es'!H226)&gt;0</f>
        <v>0</v>
      </c>
    </row>
    <row r="227" spans="1:9" hidden="1">
      <c r="A227" s="1" t="s">
        <v>1428</v>
      </c>
      <c r="B227" s="1" t="s">
        <v>24</v>
      </c>
      <c r="C227" s="1" t="s">
        <v>78</v>
      </c>
      <c r="D227" s="1" t="s">
        <v>698</v>
      </c>
      <c r="E227" s="1" t="s">
        <v>78</v>
      </c>
      <c r="F227" s="1" t="s">
        <v>78</v>
      </c>
      <c r="G227" s="1" t="s">
        <v>1429</v>
      </c>
      <c r="H227" s="1" t="s">
        <v>657</v>
      </c>
      <c r="I227" t="b">
        <f>COUNTIF(Estadísticas!I:I,'centraldecomunicacion.es'!H227)&gt;0</f>
        <v>0</v>
      </c>
    </row>
    <row r="228" spans="1:9" hidden="1">
      <c r="A228" s="1" t="s">
        <v>1430</v>
      </c>
      <c r="B228" s="1" t="s">
        <v>10</v>
      </c>
      <c r="C228" s="1" t="s">
        <v>1431</v>
      </c>
      <c r="D228" s="1" t="s">
        <v>862</v>
      </c>
      <c r="E228" s="1" t="s">
        <v>117</v>
      </c>
      <c r="F228" s="1" t="s">
        <v>1432</v>
      </c>
      <c r="G228" s="1" t="s">
        <v>1433</v>
      </c>
      <c r="H228" s="1" t="s">
        <v>1434</v>
      </c>
      <c r="I228" t="b">
        <f>COUNTIF(Estadísticas!I:I,'centraldecomunicacion.es'!H228)&gt;0</f>
        <v>0</v>
      </c>
    </row>
    <row r="229" spans="1:9" hidden="1">
      <c r="A229" s="1" t="s">
        <v>1435</v>
      </c>
      <c r="B229" s="1" t="s">
        <v>10</v>
      </c>
      <c r="C229" s="1" t="s">
        <v>78</v>
      </c>
      <c r="D229" s="1" t="s">
        <v>698</v>
      </c>
      <c r="E229" s="1" t="s">
        <v>78</v>
      </c>
      <c r="F229" s="1" t="s">
        <v>1436</v>
      </c>
      <c r="G229" s="1" t="s">
        <v>1419</v>
      </c>
      <c r="H229" s="1" t="s">
        <v>657</v>
      </c>
      <c r="I229" t="b">
        <f>COUNTIF(Estadísticas!I:I,'centraldecomunicacion.es'!H229)&gt;0</f>
        <v>0</v>
      </c>
    </row>
    <row r="230" spans="1:9">
      <c r="A230" s="1" t="s">
        <v>126</v>
      </c>
      <c r="B230" s="1" t="s">
        <v>24</v>
      </c>
      <c r="C230" s="1" t="s">
        <v>127</v>
      </c>
      <c r="D230" s="1" t="s">
        <v>128</v>
      </c>
      <c r="E230" s="1" t="s">
        <v>117</v>
      </c>
      <c r="F230" s="1" t="s">
        <v>129</v>
      </c>
      <c r="G230" s="1" t="s">
        <v>130</v>
      </c>
      <c r="H230" s="1" t="s">
        <v>131</v>
      </c>
      <c r="I230" t="b">
        <f>COUNTIF(Estadísticas!I:I,'centraldecomunicacion.es'!H230)&gt;0</f>
        <v>1</v>
      </c>
    </row>
    <row r="231" spans="1:9" hidden="1">
      <c r="A231" s="1" t="s">
        <v>1437</v>
      </c>
      <c r="B231" s="1" t="s">
        <v>10</v>
      </c>
      <c r="C231" s="1" t="s">
        <v>78</v>
      </c>
      <c r="D231" s="1" t="s">
        <v>698</v>
      </c>
      <c r="E231" s="1" t="s">
        <v>78</v>
      </c>
      <c r="F231" s="1" t="s">
        <v>1438</v>
      </c>
      <c r="G231" s="1" t="s">
        <v>1439</v>
      </c>
      <c r="H231" s="1" t="s">
        <v>657</v>
      </c>
      <c r="I231" t="b">
        <f>COUNTIF(Estadísticas!I:I,'centraldecomunicacion.es'!H231)&gt;0</f>
        <v>0</v>
      </c>
    </row>
    <row r="232" spans="1:9" hidden="1">
      <c r="A232" s="1" t="s">
        <v>1440</v>
      </c>
      <c r="B232" s="1" t="s">
        <v>24</v>
      </c>
      <c r="C232" s="1" t="s">
        <v>1441</v>
      </c>
      <c r="D232" s="1" t="s">
        <v>117</v>
      </c>
      <c r="E232" s="1" t="s">
        <v>117</v>
      </c>
      <c r="F232" s="1" t="s">
        <v>78</v>
      </c>
      <c r="G232" s="1" t="s">
        <v>1442</v>
      </c>
      <c r="H232" s="1" t="s">
        <v>657</v>
      </c>
      <c r="I232" t="b">
        <f>COUNTIF(Estadísticas!I:I,'centraldecomunicacion.es'!H232)&gt;0</f>
        <v>0</v>
      </c>
    </row>
    <row r="233" spans="1:9" hidden="1">
      <c r="A233" s="1" t="s">
        <v>1347</v>
      </c>
      <c r="B233" s="1" t="s">
        <v>24</v>
      </c>
      <c r="C233" s="1" t="s">
        <v>78</v>
      </c>
      <c r="D233" s="1" t="s">
        <v>698</v>
      </c>
      <c r="E233" s="1" t="s">
        <v>78</v>
      </c>
      <c r="F233" s="1" t="s">
        <v>1349</v>
      </c>
      <c r="G233" s="1" t="s">
        <v>1350</v>
      </c>
      <c r="H233" s="1" t="s">
        <v>657</v>
      </c>
      <c r="I233" t="b">
        <f>COUNTIF(Estadísticas!I:I,'centraldecomunicacion.es'!H233)&gt;0</f>
        <v>0</v>
      </c>
    </row>
    <row r="234" spans="1:9" hidden="1">
      <c r="A234" s="1" t="s">
        <v>1443</v>
      </c>
      <c r="B234" s="1" t="s">
        <v>24</v>
      </c>
      <c r="C234" s="1" t="s">
        <v>1444</v>
      </c>
      <c r="D234" s="1" t="s">
        <v>839</v>
      </c>
      <c r="E234" s="1" t="s">
        <v>117</v>
      </c>
      <c r="F234" s="1" t="s">
        <v>1445</v>
      </c>
      <c r="G234" s="1" t="s">
        <v>1446</v>
      </c>
      <c r="H234" s="1" t="s">
        <v>1447</v>
      </c>
      <c r="I234" t="b">
        <f>COUNTIF(Estadísticas!I:I,'centraldecomunicacion.es'!H234)&gt;0</f>
        <v>0</v>
      </c>
    </row>
    <row r="235" spans="1:9" hidden="1">
      <c r="A235" s="1" t="s">
        <v>1448</v>
      </c>
      <c r="B235" s="1" t="s">
        <v>10</v>
      </c>
      <c r="C235" s="1" t="s">
        <v>1285</v>
      </c>
      <c r="D235" s="1" t="s">
        <v>116</v>
      </c>
      <c r="E235" s="1" t="s">
        <v>117</v>
      </c>
      <c r="F235" s="1" t="s">
        <v>1449</v>
      </c>
      <c r="G235" s="1" t="s">
        <v>1450</v>
      </c>
      <c r="H235" s="1" t="s">
        <v>657</v>
      </c>
      <c r="I235" t="b">
        <f>COUNTIF(Estadísticas!I:I,'centraldecomunicacion.es'!H235)&gt;0</f>
        <v>0</v>
      </c>
    </row>
    <row r="236" spans="1:9" hidden="1">
      <c r="A236" s="1" t="s">
        <v>1451</v>
      </c>
      <c r="B236" s="1" t="s">
        <v>10</v>
      </c>
      <c r="C236" s="1" t="s">
        <v>78</v>
      </c>
      <c r="D236" s="1" t="s">
        <v>698</v>
      </c>
      <c r="E236" s="1" t="s">
        <v>78</v>
      </c>
      <c r="F236" s="1" t="s">
        <v>78</v>
      </c>
      <c r="G236" s="1" t="s">
        <v>1419</v>
      </c>
      <c r="H236" s="1" t="s">
        <v>657</v>
      </c>
      <c r="I236" t="b">
        <f>COUNTIF(Estadísticas!I:I,'centraldecomunicacion.es'!H236)&gt;0</f>
        <v>0</v>
      </c>
    </row>
    <row r="237" spans="1:9" hidden="1">
      <c r="A237" s="1" t="s">
        <v>1452</v>
      </c>
      <c r="B237" s="1" t="s">
        <v>10</v>
      </c>
      <c r="C237" s="1" t="s">
        <v>78</v>
      </c>
      <c r="D237" s="1" t="s">
        <v>698</v>
      </c>
      <c r="E237" s="1" t="s">
        <v>78</v>
      </c>
      <c r="F237" s="1" t="s">
        <v>78</v>
      </c>
      <c r="G237" s="1" t="s">
        <v>1453</v>
      </c>
      <c r="H237" s="1" t="s">
        <v>657</v>
      </c>
      <c r="I237" t="b">
        <f>COUNTIF(Estadísticas!I:I,'centraldecomunicacion.es'!H237)&gt;0</f>
        <v>0</v>
      </c>
    </row>
    <row r="238" spans="1:9" hidden="1">
      <c r="A238" s="1" t="s">
        <v>1454</v>
      </c>
      <c r="B238" s="1" t="s">
        <v>10</v>
      </c>
      <c r="C238" s="1" t="s">
        <v>1455</v>
      </c>
      <c r="D238" s="1" t="s">
        <v>1353</v>
      </c>
      <c r="E238" s="1" t="s">
        <v>117</v>
      </c>
      <c r="F238" s="1" t="s">
        <v>78</v>
      </c>
      <c r="G238" s="1" t="s">
        <v>1456</v>
      </c>
      <c r="H238" s="1" t="s">
        <v>657</v>
      </c>
      <c r="I238" t="b">
        <f>COUNTIF(Estadísticas!I:I,'centraldecomunicacion.es'!H238)&gt;0</f>
        <v>0</v>
      </c>
    </row>
    <row r="239" spans="1:9" hidden="1">
      <c r="A239" s="1" t="s">
        <v>1457</v>
      </c>
      <c r="B239" s="1" t="s">
        <v>24</v>
      </c>
      <c r="C239" s="1" t="s">
        <v>1458</v>
      </c>
      <c r="D239" s="1" t="s">
        <v>1353</v>
      </c>
      <c r="E239" s="1" t="s">
        <v>117</v>
      </c>
      <c r="F239" s="1" t="s">
        <v>1354</v>
      </c>
      <c r="G239" s="1" t="s">
        <v>1355</v>
      </c>
      <c r="H239" s="1" t="s">
        <v>1356</v>
      </c>
      <c r="I239" t="b">
        <f>COUNTIF(Estadísticas!I:I,'centraldecomunicacion.es'!H239)&gt;0</f>
        <v>0</v>
      </c>
    </row>
    <row r="240" spans="1:9" hidden="1">
      <c r="A240" s="1" t="s">
        <v>1459</v>
      </c>
      <c r="B240" s="1" t="s">
        <v>10</v>
      </c>
      <c r="C240" s="1" t="s">
        <v>1460</v>
      </c>
      <c r="D240" s="1" t="s">
        <v>1461</v>
      </c>
      <c r="E240" s="1" t="s">
        <v>117</v>
      </c>
      <c r="F240" s="1" t="s">
        <v>1462</v>
      </c>
      <c r="G240" s="1" t="s">
        <v>1463</v>
      </c>
      <c r="H240" s="1" t="s">
        <v>1464</v>
      </c>
      <c r="I240" t="b">
        <f>COUNTIF(Estadísticas!I:I,'centraldecomunicacion.es'!H240)&gt;0</f>
        <v>0</v>
      </c>
    </row>
    <row r="241" spans="1:9" hidden="1">
      <c r="A241" s="1" t="s">
        <v>1465</v>
      </c>
      <c r="B241" s="1" t="s">
        <v>24</v>
      </c>
      <c r="C241" s="1" t="s">
        <v>1466</v>
      </c>
      <c r="D241" s="1" t="s">
        <v>1401</v>
      </c>
      <c r="E241" s="1" t="s">
        <v>117</v>
      </c>
      <c r="F241" s="1" t="s">
        <v>78</v>
      </c>
      <c r="G241" s="1" t="s">
        <v>1467</v>
      </c>
      <c r="H241" s="1" t="s">
        <v>657</v>
      </c>
      <c r="I241" t="b">
        <f>COUNTIF(Estadísticas!I:I,'centraldecomunicacion.es'!H241)&gt;0</f>
        <v>0</v>
      </c>
    </row>
    <row r="242" spans="1:9" hidden="1">
      <c r="A242" s="1" t="s">
        <v>1468</v>
      </c>
      <c r="B242" s="1" t="s">
        <v>24</v>
      </c>
      <c r="C242" s="1" t="s">
        <v>1469</v>
      </c>
      <c r="D242" s="1" t="s">
        <v>116</v>
      </c>
      <c r="E242" s="1" t="s">
        <v>117</v>
      </c>
      <c r="F242" s="1" t="s">
        <v>78</v>
      </c>
      <c r="G242" s="1" t="s">
        <v>1470</v>
      </c>
      <c r="H242" s="1" t="s">
        <v>657</v>
      </c>
      <c r="I242" t="b">
        <f>COUNTIF(Estadísticas!I:I,'centraldecomunicacion.es'!H242)&gt;0</f>
        <v>0</v>
      </c>
    </row>
    <row r="243" spans="1:9" hidden="1">
      <c r="A243" s="1" t="s">
        <v>1471</v>
      </c>
      <c r="B243" s="1" t="s">
        <v>10</v>
      </c>
      <c r="C243" s="1" t="s">
        <v>1472</v>
      </c>
      <c r="D243" s="1" t="s">
        <v>1473</v>
      </c>
      <c r="E243" s="1" t="s">
        <v>117</v>
      </c>
      <c r="F243" s="1" t="s">
        <v>78</v>
      </c>
      <c r="G243" s="1" t="s">
        <v>1474</v>
      </c>
      <c r="H243" s="1" t="s">
        <v>657</v>
      </c>
      <c r="I243" t="b">
        <f>COUNTIF(Estadísticas!I:I,'centraldecomunicacion.es'!H243)&gt;0</f>
        <v>0</v>
      </c>
    </row>
    <row r="244" spans="1:9" hidden="1">
      <c r="A244" s="1" t="s">
        <v>1475</v>
      </c>
      <c r="B244" s="1" t="s">
        <v>24</v>
      </c>
      <c r="C244" s="1" t="s">
        <v>1476</v>
      </c>
      <c r="D244" s="1" t="s">
        <v>116</v>
      </c>
      <c r="E244" s="1" t="s">
        <v>117</v>
      </c>
      <c r="F244" s="1" t="s">
        <v>78</v>
      </c>
      <c r="G244" s="1" t="s">
        <v>1477</v>
      </c>
      <c r="H244" s="1" t="s">
        <v>657</v>
      </c>
      <c r="I244" t="b">
        <f>COUNTIF(Estadísticas!I:I,'centraldecomunicacion.es'!H244)&gt;0</f>
        <v>0</v>
      </c>
    </row>
    <row r="245" spans="1:9" hidden="1">
      <c r="A245" s="1" t="s">
        <v>1478</v>
      </c>
      <c r="B245" s="1" t="s">
        <v>24</v>
      </c>
      <c r="C245" s="1" t="s">
        <v>1479</v>
      </c>
      <c r="D245" s="1" t="s">
        <v>1480</v>
      </c>
      <c r="E245" s="1" t="s">
        <v>117</v>
      </c>
      <c r="F245" s="1" t="s">
        <v>78</v>
      </c>
      <c r="G245" s="1" t="s">
        <v>1481</v>
      </c>
      <c r="H245" s="1" t="s">
        <v>657</v>
      </c>
      <c r="I245" t="b">
        <f>COUNTIF(Estadísticas!I:I,'centraldecomunicacion.es'!H245)&gt;0</f>
        <v>0</v>
      </c>
    </row>
    <row r="246" spans="1:9" hidden="1">
      <c r="A246" s="1" t="s">
        <v>1482</v>
      </c>
      <c r="B246" s="1" t="s">
        <v>10</v>
      </c>
      <c r="C246" s="1" t="s">
        <v>1483</v>
      </c>
      <c r="D246" s="1" t="s">
        <v>1353</v>
      </c>
      <c r="E246" s="1" t="s">
        <v>117</v>
      </c>
      <c r="F246" s="1" t="s">
        <v>78</v>
      </c>
      <c r="G246" s="1" t="s">
        <v>1484</v>
      </c>
      <c r="H246" s="1" t="s">
        <v>657</v>
      </c>
      <c r="I246" t="b">
        <f>COUNTIF(Estadísticas!I:I,'centraldecomunicacion.es'!H246)&gt;0</f>
        <v>0</v>
      </c>
    </row>
    <row r="247" spans="1:9" hidden="1">
      <c r="A247" s="1" t="s">
        <v>1485</v>
      </c>
      <c r="B247" s="1" t="s">
        <v>10</v>
      </c>
      <c r="C247" s="1" t="s">
        <v>1486</v>
      </c>
      <c r="D247" s="1" t="s">
        <v>839</v>
      </c>
      <c r="E247" s="1" t="s">
        <v>117</v>
      </c>
      <c r="F247" s="1" t="s">
        <v>1487</v>
      </c>
      <c r="G247" s="1" t="s">
        <v>1488</v>
      </c>
      <c r="H247" s="1" t="s">
        <v>1489</v>
      </c>
      <c r="I247" t="b">
        <f>COUNTIF(Estadísticas!I:I,'centraldecomunicacion.es'!H247)&gt;0</f>
        <v>0</v>
      </c>
    </row>
    <row r="248" spans="1:9" hidden="1">
      <c r="A248" s="1" t="s">
        <v>1490</v>
      </c>
      <c r="B248" s="1" t="s">
        <v>24</v>
      </c>
      <c r="C248" s="1" t="s">
        <v>78</v>
      </c>
      <c r="D248" s="1" t="s">
        <v>698</v>
      </c>
      <c r="E248" s="1" t="s">
        <v>78</v>
      </c>
      <c r="F248" s="1" t="s">
        <v>78</v>
      </c>
      <c r="G248" s="1" t="s">
        <v>1491</v>
      </c>
      <c r="H248" s="1" t="s">
        <v>657</v>
      </c>
      <c r="I248" t="b">
        <f>COUNTIF(Estadísticas!I:I,'centraldecomunicacion.es'!H248)&gt;0</f>
        <v>0</v>
      </c>
    </row>
    <row r="249" spans="1:9" hidden="1">
      <c r="A249" s="1" t="s">
        <v>1492</v>
      </c>
      <c r="B249" s="1" t="s">
        <v>24</v>
      </c>
      <c r="C249" s="1" t="s">
        <v>1493</v>
      </c>
      <c r="D249" s="1" t="s">
        <v>1353</v>
      </c>
      <c r="E249" s="1" t="s">
        <v>117</v>
      </c>
      <c r="F249" s="1" t="s">
        <v>78</v>
      </c>
      <c r="G249" s="1" t="s">
        <v>1494</v>
      </c>
      <c r="H249" s="1" t="s">
        <v>657</v>
      </c>
      <c r="I249" t="b">
        <f>COUNTIF(Estadísticas!I:I,'centraldecomunicacion.es'!H249)&gt;0</f>
        <v>0</v>
      </c>
    </row>
    <row r="250" spans="1:9" hidden="1">
      <c r="A250" s="1" t="s">
        <v>1495</v>
      </c>
      <c r="B250" s="1" t="s">
        <v>24</v>
      </c>
      <c r="C250" s="1" t="s">
        <v>1496</v>
      </c>
      <c r="D250" s="1" t="s">
        <v>116</v>
      </c>
      <c r="E250" s="1" t="s">
        <v>117</v>
      </c>
      <c r="F250" s="1" t="s">
        <v>1497</v>
      </c>
      <c r="G250" s="1" t="s">
        <v>1498</v>
      </c>
      <c r="H250" s="1" t="s">
        <v>1499</v>
      </c>
      <c r="I250" t="b">
        <f>COUNTIF(Estadísticas!I:I,'centraldecomunicacion.es'!H250)&gt;0</f>
        <v>0</v>
      </c>
    </row>
    <row r="251" spans="1:9" hidden="1">
      <c r="A251" s="1" t="s">
        <v>1500</v>
      </c>
      <c r="B251" s="1" t="s">
        <v>24</v>
      </c>
      <c r="C251" s="1" t="s">
        <v>1501</v>
      </c>
      <c r="D251" s="1" t="s">
        <v>839</v>
      </c>
      <c r="E251" s="1" t="s">
        <v>117</v>
      </c>
      <c r="F251" s="1" t="s">
        <v>78</v>
      </c>
      <c r="G251" s="1" t="s">
        <v>1502</v>
      </c>
      <c r="H251" s="1" t="s">
        <v>657</v>
      </c>
      <c r="I251" t="b">
        <f>COUNTIF(Estadísticas!I:I,'centraldecomunicacion.es'!H251)&gt;0</f>
        <v>0</v>
      </c>
    </row>
    <row r="252" spans="1:9" hidden="1">
      <c r="A252" s="1" t="s">
        <v>1503</v>
      </c>
      <c r="B252" s="1" t="s">
        <v>24</v>
      </c>
      <c r="C252" s="1" t="s">
        <v>1483</v>
      </c>
      <c r="D252" s="1" t="s">
        <v>1353</v>
      </c>
      <c r="E252" s="1" t="s">
        <v>117</v>
      </c>
      <c r="F252" s="1" t="s">
        <v>78</v>
      </c>
      <c r="G252" s="1" t="s">
        <v>1484</v>
      </c>
      <c r="H252" s="1" t="s">
        <v>657</v>
      </c>
      <c r="I252" t="b">
        <f>COUNTIF(Estadísticas!I:I,'centraldecomunicacion.es'!H252)&gt;0</f>
        <v>0</v>
      </c>
    </row>
    <row r="253" spans="1:9" hidden="1">
      <c r="A253" s="1" t="s">
        <v>1504</v>
      </c>
      <c r="B253" s="1" t="s">
        <v>24</v>
      </c>
      <c r="C253" s="1" t="s">
        <v>1505</v>
      </c>
      <c r="D253" s="1" t="s">
        <v>38</v>
      </c>
      <c r="E253" s="1" t="s">
        <v>38</v>
      </c>
      <c r="F253" s="1" t="s">
        <v>1506</v>
      </c>
      <c r="G253" s="1" t="s">
        <v>1507</v>
      </c>
      <c r="H253" s="1" t="s">
        <v>764</v>
      </c>
      <c r="I253" t="b">
        <f>COUNTIF(Estadísticas!I:I,'centraldecomunicacion.es'!H253)&gt;0</f>
        <v>0</v>
      </c>
    </row>
    <row r="254" spans="1:9" hidden="1">
      <c r="A254" s="1" t="s">
        <v>1508</v>
      </c>
      <c r="B254" s="1" t="s">
        <v>24</v>
      </c>
      <c r="C254" s="1" t="s">
        <v>1509</v>
      </c>
      <c r="D254" s="1" t="s">
        <v>407</v>
      </c>
      <c r="E254" s="1" t="s">
        <v>396</v>
      </c>
      <c r="F254" s="1" t="s">
        <v>1510</v>
      </c>
      <c r="G254" s="1" t="s">
        <v>1511</v>
      </c>
      <c r="H254" s="1" t="s">
        <v>1512</v>
      </c>
      <c r="I254" t="b">
        <f>COUNTIF(Estadísticas!I:I,'centraldecomunicacion.es'!H254)&gt;0</f>
        <v>0</v>
      </c>
    </row>
    <row r="255" spans="1:9" hidden="1">
      <c r="A255" s="1" t="s">
        <v>1513</v>
      </c>
      <c r="B255" s="1" t="s">
        <v>10</v>
      </c>
      <c r="C255" s="1" t="s">
        <v>1514</v>
      </c>
      <c r="D255" s="1" t="s">
        <v>277</v>
      </c>
      <c r="E255" s="1" t="s">
        <v>38</v>
      </c>
      <c r="F255" s="1" t="s">
        <v>1515</v>
      </c>
      <c r="G255" s="1" t="s">
        <v>1516</v>
      </c>
      <c r="H255" s="1" t="s">
        <v>1517</v>
      </c>
      <c r="I255" t="b">
        <f>COUNTIF(Estadísticas!I:I,'centraldecomunicacion.es'!H255)&gt;0</f>
        <v>0</v>
      </c>
    </row>
    <row r="256" spans="1:9" hidden="1">
      <c r="A256" s="1" t="s">
        <v>1518</v>
      </c>
      <c r="B256" s="1" t="s">
        <v>24</v>
      </c>
      <c r="C256" s="1" t="s">
        <v>1519</v>
      </c>
      <c r="D256" s="1" t="s">
        <v>1520</v>
      </c>
      <c r="E256" s="1" t="s">
        <v>1520</v>
      </c>
      <c r="F256" s="1" t="s">
        <v>78</v>
      </c>
      <c r="G256" s="1" t="s">
        <v>1521</v>
      </c>
      <c r="H256" s="1" t="s">
        <v>657</v>
      </c>
      <c r="I256" t="b">
        <f>COUNTIF(Estadísticas!I:I,'centraldecomunicacion.es'!H256)&gt;0</f>
        <v>0</v>
      </c>
    </row>
    <row r="257" spans="1:9" hidden="1">
      <c r="A257" s="1" t="s">
        <v>1522</v>
      </c>
      <c r="B257" s="1" t="s">
        <v>24</v>
      </c>
      <c r="C257" s="1" t="s">
        <v>1523</v>
      </c>
      <c r="D257" s="1" t="s">
        <v>1520</v>
      </c>
      <c r="E257" s="1" t="s">
        <v>1520</v>
      </c>
      <c r="F257" s="1" t="s">
        <v>1524</v>
      </c>
      <c r="G257" s="1" t="s">
        <v>1525</v>
      </c>
      <c r="H257" s="1" t="s">
        <v>1526</v>
      </c>
      <c r="I257" t="b">
        <f>COUNTIF(Estadísticas!I:I,'centraldecomunicacion.es'!H257)&gt;0</f>
        <v>0</v>
      </c>
    </row>
    <row r="258" spans="1:9" hidden="1">
      <c r="A258" s="1" t="s">
        <v>1527</v>
      </c>
      <c r="B258" s="1" t="s">
        <v>24</v>
      </c>
      <c r="C258" s="1" t="s">
        <v>1528</v>
      </c>
      <c r="D258" s="1" t="s">
        <v>1529</v>
      </c>
      <c r="E258" s="1" t="s">
        <v>1520</v>
      </c>
      <c r="F258" s="1" t="s">
        <v>78</v>
      </c>
      <c r="G258" s="1" t="s">
        <v>78</v>
      </c>
      <c r="H258" s="1" t="s">
        <v>657</v>
      </c>
      <c r="I258" t="b">
        <f>COUNTIF(Estadísticas!I:I,'centraldecomunicacion.es'!H258)&gt;0</f>
        <v>0</v>
      </c>
    </row>
    <row r="259" spans="1:9" hidden="1">
      <c r="A259" s="1" t="s">
        <v>1530</v>
      </c>
      <c r="B259" s="1" t="s">
        <v>10</v>
      </c>
      <c r="C259" s="1" t="s">
        <v>78</v>
      </c>
      <c r="D259" s="1" t="s">
        <v>1529</v>
      </c>
      <c r="E259" s="1" t="s">
        <v>78</v>
      </c>
      <c r="F259" s="1" t="s">
        <v>1531</v>
      </c>
      <c r="G259" s="1" t="s">
        <v>1532</v>
      </c>
      <c r="H259" s="1" t="s">
        <v>657</v>
      </c>
      <c r="I259" t="b">
        <f>COUNTIF(Estadísticas!I:I,'centraldecomunicacion.es'!H259)&gt;0</f>
        <v>0</v>
      </c>
    </row>
    <row r="260" spans="1:9" hidden="1">
      <c r="A260" s="1" t="s">
        <v>1533</v>
      </c>
      <c r="B260" s="1" t="s">
        <v>24</v>
      </c>
      <c r="C260" s="1" t="s">
        <v>1534</v>
      </c>
      <c r="D260" s="1" t="s">
        <v>1535</v>
      </c>
      <c r="E260" s="1" t="s">
        <v>1520</v>
      </c>
      <c r="F260" s="1" t="s">
        <v>1536</v>
      </c>
      <c r="G260" s="1" t="s">
        <v>1537</v>
      </c>
      <c r="H260" s="1" t="s">
        <v>657</v>
      </c>
      <c r="I260" t="b">
        <f>COUNTIF(Estadísticas!I:I,'centraldecomunicacion.es'!H260)&gt;0</f>
        <v>0</v>
      </c>
    </row>
    <row r="261" spans="1:9" hidden="1">
      <c r="A261" s="1" t="s">
        <v>1538</v>
      </c>
      <c r="B261" s="1" t="s">
        <v>24</v>
      </c>
      <c r="C261" s="1" t="s">
        <v>78</v>
      </c>
      <c r="D261" s="1" t="s">
        <v>1529</v>
      </c>
      <c r="E261" s="1" t="s">
        <v>78</v>
      </c>
      <c r="F261" s="1" t="s">
        <v>1539</v>
      </c>
      <c r="G261" s="1" t="s">
        <v>1540</v>
      </c>
      <c r="H261" s="1" t="s">
        <v>657</v>
      </c>
      <c r="I261" t="b">
        <f>COUNTIF(Estadísticas!I:I,'centraldecomunicacion.es'!H261)&gt;0</f>
        <v>0</v>
      </c>
    </row>
    <row r="262" spans="1:9" hidden="1">
      <c r="A262" s="1" t="s">
        <v>1541</v>
      </c>
      <c r="B262" s="1" t="s">
        <v>10</v>
      </c>
      <c r="C262" s="1" t="s">
        <v>78</v>
      </c>
      <c r="D262" s="1" t="s">
        <v>1529</v>
      </c>
      <c r="E262" s="1" t="s">
        <v>78</v>
      </c>
      <c r="F262" s="1" t="s">
        <v>1542</v>
      </c>
      <c r="G262" s="1" t="s">
        <v>1543</v>
      </c>
      <c r="H262" s="1" t="s">
        <v>1544</v>
      </c>
      <c r="I262" t="b">
        <f>COUNTIF(Estadísticas!I:I,'centraldecomunicacion.es'!H262)&gt;0</f>
        <v>0</v>
      </c>
    </row>
    <row r="263" spans="1:9" hidden="1">
      <c r="A263" s="1" t="s">
        <v>1545</v>
      </c>
      <c r="B263" s="1" t="s">
        <v>24</v>
      </c>
      <c r="C263" s="1" t="s">
        <v>1546</v>
      </c>
      <c r="D263" s="1" t="s">
        <v>160</v>
      </c>
      <c r="E263" s="1" t="s">
        <v>160</v>
      </c>
      <c r="F263" s="1" t="s">
        <v>1547</v>
      </c>
      <c r="G263" s="1" t="s">
        <v>1548</v>
      </c>
      <c r="H263" s="1" t="s">
        <v>1549</v>
      </c>
      <c r="I263" t="b">
        <f>COUNTIF(Estadísticas!I:I,'centraldecomunicacion.es'!H263)&gt;0</f>
        <v>0</v>
      </c>
    </row>
    <row r="264" spans="1:9" hidden="1">
      <c r="A264" s="1" t="s">
        <v>1550</v>
      </c>
      <c r="B264" s="1" t="s">
        <v>24</v>
      </c>
      <c r="C264" s="1" t="s">
        <v>1551</v>
      </c>
      <c r="D264" s="1" t="s">
        <v>160</v>
      </c>
      <c r="E264" s="1" t="s">
        <v>160</v>
      </c>
      <c r="F264" s="1" t="s">
        <v>1552</v>
      </c>
      <c r="G264" s="1" t="s">
        <v>1553</v>
      </c>
      <c r="H264" s="1" t="s">
        <v>1554</v>
      </c>
      <c r="I264" t="b">
        <f>COUNTIF(Estadísticas!I:I,'centraldecomunicacion.es'!H264)&gt;0</f>
        <v>0</v>
      </c>
    </row>
    <row r="265" spans="1:9" hidden="1">
      <c r="A265" s="1" t="s">
        <v>1555</v>
      </c>
      <c r="B265" s="1" t="s">
        <v>24</v>
      </c>
      <c r="C265" s="1" t="s">
        <v>1556</v>
      </c>
      <c r="D265" s="1" t="s">
        <v>160</v>
      </c>
      <c r="E265" s="1" t="s">
        <v>160</v>
      </c>
      <c r="F265" s="1" t="s">
        <v>78</v>
      </c>
      <c r="G265" s="1" t="s">
        <v>1557</v>
      </c>
      <c r="H265" s="1" t="s">
        <v>657</v>
      </c>
      <c r="I265" t="b">
        <f>COUNTIF(Estadísticas!I:I,'centraldecomunicacion.es'!H265)&gt;0</f>
        <v>0</v>
      </c>
    </row>
    <row r="266" spans="1:9" hidden="1">
      <c r="A266" s="1" t="s">
        <v>1558</v>
      </c>
      <c r="B266" s="1" t="s">
        <v>24</v>
      </c>
      <c r="C266" s="1" t="s">
        <v>1559</v>
      </c>
      <c r="D266" s="1" t="s">
        <v>160</v>
      </c>
      <c r="E266" s="1" t="s">
        <v>160</v>
      </c>
      <c r="F266" s="1" t="s">
        <v>1560</v>
      </c>
      <c r="G266" s="1" t="s">
        <v>1561</v>
      </c>
      <c r="H266" s="1" t="s">
        <v>1562</v>
      </c>
      <c r="I266" t="b">
        <f>COUNTIF(Estadísticas!I:I,'centraldecomunicacion.es'!H266)&gt;0</f>
        <v>0</v>
      </c>
    </row>
    <row r="267" spans="1:9" hidden="1">
      <c r="A267" s="1" t="s">
        <v>1563</v>
      </c>
      <c r="B267" s="1" t="s">
        <v>10</v>
      </c>
      <c r="C267" s="1" t="s">
        <v>1564</v>
      </c>
      <c r="D267" s="1" t="s">
        <v>160</v>
      </c>
      <c r="E267" s="1" t="s">
        <v>160</v>
      </c>
      <c r="F267" s="1" t="s">
        <v>1565</v>
      </c>
      <c r="G267" s="1" t="s">
        <v>1566</v>
      </c>
      <c r="H267" s="1" t="s">
        <v>1567</v>
      </c>
      <c r="I267" t="b">
        <f>COUNTIF(Estadísticas!I:I,'centraldecomunicacion.es'!H267)&gt;0</f>
        <v>0</v>
      </c>
    </row>
    <row r="268" spans="1:9" hidden="1">
      <c r="A268" s="1" t="s">
        <v>1568</v>
      </c>
      <c r="B268" s="1" t="s">
        <v>10</v>
      </c>
      <c r="C268" s="1" t="s">
        <v>1569</v>
      </c>
      <c r="D268" s="1" t="s">
        <v>382</v>
      </c>
      <c r="E268" s="1" t="s">
        <v>383</v>
      </c>
      <c r="F268" s="1" t="s">
        <v>1570</v>
      </c>
      <c r="G268" s="1" t="s">
        <v>1571</v>
      </c>
      <c r="H268" s="1" t="s">
        <v>1572</v>
      </c>
      <c r="I268" t="b">
        <f>COUNTIF(Estadísticas!I:I,'centraldecomunicacion.es'!H268)&gt;0</f>
        <v>0</v>
      </c>
    </row>
    <row r="269" spans="1:9" hidden="1">
      <c r="A269" s="1" t="s">
        <v>1573</v>
      </c>
      <c r="B269" s="1" t="s">
        <v>24</v>
      </c>
      <c r="C269" s="1" t="s">
        <v>1574</v>
      </c>
      <c r="D269" s="1" t="s">
        <v>1575</v>
      </c>
      <c r="E269" s="1" t="s">
        <v>284</v>
      </c>
      <c r="F269" s="1" t="s">
        <v>1576</v>
      </c>
      <c r="G269" s="1" t="s">
        <v>1577</v>
      </c>
      <c r="H269" s="1" t="s">
        <v>1578</v>
      </c>
      <c r="I269" t="b">
        <f>COUNTIF(Estadísticas!I:I,'centraldecomunicacion.es'!H269)&gt;0</f>
        <v>0</v>
      </c>
    </row>
    <row r="270" spans="1:9" hidden="1">
      <c r="A270" s="1" t="s">
        <v>1579</v>
      </c>
      <c r="B270" s="1" t="s">
        <v>24</v>
      </c>
      <c r="C270" s="1" t="s">
        <v>78</v>
      </c>
      <c r="D270" s="1" t="s">
        <v>1529</v>
      </c>
      <c r="E270" s="1" t="s">
        <v>78</v>
      </c>
      <c r="F270" s="1" t="s">
        <v>78</v>
      </c>
      <c r="G270" s="1" t="s">
        <v>1580</v>
      </c>
      <c r="H270" s="1" t="s">
        <v>657</v>
      </c>
      <c r="I270" t="b">
        <f>COUNTIF(Estadísticas!I:I,'centraldecomunicacion.es'!H270)&gt;0</f>
        <v>0</v>
      </c>
    </row>
    <row r="271" spans="1:9" hidden="1">
      <c r="A271" s="1" t="s">
        <v>1581</v>
      </c>
      <c r="B271" s="1" t="s">
        <v>10</v>
      </c>
      <c r="C271" s="1" t="s">
        <v>1582</v>
      </c>
      <c r="D271" s="1" t="s">
        <v>1583</v>
      </c>
      <c r="E271" s="1" t="s">
        <v>396</v>
      </c>
      <c r="F271" s="1" t="s">
        <v>1584</v>
      </c>
      <c r="G271" s="1" t="s">
        <v>1585</v>
      </c>
      <c r="H271" s="1" t="s">
        <v>1586</v>
      </c>
      <c r="I271" t="b">
        <f>COUNTIF(Estadísticas!I:I,'centraldecomunicacion.es'!H271)&gt;0</f>
        <v>0</v>
      </c>
    </row>
    <row r="272" spans="1:9" hidden="1">
      <c r="A272" s="1" t="s">
        <v>1587</v>
      </c>
      <c r="B272" s="1" t="s">
        <v>24</v>
      </c>
      <c r="C272" s="1" t="s">
        <v>1588</v>
      </c>
      <c r="D272" s="1" t="s">
        <v>389</v>
      </c>
      <c r="E272" s="1" t="s">
        <v>389</v>
      </c>
      <c r="F272" s="1" t="s">
        <v>1589</v>
      </c>
      <c r="G272" s="1" t="s">
        <v>1590</v>
      </c>
      <c r="H272" s="1" t="s">
        <v>1591</v>
      </c>
      <c r="I272" t="b">
        <f>COUNTIF(Estadísticas!I:I,'centraldecomunicacion.es'!H272)&gt;0</f>
        <v>0</v>
      </c>
    </row>
    <row r="273" spans="1:9" hidden="1">
      <c r="A273" s="1" t="s">
        <v>1592</v>
      </c>
      <c r="B273" s="1" t="s">
        <v>24</v>
      </c>
      <c r="C273" s="1" t="s">
        <v>1593</v>
      </c>
      <c r="D273" s="1" t="s">
        <v>160</v>
      </c>
      <c r="E273" s="1" t="s">
        <v>160</v>
      </c>
      <c r="F273" s="1" t="s">
        <v>1594</v>
      </c>
      <c r="G273" s="1" t="s">
        <v>1595</v>
      </c>
      <c r="H273" s="1" t="s">
        <v>657</v>
      </c>
      <c r="I273" t="b">
        <f>COUNTIF(Estadísticas!I:I,'centraldecomunicacion.es'!H273)&gt;0</f>
        <v>0</v>
      </c>
    </row>
    <row r="274" spans="1:9">
      <c r="A274" s="1" t="s">
        <v>132</v>
      </c>
      <c r="B274" s="1" t="s">
        <v>10</v>
      </c>
      <c r="C274" s="1" t="s">
        <v>133</v>
      </c>
      <c r="D274" s="1" t="s">
        <v>134</v>
      </c>
      <c r="E274" s="1" t="s">
        <v>135</v>
      </c>
      <c r="F274" s="1" t="s">
        <v>136</v>
      </c>
      <c r="G274" s="1" t="s">
        <v>137</v>
      </c>
      <c r="H274" s="1" t="s">
        <v>138</v>
      </c>
      <c r="I274" t="b">
        <f>COUNTIF(Estadísticas!I:I,'centraldecomunicacion.es'!H274)&gt;0</f>
        <v>1</v>
      </c>
    </row>
    <row r="275" spans="1:9" hidden="1">
      <c r="A275" s="1" t="s">
        <v>1596</v>
      </c>
      <c r="B275" s="1" t="s">
        <v>24</v>
      </c>
      <c r="C275" s="1" t="s">
        <v>1597</v>
      </c>
      <c r="D275" s="1" t="s">
        <v>38</v>
      </c>
      <c r="E275" s="1" t="s">
        <v>38</v>
      </c>
      <c r="F275" s="1" t="s">
        <v>1598</v>
      </c>
      <c r="G275" s="1" t="s">
        <v>1599</v>
      </c>
      <c r="H275" s="1" t="s">
        <v>1600</v>
      </c>
      <c r="I275" t="b">
        <f>COUNTIF(Estadísticas!I:I,'centraldecomunicacion.es'!H275)&gt;0</f>
        <v>0</v>
      </c>
    </row>
    <row r="276" spans="1:9" hidden="1">
      <c r="A276" s="1" t="s">
        <v>1601</v>
      </c>
      <c r="B276" s="1" t="s">
        <v>24</v>
      </c>
      <c r="C276" s="1" t="s">
        <v>1602</v>
      </c>
      <c r="D276" s="1" t="s">
        <v>1603</v>
      </c>
      <c r="E276" s="1" t="s">
        <v>396</v>
      </c>
      <c r="F276" s="1" t="s">
        <v>1604</v>
      </c>
      <c r="G276" s="1" t="s">
        <v>1605</v>
      </c>
      <c r="H276" s="1" t="s">
        <v>1606</v>
      </c>
      <c r="I276" t="b">
        <f>COUNTIF(Estadísticas!I:I,'centraldecomunicacion.es'!H276)&gt;0</f>
        <v>0</v>
      </c>
    </row>
    <row r="277" spans="1:9">
      <c r="A277" s="1" t="s">
        <v>139</v>
      </c>
      <c r="B277" s="1" t="s">
        <v>10</v>
      </c>
      <c r="C277" s="1" t="s">
        <v>140</v>
      </c>
      <c r="D277" s="1" t="s">
        <v>141</v>
      </c>
      <c r="E277" s="1" t="s">
        <v>38</v>
      </c>
      <c r="F277" s="1" t="s">
        <v>142</v>
      </c>
      <c r="G277" s="1" t="s">
        <v>143</v>
      </c>
      <c r="H277" s="1" t="s">
        <v>144</v>
      </c>
      <c r="I277" t="b">
        <f>COUNTIF(Estadísticas!I:I,'centraldecomunicacion.es'!H277)&gt;0</f>
        <v>1</v>
      </c>
    </row>
    <row r="278" spans="1:9">
      <c r="A278" s="1" t="s">
        <v>145</v>
      </c>
      <c r="B278" s="1" t="s">
        <v>10</v>
      </c>
      <c r="C278" s="1" t="s">
        <v>146</v>
      </c>
      <c r="D278" s="1" t="s">
        <v>147</v>
      </c>
      <c r="E278" s="1" t="s">
        <v>38</v>
      </c>
      <c r="F278" s="1" t="s">
        <v>148</v>
      </c>
      <c r="G278" s="1" t="s">
        <v>149</v>
      </c>
      <c r="H278" s="1" t="s">
        <v>150</v>
      </c>
      <c r="I278" t="b">
        <f>COUNTIF(Estadísticas!I:I,'centraldecomunicacion.es'!H278)&gt;0</f>
        <v>1</v>
      </c>
    </row>
    <row r="279" spans="1:9" hidden="1">
      <c r="A279" s="1" t="s">
        <v>1607</v>
      </c>
      <c r="B279" s="1" t="s">
        <v>24</v>
      </c>
      <c r="C279" s="1" t="s">
        <v>1608</v>
      </c>
      <c r="D279" s="1" t="s">
        <v>38</v>
      </c>
      <c r="E279" s="1" t="s">
        <v>38</v>
      </c>
      <c r="F279" s="1" t="s">
        <v>1609</v>
      </c>
      <c r="G279" s="1" t="s">
        <v>1610</v>
      </c>
      <c r="H279" s="1" t="s">
        <v>1611</v>
      </c>
      <c r="I279" t="b">
        <f>COUNTIF(Estadísticas!I:I,'centraldecomunicacion.es'!H279)&gt;0</f>
        <v>0</v>
      </c>
    </row>
    <row r="280" spans="1:9" hidden="1">
      <c r="A280" s="1" t="s">
        <v>1612</v>
      </c>
      <c r="B280" s="1" t="s">
        <v>24</v>
      </c>
      <c r="C280" s="1" t="s">
        <v>1613</v>
      </c>
      <c r="D280" s="1" t="s">
        <v>590</v>
      </c>
      <c r="E280" s="1" t="s">
        <v>38</v>
      </c>
      <c r="F280" s="1" t="s">
        <v>1614</v>
      </c>
      <c r="G280" s="1" t="s">
        <v>1615</v>
      </c>
      <c r="H280" s="1" t="s">
        <v>1616</v>
      </c>
      <c r="I280" t="b">
        <f>COUNTIF(Estadísticas!I:I,'centraldecomunicacion.es'!H280)&gt;0</f>
        <v>0</v>
      </c>
    </row>
    <row r="281" spans="1:9" hidden="1">
      <c r="A281" s="1" t="s">
        <v>1617</v>
      </c>
      <c r="B281" s="1" t="s">
        <v>10</v>
      </c>
      <c r="C281" s="1" t="s">
        <v>1618</v>
      </c>
      <c r="D281" s="1" t="s">
        <v>876</v>
      </c>
      <c r="E281" s="1" t="s">
        <v>38</v>
      </c>
      <c r="F281" s="1" t="s">
        <v>1619</v>
      </c>
      <c r="G281" s="1" t="s">
        <v>1620</v>
      </c>
      <c r="H281" s="1" t="s">
        <v>1621</v>
      </c>
      <c r="I281" t="b">
        <f>COUNTIF(Estadísticas!I:I,'centraldecomunicacion.es'!H281)&gt;0</f>
        <v>0</v>
      </c>
    </row>
    <row r="282" spans="1:9" hidden="1">
      <c r="A282" s="1" t="s">
        <v>1622</v>
      </c>
      <c r="B282" s="1" t="s">
        <v>10</v>
      </c>
      <c r="C282" s="1" t="s">
        <v>1623</v>
      </c>
      <c r="D282" s="1" t="s">
        <v>38</v>
      </c>
      <c r="E282" s="1" t="s">
        <v>38</v>
      </c>
      <c r="F282" s="1" t="s">
        <v>1624</v>
      </c>
      <c r="G282" s="1" t="s">
        <v>1625</v>
      </c>
      <c r="H282" s="1" t="s">
        <v>1626</v>
      </c>
      <c r="I282" t="b">
        <f>COUNTIF(Estadísticas!I:I,'centraldecomunicacion.es'!H282)&gt;0</f>
        <v>0</v>
      </c>
    </row>
    <row r="283" spans="1:9" hidden="1">
      <c r="A283" s="1" t="s">
        <v>288</v>
      </c>
      <c r="B283" s="1" t="s">
        <v>24</v>
      </c>
      <c r="C283" s="1" t="s">
        <v>1627</v>
      </c>
      <c r="D283" s="1" t="s">
        <v>284</v>
      </c>
      <c r="E283" s="1" t="s">
        <v>284</v>
      </c>
      <c r="F283" s="1" t="s">
        <v>1628</v>
      </c>
      <c r="G283" s="1" t="s">
        <v>1629</v>
      </c>
      <c r="H283" s="1" t="s">
        <v>657</v>
      </c>
      <c r="I283" t="b">
        <f>COUNTIF(Estadísticas!I:I,'centraldecomunicacion.es'!H283)&gt;0</f>
        <v>0</v>
      </c>
    </row>
    <row r="284" spans="1:9" hidden="1">
      <c r="A284" s="1" t="s">
        <v>1630</v>
      </c>
      <c r="B284" s="1" t="s">
        <v>24</v>
      </c>
      <c r="C284" s="1" t="s">
        <v>1631</v>
      </c>
      <c r="D284" s="1" t="s">
        <v>498</v>
      </c>
      <c r="E284" s="1" t="s">
        <v>499</v>
      </c>
      <c r="F284" s="1" t="s">
        <v>1632</v>
      </c>
      <c r="G284" s="1" t="s">
        <v>1633</v>
      </c>
      <c r="H284" s="1" t="s">
        <v>1634</v>
      </c>
      <c r="I284" t="b">
        <f>COUNTIF(Estadísticas!I:I,'centraldecomunicacion.es'!H284)&gt;0</f>
        <v>0</v>
      </c>
    </row>
    <row r="285" spans="1:9" hidden="1">
      <c r="A285" s="1" t="s">
        <v>1635</v>
      </c>
      <c r="B285" s="1" t="s">
        <v>10</v>
      </c>
      <c r="C285" s="1" t="s">
        <v>1636</v>
      </c>
      <c r="D285" s="1" t="s">
        <v>1637</v>
      </c>
      <c r="E285" s="1" t="s">
        <v>1637</v>
      </c>
      <c r="F285" s="1" t="s">
        <v>1638</v>
      </c>
      <c r="G285" s="1" t="s">
        <v>1639</v>
      </c>
      <c r="H285" s="1" t="s">
        <v>657</v>
      </c>
      <c r="I285" t="b">
        <f>COUNTIF(Estadísticas!I:I,'centraldecomunicacion.es'!H285)&gt;0</f>
        <v>0</v>
      </c>
    </row>
    <row r="286" spans="1:9" hidden="1">
      <c r="A286" s="1" t="s">
        <v>1640</v>
      </c>
      <c r="B286" s="1" t="s">
        <v>24</v>
      </c>
      <c r="C286" s="1" t="s">
        <v>446</v>
      </c>
      <c r="D286" s="1" t="s">
        <v>430</v>
      </c>
      <c r="E286" s="1" t="s">
        <v>430</v>
      </c>
      <c r="F286" s="1" t="s">
        <v>1641</v>
      </c>
      <c r="G286" s="1" t="s">
        <v>1642</v>
      </c>
      <c r="H286" s="1" t="s">
        <v>1643</v>
      </c>
      <c r="I286" t="b">
        <f>COUNTIF(Estadísticas!I:I,'centraldecomunicacion.es'!H286)&gt;0</f>
        <v>0</v>
      </c>
    </row>
    <row r="287" spans="1:9" hidden="1">
      <c r="A287" s="1" t="s">
        <v>1644</v>
      </c>
      <c r="B287" s="1" t="s">
        <v>24</v>
      </c>
      <c r="C287" s="1" t="s">
        <v>1645</v>
      </c>
      <c r="D287" s="1" t="s">
        <v>186</v>
      </c>
      <c r="E287" s="1" t="s">
        <v>414</v>
      </c>
      <c r="F287" s="1" t="s">
        <v>1646</v>
      </c>
      <c r="G287" s="1" t="s">
        <v>1647</v>
      </c>
      <c r="H287" s="1" t="s">
        <v>1648</v>
      </c>
      <c r="I287" t="b">
        <f>COUNTIF(Estadísticas!I:I,'centraldecomunicacion.es'!H287)&gt;0</f>
        <v>0</v>
      </c>
    </row>
    <row r="288" spans="1:9" hidden="1">
      <c r="A288" s="1" t="s">
        <v>1649</v>
      </c>
      <c r="B288" s="1" t="s">
        <v>10</v>
      </c>
      <c r="C288" s="1" t="s">
        <v>1650</v>
      </c>
      <c r="D288" s="1" t="s">
        <v>1651</v>
      </c>
      <c r="E288" s="1" t="s">
        <v>430</v>
      </c>
      <c r="F288" s="1" t="s">
        <v>1652</v>
      </c>
      <c r="G288" s="1" t="s">
        <v>1653</v>
      </c>
      <c r="H288" s="1" t="s">
        <v>1654</v>
      </c>
      <c r="I288" t="b">
        <f>COUNTIF(Estadísticas!I:I,'centraldecomunicacion.es'!H288)&gt;0</f>
        <v>0</v>
      </c>
    </row>
    <row r="289" spans="1:9" hidden="1">
      <c r="A289" s="1" t="s">
        <v>1640</v>
      </c>
      <c r="B289" s="1" t="s">
        <v>10</v>
      </c>
      <c r="C289" s="1" t="s">
        <v>1655</v>
      </c>
      <c r="D289" s="1" t="s">
        <v>1656</v>
      </c>
      <c r="E289" s="1" t="s">
        <v>430</v>
      </c>
      <c r="F289" s="1" t="s">
        <v>1641</v>
      </c>
      <c r="G289" s="1" t="s">
        <v>1642</v>
      </c>
      <c r="H289" s="1" t="s">
        <v>1643</v>
      </c>
      <c r="I289" t="b">
        <f>COUNTIF(Estadísticas!I:I,'centraldecomunicacion.es'!H289)&gt;0</f>
        <v>0</v>
      </c>
    </row>
    <row r="290" spans="1:9" hidden="1">
      <c r="A290" s="1" t="s">
        <v>1657</v>
      </c>
      <c r="B290" s="1" t="s">
        <v>10</v>
      </c>
      <c r="C290" s="1" t="s">
        <v>1658</v>
      </c>
      <c r="D290" s="1" t="s">
        <v>1659</v>
      </c>
      <c r="E290" s="1" t="s">
        <v>1659</v>
      </c>
      <c r="F290" s="1" t="s">
        <v>1660</v>
      </c>
      <c r="G290" s="1" t="s">
        <v>1661</v>
      </c>
      <c r="H290" s="1" t="s">
        <v>662</v>
      </c>
      <c r="I290" t="b">
        <f>COUNTIF(Estadísticas!I:I,'centraldecomunicacion.es'!H290)&gt;0</f>
        <v>0</v>
      </c>
    </row>
    <row r="291" spans="1:9" hidden="1">
      <c r="A291" s="1" t="s">
        <v>1662</v>
      </c>
      <c r="B291" s="1" t="s">
        <v>10</v>
      </c>
      <c r="C291" s="1" t="s">
        <v>1663</v>
      </c>
      <c r="D291" s="1" t="s">
        <v>1583</v>
      </c>
      <c r="E291" s="1" t="s">
        <v>396</v>
      </c>
      <c r="F291" s="1" t="s">
        <v>1664</v>
      </c>
      <c r="G291" s="1" t="s">
        <v>1665</v>
      </c>
      <c r="H291" s="1" t="s">
        <v>1666</v>
      </c>
      <c r="I291" t="b">
        <f>COUNTIF(Estadísticas!I:I,'centraldecomunicacion.es'!H291)&gt;0</f>
        <v>0</v>
      </c>
    </row>
    <row r="292" spans="1:9" hidden="1">
      <c r="A292" s="1" t="s">
        <v>1667</v>
      </c>
      <c r="B292" s="1" t="s">
        <v>24</v>
      </c>
      <c r="C292" s="1" t="s">
        <v>1668</v>
      </c>
      <c r="D292" s="1" t="s">
        <v>1659</v>
      </c>
      <c r="E292" s="1" t="s">
        <v>1659</v>
      </c>
      <c r="F292" s="1" t="s">
        <v>1669</v>
      </c>
      <c r="G292" s="1" t="s">
        <v>1670</v>
      </c>
      <c r="H292" s="1" t="s">
        <v>1671</v>
      </c>
      <c r="I292" t="b">
        <f>COUNTIF(Estadísticas!I:I,'centraldecomunicacion.es'!H292)&gt;0</f>
        <v>0</v>
      </c>
    </row>
    <row r="293" spans="1:9" hidden="1">
      <c r="A293" s="1" t="s">
        <v>1672</v>
      </c>
      <c r="B293" s="1" t="s">
        <v>24</v>
      </c>
      <c r="C293" s="1" t="s">
        <v>1673</v>
      </c>
      <c r="D293" s="1" t="s">
        <v>160</v>
      </c>
      <c r="E293" s="1" t="s">
        <v>160</v>
      </c>
      <c r="F293" s="1" t="s">
        <v>1674</v>
      </c>
      <c r="G293" s="1" t="s">
        <v>1675</v>
      </c>
      <c r="H293" s="1" t="s">
        <v>1676</v>
      </c>
      <c r="I293" t="b">
        <f>COUNTIF(Estadísticas!I:I,'centraldecomunicacion.es'!H293)&gt;0</f>
        <v>0</v>
      </c>
    </row>
    <row r="294" spans="1:9" hidden="1">
      <c r="A294" s="1" t="s">
        <v>1677</v>
      </c>
      <c r="B294" s="1" t="s">
        <v>10</v>
      </c>
      <c r="C294" s="1" t="s">
        <v>1678</v>
      </c>
      <c r="D294" s="1" t="s">
        <v>277</v>
      </c>
      <c r="E294" s="1" t="s">
        <v>38</v>
      </c>
      <c r="F294" s="1" t="s">
        <v>1679</v>
      </c>
      <c r="G294" s="1" t="s">
        <v>1680</v>
      </c>
      <c r="H294" s="1" t="s">
        <v>1681</v>
      </c>
      <c r="I294" t="b">
        <f>COUNTIF(Estadísticas!I:I,'centraldecomunicacion.es'!H294)&gt;0</f>
        <v>0</v>
      </c>
    </row>
    <row r="295" spans="1:9" hidden="1">
      <c r="A295" s="1" t="s">
        <v>1682</v>
      </c>
      <c r="B295" s="1" t="s">
        <v>10</v>
      </c>
      <c r="C295" s="1" t="s">
        <v>1683</v>
      </c>
      <c r="D295" s="1" t="s">
        <v>241</v>
      </c>
      <c r="E295" s="1" t="s">
        <v>241</v>
      </c>
      <c r="F295" s="1" t="s">
        <v>1684</v>
      </c>
      <c r="G295" s="1" t="s">
        <v>1685</v>
      </c>
      <c r="H295" s="1" t="s">
        <v>657</v>
      </c>
      <c r="I295" t="b">
        <f>COUNTIF(Estadísticas!I:I,'centraldecomunicacion.es'!H295)&gt;0</f>
        <v>0</v>
      </c>
    </row>
    <row r="296" spans="1:9" hidden="1">
      <c r="A296" s="1" t="s">
        <v>1686</v>
      </c>
      <c r="B296" s="1" t="s">
        <v>10</v>
      </c>
      <c r="C296" s="1" t="s">
        <v>1687</v>
      </c>
      <c r="D296" s="1" t="s">
        <v>1688</v>
      </c>
      <c r="E296" s="1" t="s">
        <v>38</v>
      </c>
      <c r="F296" s="1" t="s">
        <v>1689</v>
      </c>
      <c r="G296" s="1" t="s">
        <v>1690</v>
      </c>
      <c r="H296" s="1" t="s">
        <v>1691</v>
      </c>
      <c r="I296" t="b">
        <f>COUNTIF(Estadísticas!I:I,'centraldecomunicacion.es'!H296)&gt;0</f>
        <v>0</v>
      </c>
    </row>
    <row r="297" spans="1:9" hidden="1">
      <c r="A297" s="1" t="s">
        <v>1692</v>
      </c>
      <c r="B297" s="1" t="s">
        <v>24</v>
      </c>
      <c r="C297" s="1" t="s">
        <v>1693</v>
      </c>
      <c r="D297" s="1" t="s">
        <v>38</v>
      </c>
      <c r="E297" s="1" t="s">
        <v>38</v>
      </c>
      <c r="F297" s="1" t="s">
        <v>1694</v>
      </c>
      <c r="G297" s="1" t="s">
        <v>1695</v>
      </c>
      <c r="H297" s="1" t="s">
        <v>1696</v>
      </c>
      <c r="I297" t="b">
        <f>COUNTIF(Estadísticas!I:I,'centraldecomunicacion.es'!H297)&gt;0</f>
        <v>0</v>
      </c>
    </row>
    <row r="298" spans="1:9" hidden="1">
      <c r="A298" s="1" t="s">
        <v>1697</v>
      </c>
      <c r="B298" s="1" t="s">
        <v>10</v>
      </c>
      <c r="C298" s="1" t="s">
        <v>1698</v>
      </c>
      <c r="D298" s="1" t="s">
        <v>407</v>
      </c>
      <c r="E298" s="1" t="s">
        <v>396</v>
      </c>
      <c r="F298" s="1" t="s">
        <v>1699</v>
      </c>
      <c r="G298" s="1" t="s">
        <v>1700</v>
      </c>
      <c r="H298" s="1" t="s">
        <v>662</v>
      </c>
      <c r="I298" t="b">
        <f>COUNTIF(Estadísticas!I:I,'centraldecomunicacion.es'!H298)&gt;0</f>
        <v>0</v>
      </c>
    </row>
    <row r="299" spans="1:9" hidden="1">
      <c r="A299" s="1" t="s">
        <v>1701</v>
      </c>
      <c r="B299" s="1" t="s">
        <v>24</v>
      </c>
      <c r="C299" s="1" t="s">
        <v>1702</v>
      </c>
      <c r="D299" s="1" t="s">
        <v>573</v>
      </c>
      <c r="E299" s="1" t="s">
        <v>38</v>
      </c>
      <c r="F299" s="1" t="s">
        <v>1703</v>
      </c>
      <c r="G299" s="1" t="s">
        <v>1704</v>
      </c>
      <c r="H299" s="1" t="s">
        <v>1705</v>
      </c>
      <c r="I299" t="b">
        <f>COUNTIF(Estadísticas!I:I,'centraldecomunicacion.es'!H299)&gt;0</f>
        <v>0</v>
      </c>
    </row>
    <row r="300" spans="1:9" hidden="1">
      <c r="A300" s="1" t="s">
        <v>1706</v>
      </c>
      <c r="B300" s="1" t="s">
        <v>24</v>
      </c>
      <c r="C300" s="1" t="s">
        <v>78</v>
      </c>
      <c r="D300" s="1" t="s">
        <v>1707</v>
      </c>
      <c r="E300" s="1" t="s">
        <v>78</v>
      </c>
      <c r="F300" s="1" t="s">
        <v>1708</v>
      </c>
      <c r="G300" s="1" t="s">
        <v>1709</v>
      </c>
      <c r="H300" s="1" t="s">
        <v>1710</v>
      </c>
      <c r="I300" t="b">
        <f>COUNTIF(Estadísticas!I:I,'centraldecomunicacion.es'!H300)&gt;0</f>
        <v>0</v>
      </c>
    </row>
    <row r="301" spans="1:9" hidden="1">
      <c r="A301" s="1" t="s">
        <v>1711</v>
      </c>
      <c r="B301" s="1" t="s">
        <v>10</v>
      </c>
      <c r="C301" s="1" t="s">
        <v>1712</v>
      </c>
      <c r="D301" s="1" t="s">
        <v>91</v>
      </c>
      <c r="E301" s="1" t="s">
        <v>91</v>
      </c>
      <c r="F301" s="1" t="s">
        <v>1713</v>
      </c>
      <c r="G301" s="1" t="s">
        <v>1714</v>
      </c>
      <c r="H301" s="1" t="s">
        <v>662</v>
      </c>
      <c r="I301" t="b">
        <f>COUNTIF(Estadísticas!I:I,'centraldecomunicacion.es'!H301)&gt;0</f>
        <v>0</v>
      </c>
    </row>
    <row r="302" spans="1:9">
      <c r="A302" s="1" t="s">
        <v>151</v>
      </c>
      <c r="B302" s="1" t="s">
        <v>24</v>
      </c>
      <c r="C302" s="1" t="s">
        <v>152</v>
      </c>
      <c r="D302" s="1" t="s">
        <v>153</v>
      </c>
      <c r="E302" s="1" t="s">
        <v>154</v>
      </c>
      <c r="F302" s="1" t="s">
        <v>155</v>
      </c>
      <c r="G302" s="1" t="s">
        <v>156</v>
      </c>
      <c r="H302" s="1" t="s">
        <v>157</v>
      </c>
      <c r="I302" t="b">
        <f>COUNTIF(Estadísticas!I:I,'centraldecomunicacion.es'!H302)&gt;0</f>
        <v>1</v>
      </c>
    </row>
    <row r="303" spans="1:9" hidden="1">
      <c r="A303" s="1" t="s">
        <v>1715</v>
      </c>
      <c r="B303" s="1" t="s">
        <v>24</v>
      </c>
      <c r="C303" s="1" t="s">
        <v>1716</v>
      </c>
      <c r="D303" s="1" t="s">
        <v>590</v>
      </c>
      <c r="E303" s="1" t="s">
        <v>38</v>
      </c>
      <c r="F303" s="1" t="s">
        <v>1717</v>
      </c>
      <c r="G303" s="1" t="s">
        <v>1718</v>
      </c>
      <c r="H303" s="1" t="s">
        <v>1719</v>
      </c>
      <c r="I303" t="b">
        <f>COUNTIF(Estadísticas!I:I,'centraldecomunicacion.es'!H303)&gt;0</f>
        <v>0</v>
      </c>
    </row>
    <row r="304" spans="1:9" hidden="1">
      <c r="A304" s="1" t="s">
        <v>1720</v>
      </c>
      <c r="B304" s="1" t="s">
        <v>10</v>
      </c>
      <c r="C304" s="1" t="s">
        <v>1721</v>
      </c>
      <c r="D304" s="1" t="s">
        <v>160</v>
      </c>
      <c r="E304" s="1" t="s">
        <v>160</v>
      </c>
      <c r="F304" s="1" t="s">
        <v>1722</v>
      </c>
      <c r="G304" s="1" t="s">
        <v>1723</v>
      </c>
      <c r="H304" s="1" t="s">
        <v>1724</v>
      </c>
      <c r="I304" t="b">
        <f>COUNTIF(Estadísticas!I:I,'centraldecomunicacion.es'!H304)&gt;0</f>
        <v>0</v>
      </c>
    </row>
    <row r="305" spans="1:9" hidden="1">
      <c r="A305" s="1" t="s">
        <v>1725</v>
      </c>
      <c r="B305" s="1" t="s">
        <v>10</v>
      </c>
      <c r="C305" s="1" t="s">
        <v>1726</v>
      </c>
      <c r="D305" s="1" t="s">
        <v>38</v>
      </c>
      <c r="E305" s="1" t="s">
        <v>38</v>
      </c>
      <c r="F305" s="1" t="s">
        <v>1186</v>
      </c>
      <c r="G305" s="1" t="s">
        <v>1727</v>
      </c>
      <c r="H305" s="1" t="s">
        <v>657</v>
      </c>
      <c r="I305" t="b">
        <f>COUNTIF(Estadísticas!I:I,'centraldecomunicacion.es'!H305)&gt;0</f>
        <v>0</v>
      </c>
    </row>
    <row r="306" spans="1:9" hidden="1">
      <c r="A306" s="1" t="s">
        <v>1728</v>
      </c>
      <c r="B306" s="1" t="s">
        <v>24</v>
      </c>
      <c r="C306" s="1" t="s">
        <v>1729</v>
      </c>
      <c r="D306" s="1" t="s">
        <v>160</v>
      </c>
      <c r="E306" s="1" t="s">
        <v>160</v>
      </c>
      <c r="F306" s="1" t="s">
        <v>1730</v>
      </c>
      <c r="G306" s="1" t="s">
        <v>1731</v>
      </c>
      <c r="H306" s="1" t="s">
        <v>1732</v>
      </c>
      <c r="I306" t="b">
        <f>COUNTIF(Estadísticas!I:I,'centraldecomunicacion.es'!H306)&gt;0</f>
        <v>0</v>
      </c>
    </row>
    <row r="307" spans="1:9">
      <c r="A307" s="1" t="s">
        <v>158</v>
      </c>
      <c r="B307" s="1" t="s">
        <v>24</v>
      </c>
      <c r="C307" s="1" t="s">
        <v>159</v>
      </c>
      <c r="D307" s="1" t="s">
        <v>160</v>
      </c>
      <c r="E307" s="1" t="s">
        <v>160</v>
      </c>
      <c r="F307" s="1" t="s">
        <v>161</v>
      </c>
      <c r="G307" s="1" t="s">
        <v>162</v>
      </c>
      <c r="H307" s="1" t="s">
        <v>163</v>
      </c>
      <c r="I307" t="b">
        <f>COUNTIF(Estadísticas!I:I,'centraldecomunicacion.es'!H307)&gt;0</f>
        <v>1</v>
      </c>
    </row>
    <row r="308" spans="1:9" hidden="1">
      <c r="A308" s="1" t="s">
        <v>1733</v>
      </c>
      <c r="B308" s="1" t="s">
        <v>24</v>
      </c>
      <c r="C308" s="1" t="s">
        <v>1734</v>
      </c>
      <c r="D308" s="1" t="s">
        <v>160</v>
      </c>
      <c r="E308" s="1" t="s">
        <v>160</v>
      </c>
      <c r="F308" s="1" t="s">
        <v>1735</v>
      </c>
      <c r="G308" s="1" t="s">
        <v>1736</v>
      </c>
      <c r="H308" s="1" t="s">
        <v>1737</v>
      </c>
      <c r="I308" t="b">
        <f>COUNTIF(Estadísticas!I:I,'centraldecomunicacion.es'!H308)&gt;0</f>
        <v>0</v>
      </c>
    </row>
    <row r="309" spans="1:9" hidden="1">
      <c r="A309" s="1" t="s">
        <v>1738</v>
      </c>
      <c r="B309" s="1" t="s">
        <v>10</v>
      </c>
      <c r="C309" s="1" t="s">
        <v>1739</v>
      </c>
      <c r="D309" s="1" t="s">
        <v>160</v>
      </c>
      <c r="E309" s="1" t="s">
        <v>160</v>
      </c>
      <c r="F309" s="1" t="s">
        <v>1740</v>
      </c>
      <c r="G309" s="1" t="s">
        <v>1741</v>
      </c>
      <c r="H309" s="1" t="s">
        <v>1742</v>
      </c>
      <c r="I309" t="b">
        <f>COUNTIF(Estadísticas!I:I,'centraldecomunicacion.es'!H309)&gt;0</f>
        <v>0</v>
      </c>
    </row>
    <row r="310" spans="1:9">
      <c r="A310" s="1" t="s">
        <v>164</v>
      </c>
      <c r="B310" s="1" t="s">
        <v>24</v>
      </c>
      <c r="C310" s="1" t="s">
        <v>165</v>
      </c>
      <c r="D310" s="1" t="s">
        <v>160</v>
      </c>
      <c r="E310" s="1" t="s">
        <v>160</v>
      </c>
      <c r="F310" s="1" t="s">
        <v>166</v>
      </c>
      <c r="G310" s="1" t="s">
        <v>167</v>
      </c>
      <c r="H310" s="1" t="s">
        <v>168</v>
      </c>
      <c r="I310" t="b">
        <f>COUNTIF(Estadísticas!I:I,'centraldecomunicacion.es'!H310)&gt;0</f>
        <v>1</v>
      </c>
    </row>
    <row r="311" spans="1:9" hidden="1">
      <c r="A311" s="1" t="s">
        <v>1743</v>
      </c>
      <c r="B311" s="1" t="s">
        <v>24</v>
      </c>
      <c r="C311" s="1" t="s">
        <v>1744</v>
      </c>
      <c r="D311" s="1" t="s">
        <v>1745</v>
      </c>
      <c r="E311" s="1" t="s">
        <v>160</v>
      </c>
      <c r="F311" s="1" t="s">
        <v>829</v>
      </c>
      <c r="G311" s="1" t="s">
        <v>1746</v>
      </c>
      <c r="H311" s="1" t="s">
        <v>831</v>
      </c>
      <c r="I311" t="b">
        <f>COUNTIF(Estadísticas!I:I,'centraldecomunicacion.es'!H311)&gt;0</f>
        <v>0</v>
      </c>
    </row>
    <row r="312" spans="1:9" hidden="1">
      <c r="A312" s="1" t="s">
        <v>1747</v>
      </c>
      <c r="B312" s="1" t="s">
        <v>10</v>
      </c>
      <c r="C312" s="1" t="s">
        <v>1748</v>
      </c>
      <c r="D312" s="1" t="s">
        <v>160</v>
      </c>
      <c r="E312" s="1" t="s">
        <v>160</v>
      </c>
      <c r="F312" s="1" t="s">
        <v>1749</v>
      </c>
      <c r="G312" s="1" t="s">
        <v>1750</v>
      </c>
      <c r="H312" s="1" t="s">
        <v>657</v>
      </c>
      <c r="I312" t="b">
        <f>COUNTIF(Estadísticas!I:I,'centraldecomunicacion.es'!H312)&gt;0</f>
        <v>0</v>
      </c>
    </row>
    <row r="313" spans="1:9" hidden="1">
      <c r="A313" s="1" t="s">
        <v>1751</v>
      </c>
      <c r="B313" s="1" t="s">
        <v>24</v>
      </c>
      <c r="C313" s="1" t="s">
        <v>1752</v>
      </c>
      <c r="D313" s="1" t="s">
        <v>160</v>
      </c>
      <c r="E313" s="1" t="s">
        <v>160</v>
      </c>
      <c r="F313" s="1" t="s">
        <v>1753</v>
      </c>
      <c r="G313" s="1" t="s">
        <v>1754</v>
      </c>
      <c r="H313" s="1" t="s">
        <v>764</v>
      </c>
      <c r="I313" t="b">
        <f>COUNTIF(Estadísticas!I:I,'centraldecomunicacion.es'!H313)&gt;0</f>
        <v>0</v>
      </c>
    </row>
    <row r="314" spans="1:9" hidden="1">
      <c r="A314" s="1" t="s">
        <v>1755</v>
      </c>
      <c r="B314" s="1" t="s">
        <v>24</v>
      </c>
      <c r="C314" s="1" t="s">
        <v>1756</v>
      </c>
      <c r="D314" s="1" t="s">
        <v>160</v>
      </c>
      <c r="E314" s="1" t="s">
        <v>160</v>
      </c>
      <c r="F314" s="1" t="s">
        <v>78</v>
      </c>
      <c r="G314" s="1" t="s">
        <v>1757</v>
      </c>
      <c r="H314" s="1" t="s">
        <v>657</v>
      </c>
      <c r="I314" t="b">
        <f>COUNTIF(Estadísticas!I:I,'centraldecomunicacion.es'!H314)&gt;0</f>
        <v>0</v>
      </c>
    </row>
    <row r="315" spans="1:9" hidden="1">
      <c r="A315" s="1" t="s">
        <v>1758</v>
      </c>
      <c r="B315" s="1" t="s">
        <v>10</v>
      </c>
      <c r="C315" s="1" t="s">
        <v>1759</v>
      </c>
      <c r="D315" s="1" t="s">
        <v>160</v>
      </c>
      <c r="E315" s="1" t="s">
        <v>160</v>
      </c>
      <c r="F315" s="1" t="s">
        <v>78</v>
      </c>
      <c r="G315" s="1" t="s">
        <v>78</v>
      </c>
      <c r="H315" s="1" t="s">
        <v>657</v>
      </c>
      <c r="I315" t="b">
        <f>COUNTIF(Estadísticas!I:I,'centraldecomunicacion.es'!H315)&gt;0</f>
        <v>0</v>
      </c>
    </row>
    <row r="316" spans="1:9" hidden="1">
      <c r="A316" s="1" t="s">
        <v>1760</v>
      </c>
      <c r="B316" s="1" t="s">
        <v>24</v>
      </c>
      <c r="C316" s="1" t="s">
        <v>1761</v>
      </c>
      <c r="D316" s="1" t="s">
        <v>160</v>
      </c>
      <c r="E316" s="1" t="s">
        <v>160</v>
      </c>
      <c r="F316" s="1" t="s">
        <v>78</v>
      </c>
      <c r="G316" s="1" t="s">
        <v>1762</v>
      </c>
      <c r="H316" s="1" t="s">
        <v>657</v>
      </c>
      <c r="I316" t="b">
        <f>COUNTIF(Estadísticas!I:I,'centraldecomunicacion.es'!H316)&gt;0</f>
        <v>0</v>
      </c>
    </row>
    <row r="317" spans="1:9" hidden="1">
      <c r="A317" s="1" t="s">
        <v>1538</v>
      </c>
      <c r="B317" s="1" t="s">
        <v>24</v>
      </c>
      <c r="C317" s="1" t="s">
        <v>1763</v>
      </c>
      <c r="D317" s="1" t="s">
        <v>160</v>
      </c>
      <c r="E317" s="1" t="s">
        <v>160</v>
      </c>
      <c r="F317" s="1" t="s">
        <v>78</v>
      </c>
      <c r="G317" s="1" t="s">
        <v>78</v>
      </c>
      <c r="H317" s="1" t="s">
        <v>657</v>
      </c>
      <c r="I317" t="b">
        <f>COUNTIF(Estadísticas!I:I,'centraldecomunicacion.es'!H317)&gt;0</f>
        <v>0</v>
      </c>
    </row>
    <row r="318" spans="1:9" hidden="1">
      <c r="A318" s="1" t="s">
        <v>1764</v>
      </c>
      <c r="B318" s="1" t="s">
        <v>10</v>
      </c>
      <c r="C318" s="1" t="s">
        <v>78</v>
      </c>
      <c r="D318" s="1" t="s">
        <v>1765</v>
      </c>
      <c r="E318" s="1" t="s">
        <v>78</v>
      </c>
      <c r="F318" s="1" t="s">
        <v>1766</v>
      </c>
      <c r="G318" s="1" t="s">
        <v>1767</v>
      </c>
      <c r="H318" s="1" t="s">
        <v>657</v>
      </c>
      <c r="I318" t="b">
        <f>COUNTIF(Estadísticas!I:I,'centraldecomunicacion.es'!H318)&gt;0</f>
        <v>0</v>
      </c>
    </row>
    <row r="319" spans="1:9">
      <c r="A319" s="1" t="s">
        <v>169</v>
      </c>
      <c r="B319" s="1" t="s">
        <v>24</v>
      </c>
      <c r="C319" s="1" t="s">
        <v>170</v>
      </c>
      <c r="D319" s="1" t="s">
        <v>160</v>
      </c>
      <c r="E319" s="1" t="s">
        <v>160</v>
      </c>
      <c r="F319" s="1" t="s">
        <v>171</v>
      </c>
      <c r="G319" s="1" t="s">
        <v>172</v>
      </c>
      <c r="H319" s="1" t="s">
        <v>173</v>
      </c>
      <c r="I319" t="b">
        <f>COUNTIF(Estadísticas!I:I,'centraldecomunicacion.es'!H319)&gt;0</f>
        <v>1</v>
      </c>
    </row>
    <row r="320" spans="1:9" hidden="1">
      <c r="A320" s="1" t="s">
        <v>1768</v>
      </c>
      <c r="B320" s="1" t="s">
        <v>24</v>
      </c>
      <c r="C320" s="1" t="s">
        <v>1769</v>
      </c>
      <c r="D320" s="1" t="s">
        <v>160</v>
      </c>
      <c r="E320" s="1" t="s">
        <v>160</v>
      </c>
      <c r="F320" s="1" t="s">
        <v>1770</v>
      </c>
      <c r="G320" s="1" t="s">
        <v>1771</v>
      </c>
      <c r="H320" s="1" t="s">
        <v>1772</v>
      </c>
      <c r="I320" t="b">
        <f>COUNTIF(Estadísticas!I:I,'centraldecomunicacion.es'!H320)&gt;0</f>
        <v>0</v>
      </c>
    </row>
    <row r="321" spans="1:9" hidden="1">
      <c r="A321" s="1" t="s">
        <v>1773</v>
      </c>
      <c r="B321" s="1" t="s">
        <v>24</v>
      </c>
      <c r="C321" s="1" t="s">
        <v>1774</v>
      </c>
      <c r="D321" s="1" t="s">
        <v>160</v>
      </c>
      <c r="E321" s="1" t="s">
        <v>160</v>
      </c>
      <c r="F321" s="1" t="s">
        <v>78</v>
      </c>
      <c r="G321" s="1" t="s">
        <v>1775</v>
      </c>
      <c r="H321" s="1" t="s">
        <v>657</v>
      </c>
      <c r="I321" t="b">
        <f>COUNTIF(Estadísticas!I:I,'centraldecomunicacion.es'!H321)&gt;0</f>
        <v>0</v>
      </c>
    </row>
    <row r="322" spans="1:9" hidden="1">
      <c r="A322" s="1" t="s">
        <v>1776</v>
      </c>
      <c r="B322" s="1" t="s">
        <v>24</v>
      </c>
      <c r="C322" s="1" t="s">
        <v>1777</v>
      </c>
      <c r="D322" s="1" t="s">
        <v>160</v>
      </c>
      <c r="E322" s="1" t="s">
        <v>160</v>
      </c>
      <c r="F322" s="1" t="s">
        <v>1778</v>
      </c>
      <c r="G322" s="1" t="s">
        <v>1779</v>
      </c>
      <c r="H322" s="1" t="s">
        <v>657</v>
      </c>
      <c r="I322" t="b">
        <f>COUNTIF(Estadísticas!I:I,'centraldecomunicacion.es'!H322)&gt;0</f>
        <v>0</v>
      </c>
    </row>
    <row r="323" spans="1:9" hidden="1">
      <c r="A323" s="1" t="s">
        <v>1780</v>
      </c>
      <c r="B323" s="1" t="s">
        <v>10</v>
      </c>
      <c r="C323" s="1" t="s">
        <v>78</v>
      </c>
      <c r="D323" s="1" t="s">
        <v>1765</v>
      </c>
      <c r="E323" s="1" t="s">
        <v>78</v>
      </c>
      <c r="F323" s="1" t="s">
        <v>78</v>
      </c>
      <c r="G323" s="1" t="s">
        <v>1781</v>
      </c>
      <c r="H323" s="1" t="s">
        <v>657</v>
      </c>
      <c r="I323" t="b">
        <f>COUNTIF(Estadísticas!I:I,'centraldecomunicacion.es'!H323)&gt;0</f>
        <v>0</v>
      </c>
    </row>
    <row r="324" spans="1:9" hidden="1">
      <c r="A324" s="1" t="s">
        <v>1782</v>
      </c>
      <c r="B324" s="1" t="s">
        <v>24</v>
      </c>
      <c r="C324" s="1" t="s">
        <v>1783</v>
      </c>
      <c r="D324" s="1" t="s">
        <v>160</v>
      </c>
      <c r="E324" s="1" t="s">
        <v>160</v>
      </c>
      <c r="F324" s="1" t="s">
        <v>78</v>
      </c>
      <c r="G324" s="1" t="s">
        <v>1784</v>
      </c>
      <c r="H324" s="1" t="s">
        <v>657</v>
      </c>
      <c r="I324" t="b">
        <f>COUNTIF(Estadísticas!I:I,'centraldecomunicacion.es'!H324)&gt;0</f>
        <v>0</v>
      </c>
    </row>
    <row r="325" spans="1:9" hidden="1">
      <c r="A325" s="1" t="s">
        <v>1785</v>
      </c>
      <c r="B325" s="1" t="s">
        <v>24</v>
      </c>
      <c r="C325" s="1" t="s">
        <v>1786</v>
      </c>
      <c r="D325" s="1" t="s">
        <v>160</v>
      </c>
      <c r="E325" s="1" t="s">
        <v>160</v>
      </c>
      <c r="F325" s="1" t="s">
        <v>78</v>
      </c>
      <c r="G325" s="1" t="s">
        <v>1787</v>
      </c>
      <c r="H325" s="1" t="s">
        <v>657</v>
      </c>
      <c r="I325" t="b">
        <f>COUNTIF(Estadísticas!I:I,'centraldecomunicacion.es'!H325)&gt;0</f>
        <v>0</v>
      </c>
    </row>
    <row r="326" spans="1:9" hidden="1">
      <c r="A326" s="1" t="s">
        <v>1782</v>
      </c>
      <c r="B326" s="1" t="s">
        <v>24</v>
      </c>
      <c r="C326" s="1" t="s">
        <v>78</v>
      </c>
      <c r="D326" s="1" t="s">
        <v>1765</v>
      </c>
      <c r="E326" s="1" t="s">
        <v>78</v>
      </c>
      <c r="F326" s="1" t="s">
        <v>78</v>
      </c>
      <c r="G326" s="1" t="s">
        <v>1784</v>
      </c>
      <c r="H326" s="1" t="s">
        <v>657</v>
      </c>
      <c r="I326" t="b">
        <f>COUNTIF(Estadísticas!I:I,'centraldecomunicacion.es'!H326)&gt;0</f>
        <v>0</v>
      </c>
    </row>
    <row r="327" spans="1:9">
      <c r="A327" s="1" t="s">
        <v>1788</v>
      </c>
      <c r="B327" s="1" t="s">
        <v>24</v>
      </c>
      <c r="C327" s="1" t="s">
        <v>1789</v>
      </c>
      <c r="D327" s="1" t="s">
        <v>160</v>
      </c>
      <c r="E327" s="1" t="s">
        <v>160</v>
      </c>
      <c r="F327" s="1" t="s">
        <v>171</v>
      </c>
      <c r="G327" s="1" t="s">
        <v>78</v>
      </c>
      <c r="H327" s="1" t="s">
        <v>173</v>
      </c>
      <c r="I327" t="b">
        <f>COUNTIF(Estadísticas!I:I,'centraldecomunicacion.es'!H327)&gt;0</f>
        <v>1</v>
      </c>
    </row>
    <row r="328" spans="1:9" hidden="1">
      <c r="A328" s="1" t="s">
        <v>1790</v>
      </c>
      <c r="B328" s="1" t="s">
        <v>24</v>
      </c>
      <c r="C328" s="1" t="s">
        <v>1791</v>
      </c>
      <c r="D328" s="1" t="s">
        <v>160</v>
      </c>
      <c r="E328" s="1" t="s">
        <v>160</v>
      </c>
      <c r="F328" s="1" t="s">
        <v>78</v>
      </c>
      <c r="G328" s="1" t="s">
        <v>78</v>
      </c>
      <c r="H328" s="1" t="s">
        <v>657</v>
      </c>
      <c r="I328" t="b">
        <f>COUNTIF(Estadísticas!I:I,'centraldecomunicacion.es'!H328)&gt;0</f>
        <v>0</v>
      </c>
    </row>
    <row r="329" spans="1:9" hidden="1">
      <c r="A329" s="1" t="s">
        <v>1792</v>
      </c>
      <c r="B329" s="1" t="s">
        <v>24</v>
      </c>
      <c r="C329" s="1" t="s">
        <v>78</v>
      </c>
      <c r="D329" s="1" t="s">
        <v>1765</v>
      </c>
      <c r="E329" s="1" t="s">
        <v>78</v>
      </c>
      <c r="F329" s="1" t="s">
        <v>78</v>
      </c>
      <c r="G329" s="1" t="s">
        <v>1793</v>
      </c>
      <c r="H329" s="1" t="s">
        <v>657</v>
      </c>
      <c r="I329" t="b">
        <f>COUNTIF(Estadísticas!I:I,'centraldecomunicacion.es'!H329)&gt;0</f>
        <v>0</v>
      </c>
    </row>
    <row r="330" spans="1:9" hidden="1">
      <c r="A330" s="1" t="s">
        <v>1794</v>
      </c>
      <c r="B330" s="1" t="s">
        <v>24</v>
      </c>
      <c r="C330" s="1" t="s">
        <v>78</v>
      </c>
      <c r="D330" s="1" t="s">
        <v>1765</v>
      </c>
      <c r="E330" s="1" t="s">
        <v>78</v>
      </c>
      <c r="F330" s="1" t="s">
        <v>1795</v>
      </c>
      <c r="G330" s="1" t="s">
        <v>1796</v>
      </c>
      <c r="H330" s="1" t="s">
        <v>1797</v>
      </c>
      <c r="I330" t="b">
        <f>COUNTIF(Estadísticas!I:I,'centraldecomunicacion.es'!H330)&gt;0</f>
        <v>0</v>
      </c>
    </row>
    <row r="331" spans="1:9" hidden="1">
      <c r="A331" s="1" t="s">
        <v>1798</v>
      </c>
      <c r="B331" s="1" t="s">
        <v>10</v>
      </c>
      <c r="C331" s="1" t="s">
        <v>1799</v>
      </c>
      <c r="D331" s="1" t="s">
        <v>160</v>
      </c>
      <c r="E331" s="1" t="s">
        <v>160</v>
      </c>
      <c r="F331" s="1" t="s">
        <v>78</v>
      </c>
      <c r="G331" s="1" t="s">
        <v>1800</v>
      </c>
      <c r="H331" s="1" t="s">
        <v>657</v>
      </c>
      <c r="I331" t="b">
        <f>COUNTIF(Estadísticas!I:I,'centraldecomunicacion.es'!H331)&gt;0</f>
        <v>0</v>
      </c>
    </row>
    <row r="332" spans="1:9" hidden="1">
      <c r="A332" s="1" t="s">
        <v>1801</v>
      </c>
      <c r="B332" s="1" t="s">
        <v>24</v>
      </c>
      <c r="C332" s="1" t="s">
        <v>1802</v>
      </c>
      <c r="D332" s="1" t="s">
        <v>160</v>
      </c>
      <c r="E332" s="1" t="s">
        <v>160</v>
      </c>
      <c r="F332" s="1" t="s">
        <v>78</v>
      </c>
      <c r="G332" s="1" t="s">
        <v>1803</v>
      </c>
      <c r="H332" s="1" t="s">
        <v>657</v>
      </c>
      <c r="I332" t="b">
        <f>COUNTIF(Estadísticas!I:I,'centraldecomunicacion.es'!H332)&gt;0</f>
        <v>0</v>
      </c>
    </row>
    <row r="333" spans="1:9">
      <c r="A333" s="1" t="s">
        <v>174</v>
      </c>
      <c r="B333" s="1" t="s">
        <v>24</v>
      </c>
      <c r="C333" s="1" t="s">
        <v>175</v>
      </c>
      <c r="D333" s="1" t="s">
        <v>160</v>
      </c>
      <c r="E333" s="1" t="s">
        <v>160</v>
      </c>
      <c r="F333" s="1" t="s">
        <v>176</v>
      </c>
      <c r="G333" s="1" t="s">
        <v>177</v>
      </c>
      <c r="H333" s="1" t="s">
        <v>178</v>
      </c>
      <c r="I333" t="b">
        <f>COUNTIF(Estadísticas!I:I,'centraldecomunicacion.es'!H333)&gt;0</f>
        <v>1</v>
      </c>
    </row>
    <row r="334" spans="1:9" hidden="1">
      <c r="A334" s="1" t="s">
        <v>1804</v>
      </c>
      <c r="B334" s="1" t="s">
        <v>24</v>
      </c>
      <c r="C334" s="1" t="s">
        <v>1805</v>
      </c>
      <c r="D334" s="1" t="s">
        <v>160</v>
      </c>
      <c r="E334" s="1" t="s">
        <v>160</v>
      </c>
      <c r="F334" s="1" t="s">
        <v>78</v>
      </c>
      <c r="G334" s="1" t="s">
        <v>78</v>
      </c>
      <c r="H334" s="1" t="s">
        <v>657</v>
      </c>
      <c r="I334" t="b">
        <f>COUNTIF(Estadísticas!I:I,'centraldecomunicacion.es'!H334)&gt;0</f>
        <v>0</v>
      </c>
    </row>
    <row r="335" spans="1:9" hidden="1">
      <c r="A335" s="1" t="s">
        <v>1806</v>
      </c>
      <c r="B335" s="1" t="s">
        <v>24</v>
      </c>
      <c r="C335" s="1" t="s">
        <v>78</v>
      </c>
      <c r="D335" s="1" t="s">
        <v>1765</v>
      </c>
      <c r="E335" s="1" t="s">
        <v>78</v>
      </c>
      <c r="F335" s="1" t="s">
        <v>78</v>
      </c>
      <c r="G335" s="1" t="s">
        <v>1807</v>
      </c>
      <c r="H335" s="1" t="s">
        <v>657</v>
      </c>
      <c r="I335" t="b">
        <f>COUNTIF(Estadísticas!I:I,'centraldecomunicacion.es'!H335)&gt;0</f>
        <v>0</v>
      </c>
    </row>
    <row r="336" spans="1:9" hidden="1">
      <c r="A336" s="1" t="s">
        <v>1808</v>
      </c>
      <c r="B336" s="1" t="s">
        <v>24</v>
      </c>
      <c r="C336" s="1" t="s">
        <v>1809</v>
      </c>
      <c r="D336" s="1" t="s">
        <v>160</v>
      </c>
      <c r="E336" s="1" t="s">
        <v>160</v>
      </c>
      <c r="F336" s="1" t="s">
        <v>78</v>
      </c>
      <c r="G336" s="1" t="s">
        <v>1810</v>
      </c>
      <c r="H336" s="1" t="s">
        <v>657</v>
      </c>
      <c r="I336" t="b">
        <f>COUNTIF(Estadísticas!I:I,'centraldecomunicacion.es'!H336)&gt;0</f>
        <v>0</v>
      </c>
    </row>
    <row r="337" spans="1:9" hidden="1">
      <c r="A337" s="1" t="s">
        <v>1811</v>
      </c>
      <c r="B337" s="1" t="s">
        <v>10</v>
      </c>
      <c r="C337" s="1" t="s">
        <v>1812</v>
      </c>
      <c r="D337" s="1" t="s">
        <v>1813</v>
      </c>
      <c r="E337" s="1" t="s">
        <v>160</v>
      </c>
      <c r="F337" s="1" t="s">
        <v>1814</v>
      </c>
      <c r="G337" s="1" t="s">
        <v>1815</v>
      </c>
      <c r="H337" s="1" t="s">
        <v>1816</v>
      </c>
      <c r="I337" t="b">
        <f>COUNTIF(Estadísticas!I:I,'centraldecomunicacion.es'!H337)&gt;0</f>
        <v>0</v>
      </c>
    </row>
    <row r="338" spans="1:9" hidden="1">
      <c r="A338" s="1" t="s">
        <v>1817</v>
      </c>
      <c r="B338" s="1" t="s">
        <v>24</v>
      </c>
      <c r="C338" s="1" t="s">
        <v>1818</v>
      </c>
      <c r="D338" s="1" t="s">
        <v>160</v>
      </c>
      <c r="E338" s="1" t="s">
        <v>160</v>
      </c>
      <c r="F338" s="1" t="s">
        <v>78</v>
      </c>
      <c r="G338" s="1" t="s">
        <v>1819</v>
      </c>
      <c r="H338" s="1" t="s">
        <v>657</v>
      </c>
      <c r="I338" t="b">
        <f>COUNTIF(Estadísticas!I:I,'centraldecomunicacion.es'!H338)&gt;0</f>
        <v>0</v>
      </c>
    </row>
    <row r="339" spans="1:9" hidden="1">
      <c r="A339" s="1" t="s">
        <v>1820</v>
      </c>
      <c r="B339" s="1" t="s">
        <v>24</v>
      </c>
      <c r="C339" s="1" t="s">
        <v>1821</v>
      </c>
      <c r="D339" s="1" t="s">
        <v>160</v>
      </c>
      <c r="E339" s="1" t="s">
        <v>160</v>
      </c>
      <c r="F339" s="1" t="s">
        <v>78</v>
      </c>
      <c r="G339" s="1" t="s">
        <v>1822</v>
      </c>
      <c r="H339" s="1" t="s">
        <v>657</v>
      </c>
      <c r="I339" t="b">
        <f>COUNTIF(Estadísticas!I:I,'centraldecomunicacion.es'!H339)&gt;0</f>
        <v>0</v>
      </c>
    </row>
    <row r="340" spans="1:9" hidden="1">
      <c r="A340" s="1" t="s">
        <v>1823</v>
      </c>
      <c r="B340" s="1" t="s">
        <v>10</v>
      </c>
      <c r="C340" s="1" t="s">
        <v>1824</v>
      </c>
      <c r="D340" s="1" t="s">
        <v>160</v>
      </c>
      <c r="E340" s="1" t="s">
        <v>160</v>
      </c>
      <c r="F340" s="1" t="s">
        <v>78</v>
      </c>
      <c r="G340" s="1" t="s">
        <v>167</v>
      </c>
      <c r="H340" s="1" t="s">
        <v>657</v>
      </c>
      <c r="I340" t="b">
        <f>COUNTIF(Estadísticas!I:I,'centraldecomunicacion.es'!H340)&gt;0</f>
        <v>0</v>
      </c>
    </row>
    <row r="341" spans="1:9" hidden="1">
      <c r="A341" s="1" t="s">
        <v>1825</v>
      </c>
      <c r="B341" s="1" t="s">
        <v>24</v>
      </c>
      <c r="C341" s="1" t="s">
        <v>1826</v>
      </c>
      <c r="D341" s="1" t="s">
        <v>1827</v>
      </c>
      <c r="E341" s="1" t="s">
        <v>160</v>
      </c>
      <c r="F341" s="1" t="s">
        <v>78</v>
      </c>
      <c r="G341" s="1" t="s">
        <v>1828</v>
      </c>
      <c r="H341" s="1" t="s">
        <v>657</v>
      </c>
      <c r="I341" t="b">
        <f>COUNTIF(Estadísticas!I:I,'centraldecomunicacion.es'!H341)&gt;0</f>
        <v>0</v>
      </c>
    </row>
    <row r="342" spans="1:9" hidden="1">
      <c r="A342" s="1" t="s">
        <v>1829</v>
      </c>
      <c r="B342" s="1" t="s">
        <v>24</v>
      </c>
      <c r="C342" s="1" t="s">
        <v>1830</v>
      </c>
      <c r="D342" s="1" t="s">
        <v>1827</v>
      </c>
      <c r="E342" s="1" t="s">
        <v>160</v>
      </c>
      <c r="F342" s="1" t="s">
        <v>161</v>
      </c>
      <c r="G342" s="1" t="s">
        <v>1831</v>
      </c>
      <c r="H342" s="1" t="s">
        <v>657</v>
      </c>
      <c r="I342" t="b">
        <f>COUNTIF(Estadísticas!I:I,'centraldecomunicacion.es'!H342)&gt;0</f>
        <v>0</v>
      </c>
    </row>
    <row r="343" spans="1:9" hidden="1">
      <c r="A343" s="1" t="s">
        <v>1538</v>
      </c>
      <c r="B343" s="1" t="s">
        <v>24</v>
      </c>
      <c r="C343" s="1" t="s">
        <v>1832</v>
      </c>
      <c r="D343" s="1" t="s">
        <v>1833</v>
      </c>
      <c r="E343" s="1" t="s">
        <v>160</v>
      </c>
      <c r="F343" s="1" t="s">
        <v>78</v>
      </c>
      <c r="G343" s="1" t="s">
        <v>1834</v>
      </c>
      <c r="H343" s="1" t="s">
        <v>657</v>
      </c>
      <c r="I343" t="b">
        <f>COUNTIF(Estadísticas!I:I,'centraldecomunicacion.es'!H343)&gt;0</f>
        <v>0</v>
      </c>
    </row>
    <row r="344" spans="1:9" hidden="1">
      <c r="A344" s="1" t="s">
        <v>1835</v>
      </c>
      <c r="B344" s="1" t="s">
        <v>10</v>
      </c>
      <c r="C344" s="1" t="s">
        <v>1836</v>
      </c>
      <c r="D344" s="1" t="s">
        <v>1837</v>
      </c>
      <c r="E344" s="1" t="s">
        <v>38</v>
      </c>
      <c r="F344" s="1" t="s">
        <v>1838</v>
      </c>
      <c r="G344" s="1" t="s">
        <v>1839</v>
      </c>
      <c r="H344" s="1" t="s">
        <v>657</v>
      </c>
      <c r="I344" t="b">
        <f>COUNTIF(Estadísticas!I:I,'centraldecomunicacion.es'!H344)&gt;0</f>
        <v>0</v>
      </c>
    </row>
    <row r="345" spans="1:9" hidden="1">
      <c r="A345" s="1" t="s">
        <v>1840</v>
      </c>
      <c r="B345" s="1" t="s">
        <v>10</v>
      </c>
      <c r="C345" s="1" t="s">
        <v>1841</v>
      </c>
      <c r="D345" s="1" t="s">
        <v>38</v>
      </c>
      <c r="E345" s="1" t="s">
        <v>38</v>
      </c>
      <c r="F345" s="1" t="s">
        <v>829</v>
      </c>
      <c r="G345" s="1" t="s">
        <v>1842</v>
      </c>
      <c r="H345" s="1" t="s">
        <v>831</v>
      </c>
      <c r="I345" t="b">
        <f>COUNTIF(Estadísticas!I:I,'centraldecomunicacion.es'!H345)&gt;0</f>
        <v>0</v>
      </c>
    </row>
    <row r="346" spans="1:9" hidden="1">
      <c r="A346" s="1" t="s">
        <v>1843</v>
      </c>
      <c r="B346" s="1" t="s">
        <v>24</v>
      </c>
      <c r="C346" s="1" t="s">
        <v>1844</v>
      </c>
      <c r="D346" s="1" t="s">
        <v>1845</v>
      </c>
      <c r="E346" s="1" t="s">
        <v>511</v>
      </c>
      <c r="F346" s="1" t="s">
        <v>1846</v>
      </c>
      <c r="G346" s="1" t="s">
        <v>1847</v>
      </c>
      <c r="H346" s="1" t="s">
        <v>657</v>
      </c>
      <c r="I346" t="b">
        <f>COUNTIF(Estadísticas!I:I,'centraldecomunicacion.es'!H346)&gt;0</f>
        <v>0</v>
      </c>
    </row>
    <row r="347" spans="1:9" hidden="1">
      <c r="A347" s="1" t="s">
        <v>1848</v>
      </c>
      <c r="B347" s="1" t="s">
        <v>10</v>
      </c>
      <c r="C347" s="1" t="s">
        <v>1849</v>
      </c>
      <c r="D347" s="1" t="s">
        <v>1850</v>
      </c>
      <c r="E347" s="1" t="s">
        <v>511</v>
      </c>
      <c r="F347" s="1" t="s">
        <v>1851</v>
      </c>
      <c r="G347" s="1" t="s">
        <v>1852</v>
      </c>
      <c r="H347" s="1" t="s">
        <v>657</v>
      </c>
      <c r="I347" t="b">
        <f>COUNTIF(Estadísticas!I:I,'centraldecomunicacion.es'!H347)&gt;0</f>
        <v>0</v>
      </c>
    </row>
    <row r="348" spans="1:9" hidden="1">
      <c r="A348" s="1" t="s">
        <v>1853</v>
      </c>
      <c r="B348" s="1" t="s">
        <v>10</v>
      </c>
      <c r="C348" s="1" t="s">
        <v>1854</v>
      </c>
      <c r="D348" s="1" t="s">
        <v>1850</v>
      </c>
      <c r="E348" s="1" t="s">
        <v>511</v>
      </c>
      <c r="F348" s="1" t="s">
        <v>1855</v>
      </c>
      <c r="G348" s="1" t="s">
        <v>1856</v>
      </c>
      <c r="H348" s="1" t="s">
        <v>1857</v>
      </c>
      <c r="I348" t="b">
        <f>COUNTIF(Estadísticas!I:I,'centraldecomunicacion.es'!H348)&gt;0</f>
        <v>0</v>
      </c>
    </row>
    <row r="349" spans="1:9" hidden="1">
      <c r="A349" s="1" t="s">
        <v>1858</v>
      </c>
      <c r="B349" s="1" t="s">
        <v>24</v>
      </c>
      <c r="C349" s="1" t="s">
        <v>1859</v>
      </c>
      <c r="D349" s="1" t="s">
        <v>1860</v>
      </c>
      <c r="E349" s="1" t="s">
        <v>511</v>
      </c>
      <c r="F349" s="1" t="s">
        <v>1861</v>
      </c>
      <c r="G349" s="1" t="s">
        <v>1862</v>
      </c>
      <c r="H349" s="1" t="s">
        <v>657</v>
      </c>
      <c r="I349" t="b">
        <f>COUNTIF(Estadísticas!I:I,'centraldecomunicacion.es'!H349)&gt;0</f>
        <v>0</v>
      </c>
    </row>
    <row r="350" spans="1:9" hidden="1">
      <c r="A350" s="1" t="s">
        <v>1863</v>
      </c>
      <c r="B350" s="1" t="s">
        <v>24</v>
      </c>
      <c r="C350" s="1" t="s">
        <v>1864</v>
      </c>
      <c r="D350" s="1" t="s">
        <v>1850</v>
      </c>
      <c r="E350" s="1" t="s">
        <v>511</v>
      </c>
      <c r="F350" s="1" t="s">
        <v>1865</v>
      </c>
      <c r="G350" s="1" t="s">
        <v>1866</v>
      </c>
      <c r="H350" s="1" t="s">
        <v>1867</v>
      </c>
      <c r="I350" t="b">
        <f>COUNTIF(Estadísticas!I:I,'centraldecomunicacion.es'!H350)&gt;0</f>
        <v>0</v>
      </c>
    </row>
    <row r="351" spans="1:9" hidden="1">
      <c r="A351" s="1" t="s">
        <v>1868</v>
      </c>
      <c r="B351" s="1" t="s">
        <v>24</v>
      </c>
      <c r="C351" s="1" t="s">
        <v>1869</v>
      </c>
      <c r="D351" s="1" t="s">
        <v>1860</v>
      </c>
      <c r="E351" s="1" t="s">
        <v>511</v>
      </c>
      <c r="F351" s="1" t="s">
        <v>1870</v>
      </c>
      <c r="G351" s="1" t="s">
        <v>1871</v>
      </c>
      <c r="H351" s="1" t="s">
        <v>657</v>
      </c>
      <c r="I351" t="b">
        <f>COUNTIF(Estadísticas!I:I,'centraldecomunicacion.es'!H351)&gt;0</f>
        <v>0</v>
      </c>
    </row>
    <row r="352" spans="1:9" hidden="1">
      <c r="A352" s="1" t="s">
        <v>1872</v>
      </c>
      <c r="B352" s="1" t="s">
        <v>24</v>
      </c>
      <c r="C352" s="1" t="s">
        <v>78</v>
      </c>
      <c r="D352" s="1" t="s">
        <v>1873</v>
      </c>
      <c r="E352" s="1" t="s">
        <v>78</v>
      </c>
      <c r="F352" s="1" t="s">
        <v>1874</v>
      </c>
      <c r="G352" s="1" t="s">
        <v>1875</v>
      </c>
      <c r="H352" s="1" t="s">
        <v>657</v>
      </c>
      <c r="I352" t="b">
        <f>COUNTIF(Estadísticas!I:I,'centraldecomunicacion.es'!H352)&gt;0</f>
        <v>0</v>
      </c>
    </row>
    <row r="353" spans="1:9" hidden="1">
      <c r="A353" s="1" t="s">
        <v>1876</v>
      </c>
      <c r="B353" s="1" t="s">
        <v>10</v>
      </c>
      <c r="C353" s="1" t="s">
        <v>1877</v>
      </c>
      <c r="D353" s="1" t="s">
        <v>1850</v>
      </c>
      <c r="E353" s="1" t="s">
        <v>511</v>
      </c>
      <c r="F353" s="1" t="s">
        <v>1878</v>
      </c>
      <c r="G353" s="1" t="s">
        <v>1879</v>
      </c>
      <c r="H353" s="1" t="s">
        <v>1880</v>
      </c>
      <c r="I353" t="b">
        <f>COUNTIF(Estadísticas!I:I,'centraldecomunicacion.es'!H353)&gt;0</f>
        <v>0</v>
      </c>
    </row>
    <row r="354" spans="1:9" hidden="1">
      <c r="A354" s="1" t="s">
        <v>1881</v>
      </c>
      <c r="B354" s="1" t="s">
        <v>24</v>
      </c>
      <c r="C354" s="1" t="s">
        <v>1882</v>
      </c>
      <c r="D354" s="1" t="s">
        <v>1860</v>
      </c>
      <c r="E354" s="1" t="s">
        <v>511</v>
      </c>
      <c r="F354" s="1" t="s">
        <v>78</v>
      </c>
      <c r="G354" s="1" t="s">
        <v>1883</v>
      </c>
      <c r="H354" s="1" t="s">
        <v>657</v>
      </c>
      <c r="I354" t="b">
        <f>COUNTIF(Estadísticas!I:I,'centraldecomunicacion.es'!H354)&gt;0</f>
        <v>0</v>
      </c>
    </row>
    <row r="355" spans="1:9" hidden="1">
      <c r="A355" s="1" t="s">
        <v>1884</v>
      </c>
      <c r="B355" s="1" t="s">
        <v>24</v>
      </c>
      <c r="C355" s="1" t="s">
        <v>1885</v>
      </c>
      <c r="D355" s="1" t="s">
        <v>1850</v>
      </c>
      <c r="E355" s="1" t="s">
        <v>511</v>
      </c>
      <c r="F355" s="1" t="s">
        <v>1886</v>
      </c>
      <c r="G355" s="1" t="s">
        <v>1887</v>
      </c>
      <c r="H355" s="1" t="s">
        <v>1888</v>
      </c>
      <c r="I355" t="b">
        <f>COUNTIF(Estadísticas!I:I,'centraldecomunicacion.es'!H355)&gt;0</f>
        <v>0</v>
      </c>
    </row>
    <row r="356" spans="1:9" hidden="1">
      <c r="A356" s="1" t="s">
        <v>1889</v>
      </c>
      <c r="B356" s="1" t="s">
        <v>10</v>
      </c>
      <c r="C356" s="1" t="s">
        <v>1890</v>
      </c>
      <c r="D356" s="1" t="s">
        <v>1860</v>
      </c>
      <c r="E356" s="1" t="s">
        <v>511</v>
      </c>
      <c r="F356" s="1" t="s">
        <v>1891</v>
      </c>
      <c r="G356" s="1" t="s">
        <v>1892</v>
      </c>
      <c r="H356" s="1" t="s">
        <v>1893</v>
      </c>
      <c r="I356" t="b">
        <f>COUNTIF(Estadísticas!I:I,'centraldecomunicacion.es'!H356)&gt;0</f>
        <v>0</v>
      </c>
    </row>
    <row r="357" spans="1:9" hidden="1">
      <c r="A357" s="1" t="s">
        <v>1894</v>
      </c>
      <c r="B357" s="1" t="s">
        <v>24</v>
      </c>
      <c r="C357" s="1" t="s">
        <v>1895</v>
      </c>
      <c r="D357" s="1" t="s">
        <v>1860</v>
      </c>
      <c r="E357" s="1" t="s">
        <v>511</v>
      </c>
      <c r="F357" s="1" t="s">
        <v>1896</v>
      </c>
      <c r="G357" s="1" t="s">
        <v>1897</v>
      </c>
      <c r="H357" s="1" t="s">
        <v>1898</v>
      </c>
      <c r="I357" t="b">
        <f>COUNTIF(Estadísticas!I:I,'centraldecomunicacion.es'!H357)&gt;0</f>
        <v>0</v>
      </c>
    </row>
    <row r="358" spans="1:9" hidden="1">
      <c r="A358" s="1" t="s">
        <v>1899</v>
      </c>
      <c r="B358" s="1" t="s">
        <v>24</v>
      </c>
      <c r="C358" s="1" t="s">
        <v>1900</v>
      </c>
      <c r="D358" s="1" t="s">
        <v>510</v>
      </c>
      <c r="E358" s="1" t="s">
        <v>511</v>
      </c>
      <c r="F358" s="1" t="s">
        <v>1901</v>
      </c>
      <c r="G358" s="1" t="s">
        <v>1902</v>
      </c>
      <c r="H358" s="1" t="s">
        <v>1903</v>
      </c>
      <c r="I358" t="b">
        <f>COUNTIF(Estadísticas!I:I,'centraldecomunicacion.es'!H358)&gt;0</f>
        <v>0</v>
      </c>
    </row>
    <row r="359" spans="1:9" hidden="1">
      <c r="A359" s="1" t="s">
        <v>1904</v>
      </c>
      <c r="B359" s="1" t="s">
        <v>10</v>
      </c>
      <c r="C359" s="1" t="s">
        <v>1905</v>
      </c>
      <c r="D359" s="1" t="s">
        <v>1906</v>
      </c>
      <c r="E359" s="1" t="s">
        <v>511</v>
      </c>
      <c r="F359" s="1" t="s">
        <v>1907</v>
      </c>
      <c r="G359" s="1" t="s">
        <v>1908</v>
      </c>
      <c r="H359" s="1" t="s">
        <v>657</v>
      </c>
      <c r="I359" t="b">
        <f>COUNTIF(Estadísticas!I:I,'centraldecomunicacion.es'!H359)&gt;0</f>
        <v>0</v>
      </c>
    </row>
    <row r="360" spans="1:9" hidden="1">
      <c r="A360" s="1" t="s">
        <v>1909</v>
      </c>
      <c r="B360" s="1" t="s">
        <v>24</v>
      </c>
      <c r="C360" s="1" t="s">
        <v>1910</v>
      </c>
      <c r="D360" s="1" t="s">
        <v>510</v>
      </c>
      <c r="E360" s="1" t="s">
        <v>511</v>
      </c>
      <c r="F360" s="1" t="s">
        <v>1911</v>
      </c>
      <c r="G360" s="1" t="s">
        <v>1912</v>
      </c>
      <c r="H360" s="1" t="s">
        <v>1913</v>
      </c>
      <c r="I360" t="b">
        <f>COUNTIF(Estadísticas!I:I,'centraldecomunicacion.es'!H360)&gt;0</f>
        <v>0</v>
      </c>
    </row>
    <row r="361" spans="1:9" hidden="1">
      <c r="A361" s="1" t="s">
        <v>1914</v>
      </c>
      <c r="B361" s="1" t="s">
        <v>24</v>
      </c>
      <c r="C361" s="1" t="s">
        <v>1915</v>
      </c>
      <c r="D361" s="1" t="s">
        <v>1860</v>
      </c>
      <c r="E361" s="1" t="s">
        <v>511</v>
      </c>
      <c r="F361" s="1" t="s">
        <v>1916</v>
      </c>
      <c r="G361" s="1" t="s">
        <v>1917</v>
      </c>
      <c r="H361" s="1" t="s">
        <v>1918</v>
      </c>
      <c r="I361" t="b">
        <f>COUNTIF(Estadísticas!I:I,'centraldecomunicacion.es'!H361)&gt;0</f>
        <v>0</v>
      </c>
    </row>
    <row r="362" spans="1:9" hidden="1">
      <c r="A362" s="1" t="s">
        <v>1919</v>
      </c>
      <c r="B362" s="1" t="s">
        <v>24</v>
      </c>
      <c r="C362" s="1" t="s">
        <v>1920</v>
      </c>
      <c r="D362" s="1" t="s">
        <v>1921</v>
      </c>
      <c r="E362" s="1" t="s">
        <v>511</v>
      </c>
      <c r="F362" s="1" t="s">
        <v>1922</v>
      </c>
      <c r="G362" s="1" t="s">
        <v>1923</v>
      </c>
      <c r="H362" s="1" t="s">
        <v>657</v>
      </c>
      <c r="I362" t="b">
        <f>COUNTIF(Estadísticas!I:I,'centraldecomunicacion.es'!H362)&gt;0</f>
        <v>0</v>
      </c>
    </row>
    <row r="363" spans="1:9" hidden="1">
      <c r="A363" s="1" t="s">
        <v>1924</v>
      </c>
      <c r="B363" s="1" t="s">
        <v>10</v>
      </c>
      <c r="C363" s="1" t="s">
        <v>1925</v>
      </c>
      <c r="D363" s="1" t="s">
        <v>1926</v>
      </c>
      <c r="E363" s="1" t="s">
        <v>511</v>
      </c>
      <c r="F363" s="1" t="s">
        <v>78</v>
      </c>
      <c r="G363" s="1" t="s">
        <v>1927</v>
      </c>
      <c r="H363" s="1" t="s">
        <v>657</v>
      </c>
      <c r="I363" t="b">
        <f>COUNTIF(Estadísticas!I:I,'centraldecomunicacion.es'!H363)&gt;0</f>
        <v>0</v>
      </c>
    </row>
    <row r="364" spans="1:9" hidden="1">
      <c r="A364" s="1" t="s">
        <v>1928</v>
      </c>
      <c r="B364" s="1" t="s">
        <v>24</v>
      </c>
      <c r="C364" s="1" t="s">
        <v>1929</v>
      </c>
      <c r="D364" s="1" t="s">
        <v>1850</v>
      </c>
      <c r="E364" s="1" t="s">
        <v>511</v>
      </c>
      <c r="F364" s="1" t="s">
        <v>1930</v>
      </c>
      <c r="G364" s="1" t="s">
        <v>1931</v>
      </c>
      <c r="H364" s="1" t="s">
        <v>1857</v>
      </c>
      <c r="I364" t="b">
        <f>COUNTIF(Estadísticas!I:I,'centraldecomunicacion.es'!H364)&gt;0</f>
        <v>0</v>
      </c>
    </row>
    <row r="365" spans="1:9" hidden="1">
      <c r="A365" s="1" t="s">
        <v>1932</v>
      </c>
      <c r="B365" s="1" t="s">
        <v>24</v>
      </c>
      <c r="C365" s="1" t="s">
        <v>1933</v>
      </c>
      <c r="D365" s="1" t="s">
        <v>1934</v>
      </c>
      <c r="E365" s="1" t="s">
        <v>511</v>
      </c>
      <c r="F365" s="1" t="s">
        <v>78</v>
      </c>
      <c r="G365" s="1" t="s">
        <v>1935</v>
      </c>
      <c r="H365" s="1" t="s">
        <v>657</v>
      </c>
      <c r="I365" t="b">
        <f>COUNTIF(Estadísticas!I:I,'centraldecomunicacion.es'!H365)&gt;0</f>
        <v>0</v>
      </c>
    </row>
    <row r="366" spans="1:9" hidden="1">
      <c r="A366" s="1" t="s">
        <v>1936</v>
      </c>
      <c r="B366" s="1" t="s">
        <v>10</v>
      </c>
      <c r="C366" s="1" t="s">
        <v>1937</v>
      </c>
      <c r="D366" s="1" t="s">
        <v>1850</v>
      </c>
      <c r="E366" s="1" t="s">
        <v>511</v>
      </c>
      <c r="F366" s="1" t="s">
        <v>829</v>
      </c>
      <c r="G366" s="1" t="s">
        <v>1938</v>
      </c>
      <c r="H366" s="1" t="s">
        <v>831</v>
      </c>
      <c r="I366" t="b">
        <f>COUNTIF(Estadísticas!I:I,'centraldecomunicacion.es'!H366)&gt;0</f>
        <v>0</v>
      </c>
    </row>
    <row r="367" spans="1:9" hidden="1">
      <c r="A367" s="1" t="s">
        <v>1939</v>
      </c>
      <c r="B367" s="1" t="s">
        <v>24</v>
      </c>
      <c r="C367" s="1" t="s">
        <v>1940</v>
      </c>
      <c r="D367" s="1" t="s">
        <v>1941</v>
      </c>
      <c r="E367" s="1" t="s">
        <v>511</v>
      </c>
      <c r="F367" s="1" t="s">
        <v>78</v>
      </c>
      <c r="G367" s="1" t="s">
        <v>1942</v>
      </c>
      <c r="H367" s="1" t="s">
        <v>657</v>
      </c>
      <c r="I367" t="b">
        <f>COUNTIF(Estadísticas!I:I,'centraldecomunicacion.es'!H367)&gt;0</f>
        <v>0</v>
      </c>
    </row>
    <row r="368" spans="1:9" hidden="1">
      <c r="A368" s="1" t="s">
        <v>1943</v>
      </c>
      <c r="B368" s="1" t="s">
        <v>24</v>
      </c>
      <c r="C368" s="1" t="s">
        <v>78</v>
      </c>
      <c r="D368" s="1" t="s">
        <v>1873</v>
      </c>
      <c r="E368" s="1" t="s">
        <v>78</v>
      </c>
      <c r="F368" s="1" t="s">
        <v>78</v>
      </c>
      <c r="G368" s="1" t="s">
        <v>1944</v>
      </c>
      <c r="H368" s="1" t="s">
        <v>657</v>
      </c>
      <c r="I368" t="b">
        <f>COUNTIF(Estadísticas!I:I,'centraldecomunicacion.es'!H368)&gt;0</f>
        <v>0</v>
      </c>
    </row>
    <row r="369" spans="1:9" hidden="1">
      <c r="A369" s="1" t="s">
        <v>1945</v>
      </c>
      <c r="B369" s="1" t="s">
        <v>10</v>
      </c>
      <c r="C369" s="1" t="s">
        <v>1946</v>
      </c>
      <c r="D369" s="1" t="s">
        <v>1860</v>
      </c>
      <c r="E369" s="1" t="s">
        <v>511</v>
      </c>
      <c r="F369" s="1" t="s">
        <v>78</v>
      </c>
      <c r="G369" s="1" t="s">
        <v>1947</v>
      </c>
      <c r="H369" s="1" t="s">
        <v>657</v>
      </c>
      <c r="I369" t="b">
        <f>COUNTIF(Estadísticas!I:I,'centraldecomunicacion.es'!H369)&gt;0</f>
        <v>0</v>
      </c>
    </row>
    <row r="370" spans="1:9" hidden="1">
      <c r="A370" s="1" t="s">
        <v>1899</v>
      </c>
      <c r="B370" s="1" t="s">
        <v>10</v>
      </c>
      <c r="C370" s="1" t="s">
        <v>1948</v>
      </c>
      <c r="D370" s="1" t="s">
        <v>1850</v>
      </c>
      <c r="E370" s="1" t="s">
        <v>511</v>
      </c>
      <c r="F370" s="1" t="s">
        <v>1901</v>
      </c>
      <c r="G370" s="1" t="s">
        <v>1949</v>
      </c>
      <c r="H370" s="1" t="s">
        <v>1903</v>
      </c>
      <c r="I370" t="b">
        <f>COUNTIF(Estadísticas!I:I,'centraldecomunicacion.es'!H370)&gt;0</f>
        <v>0</v>
      </c>
    </row>
    <row r="371" spans="1:9" hidden="1">
      <c r="A371" s="1" t="s">
        <v>1950</v>
      </c>
      <c r="B371" s="1" t="s">
        <v>24</v>
      </c>
      <c r="C371" s="1" t="s">
        <v>1951</v>
      </c>
      <c r="D371" s="1" t="s">
        <v>1860</v>
      </c>
      <c r="E371" s="1" t="s">
        <v>511</v>
      </c>
      <c r="F371" s="1" t="s">
        <v>1874</v>
      </c>
      <c r="G371" s="1" t="s">
        <v>1952</v>
      </c>
      <c r="H371" s="1" t="s">
        <v>657</v>
      </c>
      <c r="I371" t="b">
        <f>COUNTIF(Estadísticas!I:I,'centraldecomunicacion.es'!H371)&gt;0</f>
        <v>0</v>
      </c>
    </row>
    <row r="372" spans="1:9" hidden="1">
      <c r="A372" s="1" t="s">
        <v>1953</v>
      </c>
      <c r="B372" s="1" t="s">
        <v>10</v>
      </c>
      <c r="C372" s="1" t="s">
        <v>78</v>
      </c>
      <c r="D372" s="1" t="s">
        <v>1873</v>
      </c>
      <c r="E372" s="1" t="s">
        <v>78</v>
      </c>
      <c r="F372" s="1" t="s">
        <v>1954</v>
      </c>
      <c r="G372" s="1" t="s">
        <v>1955</v>
      </c>
      <c r="H372" s="1" t="s">
        <v>1857</v>
      </c>
      <c r="I372" t="b">
        <f>COUNTIF(Estadísticas!I:I,'centraldecomunicacion.es'!H372)&gt;0</f>
        <v>0</v>
      </c>
    </row>
    <row r="373" spans="1:9" hidden="1">
      <c r="A373" s="1" t="s">
        <v>1956</v>
      </c>
      <c r="B373" s="1" t="s">
        <v>10</v>
      </c>
      <c r="C373" s="1" t="s">
        <v>1957</v>
      </c>
      <c r="D373" s="1" t="s">
        <v>1850</v>
      </c>
      <c r="E373" s="1" t="s">
        <v>511</v>
      </c>
      <c r="F373" s="1" t="s">
        <v>78</v>
      </c>
      <c r="G373" s="1" t="s">
        <v>1958</v>
      </c>
      <c r="H373" s="1" t="s">
        <v>657</v>
      </c>
      <c r="I373" t="b">
        <f>COUNTIF(Estadísticas!I:I,'centraldecomunicacion.es'!H373)&gt;0</f>
        <v>0</v>
      </c>
    </row>
    <row r="374" spans="1:9" hidden="1">
      <c r="A374" s="1" t="s">
        <v>1959</v>
      </c>
      <c r="B374" s="1" t="s">
        <v>24</v>
      </c>
      <c r="C374" s="1" t="s">
        <v>1960</v>
      </c>
      <c r="D374" s="1" t="s">
        <v>1860</v>
      </c>
      <c r="E374" s="1" t="s">
        <v>1860</v>
      </c>
      <c r="F374" s="1" t="s">
        <v>78</v>
      </c>
      <c r="G374" s="1" t="s">
        <v>1961</v>
      </c>
      <c r="H374" s="1" t="s">
        <v>657</v>
      </c>
      <c r="I374" t="b">
        <f>COUNTIF(Estadísticas!I:I,'centraldecomunicacion.es'!H374)&gt;0</f>
        <v>0</v>
      </c>
    </row>
    <row r="375" spans="1:9" hidden="1">
      <c r="A375" s="1" t="s">
        <v>1962</v>
      </c>
      <c r="B375" s="1" t="s">
        <v>24</v>
      </c>
      <c r="C375" s="1" t="s">
        <v>1929</v>
      </c>
      <c r="D375" s="1" t="s">
        <v>1850</v>
      </c>
      <c r="E375" s="1" t="s">
        <v>511</v>
      </c>
      <c r="F375" s="1" t="s">
        <v>78</v>
      </c>
      <c r="G375" s="1" t="s">
        <v>78</v>
      </c>
      <c r="H375" s="1" t="s">
        <v>657</v>
      </c>
      <c r="I375" t="b">
        <f>COUNTIF(Estadísticas!I:I,'centraldecomunicacion.es'!H375)&gt;0</f>
        <v>0</v>
      </c>
    </row>
    <row r="376" spans="1:9" hidden="1">
      <c r="A376" s="1" t="s">
        <v>1963</v>
      </c>
      <c r="B376" s="1" t="s">
        <v>24</v>
      </c>
      <c r="C376" s="1" t="s">
        <v>1946</v>
      </c>
      <c r="D376" s="1" t="s">
        <v>1860</v>
      </c>
      <c r="E376" s="1" t="s">
        <v>511</v>
      </c>
      <c r="F376" s="1" t="s">
        <v>78</v>
      </c>
      <c r="G376" s="1" t="s">
        <v>1964</v>
      </c>
      <c r="H376" s="1" t="s">
        <v>657</v>
      </c>
      <c r="I376" t="b">
        <f>COUNTIF(Estadísticas!I:I,'centraldecomunicacion.es'!H376)&gt;0</f>
        <v>0</v>
      </c>
    </row>
    <row r="377" spans="1:9" hidden="1">
      <c r="A377" s="1" t="s">
        <v>1965</v>
      </c>
      <c r="B377" s="1" t="s">
        <v>24</v>
      </c>
      <c r="C377" s="1" t="s">
        <v>1966</v>
      </c>
      <c r="D377" s="1" t="s">
        <v>1860</v>
      </c>
      <c r="E377" s="1" t="s">
        <v>511</v>
      </c>
      <c r="F377" s="1" t="s">
        <v>78</v>
      </c>
      <c r="G377" s="1" t="s">
        <v>1967</v>
      </c>
      <c r="H377" s="1" t="s">
        <v>657</v>
      </c>
      <c r="I377" t="b">
        <f>COUNTIF(Estadísticas!I:I,'centraldecomunicacion.es'!H377)&gt;0</f>
        <v>0</v>
      </c>
    </row>
    <row r="378" spans="1:9" hidden="1">
      <c r="A378" s="1" t="s">
        <v>1968</v>
      </c>
      <c r="B378" s="1" t="s">
        <v>24</v>
      </c>
      <c r="C378" s="1" t="s">
        <v>1969</v>
      </c>
      <c r="D378" s="1" t="s">
        <v>1860</v>
      </c>
      <c r="E378" s="1" t="s">
        <v>511</v>
      </c>
      <c r="F378" s="1" t="s">
        <v>1970</v>
      </c>
      <c r="G378" s="1" t="s">
        <v>1971</v>
      </c>
      <c r="H378" s="1" t="s">
        <v>1972</v>
      </c>
      <c r="I378" t="b">
        <f>COUNTIF(Estadísticas!I:I,'centraldecomunicacion.es'!H378)&gt;0</f>
        <v>0</v>
      </c>
    </row>
    <row r="379" spans="1:9" hidden="1">
      <c r="A379" s="1" t="s">
        <v>1973</v>
      </c>
      <c r="B379" s="1" t="s">
        <v>10</v>
      </c>
      <c r="C379" s="1" t="s">
        <v>78</v>
      </c>
      <c r="D379" s="1" t="s">
        <v>1873</v>
      </c>
      <c r="E379" s="1" t="s">
        <v>78</v>
      </c>
      <c r="F379" s="1" t="s">
        <v>78</v>
      </c>
      <c r="G379" s="1" t="s">
        <v>1974</v>
      </c>
      <c r="H379" s="1" t="s">
        <v>657</v>
      </c>
      <c r="I379" t="b">
        <f>COUNTIF(Estadísticas!I:I,'centraldecomunicacion.es'!H379)&gt;0</f>
        <v>0</v>
      </c>
    </row>
    <row r="380" spans="1:9" hidden="1">
      <c r="A380" s="1" t="s">
        <v>1975</v>
      </c>
      <c r="B380" s="1" t="s">
        <v>24</v>
      </c>
      <c r="C380" s="1" t="s">
        <v>1976</v>
      </c>
      <c r="D380" s="1" t="s">
        <v>1977</v>
      </c>
      <c r="E380" s="1" t="s">
        <v>511</v>
      </c>
      <c r="F380" s="1" t="s">
        <v>78</v>
      </c>
      <c r="G380" s="1" t="s">
        <v>1978</v>
      </c>
      <c r="H380" s="1" t="s">
        <v>657</v>
      </c>
      <c r="I380" t="b">
        <f>COUNTIF(Estadísticas!I:I,'centraldecomunicacion.es'!H380)&gt;0</f>
        <v>0</v>
      </c>
    </row>
    <row r="381" spans="1:9" hidden="1">
      <c r="A381" s="1" t="s">
        <v>1979</v>
      </c>
      <c r="B381" s="1" t="s">
        <v>24</v>
      </c>
      <c r="C381" s="1" t="s">
        <v>1980</v>
      </c>
      <c r="D381" s="1" t="s">
        <v>1860</v>
      </c>
      <c r="E381" s="1" t="s">
        <v>511</v>
      </c>
      <c r="F381" s="1" t="s">
        <v>78</v>
      </c>
      <c r="G381" s="1" t="s">
        <v>1981</v>
      </c>
      <c r="H381" s="1" t="s">
        <v>657</v>
      </c>
      <c r="I381" t="b">
        <f>COUNTIF(Estadísticas!I:I,'centraldecomunicacion.es'!H381)&gt;0</f>
        <v>0</v>
      </c>
    </row>
    <row r="382" spans="1:9" hidden="1">
      <c r="A382" s="1" t="s">
        <v>1982</v>
      </c>
      <c r="B382" s="1" t="s">
        <v>24</v>
      </c>
      <c r="C382" s="1" t="s">
        <v>1983</v>
      </c>
      <c r="D382" s="1" t="s">
        <v>1860</v>
      </c>
      <c r="E382" s="1" t="s">
        <v>511</v>
      </c>
      <c r="F382" s="1" t="s">
        <v>1984</v>
      </c>
      <c r="G382" s="1" t="s">
        <v>1985</v>
      </c>
      <c r="H382" s="1" t="s">
        <v>657</v>
      </c>
      <c r="I382" t="b">
        <f>COUNTIF(Estadísticas!I:I,'centraldecomunicacion.es'!H382)&gt;0</f>
        <v>0</v>
      </c>
    </row>
    <row r="383" spans="1:9" hidden="1">
      <c r="A383" s="1" t="s">
        <v>1986</v>
      </c>
      <c r="B383" s="1" t="s">
        <v>10</v>
      </c>
      <c r="C383" s="1" t="s">
        <v>1987</v>
      </c>
      <c r="D383" s="1" t="s">
        <v>1988</v>
      </c>
      <c r="E383" s="1" t="s">
        <v>511</v>
      </c>
      <c r="F383" s="1" t="s">
        <v>78</v>
      </c>
      <c r="G383" s="1" t="s">
        <v>1989</v>
      </c>
      <c r="H383" s="1" t="s">
        <v>657</v>
      </c>
      <c r="I383" t="b">
        <f>COUNTIF(Estadísticas!I:I,'centraldecomunicacion.es'!H383)&gt;0</f>
        <v>0</v>
      </c>
    </row>
    <row r="384" spans="1:9" hidden="1">
      <c r="A384" s="1" t="s">
        <v>1990</v>
      </c>
      <c r="B384" s="1" t="s">
        <v>24</v>
      </c>
      <c r="C384" s="1" t="s">
        <v>1991</v>
      </c>
      <c r="D384" s="1" t="s">
        <v>1860</v>
      </c>
      <c r="E384" s="1" t="s">
        <v>511</v>
      </c>
      <c r="F384" s="1" t="s">
        <v>1992</v>
      </c>
      <c r="G384" s="1" t="s">
        <v>1993</v>
      </c>
      <c r="H384" s="1" t="s">
        <v>657</v>
      </c>
      <c r="I384" t="b">
        <f>COUNTIF(Estadísticas!I:I,'centraldecomunicacion.es'!H384)&gt;0</f>
        <v>0</v>
      </c>
    </row>
    <row r="385" spans="1:9" hidden="1">
      <c r="A385" s="1" t="s">
        <v>1994</v>
      </c>
      <c r="B385" s="1" t="s">
        <v>24</v>
      </c>
      <c r="C385" s="1" t="s">
        <v>1995</v>
      </c>
      <c r="D385" s="1" t="s">
        <v>510</v>
      </c>
      <c r="E385" s="1" t="s">
        <v>511</v>
      </c>
      <c r="F385" s="1" t="s">
        <v>78</v>
      </c>
      <c r="G385" s="1" t="s">
        <v>1996</v>
      </c>
      <c r="H385" s="1" t="s">
        <v>657</v>
      </c>
      <c r="I385" t="b">
        <f>COUNTIF(Estadísticas!I:I,'centraldecomunicacion.es'!H385)&gt;0</f>
        <v>0</v>
      </c>
    </row>
    <row r="386" spans="1:9" hidden="1">
      <c r="A386" s="1" t="s">
        <v>1997</v>
      </c>
      <c r="B386" s="1" t="s">
        <v>24</v>
      </c>
      <c r="C386" s="1" t="s">
        <v>1998</v>
      </c>
      <c r="D386" s="1" t="s">
        <v>1860</v>
      </c>
      <c r="E386" s="1" t="s">
        <v>511</v>
      </c>
      <c r="F386" s="1" t="s">
        <v>78</v>
      </c>
      <c r="G386" s="1" t="s">
        <v>1999</v>
      </c>
      <c r="H386" s="1" t="s">
        <v>657</v>
      </c>
      <c r="I386" t="b">
        <f>COUNTIF(Estadísticas!I:I,'centraldecomunicacion.es'!H386)&gt;0</f>
        <v>0</v>
      </c>
    </row>
    <row r="387" spans="1:9" hidden="1">
      <c r="A387" s="1" t="s">
        <v>2000</v>
      </c>
      <c r="B387" s="1" t="s">
        <v>24</v>
      </c>
      <c r="C387" s="1" t="s">
        <v>2001</v>
      </c>
      <c r="D387" s="1" t="s">
        <v>2002</v>
      </c>
      <c r="E387" s="1" t="s">
        <v>511</v>
      </c>
      <c r="F387" s="1" t="s">
        <v>78</v>
      </c>
      <c r="G387" s="1" t="s">
        <v>2003</v>
      </c>
      <c r="H387" s="1" t="s">
        <v>657</v>
      </c>
      <c r="I387" t="b">
        <f>COUNTIF(Estadísticas!I:I,'centraldecomunicacion.es'!H387)&gt;0</f>
        <v>0</v>
      </c>
    </row>
    <row r="388" spans="1:9" hidden="1">
      <c r="A388" s="1" t="s">
        <v>2004</v>
      </c>
      <c r="B388" s="1" t="s">
        <v>24</v>
      </c>
      <c r="C388" s="1" t="s">
        <v>78</v>
      </c>
      <c r="D388" s="1" t="s">
        <v>1873</v>
      </c>
      <c r="E388" s="1" t="s">
        <v>78</v>
      </c>
      <c r="F388" s="1" t="s">
        <v>2005</v>
      </c>
      <c r="G388" s="1" t="s">
        <v>2006</v>
      </c>
      <c r="H388" s="1" t="s">
        <v>1857</v>
      </c>
      <c r="I388" t="b">
        <f>COUNTIF(Estadísticas!I:I,'centraldecomunicacion.es'!H388)&gt;0</f>
        <v>0</v>
      </c>
    </row>
    <row r="389" spans="1:9" hidden="1">
      <c r="A389" s="1" t="s">
        <v>2007</v>
      </c>
      <c r="B389" s="1" t="s">
        <v>10</v>
      </c>
      <c r="C389" s="1" t="s">
        <v>2008</v>
      </c>
      <c r="D389" s="1" t="s">
        <v>2009</v>
      </c>
      <c r="E389" s="1" t="s">
        <v>511</v>
      </c>
      <c r="F389" s="1" t="s">
        <v>78</v>
      </c>
      <c r="G389" s="1" t="s">
        <v>78</v>
      </c>
      <c r="H389" s="1" t="s">
        <v>657</v>
      </c>
      <c r="I389" t="b">
        <f>COUNTIF(Estadísticas!I:I,'centraldecomunicacion.es'!H389)&gt;0</f>
        <v>0</v>
      </c>
    </row>
    <row r="390" spans="1:9" hidden="1">
      <c r="A390" s="1" t="s">
        <v>2010</v>
      </c>
      <c r="B390" s="1" t="s">
        <v>24</v>
      </c>
      <c r="C390" s="1" t="s">
        <v>2011</v>
      </c>
      <c r="D390" s="1" t="s">
        <v>1860</v>
      </c>
      <c r="E390" s="1" t="s">
        <v>511</v>
      </c>
      <c r="F390" s="1" t="s">
        <v>78</v>
      </c>
      <c r="G390" s="1" t="s">
        <v>2012</v>
      </c>
      <c r="H390" s="1" t="s">
        <v>657</v>
      </c>
      <c r="I390" t="b">
        <f>COUNTIF(Estadísticas!I:I,'centraldecomunicacion.es'!H390)&gt;0</f>
        <v>0</v>
      </c>
    </row>
    <row r="391" spans="1:9" hidden="1">
      <c r="A391" s="1" t="s">
        <v>2013</v>
      </c>
      <c r="B391" s="1" t="s">
        <v>24</v>
      </c>
      <c r="C391" s="1" t="s">
        <v>2014</v>
      </c>
      <c r="D391" s="1" t="s">
        <v>2015</v>
      </c>
      <c r="E391" s="1" t="s">
        <v>2016</v>
      </c>
      <c r="F391" s="1" t="s">
        <v>78</v>
      </c>
      <c r="G391" s="1" t="s">
        <v>2017</v>
      </c>
      <c r="H391" s="1" t="s">
        <v>657</v>
      </c>
      <c r="I391" t="b">
        <f>COUNTIF(Estadísticas!I:I,'centraldecomunicacion.es'!H391)&gt;0</f>
        <v>0</v>
      </c>
    </row>
    <row r="392" spans="1:9" hidden="1">
      <c r="A392" s="1" t="s">
        <v>2018</v>
      </c>
      <c r="B392" s="1" t="s">
        <v>24</v>
      </c>
      <c r="C392" s="1" t="s">
        <v>2019</v>
      </c>
      <c r="D392" s="1" t="s">
        <v>2002</v>
      </c>
      <c r="E392" s="1" t="s">
        <v>511</v>
      </c>
      <c r="F392" s="1" t="s">
        <v>78</v>
      </c>
      <c r="G392" s="1" t="s">
        <v>2003</v>
      </c>
      <c r="H392" s="1" t="s">
        <v>657</v>
      </c>
      <c r="I392" t="b">
        <f>COUNTIF(Estadísticas!I:I,'centraldecomunicacion.es'!H392)&gt;0</f>
        <v>0</v>
      </c>
    </row>
    <row r="393" spans="1:9" hidden="1">
      <c r="A393" s="1" t="s">
        <v>2020</v>
      </c>
      <c r="B393" s="1" t="s">
        <v>24</v>
      </c>
      <c r="C393" s="1" t="s">
        <v>78</v>
      </c>
      <c r="D393" s="1" t="s">
        <v>1873</v>
      </c>
      <c r="E393" s="1" t="s">
        <v>78</v>
      </c>
      <c r="F393" s="1" t="s">
        <v>1778</v>
      </c>
      <c r="G393" s="1" t="s">
        <v>2021</v>
      </c>
      <c r="H393" s="1" t="s">
        <v>657</v>
      </c>
      <c r="I393" t="b">
        <f>COUNTIF(Estadísticas!I:I,'centraldecomunicacion.es'!H393)&gt;0</f>
        <v>0</v>
      </c>
    </row>
    <row r="394" spans="1:9" hidden="1">
      <c r="A394" s="1" t="s">
        <v>2022</v>
      </c>
      <c r="B394" s="1" t="s">
        <v>24</v>
      </c>
      <c r="C394" s="1" t="s">
        <v>2023</v>
      </c>
      <c r="D394" s="1" t="s">
        <v>510</v>
      </c>
      <c r="E394" s="1" t="s">
        <v>511</v>
      </c>
      <c r="F394" s="1" t="s">
        <v>78</v>
      </c>
      <c r="G394" s="1" t="s">
        <v>2024</v>
      </c>
      <c r="H394" s="1" t="s">
        <v>657</v>
      </c>
      <c r="I394" t="b">
        <f>COUNTIF(Estadísticas!I:I,'centraldecomunicacion.es'!H394)&gt;0</f>
        <v>0</v>
      </c>
    </row>
    <row r="395" spans="1:9" hidden="1">
      <c r="A395" s="1" t="s">
        <v>2025</v>
      </c>
      <c r="B395" s="1" t="s">
        <v>24</v>
      </c>
      <c r="C395" s="1" t="s">
        <v>2026</v>
      </c>
      <c r="D395" s="1" t="s">
        <v>1860</v>
      </c>
      <c r="E395" s="1" t="s">
        <v>511</v>
      </c>
      <c r="F395" s="1" t="s">
        <v>78</v>
      </c>
      <c r="G395" s="1" t="s">
        <v>2027</v>
      </c>
      <c r="H395" s="1" t="s">
        <v>657</v>
      </c>
      <c r="I395" t="b">
        <f>COUNTIF(Estadísticas!I:I,'centraldecomunicacion.es'!H395)&gt;0</f>
        <v>0</v>
      </c>
    </row>
    <row r="396" spans="1:9" hidden="1">
      <c r="A396" s="1" t="s">
        <v>2028</v>
      </c>
      <c r="B396" s="1" t="s">
        <v>24</v>
      </c>
      <c r="C396" s="1" t="s">
        <v>2029</v>
      </c>
      <c r="D396" s="1" t="s">
        <v>1860</v>
      </c>
      <c r="E396" s="1" t="s">
        <v>511</v>
      </c>
      <c r="F396" s="1" t="s">
        <v>78</v>
      </c>
      <c r="G396" s="1" t="s">
        <v>2030</v>
      </c>
      <c r="H396" s="1" t="s">
        <v>657</v>
      </c>
      <c r="I396" t="b">
        <f>COUNTIF(Estadísticas!I:I,'centraldecomunicacion.es'!H396)&gt;0</f>
        <v>0</v>
      </c>
    </row>
    <row r="397" spans="1:9" hidden="1">
      <c r="A397" s="1" t="s">
        <v>2031</v>
      </c>
      <c r="B397" s="1" t="s">
        <v>24</v>
      </c>
      <c r="C397" s="1" t="s">
        <v>2032</v>
      </c>
      <c r="D397" s="1" t="s">
        <v>1860</v>
      </c>
      <c r="E397" s="1" t="s">
        <v>511</v>
      </c>
      <c r="F397" s="1" t="s">
        <v>78</v>
      </c>
      <c r="G397" s="1" t="s">
        <v>2033</v>
      </c>
      <c r="H397" s="1" t="s">
        <v>657</v>
      </c>
      <c r="I397" t="b">
        <f>COUNTIF(Estadísticas!I:I,'centraldecomunicacion.es'!H397)&gt;0</f>
        <v>0</v>
      </c>
    </row>
    <row r="398" spans="1:9" hidden="1">
      <c r="A398" s="1" t="s">
        <v>2034</v>
      </c>
      <c r="B398" s="1" t="s">
        <v>24</v>
      </c>
      <c r="C398" s="1" t="s">
        <v>2035</v>
      </c>
      <c r="D398" s="1" t="s">
        <v>1860</v>
      </c>
      <c r="E398" s="1" t="s">
        <v>511</v>
      </c>
      <c r="F398" s="1" t="s">
        <v>2036</v>
      </c>
      <c r="G398" s="1" t="s">
        <v>2037</v>
      </c>
      <c r="H398" s="1" t="s">
        <v>657</v>
      </c>
      <c r="I398" t="b">
        <f>COUNTIF(Estadísticas!I:I,'centraldecomunicacion.es'!H398)&gt;0</f>
        <v>0</v>
      </c>
    </row>
    <row r="399" spans="1:9" hidden="1">
      <c r="A399" s="1" t="s">
        <v>2038</v>
      </c>
      <c r="B399" s="1" t="s">
        <v>10</v>
      </c>
      <c r="C399" s="1" t="s">
        <v>78</v>
      </c>
      <c r="D399" s="1" t="s">
        <v>1873</v>
      </c>
      <c r="E399" s="1" t="s">
        <v>78</v>
      </c>
      <c r="F399" s="1" t="s">
        <v>78</v>
      </c>
      <c r="G399" s="1" t="s">
        <v>2039</v>
      </c>
      <c r="H399" s="1" t="s">
        <v>657</v>
      </c>
      <c r="I399" t="b">
        <f>COUNTIF(Estadísticas!I:I,'centraldecomunicacion.es'!H399)&gt;0</f>
        <v>0</v>
      </c>
    </row>
    <row r="400" spans="1:9" hidden="1">
      <c r="A400" s="1" t="s">
        <v>2040</v>
      </c>
      <c r="B400" s="1" t="s">
        <v>24</v>
      </c>
      <c r="C400" s="1" t="s">
        <v>2041</v>
      </c>
      <c r="D400" s="1" t="s">
        <v>1850</v>
      </c>
      <c r="E400" s="1" t="s">
        <v>511</v>
      </c>
      <c r="F400" s="1" t="s">
        <v>78</v>
      </c>
      <c r="G400" s="1" t="s">
        <v>2042</v>
      </c>
      <c r="H400" s="1" t="s">
        <v>657</v>
      </c>
      <c r="I400" t="b">
        <f>COUNTIF(Estadísticas!I:I,'centraldecomunicacion.es'!H400)&gt;0</f>
        <v>0</v>
      </c>
    </row>
    <row r="401" spans="1:9" hidden="1">
      <c r="A401" s="1" t="s">
        <v>2043</v>
      </c>
      <c r="B401" s="1" t="s">
        <v>36</v>
      </c>
      <c r="C401" s="1" t="s">
        <v>2044</v>
      </c>
      <c r="D401" s="1" t="s">
        <v>1860</v>
      </c>
      <c r="E401" s="1" t="s">
        <v>511</v>
      </c>
      <c r="F401" s="1" t="s">
        <v>2045</v>
      </c>
      <c r="G401" s="1" t="s">
        <v>78</v>
      </c>
      <c r="H401" s="1" t="s">
        <v>657</v>
      </c>
      <c r="I401" t="b">
        <f>COUNTIF(Estadísticas!I:I,'centraldecomunicacion.es'!H401)&gt;0</f>
        <v>0</v>
      </c>
    </row>
    <row r="402" spans="1:9" hidden="1">
      <c r="A402" s="1" t="s">
        <v>2046</v>
      </c>
      <c r="B402" s="1" t="s">
        <v>24</v>
      </c>
      <c r="C402" s="1" t="s">
        <v>2047</v>
      </c>
      <c r="D402" s="1" t="s">
        <v>258</v>
      </c>
      <c r="E402" s="1" t="s">
        <v>258</v>
      </c>
      <c r="F402" s="1" t="s">
        <v>2048</v>
      </c>
      <c r="G402" s="1" t="s">
        <v>2049</v>
      </c>
      <c r="H402" s="1" t="s">
        <v>2050</v>
      </c>
      <c r="I402" t="b">
        <f>COUNTIF(Estadísticas!I:I,'centraldecomunicacion.es'!H402)&gt;0</f>
        <v>0</v>
      </c>
    </row>
    <row r="403" spans="1:9" hidden="1">
      <c r="A403" s="1" t="s">
        <v>2051</v>
      </c>
      <c r="B403" s="1" t="s">
        <v>24</v>
      </c>
      <c r="C403" s="1" t="s">
        <v>2052</v>
      </c>
      <c r="D403" s="1" t="s">
        <v>258</v>
      </c>
      <c r="E403" s="1" t="s">
        <v>258</v>
      </c>
      <c r="F403" s="1" t="s">
        <v>2053</v>
      </c>
      <c r="G403" s="1" t="s">
        <v>2054</v>
      </c>
      <c r="H403" s="1" t="s">
        <v>657</v>
      </c>
      <c r="I403" t="b">
        <f>COUNTIF(Estadísticas!I:I,'centraldecomunicacion.es'!H403)&gt;0</f>
        <v>0</v>
      </c>
    </row>
    <row r="404" spans="1:9" hidden="1">
      <c r="A404" s="1" t="s">
        <v>2055</v>
      </c>
      <c r="B404" s="1" t="s">
        <v>10</v>
      </c>
      <c r="C404" s="1" t="s">
        <v>2056</v>
      </c>
      <c r="D404" s="1" t="s">
        <v>258</v>
      </c>
      <c r="E404" s="1" t="s">
        <v>258</v>
      </c>
      <c r="F404" s="1" t="s">
        <v>78</v>
      </c>
      <c r="G404" s="1" t="s">
        <v>2057</v>
      </c>
      <c r="H404" s="1" t="s">
        <v>657</v>
      </c>
      <c r="I404" t="b">
        <f>COUNTIF(Estadísticas!I:I,'centraldecomunicacion.es'!H404)&gt;0</f>
        <v>0</v>
      </c>
    </row>
    <row r="405" spans="1:9" hidden="1">
      <c r="A405" s="1" t="s">
        <v>2058</v>
      </c>
      <c r="B405" s="1" t="s">
        <v>10</v>
      </c>
      <c r="C405" s="1" t="s">
        <v>2059</v>
      </c>
      <c r="D405" s="1" t="s">
        <v>2060</v>
      </c>
      <c r="E405" s="1" t="s">
        <v>241</v>
      </c>
      <c r="F405" s="1" t="s">
        <v>1309</v>
      </c>
      <c r="G405" s="1" t="s">
        <v>2061</v>
      </c>
      <c r="H405" s="1" t="s">
        <v>657</v>
      </c>
      <c r="I405" t="b">
        <f>COUNTIF(Estadísticas!I:I,'centraldecomunicacion.es'!H405)&gt;0</f>
        <v>0</v>
      </c>
    </row>
    <row r="406" spans="1:9" hidden="1">
      <c r="A406" s="1" t="s">
        <v>2062</v>
      </c>
      <c r="B406" s="1" t="s">
        <v>10</v>
      </c>
      <c r="C406" s="1" t="s">
        <v>2063</v>
      </c>
      <c r="D406" s="1" t="s">
        <v>2064</v>
      </c>
      <c r="E406" s="1" t="s">
        <v>2064</v>
      </c>
      <c r="F406" s="1" t="s">
        <v>2065</v>
      </c>
      <c r="G406" s="1" t="s">
        <v>2066</v>
      </c>
      <c r="H406" s="1" t="s">
        <v>2067</v>
      </c>
      <c r="I406" t="b">
        <f>COUNTIF(Estadísticas!I:I,'centraldecomunicacion.es'!H406)&gt;0</f>
        <v>0</v>
      </c>
    </row>
    <row r="407" spans="1:9" hidden="1">
      <c r="A407" s="1" t="s">
        <v>2068</v>
      </c>
      <c r="B407" s="1" t="s">
        <v>10</v>
      </c>
      <c r="C407" s="1" t="s">
        <v>2069</v>
      </c>
      <c r="D407" s="1" t="s">
        <v>2070</v>
      </c>
      <c r="E407" s="1" t="s">
        <v>2071</v>
      </c>
      <c r="F407" s="1" t="s">
        <v>2072</v>
      </c>
      <c r="G407" s="1" t="s">
        <v>2073</v>
      </c>
      <c r="H407" s="1" t="s">
        <v>2074</v>
      </c>
      <c r="I407" t="b">
        <f>COUNTIF(Estadísticas!I:I,'centraldecomunicacion.es'!H407)&gt;0</f>
        <v>0</v>
      </c>
    </row>
    <row r="408" spans="1:9" hidden="1">
      <c r="A408" s="1" t="s">
        <v>2075</v>
      </c>
      <c r="B408" s="1" t="s">
        <v>10</v>
      </c>
      <c r="C408" s="1" t="s">
        <v>2076</v>
      </c>
      <c r="D408" s="1" t="s">
        <v>2070</v>
      </c>
      <c r="E408" s="1" t="s">
        <v>2077</v>
      </c>
      <c r="F408" s="1" t="s">
        <v>2078</v>
      </c>
      <c r="G408" s="1" t="s">
        <v>2079</v>
      </c>
      <c r="H408" s="1" t="s">
        <v>2080</v>
      </c>
      <c r="I408" t="b">
        <f>COUNTIF(Estadísticas!I:I,'centraldecomunicacion.es'!H408)&gt;0</f>
        <v>0</v>
      </c>
    </row>
    <row r="409" spans="1:9" hidden="1">
      <c r="A409" s="1" t="s">
        <v>2081</v>
      </c>
      <c r="B409" s="1" t="s">
        <v>10</v>
      </c>
      <c r="C409" s="1" t="s">
        <v>2082</v>
      </c>
      <c r="D409" s="1" t="s">
        <v>2070</v>
      </c>
      <c r="E409" s="1" t="s">
        <v>2071</v>
      </c>
      <c r="F409" s="1" t="s">
        <v>78</v>
      </c>
      <c r="G409" s="1" t="s">
        <v>78</v>
      </c>
      <c r="H409" s="1" t="s">
        <v>657</v>
      </c>
      <c r="I409" t="b">
        <f>COUNTIF(Estadísticas!I:I,'centraldecomunicacion.es'!H409)&gt;0</f>
        <v>0</v>
      </c>
    </row>
    <row r="410" spans="1:9" hidden="1">
      <c r="A410" s="1" t="s">
        <v>2083</v>
      </c>
      <c r="B410" s="1" t="s">
        <v>10</v>
      </c>
      <c r="C410" s="1" t="s">
        <v>2084</v>
      </c>
      <c r="D410" s="1" t="s">
        <v>2085</v>
      </c>
      <c r="E410" s="1" t="s">
        <v>2077</v>
      </c>
      <c r="F410" s="1" t="s">
        <v>2086</v>
      </c>
      <c r="G410" s="1" t="s">
        <v>2087</v>
      </c>
      <c r="H410" s="1" t="s">
        <v>2088</v>
      </c>
      <c r="I410" t="b">
        <f>COUNTIF(Estadísticas!I:I,'centraldecomunicacion.es'!H410)&gt;0</f>
        <v>0</v>
      </c>
    </row>
    <row r="411" spans="1:9" hidden="1">
      <c r="A411" s="1" t="s">
        <v>2089</v>
      </c>
      <c r="B411" s="1" t="s">
        <v>24</v>
      </c>
      <c r="C411" s="1" t="s">
        <v>2090</v>
      </c>
      <c r="D411" s="1" t="s">
        <v>2070</v>
      </c>
      <c r="E411" s="1" t="s">
        <v>2071</v>
      </c>
      <c r="F411" s="1" t="s">
        <v>2091</v>
      </c>
      <c r="G411" s="1" t="s">
        <v>2092</v>
      </c>
      <c r="H411" s="1" t="s">
        <v>657</v>
      </c>
      <c r="I411" t="b">
        <f>COUNTIF(Estadísticas!I:I,'centraldecomunicacion.es'!H411)&gt;0</f>
        <v>0</v>
      </c>
    </row>
    <row r="412" spans="1:9" hidden="1">
      <c r="A412" s="1" t="s">
        <v>2093</v>
      </c>
      <c r="B412" s="1" t="s">
        <v>10</v>
      </c>
      <c r="C412" s="1" t="s">
        <v>2094</v>
      </c>
      <c r="D412" s="1" t="s">
        <v>2095</v>
      </c>
      <c r="E412" s="1" t="s">
        <v>2077</v>
      </c>
      <c r="F412" s="1" t="s">
        <v>2072</v>
      </c>
      <c r="G412" s="1" t="s">
        <v>2096</v>
      </c>
      <c r="H412" s="1" t="s">
        <v>2074</v>
      </c>
      <c r="I412" t="b">
        <f>COUNTIF(Estadísticas!I:I,'centraldecomunicacion.es'!H412)&gt;0</f>
        <v>0</v>
      </c>
    </row>
    <row r="413" spans="1:9" hidden="1">
      <c r="A413" s="1" t="s">
        <v>2097</v>
      </c>
      <c r="B413" s="1" t="s">
        <v>24</v>
      </c>
      <c r="C413" s="1" t="s">
        <v>2098</v>
      </c>
      <c r="D413" s="1" t="s">
        <v>2070</v>
      </c>
      <c r="E413" s="1" t="s">
        <v>2071</v>
      </c>
      <c r="F413" s="1" t="s">
        <v>829</v>
      </c>
      <c r="G413" s="1" t="s">
        <v>2099</v>
      </c>
      <c r="H413" s="1" t="s">
        <v>831</v>
      </c>
      <c r="I413" t="b">
        <f>COUNTIF(Estadísticas!I:I,'centraldecomunicacion.es'!H413)&gt;0</f>
        <v>0</v>
      </c>
    </row>
    <row r="414" spans="1:9" hidden="1">
      <c r="A414" s="1" t="s">
        <v>2100</v>
      </c>
      <c r="B414" s="1" t="s">
        <v>24</v>
      </c>
      <c r="C414" s="1" t="s">
        <v>2101</v>
      </c>
      <c r="D414" s="1" t="s">
        <v>2102</v>
      </c>
      <c r="E414" s="1" t="s">
        <v>2071</v>
      </c>
      <c r="F414" s="1" t="s">
        <v>2103</v>
      </c>
      <c r="G414" s="1" t="s">
        <v>2104</v>
      </c>
      <c r="H414" s="1" t="s">
        <v>657</v>
      </c>
      <c r="I414" t="b">
        <f>COUNTIF(Estadísticas!I:I,'centraldecomunicacion.es'!H414)&gt;0</f>
        <v>0</v>
      </c>
    </row>
    <row r="415" spans="1:9" hidden="1">
      <c r="A415" s="1" t="s">
        <v>2105</v>
      </c>
      <c r="B415" s="1" t="s">
        <v>24</v>
      </c>
      <c r="C415" s="1" t="s">
        <v>2106</v>
      </c>
      <c r="D415" s="1" t="s">
        <v>2070</v>
      </c>
      <c r="E415" s="1" t="s">
        <v>2071</v>
      </c>
      <c r="F415" s="1" t="s">
        <v>2107</v>
      </c>
      <c r="G415" s="1" t="s">
        <v>2108</v>
      </c>
      <c r="H415" s="1" t="s">
        <v>2109</v>
      </c>
      <c r="I415" t="b">
        <f>COUNTIF(Estadísticas!I:I,'centraldecomunicacion.es'!H415)&gt;0</f>
        <v>0</v>
      </c>
    </row>
    <row r="416" spans="1:9" hidden="1">
      <c r="A416" s="1" t="s">
        <v>2110</v>
      </c>
      <c r="B416" s="1" t="s">
        <v>24</v>
      </c>
      <c r="C416" s="1" t="s">
        <v>2111</v>
      </c>
      <c r="D416" s="1" t="s">
        <v>2070</v>
      </c>
      <c r="E416" s="1" t="s">
        <v>2071</v>
      </c>
      <c r="F416" s="1" t="s">
        <v>78</v>
      </c>
      <c r="G416" s="1" t="s">
        <v>2112</v>
      </c>
      <c r="H416" s="1" t="s">
        <v>657</v>
      </c>
      <c r="I416" t="b">
        <f>COUNTIF(Estadísticas!I:I,'centraldecomunicacion.es'!H416)&gt;0</f>
        <v>0</v>
      </c>
    </row>
    <row r="417" spans="1:9" hidden="1">
      <c r="A417" s="1" t="s">
        <v>2113</v>
      </c>
      <c r="B417" s="1" t="s">
        <v>24</v>
      </c>
      <c r="C417" s="1" t="s">
        <v>2114</v>
      </c>
      <c r="D417" s="1" t="s">
        <v>2070</v>
      </c>
      <c r="E417" s="1" t="s">
        <v>2077</v>
      </c>
      <c r="F417" s="1" t="s">
        <v>2115</v>
      </c>
      <c r="G417" s="1" t="s">
        <v>2116</v>
      </c>
      <c r="H417" s="1" t="s">
        <v>2117</v>
      </c>
      <c r="I417" t="b">
        <f>COUNTIF(Estadísticas!I:I,'centraldecomunicacion.es'!H417)&gt;0</f>
        <v>0</v>
      </c>
    </row>
    <row r="418" spans="1:9" hidden="1">
      <c r="A418" s="1" t="s">
        <v>2118</v>
      </c>
      <c r="B418" s="1" t="s">
        <v>24</v>
      </c>
      <c r="C418" s="1" t="s">
        <v>2119</v>
      </c>
      <c r="D418" s="1" t="s">
        <v>2070</v>
      </c>
      <c r="E418" s="1" t="s">
        <v>2071</v>
      </c>
      <c r="F418" s="1" t="s">
        <v>78</v>
      </c>
      <c r="G418" s="1" t="s">
        <v>182</v>
      </c>
      <c r="H418" s="1" t="s">
        <v>657</v>
      </c>
      <c r="I418" t="b">
        <f>COUNTIF(Estadísticas!I:I,'centraldecomunicacion.es'!H418)&gt;0</f>
        <v>0</v>
      </c>
    </row>
    <row r="419" spans="1:9" hidden="1">
      <c r="A419" s="1" t="s">
        <v>2120</v>
      </c>
      <c r="B419" s="1" t="s">
        <v>10</v>
      </c>
      <c r="C419" s="1" t="s">
        <v>78</v>
      </c>
      <c r="D419" s="1" t="s">
        <v>180</v>
      </c>
      <c r="E419" s="1" t="s">
        <v>78</v>
      </c>
      <c r="F419" s="1" t="s">
        <v>2121</v>
      </c>
      <c r="G419" s="1" t="s">
        <v>2122</v>
      </c>
      <c r="H419" s="1" t="s">
        <v>657</v>
      </c>
      <c r="I419" t="b">
        <f>COUNTIF(Estadísticas!I:I,'centraldecomunicacion.es'!H419)&gt;0</f>
        <v>0</v>
      </c>
    </row>
    <row r="420" spans="1:9" hidden="1">
      <c r="A420" s="1" t="s">
        <v>2123</v>
      </c>
      <c r="B420" s="1" t="s">
        <v>10</v>
      </c>
      <c r="C420" s="1" t="s">
        <v>2124</v>
      </c>
      <c r="D420" s="1" t="s">
        <v>2125</v>
      </c>
      <c r="E420" s="1" t="s">
        <v>2071</v>
      </c>
      <c r="F420" s="1" t="s">
        <v>2126</v>
      </c>
      <c r="G420" s="1" t="s">
        <v>2127</v>
      </c>
      <c r="H420" s="1" t="s">
        <v>2128</v>
      </c>
      <c r="I420" t="b">
        <f>COUNTIF(Estadísticas!I:I,'centraldecomunicacion.es'!H420)&gt;0</f>
        <v>0</v>
      </c>
    </row>
    <row r="421" spans="1:9" hidden="1">
      <c r="A421" s="1" t="s">
        <v>2129</v>
      </c>
      <c r="B421" s="1" t="s">
        <v>10</v>
      </c>
      <c r="C421" s="1" t="s">
        <v>2130</v>
      </c>
      <c r="D421" s="1" t="s">
        <v>2131</v>
      </c>
      <c r="E421" s="1" t="s">
        <v>2071</v>
      </c>
      <c r="F421" s="1" t="s">
        <v>2132</v>
      </c>
      <c r="G421" s="1" t="s">
        <v>2133</v>
      </c>
      <c r="H421" s="1" t="s">
        <v>2134</v>
      </c>
      <c r="I421" t="b">
        <f>COUNTIF(Estadísticas!I:I,'centraldecomunicacion.es'!H421)&gt;0</f>
        <v>0</v>
      </c>
    </row>
    <row r="422" spans="1:9" hidden="1">
      <c r="A422" s="1" t="s">
        <v>2135</v>
      </c>
      <c r="B422" s="1" t="s">
        <v>24</v>
      </c>
      <c r="C422" s="1" t="s">
        <v>2136</v>
      </c>
      <c r="D422" s="1" t="s">
        <v>2137</v>
      </c>
      <c r="E422" s="1" t="s">
        <v>2071</v>
      </c>
      <c r="F422" s="1" t="s">
        <v>2138</v>
      </c>
      <c r="G422" s="1" t="s">
        <v>2139</v>
      </c>
      <c r="H422" s="1" t="s">
        <v>657</v>
      </c>
      <c r="I422" t="b">
        <f>COUNTIF(Estadísticas!I:I,'centraldecomunicacion.es'!H422)&gt;0</f>
        <v>0</v>
      </c>
    </row>
    <row r="423" spans="1:9" hidden="1">
      <c r="A423" s="1" t="s">
        <v>2140</v>
      </c>
      <c r="B423" s="1" t="s">
        <v>10</v>
      </c>
      <c r="C423" s="1" t="s">
        <v>2141</v>
      </c>
      <c r="D423" s="1" t="s">
        <v>2125</v>
      </c>
      <c r="E423" s="1" t="s">
        <v>2077</v>
      </c>
      <c r="F423" s="1" t="s">
        <v>2142</v>
      </c>
      <c r="G423" s="1" t="s">
        <v>2143</v>
      </c>
      <c r="H423" s="1" t="s">
        <v>657</v>
      </c>
      <c r="I423" t="b">
        <f>COUNTIF(Estadísticas!I:I,'centraldecomunicacion.es'!H423)&gt;0</f>
        <v>0</v>
      </c>
    </row>
    <row r="424" spans="1:9">
      <c r="A424" s="1" t="s">
        <v>179</v>
      </c>
      <c r="B424" s="1" t="s">
        <v>24</v>
      </c>
      <c r="C424" s="1" t="s">
        <v>78</v>
      </c>
      <c r="D424" s="1" t="s">
        <v>180</v>
      </c>
      <c r="E424" s="1" t="s">
        <v>78</v>
      </c>
      <c r="F424" s="1" t="s">
        <v>181</v>
      </c>
      <c r="G424" s="1" t="s">
        <v>182</v>
      </c>
      <c r="H424" s="1" t="s">
        <v>183</v>
      </c>
      <c r="I424" t="b">
        <f>COUNTIF(Estadísticas!I:I,'centraldecomunicacion.es'!H424)&gt;0</f>
        <v>1</v>
      </c>
    </row>
    <row r="425" spans="1:9" hidden="1">
      <c r="A425" s="1" t="s">
        <v>2144</v>
      </c>
      <c r="B425" s="1" t="s">
        <v>24</v>
      </c>
      <c r="C425" s="1" t="s">
        <v>78</v>
      </c>
      <c r="D425" s="1" t="s">
        <v>180</v>
      </c>
      <c r="E425" s="1" t="s">
        <v>78</v>
      </c>
      <c r="F425" s="1" t="s">
        <v>78</v>
      </c>
      <c r="G425" s="1" t="s">
        <v>2145</v>
      </c>
      <c r="H425" s="1" t="s">
        <v>657</v>
      </c>
      <c r="I425" t="b">
        <f>COUNTIF(Estadísticas!I:I,'centraldecomunicacion.es'!H425)&gt;0</f>
        <v>0</v>
      </c>
    </row>
    <row r="426" spans="1:9" hidden="1">
      <c r="A426" s="1" t="s">
        <v>2146</v>
      </c>
      <c r="B426" s="1" t="s">
        <v>10</v>
      </c>
      <c r="C426" s="1" t="s">
        <v>2147</v>
      </c>
      <c r="D426" s="1" t="s">
        <v>2070</v>
      </c>
      <c r="E426" s="1" t="s">
        <v>2071</v>
      </c>
      <c r="F426" s="1" t="s">
        <v>2148</v>
      </c>
      <c r="G426" s="1" t="s">
        <v>2149</v>
      </c>
      <c r="H426" s="1" t="s">
        <v>2150</v>
      </c>
      <c r="I426" t="b">
        <f>COUNTIF(Estadísticas!I:I,'centraldecomunicacion.es'!H426)&gt;0</f>
        <v>0</v>
      </c>
    </row>
    <row r="427" spans="1:9" hidden="1">
      <c r="A427" s="1" t="s">
        <v>2151</v>
      </c>
      <c r="B427" s="1" t="s">
        <v>24</v>
      </c>
      <c r="C427" s="1" t="s">
        <v>2152</v>
      </c>
      <c r="D427" s="1" t="s">
        <v>2070</v>
      </c>
      <c r="E427" s="1" t="s">
        <v>2071</v>
      </c>
      <c r="F427" s="1" t="s">
        <v>2153</v>
      </c>
      <c r="G427" s="1" t="s">
        <v>2154</v>
      </c>
      <c r="H427" s="1" t="s">
        <v>2155</v>
      </c>
      <c r="I427" t="b">
        <f>COUNTIF(Estadísticas!I:I,'centraldecomunicacion.es'!H427)&gt;0</f>
        <v>0</v>
      </c>
    </row>
    <row r="428" spans="1:9" hidden="1">
      <c r="A428" s="1" t="s">
        <v>2156</v>
      </c>
      <c r="B428" s="1" t="s">
        <v>24</v>
      </c>
      <c r="C428" s="1" t="s">
        <v>2157</v>
      </c>
      <c r="D428" s="1" t="s">
        <v>2158</v>
      </c>
      <c r="E428" s="1" t="s">
        <v>2071</v>
      </c>
      <c r="F428" s="1" t="s">
        <v>1309</v>
      </c>
      <c r="G428" s="1" t="s">
        <v>2159</v>
      </c>
      <c r="H428" s="1" t="s">
        <v>657</v>
      </c>
      <c r="I428" t="b">
        <f>COUNTIF(Estadísticas!I:I,'centraldecomunicacion.es'!H428)&gt;0</f>
        <v>0</v>
      </c>
    </row>
    <row r="429" spans="1:9" hidden="1">
      <c r="A429" s="1" t="s">
        <v>2160</v>
      </c>
      <c r="B429" s="1" t="s">
        <v>24</v>
      </c>
      <c r="C429" s="1" t="s">
        <v>2161</v>
      </c>
      <c r="D429" s="1" t="s">
        <v>2162</v>
      </c>
      <c r="E429" s="1" t="s">
        <v>2071</v>
      </c>
      <c r="F429" s="1" t="s">
        <v>1436</v>
      </c>
      <c r="G429" s="1" t="s">
        <v>2163</v>
      </c>
      <c r="H429" s="1" t="s">
        <v>657</v>
      </c>
      <c r="I429" t="b">
        <f>COUNTIF(Estadísticas!I:I,'centraldecomunicacion.es'!H429)&gt;0</f>
        <v>0</v>
      </c>
    </row>
    <row r="430" spans="1:9" hidden="1">
      <c r="A430" s="1" t="s">
        <v>2164</v>
      </c>
      <c r="B430" s="1" t="s">
        <v>10</v>
      </c>
      <c r="C430" s="1" t="s">
        <v>2165</v>
      </c>
      <c r="D430" s="1" t="s">
        <v>2070</v>
      </c>
      <c r="E430" s="1" t="s">
        <v>2071</v>
      </c>
      <c r="F430" s="1" t="s">
        <v>78</v>
      </c>
      <c r="G430" s="1" t="s">
        <v>2166</v>
      </c>
      <c r="H430" s="1" t="s">
        <v>657</v>
      </c>
      <c r="I430" t="b">
        <f>COUNTIF(Estadísticas!I:I,'centraldecomunicacion.es'!H430)&gt;0</f>
        <v>0</v>
      </c>
    </row>
    <row r="431" spans="1:9" hidden="1">
      <c r="A431" s="1" t="s">
        <v>2167</v>
      </c>
      <c r="B431" s="1" t="s">
        <v>24</v>
      </c>
      <c r="C431" s="1" t="s">
        <v>2168</v>
      </c>
      <c r="D431" s="1" t="s">
        <v>2070</v>
      </c>
      <c r="E431" s="1" t="s">
        <v>2071</v>
      </c>
      <c r="F431" s="1" t="s">
        <v>78</v>
      </c>
      <c r="G431" s="1" t="s">
        <v>2169</v>
      </c>
      <c r="H431" s="1" t="s">
        <v>657</v>
      </c>
      <c r="I431" t="b">
        <f>COUNTIF(Estadísticas!I:I,'centraldecomunicacion.es'!H431)&gt;0</f>
        <v>0</v>
      </c>
    </row>
    <row r="432" spans="1:9" hidden="1">
      <c r="A432" s="1" t="s">
        <v>2170</v>
      </c>
      <c r="B432" s="1" t="s">
        <v>10</v>
      </c>
      <c r="C432" s="1" t="s">
        <v>2171</v>
      </c>
      <c r="D432" s="1" t="s">
        <v>2070</v>
      </c>
      <c r="E432" s="1" t="s">
        <v>2077</v>
      </c>
      <c r="F432" s="1" t="s">
        <v>78</v>
      </c>
      <c r="G432" s="1" t="s">
        <v>2172</v>
      </c>
      <c r="H432" s="1" t="s">
        <v>657</v>
      </c>
      <c r="I432" t="b">
        <f>COUNTIF(Estadísticas!I:I,'centraldecomunicacion.es'!H432)&gt;0</f>
        <v>0</v>
      </c>
    </row>
    <row r="433" spans="1:9" hidden="1">
      <c r="A433" s="1" t="s">
        <v>2173</v>
      </c>
      <c r="B433" s="1" t="s">
        <v>24</v>
      </c>
      <c r="C433" s="1" t="s">
        <v>2174</v>
      </c>
      <c r="D433" s="1" t="s">
        <v>2175</v>
      </c>
      <c r="E433" s="1" t="s">
        <v>2071</v>
      </c>
      <c r="F433" s="1" t="s">
        <v>78</v>
      </c>
      <c r="G433" s="1" t="s">
        <v>2176</v>
      </c>
      <c r="H433" s="1" t="s">
        <v>657</v>
      </c>
      <c r="I433" t="b">
        <f>COUNTIF(Estadísticas!I:I,'centraldecomunicacion.es'!H433)&gt;0</f>
        <v>0</v>
      </c>
    </row>
    <row r="434" spans="1:9" hidden="1">
      <c r="A434" s="1" t="s">
        <v>2177</v>
      </c>
      <c r="B434" s="1" t="s">
        <v>24</v>
      </c>
      <c r="C434" s="1" t="s">
        <v>2178</v>
      </c>
      <c r="D434" s="1" t="s">
        <v>2070</v>
      </c>
      <c r="E434" s="1" t="s">
        <v>2071</v>
      </c>
      <c r="F434" s="1" t="s">
        <v>78</v>
      </c>
      <c r="G434" s="1" t="s">
        <v>78</v>
      </c>
      <c r="H434" s="1" t="s">
        <v>657</v>
      </c>
      <c r="I434" t="b">
        <f>COUNTIF(Estadísticas!I:I,'centraldecomunicacion.es'!H434)&gt;0</f>
        <v>0</v>
      </c>
    </row>
    <row r="435" spans="1:9" hidden="1">
      <c r="A435" s="1" t="s">
        <v>2179</v>
      </c>
      <c r="B435" s="1" t="s">
        <v>24</v>
      </c>
      <c r="C435" s="1" t="s">
        <v>2180</v>
      </c>
      <c r="D435" s="1" t="s">
        <v>2181</v>
      </c>
      <c r="E435" s="1" t="s">
        <v>2071</v>
      </c>
      <c r="F435" s="1" t="s">
        <v>1778</v>
      </c>
      <c r="G435" s="1" t="s">
        <v>182</v>
      </c>
      <c r="H435" s="1" t="s">
        <v>657</v>
      </c>
      <c r="I435" t="b">
        <f>COUNTIF(Estadísticas!I:I,'centraldecomunicacion.es'!H435)&gt;0</f>
        <v>0</v>
      </c>
    </row>
    <row r="436" spans="1:9" hidden="1">
      <c r="A436" s="1" t="s">
        <v>2182</v>
      </c>
      <c r="B436" s="1" t="s">
        <v>24</v>
      </c>
      <c r="C436" s="1" t="s">
        <v>2183</v>
      </c>
      <c r="D436" s="1" t="s">
        <v>2184</v>
      </c>
      <c r="E436" s="1" t="s">
        <v>2071</v>
      </c>
      <c r="F436" s="1" t="s">
        <v>78</v>
      </c>
      <c r="G436" s="1" t="s">
        <v>2185</v>
      </c>
      <c r="H436" s="1" t="s">
        <v>657</v>
      </c>
      <c r="I436" t="b">
        <f>COUNTIF(Estadísticas!I:I,'centraldecomunicacion.es'!H436)&gt;0</f>
        <v>0</v>
      </c>
    </row>
    <row r="437" spans="1:9" hidden="1">
      <c r="A437" s="1" t="s">
        <v>2186</v>
      </c>
      <c r="B437" s="1" t="s">
        <v>10</v>
      </c>
      <c r="C437" s="1" t="s">
        <v>2187</v>
      </c>
      <c r="D437" s="1" t="s">
        <v>2070</v>
      </c>
      <c r="E437" s="1" t="s">
        <v>2077</v>
      </c>
      <c r="F437" s="1" t="s">
        <v>78</v>
      </c>
      <c r="G437" s="1" t="s">
        <v>2079</v>
      </c>
      <c r="H437" s="1" t="s">
        <v>657</v>
      </c>
      <c r="I437" t="b">
        <f>COUNTIF(Estadísticas!I:I,'centraldecomunicacion.es'!H437)&gt;0</f>
        <v>0</v>
      </c>
    </row>
    <row r="438" spans="1:9" hidden="1">
      <c r="A438" s="1" t="s">
        <v>2188</v>
      </c>
      <c r="B438" s="1" t="s">
        <v>10</v>
      </c>
      <c r="C438" s="1" t="s">
        <v>2189</v>
      </c>
      <c r="D438" s="1" t="s">
        <v>2131</v>
      </c>
      <c r="E438" s="1" t="s">
        <v>2071</v>
      </c>
      <c r="F438" s="1" t="s">
        <v>2190</v>
      </c>
      <c r="G438" s="1" t="s">
        <v>2191</v>
      </c>
      <c r="H438" s="1" t="s">
        <v>2192</v>
      </c>
      <c r="I438" t="b">
        <f>COUNTIF(Estadísticas!I:I,'centraldecomunicacion.es'!H438)&gt;0</f>
        <v>0</v>
      </c>
    </row>
    <row r="439" spans="1:9" hidden="1">
      <c r="A439" s="1" t="s">
        <v>2193</v>
      </c>
      <c r="B439" s="1" t="s">
        <v>24</v>
      </c>
      <c r="C439" s="1" t="s">
        <v>2194</v>
      </c>
      <c r="D439" s="1" t="s">
        <v>2070</v>
      </c>
      <c r="E439" s="1" t="s">
        <v>2071</v>
      </c>
      <c r="F439" s="1" t="s">
        <v>2195</v>
      </c>
      <c r="G439" s="1" t="s">
        <v>2196</v>
      </c>
      <c r="H439" s="1" t="s">
        <v>657</v>
      </c>
      <c r="I439" t="b">
        <f>COUNTIF(Estadísticas!I:I,'centraldecomunicacion.es'!H439)&gt;0</f>
        <v>0</v>
      </c>
    </row>
    <row r="440" spans="1:9" hidden="1">
      <c r="A440" s="1" t="s">
        <v>2197</v>
      </c>
      <c r="B440" s="1" t="s">
        <v>24</v>
      </c>
      <c r="C440" s="1" t="s">
        <v>2198</v>
      </c>
      <c r="D440" s="1" t="s">
        <v>2070</v>
      </c>
      <c r="E440" s="1" t="s">
        <v>2071</v>
      </c>
      <c r="F440" s="1" t="s">
        <v>78</v>
      </c>
      <c r="G440" s="1" t="s">
        <v>2199</v>
      </c>
      <c r="H440" s="1" t="s">
        <v>657</v>
      </c>
      <c r="I440" t="b">
        <f>COUNTIF(Estadísticas!I:I,'centraldecomunicacion.es'!H440)&gt;0</f>
        <v>0</v>
      </c>
    </row>
    <row r="441" spans="1:9" hidden="1">
      <c r="A441" s="1" t="s">
        <v>2200</v>
      </c>
      <c r="B441" s="1" t="s">
        <v>24</v>
      </c>
      <c r="C441" s="1" t="s">
        <v>2201</v>
      </c>
      <c r="D441" s="1" t="s">
        <v>2125</v>
      </c>
      <c r="E441" s="1" t="s">
        <v>2077</v>
      </c>
      <c r="F441" s="1" t="s">
        <v>78</v>
      </c>
      <c r="G441" s="1" t="s">
        <v>2202</v>
      </c>
      <c r="H441" s="1" t="s">
        <v>657</v>
      </c>
      <c r="I441" t="b">
        <f>COUNTIF(Estadísticas!I:I,'centraldecomunicacion.es'!H441)&gt;0</f>
        <v>0</v>
      </c>
    </row>
    <row r="442" spans="1:9" hidden="1">
      <c r="A442" s="1" t="s">
        <v>2203</v>
      </c>
      <c r="B442" s="1" t="s">
        <v>24</v>
      </c>
      <c r="C442" s="1" t="s">
        <v>2204</v>
      </c>
      <c r="D442" s="1" t="s">
        <v>2070</v>
      </c>
      <c r="E442" s="1" t="s">
        <v>2071</v>
      </c>
      <c r="F442" s="1" t="s">
        <v>78</v>
      </c>
      <c r="G442" s="1" t="s">
        <v>2205</v>
      </c>
      <c r="H442" s="1" t="s">
        <v>657</v>
      </c>
      <c r="I442" t="b">
        <f>COUNTIF(Estadísticas!I:I,'centraldecomunicacion.es'!H442)&gt;0</f>
        <v>0</v>
      </c>
    </row>
    <row r="443" spans="1:9" hidden="1">
      <c r="A443" s="1" t="s">
        <v>2206</v>
      </c>
      <c r="B443" s="1" t="s">
        <v>10</v>
      </c>
      <c r="C443" s="1" t="s">
        <v>2207</v>
      </c>
      <c r="D443" s="1" t="s">
        <v>2208</v>
      </c>
      <c r="E443" s="1" t="s">
        <v>2071</v>
      </c>
      <c r="F443" s="1" t="s">
        <v>2209</v>
      </c>
      <c r="G443" s="1" t="s">
        <v>2210</v>
      </c>
      <c r="H443" s="1" t="s">
        <v>657</v>
      </c>
      <c r="I443" t="b">
        <f>COUNTIF(Estadísticas!I:I,'centraldecomunicacion.es'!H443)&gt;0</f>
        <v>0</v>
      </c>
    </row>
    <row r="444" spans="1:9" hidden="1">
      <c r="A444" s="1" t="s">
        <v>2211</v>
      </c>
      <c r="B444" s="1" t="s">
        <v>24</v>
      </c>
      <c r="C444" s="1" t="s">
        <v>2212</v>
      </c>
      <c r="D444" s="1" t="s">
        <v>2070</v>
      </c>
      <c r="E444" s="1" t="s">
        <v>2071</v>
      </c>
      <c r="F444" s="1" t="s">
        <v>78</v>
      </c>
      <c r="G444" s="1" t="s">
        <v>2213</v>
      </c>
      <c r="H444" s="1" t="s">
        <v>657</v>
      </c>
      <c r="I444" t="b">
        <f>COUNTIF(Estadísticas!I:I,'centraldecomunicacion.es'!H444)&gt;0</f>
        <v>0</v>
      </c>
    </row>
    <row r="445" spans="1:9" hidden="1">
      <c r="A445" s="1" t="s">
        <v>2214</v>
      </c>
      <c r="B445" s="1" t="s">
        <v>24</v>
      </c>
      <c r="C445" s="1" t="s">
        <v>2215</v>
      </c>
      <c r="D445" s="1" t="s">
        <v>2070</v>
      </c>
      <c r="E445" s="1" t="s">
        <v>2077</v>
      </c>
      <c r="F445" s="1" t="s">
        <v>78</v>
      </c>
      <c r="G445" s="1" t="s">
        <v>2216</v>
      </c>
      <c r="H445" s="1" t="s">
        <v>657</v>
      </c>
      <c r="I445" t="b">
        <f>COUNTIF(Estadísticas!I:I,'centraldecomunicacion.es'!H445)&gt;0</f>
        <v>0</v>
      </c>
    </row>
    <row r="446" spans="1:9" hidden="1">
      <c r="A446" s="1" t="s">
        <v>2217</v>
      </c>
      <c r="B446" s="1" t="s">
        <v>24</v>
      </c>
      <c r="C446" s="1" t="s">
        <v>2218</v>
      </c>
      <c r="D446" s="1" t="s">
        <v>2070</v>
      </c>
      <c r="E446" s="1" t="s">
        <v>2071</v>
      </c>
      <c r="F446" s="1" t="s">
        <v>78</v>
      </c>
      <c r="G446" s="1" t="s">
        <v>2219</v>
      </c>
      <c r="H446" s="1" t="s">
        <v>657</v>
      </c>
      <c r="I446" t="b">
        <f>COUNTIF(Estadísticas!I:I,'centraldecomunicacion.es'!H446)&gt;0</f>
        <v>0</v>
      </c>
    </row>
    <row r="447" spans="1:9" hidden="1">
      <c r="A447" s="1" t="s">
        <v>2220</v>
      </c>
      <c r="B447" s="1" t="s">
        <v>24</v>
      </c>
      <c r="C447" s="1" t="s">
        <v>2221</v>
      </c>
      <c r="D447" s="1" t="s">
        <v>2222</v>
      </c>
      <c r="E447" s="1" t="s">
        <v>2071</v>
      </c>
      <c r="F447" s="1" t="s">
        <v>2223</v>
      </c>
      <c r="G447" s="1" t="s">
        <v>2224</v>
      </c>
      <c r="H447" s="1" t="s">
        <v>2225</v>
      </c>
      <c r="I447" t="b">
        <f>COUNTIF(Estadísticas!I:I,'centraldecomunicacion.es'!H447)&gt;0</f>
        <v>0</v>
      </c>
    </row>
    <row r="448" spans="1:9" hidden="1">
      <c r="A448" s="1" t="s">
        <v>1640</v>
      </c>
      <c r="B448" s="1" t="s">
        <v>24</v>
      </c>
      <c r="C448" s="1" t="s">
        <v>2226</v>
      </c>
      <c r="D448" s="1" t="s">
        <v>2131</v>
      </c>
      <c r="E448" s="1" t="s">
        <v>2077</v>
      </c>
      <c r="F448" s="1" t="s">
        <v>1641</v>
      </c>
      <c r="G448" s="1" t="s">
        <v>448</v>
      </c>
      <c r="H448" s="1" t="s">
        <v>1643</v>
      </c>
      <c r="I448" t="b">
        <f>COUNTIF(Estadísticas!I:I,'centraldecomunicacion.es'!H448)&gt;0</f>
        <v>0</v>
      </c>
    </row>
    <row r="449" spans="1:9" hidden="1">
      <c r="A449" s="1" t="s">
        <v>2227</v>
      </c>
      <c r="B449" s="1" t="s">
        <v>24</v>
      </c>
      <c r="C449" s="1" t="s">
        <v>2228</v>
      </c>
      <c r="D449" s="1" t="s">
        <v>2229</v>
      </c>
      <c r="E449" s="1" t="s">
        <v>2071</v>
      </c>
      <c r="F449" s="1" t="s">
        <v>78</v>
      </c>
      <c r="G449" s="1" t="s">
        <v>2230</v>
      </c>
      <c r="H449" s="1" t="s">
        <v>657</v>
      </c>
      <c r="I449" t="b">
        <f>COUNTIF(Estadísticas!I:I,'centraldecomunicacion.es'!H449)&gt;0</f>
        <v>0</v>
      </c>
    </row>
    <row r="450" spans="1:9" hidden="1">
      <c r="A450" s="1" t="s">
        <v>2231</v>
      </c>
      <c r="B450" s="1" t="s">
        <v>24</v>
      </c>
      <c r="C450" s="1" t="s">
        <v>2232</v>
      </c>
      <c r="D450" s="1" t="s">
        <v>2070</v>
      </c>
      <c r="E450" s="1" t="s">
        <v>2077</v>
      </c>
      <c r="F450" s="1" t="s">
        <v>1778</v>
      </c>
      <c r="G450" s="1" t="s">
        <v>2233</v>
      </c>
      <c r="H450" s="1" t="s">
        <v>657</v>
      </c>
      <c r="I450" t="b">
        <f>COUNTIF(Estadísticas!I:I,'centraldecomunicacion.es'!H450)&gt;0</f>
        <v>0</v>
      </c>
    </row>
    <row r="451" spans="1:9" hidden="1">
      <c r="A451" s="1" t="s">
        <v>2234</v>
      </c>
      <c r="B451" s="1" t="s">
        <v>24</v>
      </c>
      <c r="C451" s="1" t="s">
        <v>2235</v>
      </c>
      <c r="D451" s="1" t="s">
        <v>2070</v>
      </c>
      <c r="E451" s="1" t="s">
        <v>2077</v>
      </c>
      <c r="F451" s="1" t="s">
        <v>78</v>
      </c>
      <c r="G451" s="1" t="s">
        <v>2236</v>
      </c>
      <c r="H451" s="1" t="s">
        <v>657</v>
      </c>
      <c r="I451" t="b">
        <f>COUNTIF(Estadísticas!I:I,'centraldecomunicacion.es'!H451)&gt;0</f>
        <v>0</v>
      </c>
    </row>
    <row r="452" spans="1:9" hidden="1">
      <c r="A452" s="1" t="s">
        <v>2237</v>
      </c>
      <c r="B452" s="1" t="s">
        <v>24</v>
      </c>
      <c r="C452" s="1" t="s">
        <v>2238</v>
      </c>
      <c r="D452" s="1" t="s">
        <v>2239</v>
      </c>
      <c r="E452" s="1" t="s">
        <v>2071</v>
      </c>
      <c r="F452" s="1" t="s">
        <v>78</v>
      </c>
      <c r="G452" s="1" t="s">
        <v>2240</v>
      </c>
      <c r="H452" s="1" t="s">
        <v>657</v>
      </c>
      <c r="I452" t="b">
        <f>COUNTIF(Estadísticas!I:I,'centraldecomunicacion.es'!H452)&gt;0</f>
        <v>0</v>
      </c>
    </row>
    <row r="453" spans="1:9" hidden="1">
      <c r="A453" s="1" t="s">
        <v>2241</v>
      </c>
      <c r="B453" s="1" t="s">
        <v>24</v>
      </c>
      <c r="C453" s="1" t="s">
        <v>2242</v>
      </c>
      <c r="D453" s="1" t="s">
        <v>180</v>
      </c>
      <c r="E453" s="1" t="s">
        <v>2077</v>
      </c>
      <c r="F453" s="1" t="s">
        <v>78</v>
      </c>
      <c r="G453" s="1" t="s">
        <v>2243</v>
      </c>
      <c r="H453" s="1" t="s">
        <v>657</v>
      </c>
      <c r="I453" t="b">
        <f>COUNTIF(Estadísticas!I:I,'centraldecomunicacion.es'!H453)&gt;0</f>
        <v>0</v>
      </c>
    </row>
    <row r="454" spans="1:9" hidden="1">
      <c r="A454" s="1" t="s">
        <v>2244</v>
      </c>
      <c r="B454" s="1" t="s">
        <v>10</v>
      </c>
      <c r="C454" s="1" t="s">
        <v>2245</v>
      </c>
      <c r="D454" s="1" t="s">
        <v>2246</v>
      </c>
      <c r="E454" s="1" t="s">
        <v>2077</v>
      </c>
      <c r="F454" s="1" t="s">
        <v>2247</v>
      </c>
      <c r="G454" s="1" t="s">
        <v>2248</v>
      </c>
      <c r="H454" s="1" t="s">
        <v>2249</v>
      </c>
      <c r="I454" t="b">
        <f>COUNTIF(Estadísticas!I:I,'centraldecomunicacion.es'!H454)&gt;0</f>
        <v>0</v>
      </c>
    </row>
    <row r="455" spans="1:9" hidden="1">
      <c r="A455" s="1" t="s">
        <v>2250</v>
      </c>
      <c r="B455" s="1" t="s">
        <v>24</v>
      </c>
      <c r="C455" s="1" t="s">
        <v>2251</v>
      </c>
      <c r="D455" s="1" t="s">
        <v>2070</v>
      </c>
      <c r="E455" s="1" t="s">
        <v>2071</v>
      </c>
      <c r="F455" s="1" t="s">
        <v>78</v>
      </c>
      <c r="G455" s="1" t="s">
        <v>2224</v>
      </c>
      <c r="H455" s="1" t="s">
        <v>657</v>
      </c>
      <c r="I455" t="b">
        <f>COUNTIF(Estadísticas!I:I,'centraldecomunicacion.es'!H455)&gt;0</f>
        <v>0</v>
      </c>
    </row>
    <row r="456" spans="1:9" hidden="1">
      <c r="A456" s="1" t="s">
        <v>2252</v>
      </c>
      <c r="B456" s="1" t="s">
        <v>24</v>
      </c>
      <c r="C456" s="1" t="s">
        <v>78</v>
      </c>
      <c r="D456" s="1" t="s">
        <v>180</v>
      </c>
      <c r="E456" s="1" t="s">
        <v>78</v>
      </c>
      <c r="F456" s="1" t="s">
        <v>78</v>
      </c>
      <c r="G456" s="1" t="s">
        <v>2253</v>
      </c>
      <c r="H456" s="1" t="s">
        <v>657</v>
      </c>
      <c r="I456" t="b">
        <f>COUNTIF(Estadísticas!I:I,'centraldecomunicacion.es'!H456)&gt;0</f>
        <v>0</v>
      </c>
    </row>
    <row r="457" spans="1:9" hidden="1">
      <c r="A457" s="1" t="s">
        <v>2254</v>
      </c>
      <c r="B457" s="1" t="s">
        <v>24</v>
      </c>
      <c r="C457" s="1" t="s">
        <v>2255</v>
      </c>
      <c r="D457" s="1" t="s">
        <v>2070</v>
      </c>
      <c r="E457" s="1" t="s">
        <v>2071</v>
      </c>
      <c r="F457" s="1" t="s">
        <v>78</v>
      </c>
      <c r="G457" s="1" t="s">
        <v>2256</v>
      </c>
      <c r="H457" s="1" t="s">
        <v>657</v>
      </c>
      <c r="I457" t="b">
        <f>COUNTIF(Estadísticas!I:I,'centraldecomunicacion.es'!H457)&gt;0</f>
        <v>0</v>
      </c>
    </row>
    <row r="458" spans="1:9">
      <c r="A458" s="1" t="s">
        <v>2257</v>
      </c>
      <c r="B458" s="1" t="s">
        <v>24</v>
      </c>
      <c r="C458" s="1" t="s">
        <v>2258</v>
      </c>
      <c r="D458" s="1" t="s">
        <v>2070</v>
      </c>
      <c r="E458" s="1" t="s">
        <v>2259</v>
      </c>
      <c r="F458" s="1" t="s">
        <v>181</v>
      </c>
      <c r="G458" s="1" t="s">
        <v>182</v>
      </c>
      <c r="H458" s="1" t="s">
        <v>183</v>
      </c>
      <c r="I458" t="b">
        <f>COUNTIF(Estadísticas!I:I,'centraldecomunicacion.es'!H458)&gt;0</f>
        <v>1</v>
      </c>
    </row>
    <row r="459" spans="1:9" hidden="1">
      <c r="A459" s="1" t="s">
        <v>2260</v>
      </c>
      <c r="B459" s="1" t="s">
        <v>24</v>
      </c>
      <c r="C459" s="1" t="s">
        <v>78</v>
      </c>
      <c r="D459" s="1" t="s">
        <v>180</v>
      </c>
      <c r="E459" s="1" t="s">
        <v>78</v>
      </c>
      <c r="F459" s="1" t="s">
        <v>78</v>
      </c>
      <c r="G459" s="1" t="s">
        <v>2261</v>
      </c>
      <c r="H459" s="1" t="s">
        <v>657</v>
      </c>
      <c r="I459" t="b">
        <f>COUNTIF(Estadísticas!I:I,'centraldecomunicacion.es'!H459)&gt;0</f>
        <v>0</v>
      </c>
    </row>
    <row r="460" spans="1:9" hidden="1">
      <c r="A460" s="1" t="s">
        <v>2262</v>
      </c>
      <c r="B460" s="1" t="s">
        <v>24</v>
      </c>
      <c r="C460" s="1" t="s">
        <v>78</v>
      </c>
      <c r="D460" s="1" t="s">
        <v>180</v>
      </c>
      <c r="E460" s="1" t="s">
        <v>78</v>
      </c>
      <c r="F460" s="1" t="s">
        <v>78</v>
      </c>
      <c r="G460" s="1" t="s">
        <v>2263</v>
      </c>
      <c r="H460" s="1" t="s">
        <v>657</v>
      </c>
      <c r="I460" t="b">
        <f>COUNTIF(Estadísticas!I:I,'centraldecomunicacion.es'!H460)&gt;0</f>
        <v>0</v>
      </c>
    </row>
    <row r="461" spans="1:9" hidden="1">
      <c r="A461" s="1" t="s">
        <v>2264</v>
      </c>
      <c r="B461" s="1" t="s">
        <v>24</v>
      </c>
      <c r="C461" s="1" t="s">
        <v>2265</v>
      </c>
      <c r="D461" s="1" t="s">
        <v>2070</v>
      </c>
      <c r="E461" s="1" t="s">
        <v>2071</v>
      </c>
      <c r="F461" s="1" t="s">
        <v>78</v>
      </c>
      <c r="G461" s="1" t="s">
        <v>2266</v>
      </c>
      <c r="H461" s="1" t="s">
        <v>657</v>
      </c>
      <c r="I461" t="b">
        <f>COUNTIF(Estadísticas!I:I,'centraldecomunicacion.es'!H461)&gt;0</f>
        <v>0</v>
      </c>
    </row>
    <row r="462" spans="1:9" hidden="1">
      <c r="A462" s="1" t="s">
        <v>2267</v>
      </c>
      <c r="B462" s="1" t="s">
        <v>24</v>
      </c>
      <c r="C462" s="1" t="s">
        <v>2268</v>
      </c>
      <c r="D462" s="1" t="s">
        <v>2158</v>
      </c>
      <c r="E462" s="1" t="s">
        <v>2071</v>
      </c>
      <c r="F462" s="1" t="s">
        <v>78</v>
      </c>
      <c r="G462" s="1" t="s">
        <v>78</v>
      </c>
      <c r="H462" s="1" t="s">
        <v>657</v>
      </c>
      <c r="I462" t="b">
        <f>COUNTIF(Estadísticas!I:I,'centraldecomunicacion.es'!H462)&gt;0</f>
        <v>0</v>
      </c>
    </row>
    <row r="463" spans="1:9" hidden="1">
      <c r="A463" s="1" t="s">
        <v>2269</v>
      </c>
      <c r="B463" s="1" t="s">
        <v>24</v>
      </c>
      <c r="C463" s="1" t="s">
        <v>2270</v>
      </c>
      <c r="D463" s="1" t="s">
        <v>2131</v>
      </c>
      <c r="E463" s="1" t="s">
        <v>2077</v>
      </c>
      <c r="F463" s="1" t="s">
        <v>78</v>
      </c>
      <c r="G463" s="1" t="s">
        <v>2271</v>
      </c>
      <c r="H463" s="1" t="s">
        <v>657</v>
      </c>
      <c r="I463" t="b">
        <f>COUNTIF(Estadísticas!I:I,'centraldecomunicacion.es'!H463)&gt;0</f>
        <v>0</v>
      </c>
    </row>
    <row r="464" spans="1:9" hidden="1">
      <c r="A464" s="1" t="s">
        <v>2272</v>
      </c>
      <c r="B464" s="1" t="s">
        <v>10</v>
      </c>
      <c r="C464" s="1" t="s">
        <v>2273</v>
      </c>
      <c r="D464" s="1" t="s">
        <v>2274</v>
      </c>
      <c r="E464" s="1" t="s">
        <v>2071</v>
      </c>
      <c r="F464" s="1" t="s">
        <v>78</v>
      </c>
      <c r="G464" s="1" t="s">
        <v>78</v>
      </c>
      <c r="H464" s="1" t="s">
        <v>657</v>
      </c>
      <c r="I464" t="b">
        <f>COUNTIF(Estadísticas!I:I,'centraldecomunicacion.es'!H464)&gt;0</f>
        <v>0</v>
      </c>
    </row>
    <row r="465" spans="1:9" hidden="1">
      <c r="A465" s="1" t="s">
        <v>2275</v>
      </c>
      <c r="B465" s="1" t="s">
        <v>10</v>
      </c>
      <c r="C465" s="1" t="s">
        <v>2276</v>
      </c>
      <c r="D465" s="1" t="s">
        <v>2131</v>
      </c>
      <c r="E465" s="1" t="s">
        <v>2071</v>
      </c>
      <c r="F465" s="1" t="s">
        <v>78</v>
      </c>
      <c r="G465" s="1" t="s">
        <v>78</v>
      </c>
      <c r="H465" s="1" t="s">
        <v>657</v>
      </c>
      <c r="I465" t="b">
        <f>COUNTIF(Estadísticas!I:I,'centraldecomunicacion.es'!H465)&gt;0</f>
        <v>0</v>
      </c>
    </row>
    <row r="466" spans="1:9" hidden="1">
      <c r="A466" s="1" t="s">
        <v>2277</v>
      </c>
      <c r="B466" s="1" t="s">
        <v>24</v>
      </c>
      <c r="C466" s="1" t="s">
        <v>2278</v>
      </c>
      <c r="D466" s="1" t="s">
        <v>2279</v>
      </c>
      <c r="E466" s="1" t="s">
        <v>2077</v>
      </c>
      <c r="F466" s="1" t="s">
        <v>78</v>
      </c>
      <c r="G466" s="1" t="s">
        <v>2280</v>
      </c>
      <c r="H466" s="1" t="s">
        <v>657</v>
      </c>
      <c r="I466" t="b">
        <f>COUNTIF(Estadísticas!I:I,'centraldecomunicacion.es'!H466)&gt;0</f>
        <v>0</v>
      </c>
    </row>
    <row r="467" spans="1:9" hidden="1">
      <c r="A467" s="1" t="s">
        <v>2281</v>
      </c>
      <c r="B467" s="1" t="s">
        <v>10</v>
      </c>
      <c r="C467" s="1" t="s">
        <v>2282</v>
      </c>
      <c r="D467" s="1" t="s">
        <v>2239</v>
      </c>
      <c r="E467" s="1" t="s">
        <v>2071</v>
      </c>
      <c r="F467" s="1" t="s">
        <v>2283</v>
      </c>
      <c r="G467" s="1" t="s">
        <v>2284</v>
      </c>
      <c r="H467" s="1" t="s">
        <v>2285</v>
      </c>
      <c r="I467" t="b">
        <f>COUNTIF(Estadísticas!I:I,'centraldecomunicacion.es'!H467)&gt;0</f>
        <v>0</v>
      </c>
    </row>
    <row r="468" spans="1:9" hidden="1">
      <c r="A468" s="1" t="s">
        <v>2286</v>
      </c>
      <c r="B468" s="1" t="s">
        <v>24</v>
      </c>
      <c r="C468" s="1" t="s">
        <v>2287</v>
      </c>
      <c r="D468" s="1" t="s">
        <v>2288</v>
      </c>
      <c r="E468" s="1" t="s">
        <v>187</v>
      </c>
      <c r="F468" s="1" t="s">
        <v>78</v>
      </c>
      <c r="G468" s="1" t="s">
        <v>2289</v>
      </c>
      <c r="H468" s="1" t="s">
        <v>657</v>
      </c>
      <c r="I468" t="b">
        <f>COUNTIF(Estadísticas!I:I,'centraldecomunicacion.es'!H468)&gt;0</f>
        <v>0</v>
      </c>
    </row>
    <row r="469" spans="1:9">
      <c r="A469" s="1" t="s">
        <v>184</v>
      </c>
      <c r="B469" s="1" t="s">
        <v>24</v>
      </c>
      <c r="C469" s="1" t="s">
        <v>185</v>
      </c>
      <c r="D469" s="1" t="s">
        <v>186</v>
      </c>
      <c r="E469" s="1" t="s">
        <v>187</v>
      </c>
      <c r="F469" s="1" t="s">
        <v>188</v>
      </c>
      <c r="G469" s="1" t="s">
        <v>189</v>
      </c>
      <c r="H469" s="1" t="s">
        <v>190</v>
      </c>
      <c r="I469" t="b">
        <f>COUNTIF(Estadísticas!I:I,'centraldecomunicacion.es'!H469)&gt;0</f>
        <v>1</v>
      </c>
    </row>
    <row r="470" spans="1:9" hidden="1">
      <c r="A470" s="1" t="s">
        <v>2290</v>
      </c>
      <c r="B470" s="1" t="s">
        <v>24</v>
      </c>
      <c r="C470" s="1" t="s">
        <v>2291</v>
      </c>
      <c r="D470" s="1" t="s">
        <v>284</v>
      </c>
      <c r="E470" s="1" t="s">
        <v>284</v>
      </c>
      <c r="F470" s="1" t="s">
        <v>2292</v>
      </c>
      <c r="G470" s="1" t="s">
        <v>2293</v>
      </c>
      <c r="H470" s="1" t="s">
        <v>2294</v>
      </c>
      <c r="I470" t="b">
        <f>COUNTIF(Estadísticas!I:I,'centraldecomunicacion.es'!H470)&gt;0</f>
        <v>0</v>
      </c>
    </row>
    <row r="471" spans="1:9" hidden="1">
      <c r="A471" s="1" t="s">
        <v>2295</v>
      </c>
      <c r="B471" s="1" t="s">
        <v>10</v>
      </c>
      <c r="C471" s="1" t="s">
        <v>2296</v>
      </c>
      <c r="D471" s="1" t="s">
        <v>2297</v>
      </c>
      <c r="E471" s="1" t="s">
        <v>396</v>
      </c>
      <c r="F471" s="1" t="s">
        <v>2298</v>
      </c>
      <c r="G471" s="1" t="s">
        <v>2299</v>
      </c>
      <c r="H471" s="1" t="s">
        <v>2300</v>
      </c>
      <c r="I471" t="b">
        <f>COUNTIF(Estadísticas!I:I,'centraldecomunicacion.es'!H471)&gt;0</f>
        <v>0</v>
      </c>
    </row>
    <row r="472" spans="1:9" hidden="1">
      <c r="A472" s="1" t="s">
        <v>865</v>
      </c>
      <c r="B472" s="1" t="s">
        <v>24</v>
      </c>
      <c r="C472" s="1" t="s">
        <v>2301</v>
      </c>
      <c r="D472" s="1" t="s">
        <v>180</v>
      </c>
      <c r="E472" s="1" t="s">
        <v>396</v>
      </c>
      <c r="F472" s="1" t="s">
        <v>78</v>
      </c>
      <c r="G472" s="1" t="s">
        <v>2302</v>
      </c>
      <c r="H472" s="1" t="s">
        <v>657</v>
      </c>
      <c r="I472" t="b">
        <f>COUNTIF(Estadísticas!I:I,'centraldecomunicacion.es'!H472)&gt;0</f>
        <v>0</v>
      </c>
    </row>
    <row r="473" spans="1:9" hidden="1">
      <c r="A473" s="1" t="s">
        <v>2303</v>
      </c>
      <c r="B473" s="1" t="s">
        <v>10</v>
      </c>
      <c r="C473" s="1" t="s">
        <v>2304</v>
      </c>
      <c r="D473" s="1" t="s">
        <v>193</v>
      </c>
      <c r="E473" s="1" t="s">
        <v>194</v>
      </c>
      <c r="F473" s="1" t="s">
        <v>795</v>
      </c>
      <c r="G473" s="1" t="s">
        <v>796</v>
      </c>
      <c r="H473" s="1" t="s">
        <v>797</v>
      </c>
      <c r="I473" t="b">
        <f>COUNTIF(Estadísticas!I:I,'centraldecomunicacion.es'!H473)&gt;0</f>
        <v>0</v>
      </c>
    </row>
    <row r="474" spans="1:9">
      <c r="A474" s="1" t="s">
        <v>191</v>
      </c>
      <c r="B474" s="1" t="s">
        <v>24</v>
      </c>
      <c r="C474" s="1" t="s">
        <v>192</v>
      </c>
      <c r="D474" s="1" t="s">
        <v>193</v>
      </c>
      <c r="E474" s="1" t="s">
        <v>194</v>
      </c>
      <c r="F474" s="1" t="s">
        <v>195</v>
      </c>
      <c r="G474" s="1" t="s">
        <v>196</v>
      </c>
      <c r="H474" s="1" t="s">
        <v>197</v>
      </c>
      <c r="I474" t="b">
        <f>COUNTIF(Estadísticas!I:I,'centraldecomunicacion.es'!H474)&gt;0</f>
        <v>1</v>
      </c>
    </row>
    <row r="475" spans="1:9" hidden="1">
      <c r="A475" s="1" t="s">
        <v>2305</v>
      </c>
      <c r="B475" s="1" t="s">
        <v>24</v>
      </c>
      <c r="C475" s="1" t="s">
        <v>2306</v>
      </c>
      <c r="D475" s="1" t="s">
        <v>193</v>
      </c>
      <c r="E475" s="1" t="s">
        <v>194</v>
      </c>
      <c r="F475" s="1" t="s">
        <v>2307</v>
      </c>
      <c r="G475" s="1" t="s">
        <v>2308</v>
      </c>
      <c r="H475" s="1" t="s">
        <v>657</v>
      </c>
      <c r="I475" t="b">
        <f>COUNTIF(Estadísticas!I:I,'centraldecomunicacion.es'!H475)&gt;0</f>
        <v>0</v>
      </c>
    </row>
    <row r="476" spans="1:9" hidden="1">
      <c r="A476" s="1" t="s">
        <v>2309</v>
      </c>
      <c r="B476" s="1" t="s">
        <v>24</v>
      </c>
      <c r="C476" s="1" t="s">
        <v>2310</v>
      </c>
      <c r="D476" s="1" t="s">
        <v>193</v>
      </c>
      <c r="E476" s="1" t="s">
        <v>194</v>
      </c>
      <c r="F476" s="1" t="s">
        <v>2311</v>
      </c>
      <c r="G476" s="1" t="s">
        <v>2312</v>
      </c>
      <c r="H476" s="1" t="s">
        <v>657</v>
      </c>
      <c r="I476" t="b">
        <f>COUNTIF(Estadísticas!I:I,'centraldecomunicacion.es'!H476)&gt;0</f>
        <v>0</v>
      </c>
    </row>
    <row r="477" spans="1:9" hidden="1">
      <c r="A477" s="1" t="s">
        <v>2313</v>
      </c>
      <c r="B477" s="1" t="s">
        <v>24</v>
      </c>
      <c r="C477" s="1" t="s">
        <v>2314</v>
      </c>
      <c r="D477" s="1" t="s">
        <v>193</v>
      </c>
      <c r="E477" s="1" t="s">
        <v>194</v>
      </c>
      <c r="F477" s="1" t="s">
        <v>829</v>
      </c>
      <c r="G477" s="1" t="s">
        <v>2315</v>
      </c>
      <c r="H477" s="1" t="s">
        <v>831</v>
      </c>
      <c r="I477" t="b">
        <f>COUNTIF(Estadísticas!I:I,'centraldecomunicacion.es'!H477)&gt;0</f>
        <v>0</v>
      </c>
    </row>
    <row r="478" spans="1:9" hidden="1">
      <c r="A478" s="1" t="s">
        <v>2316</v>
      </c>
      <c r="B478" s="1" t="s">
        <v>10</v>
      </c>
      <c r="C478" s="1" t="s">
        <v>2317</v>
      </c>
      <c r="D478" s="1" t="s">
        <v>2318</v>
      </c>
      <c r="E478" s="1" t="s">
        <v>194</v>
      </c>
      <c r="F478" s="1" t="s">
        <v>2319</v>
      </c>
      <c r="G478" s="1" t="s">
        <v>2320</v>
      </c>
      <c r="H478" s="1" t="s">
        <v>657</v>
      </c>
      <c r="I478" t="b">
        <f>COUNTIF(Estadísticas!I:I,'centraldecomunicacion.es'!H478)&gt;0</f>
        <v>0</v>
      </c>
    </row>
    <row r="479" spans="1:9" hidden="1">
      <c r="A479" s="1" t="s">
        <v>2321</v>
      </c>
      <c r="B479" s="1" t="s">
        <v>24</v>
      </c>
      <c r="C479" s="1" t="s">
        <v>2322</v>
      </c>
      <c r="D479" s="1" t="s">
        <v>193</v>
      </c>
      <c r="E479" s="1" t="s">
        <v>194</v>
      </c>
      <c r="F479" s="1" t="s">
        <v>78</v>
      </c>
      <c r="G479" s="1" t="s">
        <v>78</v>
      </c>
      <c r="H479" s="1" t="s">
        <v>657</v>
      </c>
      <c r="I479" t="b">
        <f>COUNTIF(Estadísticas!I:I,'centraldecomunicacion.es'!H479)&gt;0</f>
        <v>0</v>
      </c>
    </row>
    <row r="480" spans="1:9" hidden="1">
      <c r="A480" s="1" t="s">
        <v>2323</v>
      </c>
      <c r="B480" s="1" t="s">
        <v>10</v>
      </c>
      <c r="C480" s="1" t="s">
        <v>2324</v>
      </c>
      <c r="D480" s="1" t="s">
        <v>193</v>
      </c>
      <c r="E480" s="1" t="s">
        <v>194</v>
      </c>
      <c r="F480" s="1" t="s">
        <v>2325</v>
      </c>
      <c r="G480" s="1" t="s">
        <v>2326</v>
      </c>
      <c r="H480" s="1" t="s">
        <v>2327</v>
      </c>
      <c r="I480" t="b">
        <f>COUNTIF(Estadísticas!I:I,'centraldecomunicacion.es'!H480)&gt;0</f>
        <v>0</v>
      </c>
    </row>
    <row r="481" spans="1:9" hidden="1">
      <c r="A481" s="1" t="s">
        <v>2328</v>
      </c>
      <c r="B481" s="1" t="s">
        <v>10</v>
      </c>
      <c r="C481" s="1" t="s">
        <v>2329</v>
      </c>
      <c r="D481" s="1" t="s">
        <v>193</v>
      </c>
      <c r="E481" s="1" t="s">
        <v>194</v>
      </c>
      <c r="F481" s="1" t="s">
        <v>2330</v>
      </c>
      <c r="G481" s="1" t="s">
        <v>2331</v>
      </c>
      <c r="H481" s="1" t="s">
        <v>2332</v>
      </c>
      <c r="I481" t="b">
        <f>COUNTIF(Estadísticas!I:I,'centraldecomunicacion.es'!H481)&gt;0</f>
        <v>0</v>
      </c>
    </row>
    <row r="482" spans="1:9" hidden="1">
      <c r="A482" s="1" t="s">
        <v>2333</v>
      </c>
      <c r="B482" s="1" t="s">
        <v>10</v>
      </c>
      <c r="C482" s="1" t="s">
        <v>2334</v>
      </c>
      <c r="D482" s="1" t="s">
        <v>2335</v>
      </c>
      <c r="E482" s="1" t="s">
        <v>194</v>
      </c>
      <c r="F482" s="1" t="s">
        <v>2336</v>
      </c>
      <c r="G482" s="1" t="s">
        <v>2337</v>
      </c>
      <c r="H482" s="1" t="s">
        <v>2338</v>
      </c>
      <c r="I482" t="b">
        <f>COUNTIF(Estadísticas!I:I,'centraldecomunicacion.es'!H482)&gt;0</f>
        <v>0</v>
      </c>
    </row>
    <row r="483" spans="1:9" hidden="1">
      <c r="A483" s="1" t="s">
        <v>2339</v>
      </c>
      <c r="B483" s="1" t="s">
        <v>10</v>
      </c>
      <c r="C483" s="1" t="s">
        <v>2340</v>
      </c>
      <c r="D483" s="1" t="s">
        <v>2341</v>
      </c>
      <c r="E483" s="1" t="s">
        <v>194</v>
      </c>
      <c r="F483" s="1" t="s">
        <v>78</v>
      </c>
      <c r="G483" s="1" t="s">
        <v>2342</v>
      </c>
      <c r="H483" s="1" t="s">
        <v>657</v>
      </c>
      <c r="I483" t="b">
        <f>COUNTIF(Estadísticas!I:I,'centraldecomunicacion.es'!H483)&gt;0</f>
        <v>0</v>
      </c>
    </row>
    <row r="484" spans="1:9" hidden="1">
      <c r="A484" s="1" t="s">
        <v>2343</v>
      </c>
      <c r="B484" s="1" t="s">
        <v>10</v>
      </c>
      <c r="C484" s="1" t="s">
        <v>2344</v>
      </c>
      <c r="D484" s="1" t="s">
        <v>2345</v>
      </c>
      <c r="E484" s="1" t="s">
        <v>194</v>
      </c>
      <c r="F484" s="1" t="s">
        <v>2346</v>
      </c>
      <c r="G484" s="1" t="s">
        <v>2347</v>
      </c>
      <c r="H484" s="1" t="s">
        <v>2348</v>
      </c>
      <c r="I484" t="b">
        <f>COUNTIF(Estadísticas!I:I,'centraldecomunicacion.es'!H484)&gt;0</f>
        <v>0</v>
      </c>
    </row>
    <row r="485" spans="1:9" hidden="1">
      <c r="A485" s="1" t="s">
        <v>2349</v>
      </c>
      <c r="B485" s="1" t="s">
        <v>24</v>
      </c>
      <c r="C485" s="1" t="s">
        <v>2350</v>
      </c>
      <c r="D485" s="1" t="s">
        <v>193</v>
      </c>
      <c r="E485" s="1" t="s">
        <v>194</v>
      </c>
      <c r="F485" s="1" t="s">
        <v>78</v>
      </c>
      <c r="G485" s="1" t="s">
        <v>2351</v>
      </c>
      <c r="H485" s="1" t="s">
        <v>657</v>
      </c>
      <c r="I485" t="b">
        <f>COUNTIF(Estadísticas!I:I,'centraldecomunicacion.es'!H485)&gt;0</f>
        <v>0</v>
      </c>
    </row>
    <row r="486" spans="1:9" hidden="1">
      <c r="A486" s="1" t="s">
        <v>2352</v>
      </c>
      <c r="B486" s="1" t="s">
        <v>24</v>
      </c>
      <c r="C486" s="1" t="s">
        <v>2353</v>
      </c>
      <c r="D486" s="1" t="s">
        <v>2354</v>
      </c>
      <c r="E486" s="1" t="s">
        <v>194</v>
      </c>
      <c r="F486" s="1" t="s">
        <v>2355</v>
      </c>
      <c r="G486" s="1" t="s">
        <v>2356</v>
      </c>
      <c r="H486" s="1" t="s">
        <v>657</v>
      </c>
      <c r="I486" t="b">
        <f>COUNTIF(Estadísticas!I:I,'centraldecomunicacion.es'!H486)&gt;0</f>
        <v>0</v>
      </c>
    </row>
    <row r="487" spans="1:9" hidden="1">
      <c r="A487" s="1" t="s">
        <v>2357</v>
      </c>
      <c r="B487" s="1" t="s">
        <v>24</v>
      </c>
      <c r="C487" s="1" t="s">
        <v>78</v>
      </c>
      <c r="D487" s="1" t="s">
        <v>2358</v>
      </c>
      <c r="E487" s="1" t="s">
        <v>78</v>
      </c>
      <c r="F487" s="1" t="s">
        <v>2359</v>
      </c>
      <c r="G487" s="1" t="s">
        <v>2360</v>
      </c>
      <c r="H487" s="1" t="s">
        <v>2361</v>
      </c>
      <c r="I487" t="b">
        <f>COUNTIF(Estadísticas!I:I,'centraldecomunicacion.es'!H487)&gt;0</f>
        <v>0</v>
      </c>
    </row>
    <row r="488" spans="1:9" hidden="1">
      <c r="A488" s="1" t="s">
        <v>2362</v>
      </c>
      <c r="B488" s="1" t="s">
        <v>10</v>
      </c>
      <c r="C488" s="1" t="s">
        <v>2363</v>
      </c>
      <c r="D488" s="1" t="s">
        <v>193</v>
      </c>
      <c r="E488" s="1" t="s">
        <v>194</v>
      </c>
      <c r="F488" s="1" t="s">
        <v>78</v>
      </c>
      <c r="G488" s="1" t="s">
        <v>2364</v>
      </c>
      <c r="H488" s="1" t="s">
        <v>657</v>
      </c>
      <c r="I488" t="b">
        <f>COUNTIF(Estadísticas!I:I,'centraldecomunicacion.es'!H488)&gt;0</f>
        <v>0</v>
      </c>
    </row>
    <row r="489" spans="1:9" hidden="1">
      <c r="A489" s="1" t="s">
        <v>2365</v>
      </c>
      <c r="B489" s="1" t="s">
        <v>10</v>
      </c>
      <c r="C489" s="1" t="s">
        <v>2366</v>
      </c>
      <c r="D489" s="1" t="s">
        <v>193</v>
      </c>
      <c r="E489" s="1" t="s">
        <v>194</v>
      </c>
      <c r="F489" s="1" t="s">
        <v>78</v>
      </c>
      <c r="G489" s="1" t="s">
        <v>2367</v>
      </c>
      <c r="H489" s="1" t="s">
        <v>657</v>
      </c>
      <c r="I489" t="b">
        <f>COUNTIF(Estadísticas!I:I,'centraldecomunicacion.es'!H489)&gt;0</f>
        <v>0</v>
      </c>
    </row>
    <row r="490" spans="1:9" hidden="1">
      <c r="A490" s="1" t="s">
        <v>2368</v>
      </c>
      <c r="B490" s="1" t="s">
        <v>24</v>
      </c>
      <c r="C490" s="1" t="s">
        <v>2369</v>
      </c>
      <c r="D490" s="1" t="s">
        <v>2370</v>
      </c>
      <c r="E490" s="1" t="s">
        <v>194</v>
      </c>
      <c r="F490" s="1" t="s">
        <v>2346</v>
      </c>
      <c r="G490" s="1" t="s">
        <v>2371</v>
      </c>
      <c r="H490" s="1" t="s">
        <v>2348</v>
      </c>
      <c r="I490" t="b">
        <f>COUNTIF(Estadísticas!I:I,'centraldecomunicacion.es'!H490)&gt;0</f>
        <v>0</v>
      </c>
    </row>
    <row r="491" spans="1:9" hidden="1">
      <c r="A491" s="1" t="s">
        <v>2372</v>
      </c>
      <c r="B491" s="1" t="s">
        <v>24</v>
      </c>
      <c r="C491" s="1" t="s">
        <v>2373</v>
      </c>
      <c r="D491" s="1" t="s">
        <v>2358</v>
      </c>
      <c r="E491" s="1" t="s">
        <v>194</v>
      </c>
      <c r="F491" s="1" t="s">
        <v>78</v>
      </c>
      <c r="G491" s="1" t="s">
        <v>2374</v>
      </c>
      <c r="H491" s="1" t="s">
        <v>657</v>
      </c>
      <c r="I491" t="b">
        <f>COUNTIF(Estadísticas!I:I,'centraldecomunicacion.es'!H491)&gt;0</f>
        <v>0</v>
      </c>
    </row>
    <row r="492" spans="1:9" hidden="1">
      <c r="A492" s="1" t="s">
        <v>2375</v>
      </c>
      <c r="B492" s="1" t="s">
        <v>10</v>
      </c>
      <c r="C492" s="1" t="s">
        <v>78</v>
      </c>
      <c r="D492" s="1" t="s">
        <v>698</v>
      </c>
      <c r="E492" s="1" t="s">
        <v>78</v>
      </c>
      <c r="F492" s="1" t="s">
        <v>1436</v>
      </c>
      <c r="G492" s="1" t="s">
        <v>1419</v>
      </c>
      <c r="H492" s="1" t="s">
        <v>657</v>
      </c>
      <c r="I492" t="b">
        <f>COUNTIF(Estadísticas!I:I,'centraldecomunicacion.es'!H492)&gt;0</f>
        <v>0</v>
      </c>
    </row>
    <row r="493" spans="1:9" hidden="1">
      <c r="A493" s="1" t="s">
        <v>2376</v>
      </c>
      <c r="B493" s="1" t="s">
        <v>10</v>
      </c>
      <c r="C493" s="1" t="s">
        <v>2377</v>
      </c>
      <c r="D493" s="1" t="s">
        <v>2378</v>
      </c>
      <c r="E493" s="1" t="s">
        <v>194</v>
      </c>
      <c r="F493" s="1" t="s">
        <v>2379</v>
      </c>
      <c r="G493" s="1" t="s">
        <v>2380</v>
      </c>
      <c r="H493" s="1" t="s">
        <v>2381</v>
      </c>
      <c r="I493" t="b">
        <f>COUNTIF(Estadísticas!I:I,'centraldecomunicacion.es'!H493)&gt;0</f>
        <v>0</v>
      </c>
    </row>
    <row r="494" spans="1:9" hidden="1">
      <c r="A494" s="1" t="s">
        <v>2382</v>
      </c>
      <c r="B494" s="1" t="s">
        <v>24</v>
      </c>
      <c r="C494" s="1" t="s">
        <v>2383</v>
      </c>
      <c r="D494" s="1" t="s">
        <v>200</v>
      </c>
      <c r="E494" s="1" t="s">
        <v>194</v>
      </c>
      <c r="F494" s="1" t="s">
        <v>78</v>
      </c>
      <c r="G494" s="1" t="s">
        <v>78</v>
      </c>
      <c r="H494" s="1" t="s">
        <v>657</v>
      </c>
      <c r="I494" t="b">
        <f>COUNTIF(Estadísticas!I:I,'centraldecomunicacion.es'!H494)&gt;0</f>
        <v>0</v>
      </c>
    </row>
    <row r="495" spans="1:9" hidden="1">
      <c r="A495" s="1" t="s">
        <v>2384</v>
      </c>
      <c r="B495" s="1" t="s">
        <v>10</v>
      </c>
      <c r="C495" s="1" t="s">
        <v>2385</v>
      </c>
      <c r="D495" s="1" t="s">
        <v>2386</v>
      </c>
      <c r="E495" s="1" t="s">
        <v>194</v>
      </c>
      <c r="F495" s="1" t="s">
        <v>78</v>
      </c>
      <c r="G495" s="1" t="s">
        <v>78</v>
      </c>
      <c r="H495" s="1" t="s">
        <v>657</v>
      </c>
      <c r="I495" t="b">
        <f>COUNTIF(Estadísticas!I:I,'centraldecomunicacion.es'!H495)&gt;0</f>
        <v>0</v>
      </c>
    </row>
    <row r="496" spans="1:9" hidden="1">
      <c r="A496" s="1" t="s">
        <v>2387</v>
      </c>
      <c r="B496" s="1" t="s">
        <v>24</v>
      </c>
      <c r="C496" s="1" t="s">
        <v>2388</v>
      </c>
      <c r="D496" s="1" t="s">
        <v>200</v>
      </c>
      <c r="E496" s="1" t="s">
        <v>194</v>
      </c>
      <c r="F496" s="1" t="s">
        <v>78</v>
      </c>
      <c r="G496" s="1" t="s">
        <v>2389</v>
      </c>
      <c r="H496" s="1" t="s">
        <v>657</v>
      </c>
      <c r="I496" t="b">
        <f>COUNTIF(Estadísticas!I:I,'centraldecomunicacion.es'!H496)&gt;0</f>
        <v>0</v>
      </c>
    </row>
    <row r="497" spans="1:9">
      <c r="A497" s="1" t="s">
        <v>198</v>
      </c>
      <c r="B497" s="1" t="s">
        <v>24</v>
      </c>
      <c r="C497" s="1" t="s">
        <v>199</v>
      </c>
      <c r="D497" s="1" t="s">
        <v>200</v>
      </c>
      <c r="E497" s="1" t="s">
        <v>194</v>
      </c>
      <c r="F497" s="1" t="s">
        <v>201</v>
      </c>
      <c r="G497" s="1" t="s">
        <v>202</v>
      </c>
      <c r="H497" s="1" t="s">
        <v>203</v>
      </c>
      <c r="I497" t="b">
        <f>COUNTIF(Estadísticas!I:I,'centraldecomunicacion.es'!H497)&gt;0</f>
        <v>1</v>
      </c>
    </row>
    <row r="498" spans="1:9" hidden="1">
      <c r="A498" s="1" t="s">
        <v>2390</v>
      </c>
      <c r="B498" s="1" t="s">
        <v>10</v>
      </c>
      <c r="C498" s="1" t="s">
        <v>2391</v>
      </c>
      <c r="D498" s="1" t="s">
        <v>2392</v>
      </c>
      <c r="E498" s="1" t="s">
        <v>2393</v>
      </c>
      <c r="F498" s="1" t="s">
        <v>2394</v>
      </c>
      <c r="G498" s="1" t="s">
        <v>2395</v>
      </c>
      <c r="H498" s="1" t="s">
        <v>657</v>
      </c>
      <c r="I498" t="b">
        <f>COUNTIF(Estadísticas!I:I,'centraldecomunicacion.es'!H498)&gt;0</f>
        <v>0</v>
      </c>
    </row>
    <row r="499" spans="1:9" hidden="1">
      <c r="A499" s="1" t="s">
        <v>2396</v>
      </c>
      <c r="B499" s="1" t="s">
        <v>24</v>
      </c>
      <c r="C499" s="1" t="s">
        <v>2397</v>
      </c>
      <c r="D499" s="1" t="s">
        <v>2393</v>
      </c>
      <c r="E499" s="1" t="s">
        <v>2393</v>
      </c>
      <c r="F499" s="1" t="s">
        <v>2359</v>
      </c>
      <c r="G499" s="1" t="s">
        <v>2398</v>
      </c>
      <c r="H499" s="1" t="s">
        <v>2361</v>
      </c>
      <c r="I499" t="b">
        <f>COUNTIF(Estadísticas!I:I,'centraldecomunicacion.es'!H499)&gt;0</f>
        <v>0</v>
      </c>
    </row>
    <row r="500" spans="1:9" hidden="1">
      <c r="A500" s="1" t="s">
        <v>2399</v>
      </c>
      <c r="B500" s="1" t="s">
        <v>24</v>
      </c>
      <c r="C500" s="1" t="s">
        <v>2400</v>
      </c>
      <c r="D500" s="1" t="s">
        <v>2393</v>
      </c>
      <c r="E500" s="1" t="s">
        <v>2393</v>
      </c>
      <c r="F500" s="1" t="s">
        <v>829</v>
      </c>
      <c r="G500" s="1" t="s">
        <v>2401</v>
      </c>
      <c r="H500" s="1" t="s">
        <v>831</v>
      </c>
      <c r="I500" t="b">
        <f>COUNTIF(Estadísticas!I:I,'centraldecomunicacion.es'!H500)&gt;0</f>
        <v>0</v>
      </c>
    </row>
    <row r="501" spans="1:9" hidden="1">
      <c r="A501" s="1" t="s">
        <v>2402</v>
      </c>
      <c r="B501" s="1" t="s">
        <v>24</v>
      </c>
      <c r="C501" s="1" t="s">
        <v>2403</v>
      </c>
      <c r="D501" s="1" t="s">
        <v>2393</v>
      </c>
      <c r="E501" s="1" t="s">
        <v>2393</v>
      </c>
      <c r="F501" s="1" t="s">
        <v>2404</v>
      </c>
      <c r="G501" s="1" t="s">
        <v>2405</v>
      </c>
      <c r="H501" s="1" t="s">
        <v>2406</v>
      </c>
      <c r="I501" t="b">
        <f>COUNTIF(Estadísticas!I:I,'centraldecomunicacion.es'!H501)&gt;0</f>
        <v>0</v>
      </c>
    </row>
    <row r="502" spans="1:9" hidden="1">
      <c r="A502" s="1" t="s">
        <v>2407</v>
      </c>
      <c r="B502" s="1" t="s">
        <v>24</v>
      </c>
      <c r="C502" s="1" t="s">
        <v>2408</v>
      </c>
      <c r="D502" s="1" t="s">
        <v>2409</v>
      </c>
      <c r="E502" s="1" t="s">
        <v>2393</v>
      </c>
      <c r="F502" s="1" t="s">
        <v>78</v>
      </c>
      <c r="G502" s="1" t="s">
        <v>2410</v>
      </c>
      <c r="H502" s="1" t="s">
        <v>657</v>
      </c>
      <c r="I502" t="b">
        <f>COUNTIF(Estadísticas!I:I,'centraldecomunicacion.es'!H502)&gt;0</f>
        <v>0</v>
      </c>
    </row>
    <row r="503" spans="1:9" hidden="1">
      <c r="A503" s="1" t="s">
        <v>2411</v>
      </c>
      <c r="B503" s="1" t="s">
        <v>10</v>
      </c>
      <c r="C503" s="1" t="s">
        <v>2412</v>
      </c>
      <c r="D503" s="1" t="s">
        <v>2393</v>
      </c>
      <c r="E503" s="1" t="s">
        <v>2393</v>
      </c>
      <c r="F503" s="1" t="s">
        <v>795</v>
      </c>
      <c r="G503" s="1" t="s">
        <v>796</v>
      </c>
      <c r="H503" s="1" t="s">
        <v>797</v>
      </c>
      <c r="I503" t="b">
        <f>COUNTIF(Estadísticas!I:I,'centraldecomunicacion.es'!H503)&gt;0</f>
        <v>0</v>
      </c>
    </row>
    <row r="504" spans="1:9" hidden="1">
      <c r="A504" s="1" t="s">
        <v>2413</v>
      </c>
      <c r="B504" s="1" t="s">
        <v>10</v>
      </c>
      <c r="C504" s="1" t="s">
        <v>2414</v>
      </c>
      <c r="D504" s="1" t="s">
        <v>2393</v>
      </c>
      <c r="E504" s="1" t="s">
        <v>2393</v>
      </c>
      <c r="F504" s="1" t="s">
        <v>2330</v>
      </c>
      <c r="G504" s="1" t="s">
        <v>2415</v>
      </c>
      <c r="H504" s="1" t="s">
        <v>2332</v>
      </c>
      <c r="I504" t="b">
        <f>COUNTIF(Estadísticas!I:I,'centraldecomunicacion.es'!H504)&gt;0</f>
        <v>0</v>
      </c>
    </row>
    <row r="505" spans="1:9" hidden="1">
      <c r="A505" s="1" t="s">
        <v>2416</v>
      </c>
      <c r="B505" s="1" t="s">
        <v>10</v>
      </c>
      <c r="C505" s="1" t="s">
        <v>2417</v>
      </c>
      <c r="D505" s="1" t="s">
        <v>2393</v>
      </c>
      <c r="E505" s="1" t="s">
        <v>2393</v>
      </c>
      <c r="F505" s="1" t="s">
        <v>2418</v>
      </c>
      <c r="G505" s="1" t="s">
        <v>2419</v>
      </c>
      <c r="H505" s="1" t="s">
        <v>2420</v>
      </c>
      <c r="I505" t="b">
        <f>COUNTIF(Estadísticas!I:I,'centraldecomunicacion.es'!H505)&gt;0</f>
        <v>0</v>
      </c>
    </row>
    <row r="506" spans="1:9" hidden="1">
      <c r="A506" s="1" t="s">
        <v>2421</v>
      </c>
      <c r="B506" s="1" t="s">
        <v>10</v>
      </c>
      <c r="C506" s="1" t="s">
        <v>2422</v>
      </c>
      <c r="D506" s="1" t="s">
        <v>2393</v>
      </c>
      <c r="E506" s="1" t="s">
        <v>2393</v>
      </c>
      <c r="F506" s="1" t="s">
        <v>2418</v>
      </c>
      <c r="G506" s="1" t="s">
        <v>2423</v>
      </c>
      <c r="H506" s="1" t="s">
        <v>2420</v>
      </c>
      <c r="I506" t="b">
        <f>COUNTIF(Estadísticas!I:I,'centraldecomunicacion.es'!H506)&gt;0</f>
        <v>0</v>
      </c>
    </row>
    <row r="507" spans="1:9" hidden="1">
      <c r="A507" s="1" t="s">
        <v>2424</v>
      </c>
      <c r="B507" s="1" t="s">
        <v>10</v>
      </c>
      <c r="C507" s="1" t="s">
        <v>2425</v>
      </c>
      <c r="D507" s="1" t="s">
        <v>2392</v>
      </c>
      <c r="E507" s="1" t="s">
        <v>2393</v>
      </c>
      <c r="F507" s="1" t="s">
        <v>2426</v>
      </c>
      <c r="G507" s="1" t="s">
        <v>2427</v>
      </c>
      <c r="H507" s="1" t="s">
        <v>2428</v>
      </c>
      <c r="I507" t="b">
        <f>COUNTIF(Estadísticas!I:I,'centraldecomunicacion.es'!H507)&gt;0</f>
        <v>0</v>
      </c>
    </row>
    <row r="508" spans="1:9" hidden="1">
      <c r="A508" s="1" t="s">
        <v>2429</v>
      </c>
      <c r="B508" s="1" t="s">
        <v>24</v>
      </c>
      <c r="C508" s="1" t="s">
        <v>2430</v>
      </c>
      <c r="D508" s="1" t="s">
        <v>2392</v>
      </c>
      <c r="E508" s="1" t="s">
        <v>2393</v>
      </c>
      <c r="F508" s="1" t="s">
        <v>78</v>
      </c>
      <c r="G508" s="1" t="s">
        <v>2431</v>
      </c>
      <c r="H508" s="1" t="s">
        <v>657</v>
      </c>
      <c r="I508" t="b">
        <f>COUNTIF(Estadísticas!I:I,'centraldecomunicacion.es'!H508)&gt;0</f>
        <v>0</v>
      </c>
    </row>
    <row r="509" spans="1:9" hidden="1">
      <c r="A509" s="1" t="s">
        <v>2432</v>
      </c>
      <c r="B509" s="1" t="s">
        <v>10</v>
      </c>
      <c r="C509" s="1" t="s">
        <v>2433</v>
      </c>
      <c r="D509" s="1" t="s">
        <v>2434</v>
      </c>
      <c r="E509" s="1" t="s">
        <v>2393</v>
      </c>
      <c r="F509" s="1" t="s">
        <v>2435</v>
      </c>
      <c r="G509" s="1" t="s">
        <v>2436</v>
      </c>
      <c r="H509" s="1" t="s">
        <v>2437</v>
      </c>
      <c r="I509" t="b">
        <f>COUNTIF(Estadísticas!I:I,'centraldecomunicacion.es'!H509)&gt;0</f>
        <v>0</v>
      </c>
    </row>
    <row r="510" spans="1:9" hidden="1">
      <c r="A510" s="1" t="s">
        <v>2438</v>
      </c>
      <c r="B510" s="1" t="s">
        <v>24</v>
      </c>
      <c r="C510" s="1" t="s">
        <v>78</v>
      </c>
      <c r="D510" s="1" t="s">
        <v>2439</v>
      </c>
      <c r="E510" s="1" t="s">
        <v>78</v>
      </c>
      <c r="F510" s="1" t="s">
        <v>78</v>
      </c>
      <c r="G510" s="1" t="s">
        <v>2440</v>
      </c>
      <c r="H510" s="1" t="s">
        <v>657</v>
      </c>
      <c r="I510" t="b">
        <f>COUNTIF(Estadísticas!I:I,'centraldecomunicacion.es'!H510)&gt;0</f>
        <v>0</v>
      </c>
    </row>
    <row r="511" spans="1:9" hidden="1">
      <c r="A511" s="1" t="s">
        <v>2441</v>
      </c>
      <c r="B511" s="1" t="s">
        <v>10</v>
      </c>
      <c r="C511" s="1" t="s">
        <v>78</v>
      </c>
      <c r="D511" s="1" t="s">
        <v>2439</v>
      </c>
      <c r="E511" s="1" t="s">
        <v>78</v>
      </c>
      <c r="F511" s="1" t="s">
        <v>78</v>
      </c>
      <c r="G511" s="1" t="s">
        <v>2442</v>
      </c>
      <c r="H511" s="1" t="s">
        <v>657</v>
      </c>
      <c r="I511" t="b">
        <f>COUNTIF(Estadísticas!I:I,'centraldecomunicacion.es'!H511)&gt;0</f>
        <v>0</v>
      </c>
    </row>
    <row r="512" spans="1:9" hidden="1">
      <c r="A512" s="1" t="s">
        <v>2443</v>
      </c>
      <c r="B512" s="1" t="s">
        <v>24</v>
      </c>
      <c r="C512" s="1" t="s">
        <v>2444</v>
      </c>
      <c r="D512" s="1" t="s">
        <v>2445</v>
      </c>
      <c r="E512" s="1" t="s">
        <v>2393</v>
      </c>
      <c r="F512" s="1" t="s">
        <v>78</v>
      </c>
      <c r="G512" s="1" t="s">
        <v>2446</v>
      </c>
      <c r="H512" s="1" t="s">
        <v>657</v>
      </c>
      <c r="I512" t="b">
        <f>COUNTIF(Estadísticas!I:I,'centraldecomunicacion.es'!H512)&gt;0</f>
        <v>0</v>
      </c>
    </row>
    <row r="513" spans="1:9" hidden="1">
      <c r="A513" s="1" t="s">
        <v>2447</v>
      </c>
      <c r="B513" s="1" t="s">
        <v>10</v>
      </c>
      <c r="C513" s="1" t="s">
        <v>2448</v>
      </c>
      <c r="D513" s="1" t="s">
        <v>2449</v>
      </c>
      <c r="E513" s="1" t="s">
        <v>2393</v>
      </c>
      <c r="F513" s="1" t="s">
        <v>2450</v>
      </c>
      <c r="G513" s="1" t="s">
        <v>2451</v>
      </c>
      <c r="H513" s="1" t="s">
        <v>2452</v>
      </c>
      <c r="I513" t="b">
        <f>COUNTIF(Estadísticas!I:I,'centraldecomunicacion.es'!H513)&gt;0</f>
        <v>0</v>
      </c>
    </row>
    <row r="514" spans="1:9" hidden="1">
      <c r="A514" s="1" t="s">
        <v>2453</v>
      </c>
      <c r="B514" s="1" t="s">
        <v>24</v>
      </c>
      <c r="C514" s="1" t="s">
        <v>2454</v>
      </c>
      <c r="D514" s="1" t="s">
        <v>193</v>
      </c>
      <c r="E514" s="1" t="s">
        <v>194</v>
      </c>
      <c r="F514" s="1" t="s">
        <v>2455</v>
      </c>
      <c r="G514" s="1" t="s">
        <v>2380</v>
      </c>
      <c r="H514" s="1" t="s">
        <v>2456</v>
      </c>
      <c r="I514" t="b">
        <f>COUNTIF(Estadísticas!I:I,'centraldecomunicacion.es'!H514)&gt;0</f>
        <v>0</v>
      </c>
    </row>
    <row r="515" spans="1:9" hidden="1">
      <c r="A515" s="1" t="s">
        <v>2457</v>
      </c>
      <c r="B515" s="1" t="s">
        <v>24</v>
      </c>
      <c r="C515" s="1" t="s">
        <v>2458</v>
      </c>
      <c r="D515" s="1" t="s">
        <v>206</v>
      </c>
      <c r="E515" s="1" t="s">
        <v>207</v>
      </c>
      <c r="F515" s="1" t="s">
        <v>2459</v>
      </c>
      <c r="G515" s="1" t="s">
        <v>2460</v>
      </c>
      <c r="H515" s="1" t="s">
        <v>657</v>
      </c>
      <c r="I515" t="b">
        <f>COUNTIF(Estadísticas!I:I,'centraldecomunicacion.es'!H515)&gt;0</f>
        <v>0</v>
      </c>
    </row>
    <row r="516" spans="1:9">
      <c r="A516" s="1" t="s">
        <v>204</v>
      </c>
      <c r="B516" s="1" t="s">
        <v>24</v>
      </c>
      <c r="C516" s="1" t="s">
        <v>205</v>
      </c>
      <c r="D516" s="1" t="s">
        <v>206</v>
      </c>
      <c r="E516" s="1" t="s">
        <v>207</v>
      </c>
      <c r="F516" s="1" t="s">
        <v>208</v>
      </c>
      <c r="G516" s="1" t="s">
        <v>209</v>
      </c>
      <c r="H516" s="1" t="s">
        <v>210</v>
      </c>
      <c r="I516" t="b">
        <f>COUNTIF(Estadísticas!I:I,'centraldecomunicacion.es'!H516)&gt;0</f>
        <v>1</v>
      </c>
    </row>
    <row r="517" spans="1:9" hidden="1">
      <c r="A517" s="1" t="s">
        <v>2461</v>
      </c>
      <c r="B517" s="1" t="s">
        <v>24</v>
      </c>
      <c r="C517" s="1" t="s">
        <v>2462</v>
      </c>
      <c r="D517" s="1" t="s">
        <v>2463</v>
      </c>
      <c r="E517" s="1" t="s">
        <v>207</v>
      </c>
      <c r="F517" s="1" t="s">
        <v>2464</v>
      </c>
      <c r="G517" s="1" t="s">
        <v>2465</v>
      </c>
      <c r="H517" s="1" t="s">
        <v>2466</v>
      </c>
      <c r="I517" t="b">
        <f>COUNTIF(Estadísticas!I:I,'centraldecomunicacion.es'!H517)&gt;0</f>
        <v>0</v>
      </c>
    </row>
    <row r="518" spans="1:9" hidden="1">
      <c r="A518" s="1" t="s">
        <v>2467</v>
      </c>
      <c r="B518" s="1" t="s">
        <v>24</v>
      </c>
      <c r="C518" s="1" t="s">
        <v>2468</v>
      </c>
      <c r="D518" s="1" t="s">
        <v>2469</v>
      </c>
      <c r="E518" s="1" t="s">
        <v>207</v>
      </c>
      <c r="F518" s="1" t="s">
        <v>2470</v>
      </c>
      <c r="G518" s="1" t="s">
        <v>2471</v>
      </c>
      <c r="H518" s="1" t="s">
        <v>657</v>
      </c>
      <c r="I518" t="b">
        <f>COUNTIF(Estadísticas!I:I,'centraldecomunicacion.es'!H518)&gt;0</f>
        <v>0</v>
      </c>
    </row>
    <row r="519" spans="1:9" hidden="1">
      <c r="A519" s="1" t="s">
        <v>2472</v>
      </c>
      <c r="B519" s="1" t="s">
        <v>24</v>
      </c>
      <c r="C519" s="1" t="s">
        <v>2473</v>
      </c>
      <c r="D519" s="1" t="s">
        <v>2474</v>
      </c>
      <c r="E519" s="1" t="s">
        <v>207</v>
      </c>
      <c r="F519" s="1" t="s">
        <v>78</v>
      </c>
      <c r="G519" s="1" t="s">
        <v>2475</v>
      </c>
      <c r="H519" s="1" t="s">
        <v>657</v>
      </c>
      <c r="I519" t="b">
        <f>COUNTIF(Estadísticas!I:I,'centraldecomunicacion.es'!H519)&gt;0</f>
        <v>0</v>
      </c>
    </row>
    <row r="520" spans="1:9" hidden="1">
      <c r="A520" s="1" t="s">
        <v>2476</v>
      </c>
      <c r="B520" s="1" t="s">
        <v>10</v>
      </c>
      <c r="C520" s="1" t="s">
        <v>2477</v>
      </c>
      <c r="D520" s="1" t="s">
        <v>2478</v>
      </c>
      <c r="E520" s="1" t="s">
        <v>207</v>
      </c>
      <c r="F520" s="1" t="s">
        <v>2479</v>
      </c>
      <c r="G520" s="1" t="s">
        <v>2480</v>
      </c>
      <c r="H520" s="1" t="s">
        <v>2481</v>
      </c>
      <c r="I520" t="b">
        <f>COUNTIF(Estadísticas!I:I,'centraldecomunicacion.es'!H520)&gt;0</f>
        <v>0</v>
      </c>
    </row>
    <row r="521" spans="1:9" hidden="1">
      <c r="A521" s="1" t="s">
        <v>2482</v>
      </c>
      <c r="B521" s="1" t="s">
        <v>10</v>
      </c>
      <c r="C521" s="1" t="s">
        <v>2483</v>
      </c>
      <c r="D521" s="1" t="s">
        <v>2478</v>
      </c>
      <c r="E521" s="1" t="s">
        <v>207</v>
      </c>
      <c r="F521" s="1" t="s">
        <v>2484</v>
      </c>
      <c r="G521" s="1" t="s">
        <v>2485</v>
      </c>
      <c r="H521" s="1" t="s">
        <v>2486</v>
      </c>
      <c r="I521" t="b">
        <f>COUNTIF(Estadísticas!I:I,'centraldecomunicacion.es'!H521)&gt;0</f>
        <v>0</v>
      </c>
    </row>
    <row r="522" spans="1:9" hidden="1">
      <c r="A522" s="1" t="s">
        <v>2487</v>
      </c>
      <c r="B522" s="1" t="s">
        <v>10</v>
      </c>
      <c r="C522" s="1" t="s">
        <v>2488</v>
      </c>
      <c r="D522" s="1" t="s">
        <v>2489</v>
      </c>
      <c r="E522" s="1" t="s">
        <v>207</v>
      </c>
      <c r="F522" s="1" t="s">
        <v>2490</v>
      </c>
      <c r="G522" s="1" t="s">
        <v>2491</v>
      </c>
      <c r="H522" s="1" t="s">
        <v>657</v>
      </c>
      <c r="I522" t="b">
        <f>COUNTIF(Estadísticas!I:I,'centraldecomunicacion.es'!H522)&gt;0</f>
        <v>0</v>
      </c>
    </row>
    <row r="523" spans="1:9" hidden="1">
      <c r="A523" s="1" t="s">
        <v>2492</v>
      </c>
      <c r="B523" s="1" t="s">
        <v>24</v>
      </c>
      <c r="C523" s="1" t="s">
        <v>2493</v>
      </c>
      <c r="D523" s="1" t="s">
        <v>2494</v>
      </c>
      <c r="E523" s="1" t="s">
        <v>207</v>
      </c>
      <c r="F523" s="1" t="s">
        <v>2495</v>
      </c>
      <c r="G523" s="1" t="s">
        <v>2496</v>
      </c>
      <c r="H523" s="1" t="s">
        <v>2497</v>
      </c>
      <c r="I523" t="b">
        <f>COUNTIF(Estadísticas!I:I,'centraldecomunicacion.es'!H523)&gt;0</f>
        <v>0</v>
      </c>
    </row>
    <row r="524" spans="1:9" hidden="1">
      <c r="A524" s="1" t="s">
        <v>2498</v>
      </c>
      <c r="B524" s="1" t="s">
        <v>24</v>
      </c>
      <c r="C524" s="1" t="s">
        <v>2499</v>
      </c>
      <c r="D524" s="1" t="s">
        <v>2500</v>
      </c>
      <c r="E524" s="1" t="s">
        <v>207</v>
      </c>
      <c r="F524" s="1" t="s">
        <v>2501</v>
      </c>
      <c r="G524" s="1" t="s">
        <v>2502</v>
      </c>
      <c r="H524" s="1" t="s">
        <v>657</v>
      </c>
      <c r="I524" t="b">
        <f>COUNTIF(Estadísticas!I:I,'centraldecomunicacion.es'!H524)&gt;0</f>
        <v>0</v>
      </c>
    </row>
    <row r="525" spans="1:9" hidden="1">
      <c r="A525" s="1" t="s">
        <v>2503</v>
      </c>
      <c r="B525" s="1" t="s">
        <v>10</v>
      </c>
      <c r="C525" s="1" t="s">
        <v>2504</v>
      </c>
      <c r="D525" s="1" t="s">
        <v>2478</v>
      </c>
      <c r="E525" s="1" t="s">
        <v>207</v>
      </c>
      <c r="F525" s="1" t="s">
        <v>2495</v>
      </c>
      <c r="G525" s="1" t="s">
        <v>2505</v>
      </c>
      <c r="H525" s="1" t="s">
        <v>2497</v>
      </c>
      <c r="I525" t="b">
        <f>COUNTIF(Estadísticas!I:I,'centraldecomunicacion.es'!H525)&gt;0</f>
        <v>0</v>
      </c>
    </row>
    <row r="526" spans="1:9" hidden="1">
      <c r="A526" s="1" t="s">
        <v>2506</v>
      </c>
      <c r="B526" s="1" t="s">
        <v>24</v>
      </c>
      <c r="C526" s="1" t="s">
        <v>2507</v>
      </c>
      <c r="D526" s="1" t="s">
        <v>2478</v>
      </c>
      <c r="E526" s="1" t="s">
        <v>207</v>
      </c>
      <c r="F526" s="1" t="s">
        <v>78</v>
      </c>
      <c r="G526" s="1" t="s">
        <v>78</v>
      </c>
      <c r="H526" s="1" t="s">
        <v>657</v>
      </c>
      <c r="I526" t="b">
        <f>COUNTIF(Estadísticas!I:I,'centraldecomunicacion.es'!H526)&gt;0</f>
        <v>0</v>
      </c>
    </row>
    <row r="527" spans="1:9" hidden="1">
      <c r="A527" s="1" t="s">
        <v>2508</v>
      </c>
      <c r="B527" s="1" t="s">
        <v>24</v>
      </c>
      <c r="C527" s="1" t="s">
        <v>2509</v>
      </c>
      <c r="D527" s="1" t="s">
        <v>2478</v>
      </c>
      <c r="E527" s="1" t="s">
        <v>207</v>
      </c>
      <c r="F527" s="1" t="s">
        <v>78</v>
      </c>
      <c r="G527" s="1" t="s">
        <v>78</v>
      </c>
      <c r="H527" s="1" t="s">
        <v>657</v>
      </c>
      <c r="I527" t="b">
        <f>COUNTIF(Estadísticas!I:I,'centraldecomunicacion.es'!H527)&gt;0</f>
        <v>0</v>
      </c>
    </row>
    <row r="528" spans="1:9" hidden="1">
      <c r="A528" s="1" t="s">
        <v>2510</v>
      </c>
      <c r="B528" s="1" t="s">
        <v>24</v>
      </c>
      <c r="C528" s="1" t="s">
        <v>2511</v>
      </c>
      <c r="D528" s="1" t="s">
        <v>2478</v>
      </c>
      <c r="E528" s="1" t="s">
        <v>207</v>
      </c>
      <c r="F528" s="1" t="s">
        <v>78</v>
      </c>
      <c r="G528" s="1" t="s">
        <v>2512</v>
      </c>
      <c r="H528" s="1" t="s">
        <v>657</v>
      </c>
      <c r="I528" t="b">
        <f>COUNTIF(Estadísticas!I:I,'centraldecomunicacion.es'!H528)&gt;0</f>
        <v>0</v>
      </c>
    </row>
    <row r="529" spans="1:9" hidden="1">
      <c r="A529" s="1" t="s">
        <v>2513</v>
      </c>
      <c r="B529" s="1" t="s">
        <v>10</v>
      </c>
      <c r="C529" s="1" t="s">
        <v>2514</v>
      </c>
      <c r="D529" s="1" t="s">
        <v>2478</v>
      </c>
      <c r="E529" s="1" t="s">
        <v>207</v>
      </c>
      <c r="F529" s="1" t="s">
        <v>78</v>
      </c>
      <c r="G529" s="1" t="s">
        <v>78</v>
      </c>
      <c r="H529" s="1" t="s">
        <v>657</v>
      </c>
      <c r="I529" t="b">
        <f>COUNTIF(Estadísticas!I:I,'centraldecomunicacion.es'!H529)&gt;0</f>
        <v>0</v>
      </c>
    </row>
    <row r="530" spans="1:9" hidden="1">
      <c r="A530" s="1" t="s">
        <v>2269</v>
      </c>
      <c r="B530" s="1" t="s">
        <v>24</v>
      </c>
      <c r="C530" s="1" t="s">
        <v>2515</v>
      </c>
      <c r="D530" s="1" t="s">
        <v>2474</v>
      </c>
      <c r="E530" s="1" t="s">
        <v>207</v>
      </c>
      <c r="F530" s="1" t="s">
        <v>78</v>
      </c>
      <c r="G530" s="1" t="s">
        <v>2271</v>
      </c>
      <c r="H530" s="1" t="s">
        <v>657</v>
      </c>
      <c r="I530" t="b">
        <f>COUNTIF(Estadísticas!I:I,'centraldecomunicacion.es'!H530)&gt;0</f>
        <v>0</v>
      </c>
    </row>
    <row r="531" spans="1:9" hidden="1">
      <c r="A531" s="1" t="s">
        <v>2516</v>
      </c>
      <c r="B531" s="1" t="s">
        <v>24</v>
      </c>
      <c r="C531" s="1" t="s">
        <v>2517</v>
      </c>
      <c r="D531" s="1" t="s">
        <v>2500</v>
      </c>
      <c r="E531" s="1" t="s">
        <v>2500</v>
      </c>
      <c r="F531" s="1" t="s">
        <v>78</v>
      </c>
      <c r="G531" s="1" t="s">
        <v>2518</v>
      </c>
      <c r="H531" s="1" t="s">
        <v>657</v>
      </c>
      <c r="I531" t="b">
        <f>COUNTIF(Estadísticas!I:I,'centraldecomunicacion.es'!H531)&gt;0</f>
        <v>0</v>
      </c>
    </row>
    <row r="532" spans="1:9" hidden="1">
      <c r="A532" s="1" t="s">
        <v>2519</v>
      </c>
      <c r="B532" s="1" t="s">
        <v>24</v>
      </c>
      <c r="C532" s="1" t="s">
        <v>2520</v>
      </c>
      <c r="D532" s="1" t="s">
        <v>2478</v>
      </c>
      <c r="E532" s="1" t="s">
        <v>207</v>
      </c>
      <c r="F532" s="1" t="s">
        <v>78</v>
      </c>
      <c r="G532" s="1" t="s">
        <v>2521</v>
      </c>
      <c r="H532" s="1" t="s">
        <v>657</v>
      </c>
      <c r="I532" t="b">
        <f>COUNTIF(Estadísticas!I:I,'centraldecomunicacion.es'!H532)&gt;0</f>
        <v>0</v>
      </c>
    </row>
    <row r="533" spans="1:9" hidden="1">
      <c r="A533" s="1" t="s">
        <v>2522</v>
      </c>
      <c r="B533" s="1" t="s">
        <v>10</v>
      </c>
      <c r="C533" s="1" t="s">
        <v>2523</v>
      </c>
      <c r="D533" s="1" t="s">
        <v>2524</v>
      </c>
      <c r="E533" s="1" t="s">
        <v>643</v>
      </c>
      <c r="F533" s="1" t="s">
        <v>2525</v>
      </c>
      <c r="G533" s="1" t="s">
        <v>2526</v>
      </c>
      <c r="H533" s="1" t="s">
        <v>2527</v>
      </c>
      <c r="I533" t="b">
        <f>COUNTIF(Estadísticas!I:I,'centraldecomunicacion.es'!H533)&gt;0</f>
        <v>0</v>
      </c>
    </row>
    <row r="534" spans="1:9" hidden="1">
      <c r="A534" s="1" t="s">
        <v>2522</v>
      </c>
      <c r="B534" s="1" t="s">
        <v>24</v>
      </c>
      <c r="C534" s="1" t="s">
        <v>2528</v>
      </c>
      <c r="D534" s="1" t="s">
        <v>2524</v>
      </c>
      <c r="E534" s="1" t="s">
        <v>643</v>
      </c>
      <c r="F534" s="1" t="s">
        <v>2525</v>
      </c>
      <c r="G534" s="1" t="s">
        <v>2529</v>
      </c>
      <c r="H534" s="1" t="s">
        <v>2527</v>
      </c>
      <c r="I534" t="b">
        <f>COUNTIF(Estadísticas!I:I,'centraldecomunicacion.es'!H534)&gt;0</f>
        <v>0</v>
      </c>
    </row>
    <row r="535" spans="1:9" hidden="1">
      <c r="A535" s="1" t="s">
        <v>2530</v>
      </c>
      <c r="B535" s="1" t="s">
        <v>24</v>
      </c>
      <c r="C535" s="1" t="s">
        <v>2531</v>
      </c>
      <c r="D535" s="1" t="s">
        <v>2532</v>
      </c>
      <c r="E535" s="1" t="s">
        <v>154</v>
      </c>
      <c r="F535" s="1" t="s">
        <v>78</v>
      </c>
      <c r="G535" s="1" t="s">
        <v>2533</v>
      </c>
      <c r="H535" s="1" t="s">
        <v>657</v>
      </c>
      <c r="I535" t="b">
        <f>COUNTIF(Estadísticas!I:I,'centraldecomunicacion.es'!H535)&gt;0</f>
        <v>0</v>
      </c>
    </row>
    <row r="536" spans="1:9" hidden="1">
      <c r="A536" s="1" t="s">
        <v>2534</v>
      </c>
      <c r="B536" s="1" t="s">
        <v>10</v>
      </c>
      <c r="C536" s="1" t="s">
        <v>2535</v>
      </c>
      <c r="D536" s="1" t="s">
        <v>2536</v>
      </c>
      <c r="E536" s="1" t="s">
        <v>643</v>
      </c>
      <c r="F536" s="1" t="s">
        <v>2537</v>
      </c>
      <c r="G536" s="1" t="s">
        <v>2538</v>
      </c>
      <c r="H536" s="1" t="s">
        <v>657</v>
      </c>
      <c r="I536" t="b">
        <f>COUNTIF(Estadísticas!I:I,'centraldecomunicacion.es'!H536)&gt;0</f>
        <v>0</v>
      </c>
    </row>
    <row r="537" spans="1:9" hidden="1">
      <c r="A537" s="1" t="s">
        <v>2539</v>
      </c>
      <c r="B537" s="1" t="s">
        <v>24</v>
      </c>
      <c r="C537" s="1" t="s">
        <v>2540</v>
      </c>
      <c r="D537" s="1" t="s">
        <v>2541</v>
      </c>
      <c r="E537" s="1" t="s">
        <v>154</v>
      </c>
      <c r="F537" s="1" t="s">
        <v>2542</v>
      </c>
      <c r="G537" s="1" t="s">
        <v>2543</v>
      </c>
      <c r="H537" s="1" t="s">
        <v>657</v>
      </c>
      <c r="I537" t="b">
        <f>COUNTIF(Estadísticas!I:I,'centraldecomunicacion.es'!H537)&gt;0</f>
        <v>0</v>
      </c>
    </row>
    <row r="538" spans="1:9" hidden="1">
      <c r="A538" s="1" t="s">
        <v>2544</v>
      </c>
      <c r="B538" s="1" t="s">
        <v>24</v>
      </c>
      <c r="C538" s="1" t="s">
        <v>2545</v>
      </c>
      <c r="D538" s="1" t="s">
        <v>2532</v>
      </c>
      <c r="E538" s="1" t="s">
        <v>643</v>
      </c>
      <c r="F538" s="1" t="s">
        <v>2546</v>
      </c>
      <c r="G538" s="1" t="s">
        <v>2547</v>
      </c>
      <c r="H538" s="1" t="s">
        <v>657</v>
      </c>
      <c r="I538" t="b">
        <f>COUNTIF(Estadísticas!I:I,'centraldecomunicacion.es'!H538)&gt;0</f>
        <v>0</v>
      </c>
    </row>
    <row r="539" spans="1:9" hidden="1">
      <c r="A539" s="1" t="s">
        <v>2548</v>
      </c>
      <c r="B539" s="1" t="s">
        <v>24</v>
      </c>
      <c r="C539" s="1" t="s">
        <v>2549</v>
      </c>
      <c r="D539" s="1" t="s">
        <v>2532</v>
      </c>
      <c r="E539" s="1" t="s">
        <v>643</v>
      </c>
      <c r="F539" s="1" t="s">
        <v>78</v>
      </c>
      <c r="G539" s="1" t="s">
        <v>2550</v>
      </c>
      <c r="H539" s="1" t="s">
        <v>657</v>
      </c>
      <c r="I539" t="b">
        <f>COUNTIF(Estadísticas!I:I,'centraldecomunicacion.es'!H539)&gt;0</f>
        <v>0</v>
      </c>
    </row>
    <row r="540" spans="1:9" hidden="1">
      <c r="A540" s="1" t="s">
        <v>2551</v>
      </c>
      <c r="B540" s="1" t="s">
        <v>10</v>
      </c>
      <c r="C540" s="1" t="s">
        <v>2552</v>
      </c>
      <c r="D540" s="1" t="s">
        <v>2553</v>
      </c>
      <c r="E540" s="1" t="s">
        <v>154</v>
      </c>
      <c r="F540" s="1" t="s">
        <v>2554</v>
      </c>
      <c r="G540" s="1" t="s">
        <v>2555</v>
      </c>
      <c r="H540" s="1" t="s">
        <v>657</v>
      </c>
      <c r="I540" t="b">
        <f>COUNTIF(Estadísticas!I:I,'centraldecomunicacion.es'!H540)&gt;0</f>
        <v>0</v>
      </c>
    </row>
    <row r="541" spans="1:9" hidden="1">
      <c r="A541" s="1" t="s">
        <v>2556</v>
      </c>
      <c r="B541" s="1" t="s">
        <v>24</v>
      </c>
      <c r="C541" s="1" t="s">
        <v>2557</v>
      </c>
      <c r="D541" s="1" t="s">
        <v>2524</v>
      </c>
      <c r="E541" s="1" t="s">
        <v>643</v>
      </c>
      <c r="F541" s="1" t="s">
        <v>2558</v>
      </c>
      <c r="G541" s="1" t="s">
        <v>2559</v>
      </c>
      <c r="H541" s="1" t="s">
        <v>657</v>
      </c>
      <c r="I541" t="b">
        <f>COUNTIF(Estadísticas!I:I,'centraldecomunicacion.es'!H541)&gt;0</f>
        <v>0</v>
      </c>
    </row>
    <row r="542" spans="1:9" hidden="1">
      <c r="A542" s="1" t="s">
        <v>2560</v>
      </c>
      <c r="B542" s="1" t="s">
        <v>24</v>
      </c>
      <c r="C542" s="1" t="s">
        <v>2561</v>
      </c>
      <c r="D542" s="1" t="s">
        <v>2532</v>
      </c>
      <c r="E542" s="1" t="s">
        <v>643</v>
      </c>
      <c r="F542" s="1" t="s">
        <v>829</v>
      </c>
      <c r="G542" s="1" t="s">
        <v>2562</v>
      </c>
      <c r="H542" s="1" t="s">
        <v>831</v>
      </c>
      <c r="I542" t="b">
        <f>COUNTIF(Estadísticas!I:I,'centraldecomunicacion.es'!H542)&gt;0</f>
        <v>0</v>
      </c>
    </row>
    <row r="543" spans="1:9" hidden="1">
      <c r="A543" s="1" t="s">
        <v>2563</v>
      </c>
      <c r="B543" s="1" t="s">
        <v>24</v>
      </c>
      <c r="C543" s="1" t="s">
        <v>2564</v>
      </c>
      <c r="D543" s="1" t="s">
        <v>2553</v>
      </c>
      <c r="E543" s="1" t="s">
        <v>154</v>
      </c>
      <c r="F543" s="1" t="s">
        <v>2565</v>
      </c>
      <c r="G543" s="1" t="s">
        <v>2566</v>
      </c>
      <c r="H543" s="1" t="s">
        <v>2567</v>
      </c>
      <c r="I543" t="b">
        <f>COUNTIF(Estadísticas!I:I,'centraldecomunicacion.es'!H543)&gt;0</f>
        <v>0</v>
      </c>
    </row>
    <row r="544" spans="1:9" hidden="1">
      <c r="A544" s="1" t="s">
        <v>2563</v>
      </c>
      <c r="B544" s="1" t="s">
        <v>24</v>
      </c>
      <c r="C544" s="1" t="s">
        <v>2568</v>
      </c>
      <c r="D544" s="1" t="s">
        <v>2532</v>
      </c>
      <c r="E544" s="1" t="s">
        <v>643</v>
      </c>
      <c r="F544" s="1" t="s">
        <v>78</v>
      </c>
      <c r="G544" s="1" t="s">
        <v>78</v>
      </c>
      <c r="H544" s="1" t="s">
        <v>657</v>
      </c>
      <c r="I544" t="b">
        <f>COUNTIF(Estadísticas!I:I,'centraldecomunicacion.es'!H544)&gt;0</f>
        <v>0</v>
      </c>
    </row>
    <row r="545" spans="1:9" hidden="1">
      <c r="A545" s="1" t="s">
        <v>2569</v>
      </c>
      <c r="B545" s="1" t="s">
        <v>24</v>
      </c>
      <c r="C545" s="1" t="s">
        <v>2570</v>
      </c>
      <c r="D545" s="1" t="s">
        <v>2532</v>
      </c>
      <c r="E545" s="1" t="s">
        <v>643</v>
      </c>
      <c r="F545" s="1" t="s">
        <v>78</v>
      </c>
      <c r="G545" s="1" t="s">
        <v>2571</v>
      </c>
      <c r="H545" s="1" t="s">
        <v>657</v>
      </c>
      <c r="I545" t="b">
        <f>COUNTIF(Estadísticas!I:I,'centraldecomunicacion.es'!H545)&gt;0</f>
        <v>0</v>
      </c>
    </row>
    <row r="546" spans="1:9" hidden="1">
      <c r="A546" s="1" t="s">
        <v>2572</v>
      </c>
      <c r="B546" s="1" t="s">
        <v>24</v>
      </c>
      <c r="C546" s="1" t="s">
        <v>2573</v>
      </c>
      <c r="D546" s="1" t="s">
        <v>2574</v>
      </c>
      <c r="E546" s="1" t="s">
        <v>252</v>
      </c>
      <c r="F546" s="1" t="s">
        <v>2575</v>
      </c>
      <c r="G546" s="1" t="s">
        <v>734</v>
      </c>
      <c r="H546" s="1" t="s">
        <v>657</v>
      </c>
      <c r="I546" t="b">
        <f>COUNTIF(Estadísticas!I:I,'centraldecomunicacion.es'!H546)&gt;0</f>
        <v>0</v>
      </c>
    </row>
    <row r="547" spans="1:9" hidden="1">
      <c r="A547" s="1" t="s">
        <v>2576</v>
      </c>
      <c r="B547" s="1" t="s">
        <v>24</v>
      </c>
      <c r="C547" s="1" t="s">
        <v>2577</v>
      </c>
      <c r="D547" s="1" t="s">
        <v>2578</v>
      </c>
      <c r="E547" s="1" t="s">
        <v>154</v>
      </c>
      <c r="F547" s="1" t="s">
        <v>78</v>
      </c>
      <c r="G547" s="1" t="s">
        <v>2579</v>
      </c>
      <c r="H547" s="1" t="s">
        <v>657</v>
      </c>
      <c r="I547" t="b">
        <f>COUNTIF(Estadísticas!I:I,'centraldecomunicacion.es'!H547)&gt;0</f>
        <v>0</v>
      </c>
    </row>
    <row r="548" spans="1:9" hidden="1">
      <c r="A548" s="1" t="s">
        <v>2580</v>
      </c>
      <c r="B548" s="1" t="s">
        <v>24</v>
      </c>
      <c r="C548" s="1" t="s">
        <v>2581</v>
      </c>
      <c r="D548" s="1" t="s">
        <v>213</v>
      </c>
      <c r="E548" s="1" t="s">
        <v>556</v>
      </c>
      <c r="F548" s="1" t="s">
        <v>2582</v>
      </c>
      <c r="G548" s="1" t="s">
        <v>2583</v>
      </c>
      <c r="H548" s="1" t="s">
        <v>657</v>
      </c>
      <c r="I548" t="b">
        <f>COUNTIF(Estadísticas!I:I,'centraldecomunicacion.es'!H548)&gt;0</f>
        <v>0</v>
      </c>
    </row>
    <row r="549" spans="1:9" hidden="1">
      <c r="A549" s="1" t="s">
        <v>2584</v>
      </c>
      <c r="B549" s="1" t="s">
        <v>24</v>
      </c>
      <c r="C549" s="1" t="s">
        <v>2585</v>
      </c>
      <c r="D549" s="1" t="s">
        <v>2586</v>
      </c>
      <c r="E549" s="1" t="s">
        <v>252</v>
      </c>
      <c r="F549" s="1" t="s">
        <v>78</v>
      </c>
      <c r="G549" s="1" t="s">
        <v>2587</v>
      </c>
      <c r="H549" s="1" t="s">
        <v>657</v>
      </c>
      <c r="I549" t="b">
        <f>COUNTIF(Estadísticas!I:I,'centraldecomunicacion.es'!H549)&gt;0</f>
        <v>0</v>
      </c>
    </row>
    <row r="550" spans="1:9" hidden="1">
      <c r="A550" s="1" t="s">
        <v>2588</v>
      </c>
      <c r="B550" s="1" t="s">
        <v>10</v>
      </c>
      <c r="C550" s="1" t="s">
        <v>2589</v>
      </c>
      <c r="D550" s="1" t="s">
        <v>2590</v>
      </c>
      <c r="E550" s="1" t="s">
        <v>154</v>
      </c>
      <c r="F550" s="1" t="s">
        <v>78</v>
      </c>
      <c r="G550" s="1" t="s">
        <v>2591</v>
      </c>
      <c r="H550" s="1" t="s">
        <v>657</v>
      </c>
      <c r="I550" t="b">
        <f>COUNTIF(Estadísticas!I:I,'centraldecomunicacion.es'!H550)&gt;0</f>
        <v>0</v>
      </c>
    </row>
    <row r="551" spans="1:9" hidden="1">
      <c r="A551" s="1" t="s">
        <v>2592</v>
      </c>
      <c r="B551" s="1" t="s">
        <v>10</v>
      </c>
      <c r="C551" s="1" t="s">
        <v>78</v>
      </c>
      <c r="D551" s="1" t="s">
        <v>2574</v>
      </c>
      <c r="E551" s="1" t="s">
        <v>78</v>
      </c>
      <c r="F551" s="1" t="s">
        <v>2558</v>
      </c>
      <c r="G551" s="1" t="s">
        <v>2559</v>
      </c>
      <c r="H551" s="1" t="s">
        <v>657</v>
      </c>
      <c r="I551" t="b">
        <f>COUNTIF(Estadísticas!I:I,'centraldecomunicacion.es'!H551)&gt;0</f>
        <v>0</v>
      </c>
    </row>
    <row r="552" spans="1:9">
      <c r="A552" s="1" t="s">
        <v>211</v>
      </c>
      <c r="B552" s="1" t="s">
        <v>24</v>
      </c>
      <c r="C552" s="1" t="s">
        <v>212</v>
      </c>
      <c r="D552" s="1" t="s">
        <v>213</v>
      </c>
      <c r="E552" s="1" t="s">
        <v>214</v>
      </c>
      <c r="F552" s="1" t="s">
        <v>215</v>
      </c>
      <c r="G552" s="1" t="s">
        <v>216</v>
      </c>
      <c r="H552" s="1" t="s">
        <v>217</v>
      </c>
      <c r="I552" t="b">
        <f>COUNTIF(Estadísticas!I:I,'centraldecomunicacion.es'!H552)&gt;0</f>
        <v>1</v>
      </c>
    </row>
    <row r="553" spans="1:9" hidden="1">
      <c r="A553" s="1" t="s">
        <v>2593</v>
      </c>
      <c r="B553" s="1" t="s">
        <v>24</v>
      </c>
      <c r="C553" s="1" t="s">
        <v>78</v>
      </c>
      <c r="D553" s="1" t="s">
        <v>2594</v>
      </c>
      <c r="E553" s="1" t="s">
        <v>78</v>
      </c>
      <c r="F553" s="1" t="s">
        <v>2595</v>
      </c>
      <c r="G553" s="1" t="s">
        <v>2596</v>
      </c>
      <c r="H553" s="1" t="s">
        <v>2597</v>
      </c>
      <c r="I553" t="b">
        <f>COUNTIF(Estadísticas!I:I,'centraldecomunicacion.es'!H553)&gt;0</f>
        <v>0</v>
      </c>
    </row>
    <row r="554" spans="1:9" hidden="1">
      <c r="A554" s="1" t="s">
        <v>2598</v>
      </c>
      <c r="B554" s="1" t="s">
        <v>24</v>
      </c>
      <c r="C554" s="1" t="s">
        <v>2599</v>
      </c>
      <c r="D554" s="1" t="s">
        <v>1659</v>
      </c>
      <c r="E554" s="1" t="s">
        <v>1659</v>
      </c>
      <c r="F554" s="1" t="s">
        <v>2600</v>
      </c>
      <c r="G554" s="1" t="s">
        <v>2601</v>
      </c>
      <c r="H554" s="1" t="s">
        <v>2602</v>
      </c>
      <c r="I554" t="b">
        <f>COUNTIF(Estadísticas!I:I,'centraldecomunicacion.es'!H554)&gt;0</f>
        <v>0</v>
      </c>
    </row>
    <row r="555" spans="1:9" hidden="1">
      <c r="A555" s="1" t="s">
        <v>2603</v>
      </c>
      <c r="B555" s="1" t="s">
        <v>24</v>
      </c>
      <c r="C555" s="1" t="s">
        <v>2604</v>
      </c>
      <c r="D555" s="1" t="s">
        <v>1659</v>
      </c>
      <c r="E555" s="1" t="s">
        <v>1659</v>
      </c>
      <c r="F555" s="1" t="s">
        <v>2605</v>
      </c>
      <c r="G555" s="1" t="s">
        <v>2606</v>
      </c>
      <c r="H555" s="1" t="s">
        <v>657</v>
      </c>
      <c r="I555" t="b">
        <f>COUNTIF(Estadísticas!I:I,'centraldecomunicacion.es'!H555)&gt;0</f>
        <v>0</v>
      </c>
    </row>
    <row r="556" spans="1:9" hidden="1">
      <c r="A556" s="1" t="s">
        <v>2607</v>
      </c>
      <c r="B556" s="1" t="s">
        <v>24</v>
      </c>
      <c r="C556" s="1" t="s">
        <v>2608</v>
      </c>
      <c r="D556" s="1" t="s">
        <v>1659</v>
      </c>
      <c r="E556" s="1" t="s">
        <v>1659</v>
      </c>
      <c r="F556" s="1" t="s">
        <v>78</v>
      </c>
      <c r="G556" s="1" t="s">
        <v>2609</v>
      </c>
      <c r="H556" s="1" t="s">
        <v>657</v>
      </c>
      <c r="I556" t="b">
        <f>COUNTIF(Estadísticas!I:I,'centraldecomunicacion.es'!H556)&gt;0</f>
        <v>0</v>
      </c>
    </row>
    <row r="557" spans="1:9" hidden="1">
      <c r="A557" s="1" t="s">
        <v>2610</v>
      </c>
      <c r="B557" s="1" t="s">
        <v>24</v>
      </c>
      <c r="C557" s="1" t="s">
        <v>78</v>
      </c>
      <c r="D557" s="1" t="s">
        <v>2594</v>
      </c>
      <c r="E557" s="1" t="s">
        <v>78</v>
      </c>
      <c r="F557" s="1" t="s">
        <v>78</v>
      </c>
      <c r="G557" s="1" t="s">
        <v>2611</v>
      </c>
      <c r="H557" s="1" t="s">
        <v>657</v>
      </c>
      <c r="I557" t="b">
        <f>COUNTIF(Estadísticas!I:I,'centraldecomunicacion.es'!H557)&gt;0</f>
        <v>0</v>
      </c>
    </row>
    <row r="558" spans="1:9" hidden="1">
      <c r="A558" s="1" t="s">
        <v>2612</v>
      </c>
      <c r="B558" s="1" t="s">
        <v>24</v>
      </c>
      <c r="C558" s="1" t="s">
        <v>2613</v>
      </c>
      <c r="D558" s="1" t="s">
        <v>1659</v>
      </c>
      <c r="E558" s="1" t="s">
        <v>1659</v>
      </c>
      <c r="F558" s="1" t="s">
        <v>78</v>
      </c>
      <c r="G558" s="1" t="s">
        <v>2614</v>
      </c>
      <c r="H558" s="1" t="s">
        <v>657</v>
      </c>
      <c r="I558" t="b">
        <f>COUNTIF(Estadísticas!I:I,'centraldecomunicacion.es'!H558)&gt;0</f>
        <v>0</v>
      </c>
    </row>
    <row r="559" spans="1:9" hidden="1">
      <c r="A559" s="1" t="s">
        <v>2615</v>
      </c>
      <c r="B559" s="1" t="s">
        <v>24</v>
      </c>
      <c r="C559" s="1" t="s">
        <v>2616</v>
      </c>
      <c r="D559" s="1" t="s">
        <v>1659</v>
      </c>
      <c r="E559" s="1" t="s">
        <v>1659</v>
      </c>
      <c r="F559" s="1" t="s">
        <v>78</v>
      </c>
      <c r="G559" s="1" t="s">
        <v>2617</v>
      </c>
      <c r="H559" s="1" t="s">
        <v>657</v>
      </c>
      <c r="I559" t="b">
        <f>COUNTIF(Estadísticas!I:I,'centraldecomunicacion.es'!H559)&gt;0</f>
        <v>0</v>
      </c>
    </row>
    <row r="560" spans="1:9" hidden="1">
      <c r="A560" s="1" t="s">
        <v>2618</v>
      </c>
      <c r="B560" s="1" t="s">
        <v>10</v>
      </c>
      <c r="C560" s="1" t="s">
        <v>2619</v>
      </c>
      <c r="D560" s="1" t="s">
        <v>220</v>
      </c>
      <c r="E560" s="1" t="s">
        <v>221</v>
      </c>
      <c r="F560" s="1" t="s">
        <v>2620</v>
      </c>
      <c r="G560" s="1" t="s">
        <v>2621</v>
      </c>
      <c r="H560" s="1" t="s">
        <v>2622</v>
      </c>
      <c r="I560" t="b">
        <f>COUNTIF(Estadísticas!I:I,'centraldecomunicacion.es'!H560)&gt;0</f>
        <v>0</v>
      </c>
    </row>
    <row r="561" spans="1:9" hidden="1">
      <c r="A561" s="1" t="s">
        <v>2623</v>
      </c>
      <c r="B561" s="1" t="s">
        <v>10</v>
      </c>
      <c r="C561" s="1" t="s">
        <v>2624</v>
      </c>
      <c r="D561" s="1" t="s">
        <v>596</v>
      </c>
      <c r="E561" s="1" t="s">
        <v>38</v>
      </c>
      <c r="F561" s="1" t="s">
        <v>2625</v>
      </c>
      <c r="G561" s="1" t="s">
        <v>2626</v>
      </c>
      <c r="H561" s="1" t="s">
        <v>2627</v>
      </c>
      <c r="I561" t="b">
        <f>COUNTIF(Estadísticas!I:I,'centraldecomunicacion.es'!H561)&gt;0</f>
        <v>0</v>
      </c>
    </row>
    <row r="562" spans="1:9" hidden="1">
      <c r="A562" s="1" t="s">
        <v>2628</v>
      </c>
      <c r="B562" s="1" t="s">
        <v>10</v>
      </c>
      <c r="C562" s="1" t="s">
        <v>2629</v>
      </c>
      <c r="D562" s="1" t="s">
        <v>220</v>
      </c>
      <c r="E562" s="1" t="s">
        <v>221</v>
      </c>
      <c r="F562" s="1" t="s">
        <v>2630</v>
      </c>
      <c r="G562" s="1" t="s">
        <v>2631</v>
      </c>
      <c r="H562" s="1" t="s">
        <v>657</v>
      </c>
      <c r="I562" t="b">
        <f>COUNTIF(Estadísticas!I:I,'centraldecomunicacion.es'!H562)&gt;0</f>
        <v>0</v>
      </c>
    </row>
    <row r="563" spans="1:9">
      <c r="A563" s="1" t="s">
        <v>218</v>
      </c>
      <c r="B563" s="1" t="s">
        <v>10</v>
      </c>
      <c r="C563" s="1" t="s">
        <v>219</v>
      </c>
      <c r="D563" s="1" t="s">
        <v>220</v>
      </c>
      <c r="E563" s="1" t="s">
        <v>221</v>
      </c>
      <c r="F563" s="1" t="s">
        <v>222</v>
      </c>
      <c r="G563" s="1" t="s">
        <v>223</v>
      </c>
      <c r="H563" s="1" t="s">
        <v>224</v>
      </c>
      <c r="I563" t="b">
        <f>COUNTIF(Estadísticas!I:I,'centraldecomunicacion.es'!H563)&gt;0</f>
        <v>1</v>
      </c>
    </row>
    <row r="564" spans="1:9" hidden="1">
      <c r="A564" s="1" t="s">
        <v>2632</v>
      </c>
      <c r="B564" s="1" t="s">
        <v>10</v>
      </c>
      <c r="C564" s="1" t="s">
        <v>2633</v>
      </c>
      <c r="D564" s="1" t="s">
        <v>220</v>
      </c>
      <c r="E564" s="1" t="s">
        <v>221</v>
      </c>
      <c r="F564" s="1" t="s">
        <v>2634</v>
      </c>
      <c r="G564" s="1" t="s">
        <v>2635</v>
      </c>
      <c r="H564" s="1" t="s">
        <v>662</v>
      </c>
      <c r="I564" t="b">
        <f>COUNTIF(Estadísticas!I:I,'centraldecomunicacion.es'!H564)&gt;0</f>
        <v>0</v>
      </c>
    </row>
    <row r="565" spans="1:9" hidden="1">
      <c r="A565" s="1" t="s">
        <v>2636</v>
      </c>
      <c r="B565" s="1" t="s">
        <v>24</v>
      </c>
      <c r="C565" s="1" t="s">
        <v>2637</v>
      </c>
      <c r="D565" s="1" t="s">
        <v>220</v>
      </c>
      <c r="E565" s="1" t="s">
        <v>221</v>
      </c>
      <c r="F565" s="1" t="s">
        <v>78</v>
      </c>
      <c r="G565" s="1" t="s">
        <v>2638</v>
      </c>
      <c r="H565" s="1" t="s">
        <v>657</v>
      </c>
      <c r="I565" t="b">
        <f>COUNTIF(Estadísticas!I:I,'centraldecomunicacion.es'!H565)&gt;0</f>
        <v>0</v>
      </c>
    </row>
    <row r="566" spans="1:9" hidden="1">
      <c r="A566" s="1" t="s">
        <v>2639</v>
      </c>
      <c r="B566" s="1" t="s">
        <v>24</v>
      </c>
      <c r="C566" s="1" t="s">
        <v>2640</v>
      </c>
      <c r="D566" s="1" t="s">
        <v>220</v>
      </c>
      <c r="E566" s="1" t="s">
        <v>221</v>
      </c>
      <c r="F566" s="1" t="s">
        <v>2641</v>
      </c>
      <c r="G566" s="1" t="s">
        <v>2642</v>
      </c>
      <c r="H566" s="1" t="s">
        <v>657</v>
      </c>
      <c r="I566" t="b">
        <f>COUNTIF(Estadísticas!I:I,'centraldecomunicacion.es'!H566)&gt;0</f>
        <v>0</v>
      </c>
    </row>
    <row r="567" spans="1:9" hidden="1">
      <c r="A567" s="1" t="s">
        <v>2643</v>
      </c>
      <c r="B567" s="1" t="s">
        <v>24</v>
      </c>
      <c r="C567" s="1" t="s">
        <v>2644</v>
      </c>
      <c r="D567" s="1" t="s">
        <v>220</v>
      </c>
      <c r="E567" s="1" t="s">
        <v>221</v>
      </c>
      <c r="F567" s="1" t="s">
        <v>78</v>
      </c>
      <c r="G567" s="1" t="s">
        <v>2645</v>
      </c>
      <c r="H567" s="1" t="s">
        <v>657</v>
      </c>
      <c r="I567" t="b">
        <f>COUNTIF(Estadísticas!I:I,'centraldecomunicacion.es'!H567)&gt;0</f>
        <v>0</v>
      </c>
    </row>
    <row r="568" spans="1:9" hidden="1">
      <c r="A568" s="1" t="s">
        <v>2646</v>
      </c>
      <c r="B568" s="1" t="s">
        <v>24</v>
      </c>
      <c r="C568" s="1" t="s">
        <v>2647</v>
      </c>
      <c r="D568" s="1" t="s">
        <v>2648</v>
      </c>
      <c r="E568" s="1" t="s">
        <v>221</v>
      </c>
      <c r="F568" s="1" t="s">
        <v>2649</v>
      </c>
      <c r="G568" s="1" t="s">
        <v>2650</v>
      </c>
      <c r="H568" s="1" t="s">
        <v>657</v>
      </c>
      <c r="I568" t="b">
        <f>COUNTIF(Estadísticas!I:I,'centraldecomunicacion.es'!H568)&gt;0</f>
        <v>0</v>
      </c>
    </row>
    <row r="569" spans="1:9" hidden="1">
      <c r="A569" s="1" t="s">
        <v>2651</v>
      </c>
      <c r="B569" s="1" t="s">
        <v>36</v>
      </c>
      <c r="C569" s="1" t="s">
        <v>2652</v>
      </c>
      <c r="D569" s="1" t="s">
        <v>220</v>
      </c>
      <c r="E569" s="1" t="s">
        <v>221</v>
      </c>
      <c r="F569" s="1" t="s">
        <v>2045</v>
      </c>
      <c r="G569" s="1" t="s">
        <v>78</v>
      </c>
      <c r="H569" s="1" t="s">
        <v>657</v>
      </c>
      <c r="I569" t="b">
        <f>COUNTIF(Estadísticas!I:I,'centraldecomunicacion.es'!H569)&gt;0</f>
        <v>0</v>
      </c>
    </row>
    <row r="570" spans="1:9" hidden="1">
      <c r="A570" s="1" t="s">
        <v>2653</v>
      </c>
      <c r="B570" s="1" t="s">
        <v>24</v>
      </c>
      <c r="C570" s="1" t="s">
        <v>2654</v>
      </c>
      <c r="D570" s="1" t="s">
        <v>2655</v>
      </c>
      <c r="E570" s="1" t="s">
        <v>221</v>
      </c>
      <c r="F570" s="1" t="s">
        <v>2656</v>
      </c>
      <c r="G570" s="1" t="s">
        <v>2657</v>
      </c>
      <c r="H570" s="1" t="s">
        <v>2658</v>
      </c>
      <c r="I570" t="b">
        <f>COUNTIF(Estadísticas!I:I,'centraldecomunicacion.es'!H570)&gt;0</f>
        <v>0</v>
      </c>
    </row>
    <row r="571" spans="1:9" hidden="1">
      <c r="A571" s="1" t="s">
        <v>2659</v>
      </c>
      <c r="B571" s="1" t="s">
        <v>24</v>
      </c>
      <c r="C571" s="1" t="s">
        <v>2660</v>
      </c>
      <c r="D571" s="1" t="s">
        <v>2661</v>
      </c>
      <c r="E571" s="1" t="s">
        <v>221</v>
      </c>
      <c r="F571" s="1" t="s">
        <v>78</v>
      </c>
      <c r="G571" s="1" t="s">
        <v>78</v>
      </c>
      <c r="H571" s="1" t="s">
        <v>657</v>
      </c>
      <c r="I571" t="b">
        <f>COUNTIF(Estadísticas!I:I,'centraldecomunicacion.es'!H571)&gt;0</f>
        <v>0</v>
      </c>
    </row>
    <row r="572" spans="1:9" hidden="1">
      <c r="A572" s="1" t="s">
        <v>2662</v>
      </c>
      <c r="B572" s="1" t="s">
        <v>10</v>
      </c>
      <c r="C572" s="1" t="s">
        <v>2663</v>
      </c>
      <c r="D572" s="1" t="s">
        <v>38</v>
      </c>
      <c r="E572" s="1" t="s">
        <v>38</v>
      </c>
      <c r="F572" s="1" t="s">
        <v>2664</v>
      </c>
      <c r="G572" s="1" t="s">
        <v>2665</v>
      </c>
      <c r="H572" s="1" t="s">
        <v>2666</v>
      </c>
      <c r="I572" t="b">
        <f>COUNTIF(Estadísticas!I:I,'centraldecomunicacion.es'!H572)&gt;0</f>
        <v>0</v>
      </c>
    </row>
    <row r="573" spans="1:9">
      <c r="A573" s="1" t="s">
        <v>225</v>
      </c>
      <c r="B573" s="1" t="s">
        <v>24</v>
      </c>
      <c r="C573" s="1" t="s">
        <v>226</v>
      </c>
      <c r="D573" s="1" t="s">
        <v>227</v>
      </c>
      <c r="E573" s="1" t="s">
        <v>227</v>
      </c>
      <c r="F573" s="1" t="s">
        <v>228</v>
      </c>
      <c r="G573" s="1" t="s">
        <v>229</v>
      </c>
      <c r="H573" s="1" t="s">
        <v>230</v>
      </c>
      <c r="I573" t="b">
        <f>COUNTIF(Estadísticas!I:I,'centraldecomunicacion.es'!H573)&gt;0</f>
        <v>1</v>
      </c>
    </row>
    <row r="574" spans="1:9" hidden="1">
      <c r="A574" s="1" t="s">
        <v>2667</v>
      </c>
      <c r="B574" s="1" t="s">
        <v>10</v>
      </c>
      <c r="C574" s="1" t="s">
        <v>2668</v>
      </c>
      <c r="D574" s="1" t="s">
        <v>227</v>
      </c>
      <c r="E574" s="1" t="s">
        <v>227</v>
      </c>
      <c r="F574" s="1" t="s">
        <v>2669</v>
      </c>
      <c r="G574" s="1" t="s">
        <v>2670</v>
      </c>
      <c r="H574" s="1" t="s">
        <v>662</v>
      </c>
      <c r="I574" t="b">
        <f>COUNTIF(Estadísticas!I:I,'centraldecomunicacion.es'!H574)&gt;0</f>
        <v>0</v>
      </c>
    </row>
    <row r="575" spans="1:9" hidden="1">
      <c r="A575" s="1" t="s">
        <v>2671</v>
      </c>
      <c r="B575" s="1" t="s">
        <v>10</v>
      </c>
      <c r="C575" s="1" t="s">
        <v>2672</v>
      </c>
      <c r="D575" s="1" t="s">
        <v>227</v>
      </c>
      <c r="E575" s="1" t="s">
        <v>227</v>
      </c>
      <c r="F575" s="1" t="s">
        <v>1684</v>
      </c>
      <c r="G575" s="1" t="s">
        <v>2673</v>
      </c>
      <c r="H575" s="1" t="s">
        <v>657</v>
      </c>
      <c r="I575" t="b">
        <f>COUNTIF(Estadísticas!I:I,'centraldecomunicacion.es'!H575)&gt;0</f>
        <v>0</v>
      </c>
    </row>
    <row r="576" spans="1:9" hidden="1">
      <c r="A576" s="1" t="s">
        <v>2674</v>
      </c>
      <c r="B576" s="1" t="s">
        <v>10</v>
      </c>
      <c r="C576" s="1" t="s">
        <v>2675</v>
      </c>
      <c r="D576" s="1" t="s">
        <v>2676</v>
      </c>
      <c r="E576" s="1" t="s">
        <v>227</v>
      </c>
      <c r="F576" s="1" t="s">
        <v>2677</v>
      </c>
      <c r="G576" s="1" t="s">
        <v>2678</v>
      </c>
      <c r="H576" s="1" t="s">
        <v>657</v>
      </c>
      <c r="I576" t="b">
        <f>COUNTIF(Estadísticas!I:I,'centraldecomunicacion.es'!H576)&gt;0</f>
        <v>0</v>
      </c>
    </row>
    <row r="577" spans="1:9" hidden="1">
      <c r="A577" s="1" t="s">
        <v>2679</v>
      </c>
      <c r="B577" s="1" t="s">
        <v>24</v>
      </c>
      <c r="C577" s="1" t="s">
        <v>2680</v>
      </c>
      <c r="D577" s="1" t="s">
        <v>2681</v>
      </c>
      <c r="E577" s="1" t="s">
        <v>227</v>
      </c>
      <c r="F577" s="1" t="s">
        <v>78</v>
      </c>
      <c r="G577" s="1" t="s">
        <v>2682</v>
      </c>
      <c r="H577" s="1" t="s">
        <v>657</v>
      </c>
      <c r="I577" t="b">
        <f>COUNTIF(Estadísticas!I:I,'centraldecomunicacion.es'!H577)&gt;0</f>
        <v>0</v>
      </c>
    </row>
    <row r="578" spans="1:9" hidden="1">
      <c r="A578" s="1" t="s">
        <v>2683</v>
      </c>
      <c r="B578" s="1" t="s">
        <v>24</v>
      </c>
      <c r="C578" s="1" t="s">
        <v>2684</v>
      </c>
      <c r="D578" s="1" t="s">
        <v>2685</v>
      </c>
      <c r="E578" s="1" t="s">
        <v>227</v>
      </c>
      <c r="F578" s="1" t="s">
        <v>78</v>
      </c>
      <c r="G578" s="1" t="s">
        <v>2686</v>
      </c>
      <c r="H578" s="1" t="s">
        <v>657</v>
      </c>
      <c r="I578" t="b">
        <f>COUNTIF(Estadísticas!I:I,'centraldecomunicacion.es'!H578)&gt;0</f>
        <v>0</v>
      </c>
    </row>
    <row r="579" spans="1:9" hidden="1">
      <c r="A579" s="1" t="s">
        <v>2687</v>
      </c>
      <c r="B579" s="1" t="s">
        <v>24</v>
      </c>
      <c r="C579" s="1" t="s">
        <v>2688</v>
      </c>
      <c r="D579" s="1" t="s">
        <v>2689</v>
      </c>
      <c r="E579" s="1" t="s">
        <v>38</v>
      </c>
      <c r="F579" s="1" t="s">
        <v>78</v>
      </c>
      <c r="G579" s="1" t="s">
        <v>2690</v>
      </c>
      <c r="H579" s="1" t="s">
        <v>657</v>
      </c>
      <c r="I579" t="b">
        <f>COUNTIF(Estadísticas!I:I,'centraldecomunicacion.es'!H579)&gt;0</f>
        <v>0</v>
      </c>
    </row>
    <row r="580" spans="1:9" hidden="1">
      <c r="A580" s="1" t="s">
        <v>2691</v>
      </c>
      <c r="B580" s="1" t="s">
        <v>24</v>
      </c>
      <c r="C580" s="1" t="s">
        <v>2692</v>
      </c>
      <c r="D580" s="1" t="s">
        <v>2693</v>
      </c>
      <c r="E580" s="1" t="s">
        <v>227</v>
      </c>
      <c r="F580" s="1" t="s">
        <v>78</v>
      </c>
      <c r="G580" s="1" t="s">
        <v>2694</v>
      </c>
      <c r="H580" s="1" t="s">
        <v>657</v>
      </c>
      <c r="I580" t="b">
        <f>COUNTIF(Estadísticas!I:I,'centraldecomunicacion.es'!H580)&gt;0</f>
        <v>0</v>
      </c>
    </row>
    <row r="581" spans="1:9" hidden="1">
      <c r="A581" s="1" t="s">
        <v>2695</v>
      </c>
      <c r="B581" s="1" t="s">
        <v>10</v>
      </c>
      <c r="C581" s="1" t="s">
        <v>2696</v>
      </c>
      <c r="D581" s="1" t="s">
        <v>2697</v>
      </c>
      <c r="E581" s="1" t="s">
        <v>38</v>
      </c>
      <c r="F581" s="1" t="s">
        <v>2698</v>
      </c>
      <c r="G581" s="1" t="s">
        <v>2699</v>
      </c>
      <c r="H581" s="1" t="s">
        <v>2700</v>
      </c>
      <c r="I581" t="b">
        <f>COUNTIF(Estadísticas!I:I,'centraldecomunicacion.es'!H581)&gt;0</f>
        <v>0</v>
      </c>
    </row>
    <row r="582" spans="1:9" hidden="1">
      <c r="A582" s="1" t="s">
        <v>2701</v>
      </c>
      <c r="B582" s="1" t="s">
        <v>10</v>
      </c>
      <c r="C582" s="1" t="s">
        <v>2702</v>
      </c>
      <c r="D582" s="1" t="s">
        <v>234</v>
      </c>
      <c r="E582" s="1" t="s">
        <v>234</v>
      </c>
      <c r="F582" s="1" t="s">
        <v>2703</v>
      </c>
      <c r="G582" s="1" t="s">
        <v>2704</v>
      </c>
      <c r="H582" s="1" t="s">
        <v>2705</v>
      </c>
      <c r="I582" t="b">
        <f>COUNTIF(Estadísticas!I:I,'centraldecomunicacion.es'!H582)&gt;0</f>
        <v>0</v>
      </c>
    </row>
    <row r="583" spans="1:9" hidden="1">
      <c r="A583" s="1" t="s">
        <v>2706</v>
      </c>
      <c r="B583" s="1" t="s">
        <v>10</v>
      </c>
      <c r="C583" s="1" t="s">
        <v>2707</v>
      </c>
      <c r="D583" s="1" t="s">
        <v>234</v>
      </c>
      <c r="E583" s="1" t="s">
        <v>234</v>
      </c>
      <c r="F583" s="1" t="s">
        <v>78</v>
      </c>
      <c r="G583" s="1" t="s">
        <v>2708</v>
      </c>
      <c r="H583" s="1" t="s">
        <v>657</v>
      </c>
      <c r="I583" t="b">
        <f>COUNTIF(Estadísticas!I:I,'centraldecomunicacion.es'!H583)&gt;0</f>
        <v>0</v>
      </c>
    </row>
    <row r="584" spans="1:9" hidden="1">
      <c r="A584" s="1" t="s">
        <v>2709</v>
      </c>
      <c r="B584" s="1" t="s">
        <v>10</v>
      </c>
      <c r="C584" s="1" t="s">
        <v>2710</v>
      </c>
      <c r="D584" s="1" t="s">
        <v>234</v>
      </c>
      <c r="E584" s="1" t="s">
        <v>234</v>
      </c>
      <c r="F584" s="1" t="s">
        <v>2711</v>
      </c>
      <c r="G584" s="1" t="s">
        <v>2712</v>
      </c>
      <c r="H584" s="1" t="s">
        <v>2713</v>
      </c>
      <c r="I584" t="b">
        <f>COUNTIF(Estadísticas!I:I,'centraldecomunicacion.es'!H584)&gt;0</f>
        <v>0</v>
      </c>
    </row>
    <row r="585" spans="1:9" hidden="1">
      <c r="A585" s="1" t="s">
        <v>2714</v>
      </c>
      <c r="B585" s="1" t="s">
        <v>10</v>
      </c>
      <c r="C585" s="1" t="s">
        <v>2715</v>
      </c>
      <c r="D585" s="1" t="s">
        <v>234</v>
      </c>
      <c r="E585" s="1" t="s">
        <v>234</v>
      </c>
      <c r="F585" s="1" t="s">
        <v>2716</v>
      </c>
      <c r="G585" s="1" t="s">
        <v>2717</v>
      </c>
      <c r="H585" s="1" t="s">
        <v>2718</v>
      </c>
      <c r="I585" t="b">
        <f>COUNTIF(Estadísticas!I:I,'centraldecomunicacion.es'!H585)&gt;0</f>
        <v>0</v>
      </c>
    </row>
    <row r="586" spans="1:9" hidden="1">
      <c r="A586" s="1" t="s">
        <v>2719</v>
      </c>
      <c r="B586" s="1" t="s">
        <v>10</v>
      </c>
      <c r="C586" s="1" t="s">
        <v>2720</v>
      </c>
      <c r="D586" s="1" t="s">
        <v>2721</v>
      </c>
      <c r="E586" s="1" t="s">
        <v>234</v>
      </c>
      <c r="F586" s="1" t="s">
        <v>2722</v>
      </c>
      <c r="G586" s="1" t="s">
        <v>2723</v>
      </c>
      <c r="H586" s="1" t="s">
        <v>2724</v>
      </c>
      <c r="I586" t="b">
        <f>COUNTIF(Estadísticas!I:I,'centraldecomunicacion.es'!H586)&gt;0</f>
        <v>0</v>
      </c>
    </row>
    <row r="587" spans="1:9">
      <c r="A587" s="1" t="s">
        <v>231</v>
      </c>
      <c r="B587" s="1" t="s">
        <v>10</v>
      </c>
      <c r="C587" s="1" t="s">
        <v>232</v>
      </c>
      <c r="D587" s="1" t="s">
        <v>233</v>
      </c>
      <c r="E587" s="1" t="s">
        <v>234</v>
      </c>
      <c r="F587" s="1" t="s">
        <v>235</v>
      </c>
      <c r="G587" s="1" t="s">
        <v>236</v>
      </c>
      <c r="H587" s="1" t="s">
        <v>237</v>
      </c>
      <c r="I587" t="b">
        <f>COUNTIF(Estadísticas!I:I,'centraldecomunicacion.es'!H587)&gt;0</f>
        <v>1</v>
      </c>
    </row>
    <row r="588" spans="1:9" hidden="1">
      <c r="A588" s="1" t="s">
        <v>2725</v>
      </c>
      <c r="B588" s="1" t="s">
        <v>24</v>
      </c>
      <c r="C588" s="1" t="s">
        <v>2726</v>
      </c>
      <c r="D588" s="1" t="s">
        <v>2721</v>
      </c>
      <c r="E588" s="1" t="s">
        <v>234</v>
      </c>
      <c r="F588" s="1" t="s">
        <v>1778</v>
      </c>
      <c r="G588" s="1" t="s">
        <v>2727</v>
      </c>
      <c r="H588" s="1" t="s">
        <v>657</v>
      </c>
      <c r="I588" t="b">
        <f>COUNTIF(Estadísticas!I:I,'centraldecomunicacion.es'!H588)&gt;0</f>
        <v>0</v>
      </c>
    </row>
    <row r="589" spans="1:9" hidden="1">
      <c r="A589" s="1" t="s">
        <v>2728</v>
      </c>
      <c r="B589" s="1" t="s">
        <v>24</v>
      </c>
      <c r="C589" s="1" t="s">
        <v>2729</v>
      </c>
      <c r="D589" s="1" t="s">
        <v>2730</v>
      </c>
      <c r="E589" s="1" t="s">
        <v>234</v>
      </c>
      <c r="F589" s="1" t="s">
        <v>2731</v>
      </c>
      <c r="G589" s="1" t="s">
        <v>2732</v>
      </c>
      <c r="H589" s="1" t="s">
        <v>657</v>
      </c>
      <c r="I589" t="b">
        <f>COUNTIF(Estadísticas!I:I,'centraldecomunicacion.es'!H589)&gt;0</f>
        <v>0</v>
      </c>
    </row>
    <row r="590" spans="1:9" hidden="1">
      <c r="A590" s="1" t="s">
        <v>2733</v>
      </c>
      <c r="B590" s="1" t="s">
        <v>24</v>
      </c>
      <c r="C590" s="1" t="s">
        <v>2734</v>
      </c>
      <c r="D590" s="1" t="s">
        <v>2721</v>
      </c>
      <c r="E590" s="1" t="s">
        <v>234</v>
      </c>
      <c r="F590" s="1" t="s">
        <v>78</v>
      </c>
      <c r="G590" s="1" t="s">
        <v>2735</v>
      </c>
      <c r="H590" s="1" t="s">
        <v>657</v>
      </c>
      <c r="I590" t="b">
        <f>COUNTIF(Estadísticas!I:I,'centraldecomunicacion.es'!H590)&gt;0</f>
        <v>0</v>
      </c>
    </row>
    <row r="591" spans="1:9" hidden="1">
      <c r="A591" s="1" t="s">
        <v>2736</v>
      </c>
      <c r="B591" s="1" t="s">
        <v>10</v>
      </c>
      <c r="C591" s="1" t="s">
        <v>2737</v>
      </c>
      <c r="D591" s="1" t="s">
        <v>2738</v>
      </c>
      <c r="E591" s="1" t="s">
        <v>234</v>
      </c>
      <c r="F591" s="1" t="s">
        <v>2739</v>
      </c>
      <c r="G591" s="1" t="s">
        <v>2740</v>
      </c>
      <c r="H591" s="1" t="s">
        <v>2741</v>
      </c>
      <c r="I591" t="b">
        <f>COUNTIF(Estadísticas!I:I,'centraldecomunicacion.es'!H591)&gt;0</f>
        <v>0</v>
      </c>
    </row>
    <row r="592" spans="1:9" hidden="1">
      <c r="A592" s="1" t="s">
        <v>2742</v>
      </c>
      <c r="B592" s="1" t="s">
        <v>24</v>
      </c>
      <c r="C592" s="1" t="s">
        <v>2743</v>
      </c>
      <c r="D592" s="1" t="s">
        <v>2721</v>
      </c>
      <c r="E592" s="1" t="s">
        <v>234</v>
      </c>
      <c r="F592" s="1" t="s">
        <v>78</v>
      </c>
      <c r="G592" s="1" t="s">
        <v>2744</v>
      </c>
      <c r="H592" s="1" t="s">
        <v>657</v>
      </c>
      <c r="I592" t="b">
        <f>COUNTIF(Estadísticas!I:I,'centraldecomunicacion.es'!H592)&gt;0</f>
        <v>0</v>
      </c>
    </row>
    <row r="593" spans="1:9" hidden="1">
      <c r="A593" s="1" t="s">
        <v>2745</v>
      </c>
      <c r="B593" s="1" t="s">
        <v>24</v>
      </c>
      <c r="C593" s="1" t="s">
        <v>2746</v>
      </c>
      <c r="D593" s="1" t="s">
        <v>2721</v>
      </c>
      <c r="E593" s="1" t="s">
        <v>234</v>
      </c>
      <c r="F593" s="1" t="s">
        <v>78</v>
      </c>
      <c r="G593" s="1" t="s">
        <v>2747</v>
      </c>
      <c r="H593" s="1" t="s">
        <v>657</v>
      </c>
      <c r="I593" t="b">
        <f>COUNTIF(Estadísticas!I:I,'centraldecomunicacion.es'!H593)&gt;0</f>
        <v>0</v>
      </c>
    </row>
    <row r="594" spans="1:9" hidden="1">
      <c r="A594" s="1" t="s">
        <v>2748</v>
      </c>
      <c r="B594" s="1" t="s">
        <v>10</v>
      </c>
      <c r="C594" s="1" t="s">
        <v>2749</v>
      </c>
      <c r="D594" s="1" t="s">
        <v>2697</v>
      </c>
      <c r="E594" s="1" t="s">
        <v>38</v>
      </c>
      <c r="F594" s="1" t="s">
        <v>2750</v>
      </c>
      <c r="G594" s="1" t="s">
        <v>2751</v>
      </c>
      <c r="H594" s="1" t="s">
        <v>2752</v>
      </c>
      <c r="I594" t="b">
        <f>COUNTIF(Estadísticas!I:I,'centraldecomunicacion.es'!H594)&gt;0</f>
        <v>0</v>
      </c>
    </row>
    <row r="595" spans="1:9" hidden="1">
      <c r="A595" s="1" t="s">
        <v>2753</v>
      </c>
      <c r="B595" s="1" t="s">
        <v>24</v>
      </c>
      <c r="C595" s="1" t="s">
        <v>2754</v>
      </c>
      <c r="D595" s="1" t="s">
        <v>2755</v>
      </c>
      <c r="E595" s="1" t="s">
        <v>234</v>
      </c>
      <c r="F595" s="1" t="s">
        <v>78</v>
      </c>
      <c r="G595" s="1" t="s">
        <v>78</v>
      </c>
      <c r="H595" s="1" t="s">
        <v>657</v>
      </c>
      <c r="I595" t="b">
        <f>COUNTIF(Estadísticas!I:I,'centraldecomunicacion.es'!H595)&gt;0</f>
        <v>0</v>
      </c>
    </row>
    <row r="596" spans="1:9" hidden="1">
      <c r="A596" s="1" t="s">
        <v>2756</v>
      </c>
      <c r="B596" s="1" t="s">
        <v>24</v>
      </c>
      <c r="C596" s="1" t="s">
        <v>2757</v>
      </c>
      <c r="D596" s="1" t="s">
        <v>2721</v>
      </c>
      <c r="E596" s="1" t="s">
        <v>234</v>
      </c>
      <c r="F596" s="1" t="s">
        <v>78</v>
      </c>
      <c r="G596" s="1" t="s">
        <v>2758</v>
      </c>
      <c r="H596" s="1" t="s">
        <v>657</v>
      </c>
      <c r="I596" t="b">
        <f>COUNTIF(Estadísticas!I:I,'centraldecomunicacion.es'!H596)&gt;0</f>
        <v>0</v>
      </c>
    </row>
    <row r="597" spans="1:9" hidden="1">
      <c r="A597" s="1" t="s">
        <v>2759</v>
      </c>
      <c r="B597" s="1" t="s">
        <v>24</v>
      </c>
      <c r="C597" s="1" t="s">
        <v>2760</v>
      </c>
      <c r="D597" s="1" t="s">
        <v>2697</v>
      </c>
      <c r="E597" s="1" t="s">
        <v>38</v>
      </c>
      <c r="F597" s="1" t="s">
        <v>2761</v>
      </c>
      <c r="G597" s="1" t="s">
        <v>2762</v>
      </c>
      <c r="H597" s="1" t="s">
        <v>2763</v>
      </c>
      <c r="I597" t="b">
        <f>COUNTIF(Estadísticas!I:I,'centraldecomunicacion.es'!H597)&gt;0</f>
        <v>0</v>
      </c>
    </row>
    <row r="598" spans="1:9" hidden="1">
      <c r="A598" s="1" t="s">
        <v>2764</v>
      </c>
      <c r="B598" s="1" t="s">
        <v>10</v>
      </c>
      <c r="C598" s="1" t="s">
        <v>2765</v>
      </c>
      <c r="D598" s="1" t="s">
        <v>579</v>
      </c>
      <c r="E598" s="1" t="s">
        <v>38</v>
      </c>
      <c r="F598" s="1" t="s">
        <v>2766</v>
      </c>
      <c r="G598" s="1" t="s">
        <v>2767</v>
      </c>
      <c r="H598" s="1" t="s">
        <v>2768</v>
      </c>
      <c r="I598" t="b">
        <f>COUNTIF(Estadísticas!I:I,'centraldecomunicacion.es'!H598)&gt;0</f>
        <v>0</v>
      </c>
    </row>
    <row r="599" spans="1:9" hidden="1">
      <c r="A599" s="1" t="s">
        <v>2769</v>
      </c>
      <c r="B599" s="1" t="s">
        <v>10</v>
      </c>
      <c r="C599" s="1" t="s">
        <v>2770</v>
      </c>
      <c r="D599" s="1" t="s">
        <v>2771</v>
      </c>
      <c r="E599" s="1" t="s">
        <v>38</v>
      </c>
      <c r="F599" s="1" t="s">
        <v>2772</v>
      </c>
      <c r="G599" s="1" t="s">
        <v>2773</v>
      </c>
      <c r="H599" s="1" t="s">
        <v>2774</v>
      </c>
      <c r="I599" t="b">
        <f>COUNTIF(Estadísticas!I:I,'centraldecomunicacion.es'!H599)&gt;0</f>
        <v>0</v>
      </c>
    </row>
    <row r="600" spans="1:9" hidden="1">
      <c r="A600" s="1" t="s">
        <v>2775</v>
      </c>
      <c r="B600" s="1" t="s">
        <v>24</v>
      </c>
      <c r="C600" s="1" t="s">
        <v>2776</v>
      </c>
      <c r="D600" s="1" t="s">
        <v>2697</v>
      </c>
      <c r="E600" s="1" t="s">
        <v>38</v>
      </c>
      <c r="F600" s="1" t="s">
        <v>78</v>
      </c>
      <c r="G600" s="1" t="s">
        <v>2777</v>
      </c>
      <c r="H600" s="1" t="s">
        <v>657</v>
      </c>
      <c r="I600" t="b">
        <f>COUNTIF(Estadísticas!I:I,'centraldecomunicacion.es'!H600)&gt;0</f>
        <v>0</v>
      </c>
    </row>
    <row r="601" spans="1:9" hidden="1">
      <c r="A601" s="1" t="s">
        <v>2778</v>
      </c>
      <c r="B601" s="1" t="s">
        <v>10</v>
      </c>
      <c r="C601" s="1" t="s">
        <v>2779</v>
      </c>
      <c r="D601" s="1" t="s">
        <v>38</v>
      </c>
      <c r="E601" s="1" t="s">
        <v>38</v>
      </c>
      <c r="F601" s="1" t="s">
        <v>2780</v>
      </c>
      <c r="G601" s="1" t="s">
        <v>2781</v>
      </c>
      <c r="H601" s="1" t="s">
        <v>657</v>
      </c>
      <c r="I601" t="b">
        <f>COUNTIF(Estadísticas!I:I,'centraldecomunicacion.es'!H601)&gt;0</f>
        <v>0</v>
      </c>
    </row>
    <row r="602" spans="1:9" hidden="1">
      <c r="A602" s="1" t="s">
        <v>2782</v>
      </c>
      <c r="B602" s="1" t="s">
        <v>10</v>
      </c>
      <c r="C602" s="1" t="s">
        <v>2783</v>
      </c>
      <c r="D602" s="1" t="s">
        <v>590</v>
      </c>
      <c r="E602" s="1" t="s">
        <v>38</v>
      </c>
      <c r="F602" s="1" t="s">
        <v>2784</v>
      </c>
      <c r="G602" s="1" t="s">
        <v>2785</v>
      </c>
      <c r="H602" s="1" t="s">
        <v>2786</v>
      </c>
      <c r="I602" t="b">
        <f>COUNTIF(Estadísticas!I:I,'centraldecomunicacion.es'!H602)&gt;0</f>
        <v>0</v>
      </c>
    </row>
    <row r="603" spans="1:9" hidden="1">
      <c r="A603" s="1" t="s">
        <v>2787</v>
      </c>
      <c r="B603" s="1" t="s">
        <v>24</v>
      </c>
      <c r="C603" s="1" t="s">
        <v>2788</v>
      </c>
      <c r="D603" s="1" t="s">
        <v>38</v>
      </c>
      <c r="E603" s="1" t="s">
        <v>38</v>
      </c>
      <c r="F603" s="1" t="s">
        <v>2789</v>
      </c>
      <c r="G603" s="1" t="s">
        <v>2790</v>
      </c>
      <c r="H603" s="1" t="s">
        <v>657</v>
      </c>
      <c r="I603" t="b">
        <f>COUNTIF(Estadísticas!I:I,'centraldecomunicacion.es'!H603)&gt;0</f>
        <v>0</v>
      </c>
    </row>
    <row r="604" spans="1:9" hidden="1">
      <c r="A604" s="1" t="s">
        <v>2791</v>
      </c>
      <c r="B604" s="1" t="s">
        <v>24</v>
      </c>
      <c r="C604" s="1" t="s">
        <v>2792</v>
      </c>
      <c r="D604" s="1" t="s">
        <v>1837</v>
      </c>
      <c r="E604" s="1" t="s">
        <v>38</v>
      </c>
      <c r="F604" s="1" t="s">
        <v>78</v>
      </c>
      <c r="G604" s="1" t="s">
        <v>78</v>
      </c>
      <c r="H604" s="1" t="s">
        <v>657</v>
      </c>
      <c r="I604" t="b">
        <f>COUNTIF(Estadísticas!I:I,'centraldecomunicacion.es'!H604)&gt;0</f>
        <v>0</v>
      </c>
    </row>
    <row r="605" spans="1:9" hidden="1">
      <c r="A605" s="1" t="s">
        <v>2793</v>
      </c>
      <c r="B605" s="1" t="s">
        <v>24</v>
      </c>
      <c r="C605" s="1" t="s">
        <v>2794</v>
      </c>
      <c r="D605" s="1" t="s">
        <v>590</v>
      </c>
      <c r="E605" s="1" t="s">
        <v>38</v>
      </c>
      <c r="F605" s="1" t="s">
        <v>78</v>
      </c>
      <c r="G605" s="1" t="s">
        <v>2795</v>
      </c>
      <c r="H605" s="1" t="s">
        <v>657</v>
      </c>
      <c r="I605" t="b">
        <f>COUNTIF(Estadísticas!I:I,'centraldecomunicacion.es'!H605)&gt;0</f>
        <v>0</v>
      </c>
    </row>
    <row r="606" spans="1:9" hidden="1">
      <c r="A606" s="1" t="s">
        <v>2796</v>
      </c>
      <c r="B606" s="1" t="s">
        <v>24</v>
      </c>
      <c r="C606" s="1" t="s">
        <v>2797</v>
      </c>
      <c r="D606" s="1" t="s">
        <v>2798</v>
      </c>
      <c r="E606" s="1" t="s">
        <v>38</v>
      </c>
      <c r="F606" s="1" t="s">
        <v>78</v>
      </c>
      <c r="G606" s="1" t="s">
        <v>2799</v>
      </c>
      <c r="H606" s="1" t="s">
        <v>657</v>
      </c>
      <c r="I606" t="b">
        <f>COUNTIF(Estadísticas!I:I,'centraldecomunicacion.es'!H606)&gt;0</f>
        <v>0</v>
      </c>
    </row>
    <row r="607" spans="1:9" hidden="1">
      <c r="A607" s="1" t="s">
        <v>2800</v>
      </c>
      <c r="B607" s="1" t="s">
        <v>24</v>
      </c>
      <c r="C607" s="1" t="s">
        <v>2801</v>
      </c>
      <c r="D607" s="1" t="s">
        <v>2802</v>
      </c>
      <c r="E607" s="1" t="s">
        <v>518</v>
      </c>
      <c r="F607" s="1" t="s">
        <v>2803</v>
      </c>
      <c r="G607" s="1" t="s">
        <v>2804</v>
      </c>
      <c r="H607" s="1" t="s">
        <v>2805</v>
      </c>
      <c r="I607" t="b">
        <f>COUNTIF(Estadísticas!I:I,'centraldecomunicacion.es'!H607)&gt;0</f>
        <v>0</v>
      </c>
    </row>
    <row r="608" spans="1:9" hidden="1">
      <c r="A608" s="1" t="s">
        <v>2806</v>
      </c>
      <c r="B608" s="1" t="s">
        <v>10</v>
      </c>
      <c r="C608" s="1" t="s">
        <v>2807</v>
      </c>
      <c r="D608" s="1" t="s">
        <v>241</v>
      </c>
      <c r="E608" s="1" t="s">
        <v>241</v>
      </c>
      <c r="F608" s="1" t="s">
        <v>78</v>
      </c>
      <c r="G608" s="1" t="s">
        <v>2061</v>
      </c>
      <c r="H608" s="1" t="s">
        <v>657</v>
      </c>
      <c r="I608" t="b">
        <f>COUNTIF(Estadísticas!I:I,'centraldecomunicacion.es'!H608)&gt;0</f>
        <v>0</v>
      </c>
    </row>
    <row r="609" spans="1:9" hidden="1">
      <c r="A609" s="1" t="s">
        <v>2808</v>
      </c>
      <c r="B609" s="1" t="s">
        <v>24</v>
      </c>
      <c r="C609" s="1" t="s">
        <v>2809</v>
      </c>
      <c r="D609" s="1" t="s">
        <v>241</v>
      </c>
      <c r="E609" s="1" t="s">
        <v>241</v>
      </c>
      <c r="F609" s="1" t="s">
        <v>2810</v>
      </c>
      <c r="G609" s="1" t="s">
        <v>2811</v>
      </c>
      <c r="H609" s="1" t="s">
        <v>764</v>
      </c>
      <c r="I609" t="b">
        <f>COUNTIF(Estadísticas!I:I,'centraldecomunicacion.es'!H609)&gt;0</f>
        <v>0</v>
      </c>
    </row>
    <row r="610" spans="1:9" hidden="1">
      <c r="A610" s="1" t="s">
        <v>2812</v>
      </c>
      <c r="B610" s="1" t="s">
        <v>24</v>
      </c>
      <c r="C610" s="1" t="s">
        <v>2813</v>
      </c>
      <c r="D610" s="1" t="s">
        <v>241</v>
      </c>
      <c r="E610" s="1" t="s">
        <v>241</v>
      </c>
      <c r="F610" s="1" t="s">
        <v>2814</v>
      </c>
      <c r="G610" s="1" t="s">
        <v>2815</v>
      </c>
      <c r="H610" s="1" t="s">
        <v>2816</v>
      </c>
      <c r="I610" t="b">
        <f>COUNTIF(Estadísticas!I:I,'centraldecomunicacion.es'!H610)&gt;0</f>
        <v>0</v>
      </c>
    </row>
    <row r="611" spans="1:9" hidden="1">
      <c r="A611" s="1" t="s">
        <v>2817</v>
      </c>
      <c r="B611" s="1" t="s">
        <v>10</v>
      </c>
      <c r="C611" s="1" t="s">
        <v>2818</v>
      </c>
      <c r="D611" s="1" t="s">
        <v>241</v>
      </c>
      <c r="E611" s="1" t="s">
        <v>241</v>
      </c>
      <c r="F611" s="1" t="s">
        <v>2819</v>
      </c>
      <c r="G611" s="1" t="s">
        <v>2820</v>
      </c>
      <c r="H611" s="1" t="s">
        <v>657</v>
      </c>
      <c r="I611" t="b">
        <f>COUNTIF(Estadísticas!I:I,'centraldecomunicacion.es'!H611)&gt;0</f>
        <v>0</v>
      </c>
    </row>
    <row r="612" spans="1:9" hidden="1">
      <c r="A612" s="1" t="s">
        <v>2821</v>
      </c>
      <c r="B612" s="1" t="s">
        <v>24</v>
      </c>
      <c r="C612" s="1" t="s">
        <v>2822</v>
      </c>
      <c r="D612" s="1" t="s">
        <v>241</v>
      </c>
      <c r="E612" s="1" t="s">
        <v>241</v>
      </c>
      <c r="F612" s="1" t="s">
        <v>78</v>
      </c>
      <c r="G612" s="1" t="s">
        <v>2823</v>
      </c>
      <c r="H612" s="1" t="s">
        <v>657</v>
      </c>
      <c r="I612" t="b">
        <f>COUNTIF(Estadísticas!I:I,'centraldecomunicacion.es'!H612)&gt;0</f>
        <v>0</v>
      </c>
    </row>
    <row r="613" spans="1:9" hidden="1">
      <c r="A613" s="1" t="s">
        <v>2824</v>
      </c>
      <c r="B613" s="1" t="s">
        <v>10</v>
      </c>
      <c r="C613" s="1" t="s">
        <v>2825</v>
      </c>
      <c r="D613" s="1" t="s">
        <v>241</v>
      </c>
      <c r="E613" s="1" t="s">
        <v>241</v>
      </c>
      <c r="F613" s="1" t="s">
        <v>2814</v>
      </c>
      <c r="G613" s="1" t="s">
        <v>2826</v>
      </c>
      <c r="H613" s="1" t="s">
        <v>2816</v>
      </c>
      <c r="I613" t="b">
        <f>COUNTIF(Estadísticas!I:I,'centraldecomunicacion.es'!H613)&gt;0</f>
        <v>0</v>
      </c>
    </row>
    <row r="614" spans="1:9" hidden="1">
      <c r="A614" s="1" t="s">
        <v>2827</v>
      </c>
      <c r="B614" s="1" t="s">
        <v>24</v>
      </c>
      <c r="C614" s="1" t="s">
        <v>78</v>
      </c>
      <c r="D614" s="1" t="s">
        <v>2828</v>
      </c>
      <c r="E614" s="1" t="s">
        <v>78</v>
      </c>
      <c r="F614" s="1" t="s">
        <v>2829</v>
      </c>
      <c r="G614" s="1" t="s">
        <v>2830</v>
      </c>
      <c r="H614" s="1" t="s">
        <v>657</v>
      </c>
      <c r="I614" t="b">
        <f>COUNTIF(Estadísticas!I:I,'centraldecomunicacion.es'!H614)&gt;0</f>
        <v>0</v>
      </c>
    </row>
    <row r="615" spans="1:9" hidden="1">
      <c r="A615" s="1" t="s">
        <v>2831</v>
      </c>
      <c r="B615" s="1" t="s">
        <v>10</v>
      </c>
      <c r="C615" s="1" t="s">
        <v>2832</v>
      </c>
      <c r="D615" s="1" t="s">
        <v>2060</v>
      </c>
      <c r="E615" s="1" t="s">
        <v>241</v>
      </c>
      <c r="F615" s="1" t="s">
        <v>2833</v>
      </c>
      <c r="G615" s="1" t="s">
        <v>2061</v>
      </c>
      <c r="H615" s="1" t="s">
        <v>2834</v>
      </c>
      <c r="I615" t="b">
        <f>COUNTIF(Estadísticas!I:I,'centraldecomunicacion.es'!H615)&gt;0</f>
        <v>0</v>
      </c>
    </row>
    <row r="616" spans="1:9" hidden="1">
      <c r="A616" s="1" t="s">
        <v>2835</v>
      </c>
      <c r="B616" s="1" t="s">
        <v>10</v>
      </c>
      <c r="C616" s="1" t="s">
        <v>2836</v>
      </c>
      <c r="D616" s="1" t="s">
        <v>241</v>
      </c>
      <c r="E616" s="1" t="s">
        <v>241</v>
      </c>
      <c r="F616" s="1" t="s">
        <v>2837</v>
      </c>
      <c r="G616" s="1" t="s">
        <v>2838</v>
      </c>
      <c r="H616" s="1" t="s">
        <v>657</v>
      </c>
      <c r="I616" t="b">
        <f>COUNTIF(Estadísticas!I:I,'centraldecomunicacion.es'!H616)&gt;0</f>
        <v>0</v>
      </c>
    </row>
    <row r="617" spans="1:9" hidden="1">
      <c r="A617" s="1" t="s">
        <v>2839</v>
      </c>
      <c r="B617" s="1" t="s">
        <v>24</v>
      </c>
      <c r="C617" s="1" t="s">
        <v>2840</v>
      </c>
      <c r="D617" s="1" t="s">
        <v>2060</v>
      </c>
      <c r="E617" s="1" t="s">
        <v>241</v>
      </c>
      <c r="F617" s="1" t="s">
        <v>2841</v>
      </c>
      <c r="G617" s="1" t="s">
        <v>2842</v>
      </c>
      <c r="H617" s="1" t="s">
        <v>2843</v>
      </c>
      <c r="I617" t="b">
        <f>COUNTIF(Estadísticas!I:I,'centraldecomunicacion.es'!H617)&gt;0</f>
        <v>0</v>
      </c>
    </row>
    <row r="618" spans="1:9">
      <c r="A618" s="1" t="s">
        <v>238</v>
      </c>
      <c r="B618" s="1" t="s">
        <v>10</v>
      </c>
      <c r="C618" s="1" t="s">
        <v>239</v>
      </c>
      <c r="D618" s="1" t="s">
        <v>240</v>
      </c>
      <c r="E618" s="1" t="s">
        <v>241</v>
      </c>
      <c r="F618" s="1" t="s">
        <v>242</v>
      </c>
      <c r="G618" s="1" t="s">
        <v>243</v>
      </c>
      <c r="H618" s="1" t="s">
        <v>244</v>
      </c>
      <c r="I618" t="b">
        <f>COUNTIF(Estadísticas!I:I,'centraldecomunicacion.es'!H618)&gt;0</f>
        <v>1</v>
      </c>
    </row>
    <row r="619" spans="1:9" hidden="1">
      <c r="A619" s="1" t="s">
        <v>2844</v>
      </c>
      <c r="B619" s="1" t="s">
        <v>24</v>
      </c>
      <c r="C619" s="1" t="s">
        <v>2845</v>
      </c>
      <c r="D619" s="1" t="s">
        <v>2846</v>
      </c>
      <c r="E619" s="1" t="s">
        <v>241</v>
      </c>
      <c r="F619" s="1" t="s">
        <v>2847</v>
      </c>
      <c r="G619" s="1" t="s">
        <v>2848</v>
      </c>
      <c r="H619" s="1" t="s">
        <v>657</v>
      </c>
      <c r="I619" t="b">
        <f>COUNTIF(Estadísticas!I:I,'centraldecomunicacion.es'!H619)&gt;0</f>
        <v>0</v>
      </c>
    </row>
    <row r="620" spans="1:9" hidden="1">
      <c r="A620" s="1" t="s">
        <v>2849</v>
      </c>
      <c r="B620" s="1" t="s">
        <v>24</v>
      </c>
      <c r="C620" s="1" t="s">
        <v>2850</v>
      </c>
      <c r="D620" s="1" t="s">
        <v>2060</v>
      </c>
      <c r="E620" s="1" t="s">
        <v>241</v>
      </c>
      <c r="F620" s="1" t="s">
        <v>2851</v>
      </c>
      <c r="G620" s="1" t="s">
        <v>2852</v>
      </c>
      <c r="H620" s="1" t="s">
        <v>657</v>
      </c>
      <c r="I620" t="b">
        <f>COUNTIF(Estadísticas!I:I,'centraldecomunicacion.es'!H620)&gt;0</f>
        <v>0</v>
      </c>
    </row>
    <row r="621" spans="1:9" hidden="1">
      <c r="A621" s="1" t="s">
        <v>2853</v>
      </c>
      <c r="B621" s="1" t="s">
        <v>24</v>
      </c>
      <c r="C621" s="1" t="s">
        <v>2854</v>
      </c>
      <c r="D621" s="1" t="s">
        <v>2855</v>
      </c>
      <c r="E621" s="1" t="s">
        <v>241</v>
      </c>
      <c r="F621" s="1" t="s">
        <v>1778</v>
      </c>
      <c r="G621" s="1" t="s">
        <v>2856</v>
      </c>
      <c r="H621" s="1" t="s">
        <v>657</v>
      </c>
      <c r="I621" t="b">
        <f>COUNTIF(Estadísticas!I:I,'centraldecomunicacion.es'!H621)&gt;0</f>
        <v>0</v>
      </c>
    </row>
    <row r="622" spans="1:9" hidden="1">
      <c r="A622" s="1" t="s">
        <v>2857</v>
      </c>
      <c r="B622" s="1" t="s">
        <v>24</v>
      </c>
      <c r="C622" s="1" t="s">
        <v>2858</v>
      </c>
      <c r="D622" s="1" t="s">
        <v>2060</v>
      </c>
      <c r="E622" s="1" t="s">
        <v>241</v>
      </c>
      <c r="F622" s="1" t="s">
        <v>2859</v>
      </c>
      <c r="G622" s="1" t="s">
        <v>2860</v>
      </c>
      <c r="H622" s="1" t="s">
        <v>657</v>
      </c>
      <c r="I622" t="b">
        <f>COUNTIF(Estadísticas!I:I,'centraldecomunicacion.es'!H622)&gt;0</f>
        <v>0</v>
      </c>
    </row>
    <row r="623" spans="1:9" hidden="1">
      <c r="A623" s="1" t="s">
        <v>2861</v>
      </c>
      <c r="B623" s="1" t="s">
        <v>24</v>
      </c>
      <c r="C623" s="1" t="s">
        <v>2862</v>
      </c>
      <c r="D623" s="1" t="s">
        <v>241</v>
      </c>
      <c r="E623" s="1" t="s">
        <v>241</v>
      </c>
      <c r="F623" s="1" t="s">
        <v>78</v>
      </c>
      <c r="G623" s="1" t="s">
        <v>2863</v>
      </c>
      <c r="H623" s="1" t="s">
        <v>657</v>
      </c>
      <c r="I623" t="b">
        <f>COUNTIF(Estadísticas!I:I,'centraldecomunicacion.es'!H623)&gt;0</f>
        <v>0</v>
      </c>
    </row>
    <row r="624" spans="1:9" hidden="1">
      <c r="A624" s="1" t="s">
        <v>2864</v>
      </c>
      <c r="B624" s="1" t="s">
        <v>10</v>
      </c>
      <c r="C624" s="1" t="s">
        <v>2865</v>
      </c>
      <c r="D624" s="1" t="s">
        <v>2866</v>
      </c>
      <c r="E624" s="1" t="s">
        <v>241</v>
      </c>
      <c r="F624" s="1" t="s">
        <v>78</v>
      </c>
      <c r="G624" s="1" t="s">
        <v>2867</v>
      </c>
      <c r="H624" s="1" t="s">
        <v>657</v>
      </c>
      <c r="I624" t="b">
        <f>COUNTIF(Estadísticas!I:I,'centraldecomunicacion.es'!H624)&gt;0</f>
        <v>0</v>
      </c>
    </row>
    <row r="625" spans="1:9" hidden="1">
      <c r="A625" s="1" t="s">
        <v>2868</v>
      </c>
      <c r="B625" s="1" t="s">
        <v>24</v>
      </c>
      <c r="C625" s="1" t="s">
        <v>2869</v>
      </c>
      <c r="D625" s="1" t="s">
        <v>2870</v>
      </c>
      <c r="E625" s="1" t="s">
        <v>241</v>
      </c>
      <c r="F625" s="1" t="s">
        <v>78</v>
      </c>
      <c r="G625" s="1" t="s">
        <v>2871</v>
      </c>
      <c r="H625" s="1" t="s">
        <v>657</v>
      </c>
      <c r="I625" t="b">
        <f>COUNTIF(Estadísticas!I:I,'centraldecomunicacion.es'!H625)&gt;0</f>
        <v>0</v>
      </c>
    </row>
    <row r="626" spans="1:9" hidden="1">
      <c r="A626" s="1" t="s">
        <v>2872</v>
      </c>
      <c r="B626" s="1" t="s">
        <v>24</v>
      </c>
      <c r="C626" s="1" t="s">
        <v>2873</v>
      </c>
      <c r="D626" s="1" t="s">
        <v>2874</v>
      </c>
      <c r="E626" s="1" t="s">
        <v>241</v>
      </c>
      <c r="F626" s="1" t="s">
        <v>2875</v>
      </c>
      <c r="G626" s="1" t="s">
        <v>2876</v>
      </c>
      <c r="H626" s="1" t="s">
        <v>2877</v>
      </c>
      <c r="I626" t="b">
        <f>COUNTIF(Estadísticas!I:I,'centraldecomunicacion.es'!H626)&gt;0</f>
        <v>0</v>
      </c>
    </row>
    <row r="627" spans="1:9" hidden="1">
      <c r="A627" s="1" t="s">
        <v>2878</v>
      </c>
      <c r="B627" s="1" t="s">
        <v>10</v>
      </c>
      <c r="C627" s="1" t="s">
        <v>2879</v>
      </c>
      <c r="D627" s="1" t="s">
        <v>2880</v>
      </c>
      <c r="E627" s="1" t="s">
        <v>241</v>
      </c>
      <c r="F627" s="1" t="s">
        <v>1684</v>
      </c>
      <c r="G627" s="1" t="s">
        <v>1685</v>
      </c>
      <c r="H627" s="1" t="s">
        <v>657</v>
      </c>
      <c r="I627" t="b">
        <f>COUNTIF(Estadísticas!I:I,'centraldecomunicacion.es'!H627)&gt;0</f>
        <v>0</v>
      </c>
    </row>
    <row r="628" spans="1:9" hidden="1">
      <c r="A628" s="1" t="s">
        <v>2881</v>
      </c>
      <c r="B628" s="1" t="s">
        <v>10</v>
      </c>
      <c r="C628" s="1" t="s">
        <v>2882</v>
      </c>
      <c r="D628" s="1" t="s">
        <v>2883</v>
      </c>
      <c r="E628" s="1" t="s">
        <v>396</v>
      </c>
      <c r="F628" s="1" t="s">
        <v>2884</v>
      </c>
      <c r="G628" s="1" t="s">
        <v>2885</v>
      </c>
      <c r="H628" s="1" t="s">
        <v>657</v>
      </c>
      <c r="I628" t="b">
        <f>COUNTIF(Estadísticas!I:I,'centraldecomunicacion.es'!H628)&gt;0</f>
        <v>0</v>
      </c>
    </row>
    <row r="629" spans="1:9" hidden="1">
      <c r="A629" s="1" t="s">
        <v>2886</v>
      </c>
      <c r="B629" s="1" t="s">
        <v>24</v>
      </c>
      <c r="C629" s="1" t="s">
        <v>2887</v>
      </c>
      <c r="D629" s="1" t="s">
        <v>2874</v>
      </c>
      <c r="E629" s="1" t="s">
        <v>241</v>
      </c>
      <c r="F629" s="1" t="s">
        <v>2888</v>
      </c>
      <c r="G629" s="1" t="s">
        <v>2889</v>
      </c>
      <c r="H629" s="1" t="s">
        <v>657</v>
      </c>
      <c r="I629" t="b">
        <f>COUNTIF(Estadísticas!I:I,'centraldecomunicacion.es'!H629)&gt;0</f>
        <v>0</v>
      </c>
    </row>
    <row r="630" spans="1:9" hidden="1">
      <c r="A630" s="1" t="s">
        <v>2890</v>
      </c>
      <c r="B630" s="1" t="s">
        <v>24</v>
      </c>
      <c r="C630" s="1" t="s">
        <v>2891</v>
      </c>
      <c r="D630" s="1" t="s">
        <v>2892</v>
      </c>
      <c r="E630" s="1" t="s">
        <v>38</v>
      </c>
      <c r="F630" s="1" t="s">
        <v>2893</v>
      </c>
      <c r="G630" s="1" t="s">
        <v>2894</v>
      </c>
      <c r="H630" s="1" t="s">
        <v>657</v>
      </c>
      <c r="I630" t="b">
        <f>COUNTIF(Estadísticas!I:I,'centraldecomunicacion.es'!H630)&gt;0</f>
        <v>0</v>
      </c>
    </row>
    <row r="631" spans="1:9" hidden="1">
      <c r="A631" s="1" t="s">
        <v>2895</v>
      </c>
      <c r="B631" s="1" t="s">
        <v>24</v>
      </c>
      <c r="C631" s="1" t="s">
        <v>2896</v>
      </c>
      <c r="D631" s="1" t="s">
        <v>2897</v>
      </c>
      <c r="E631" s="1" t="s">
        <v>241</v>
      </c>
      <c r="F631" s="1" t="s">
        <v>78</v>
      </c>
      <c r="G631" s="1" t="s">
        <v>2898</v>
      </c>
      <c r="H631" s="1" t="s">
        <v>657</v>
      </c>
      <c r="I631" t="b">
        <f>COUNTIF(Estadísticas!I:I,'centraldecomunicacion.es'!H631)&gt;0</f>
        <v>0</v>
      </c>
    </row>
    <row r="632" spans="1:9" hidden="1">
      <c r="A632" s="1" t="s">
        <v>2899</v>
      </c>
      <c r="B632" s="1" t="s">
        <v>10</v>
      </c>
      <c r="C632" s="1" t="s">
        <v>78</v>
      </c>
      <c r="D632" s="1" t="s">
        <v>2828</v>
      </c>
      <c r="E632" s="1" t="s">
        <v>78</v>
      </c>
      <c r="F632" s="1" t="s">
        <v>78</v>
      </c>
      <c r="G632" s="1" t="s">
        <v>2867</v>
      </c>
      <c r="H632" s="1" t="s">
        <v>657</v>
      </c>
      <c r="I632" t="b">
        <f>COUNTIF(Estadísticas!I:I,'centraldecomunicacion.es'!H632)&gt;0</f>
        <v>0</v>
      </c>
    </row>
    <row r="633" spans="1:9" hidden="1">
      <c r="A633" s="1" t="s">
        <v>2900</v>
      </c>
      <c r="B633" s="1" t="s">
        <v>10</v>
      </c>
      <c r="C633" s="1" t="s">
        <v>78</v>
      </c>
      <c r="D633" s="1" t="s">
        <v>2828</v>
      </c>
      <c r="E633" s="1" t="s">
        <v>78</v>
      </c>
      <c r="F633" s="1" t="s">
        <v>2847</v>
      </c>
      <c r="G633" s="1" t="s">
        <v>2848</v>
      </c>
      <c r="H633" s="1" t="s">
        <v>657</v>
      </c>
      <c r="I633" t="b">
        <f>COUNTIF(Estadísticas!I:I,'centraldecomunicacion.es'!H633)&gt;0</f>
        <v>0</v>
      </c>
    </row>
    <row r="634" spans="1:9" hidden="1">
      <c r="A634" s="1" t="s">
        <v>2901</v>
      </c>
      <c r="B634" s="1" t="s">
        <v>24</v>
      </c>
      <c r="C634" s="1" t="s">
        <v>2902</v>
      </c>
      <c r="D634" s="1" t="s">
        <v>470</v>
      </c>
      <c r="E634" s="1" t="s">
        <v>470</v>
      </c>
      <c r="F634" s="1" t="s">
        <v>2903</v>
      </c>
      <c r="G634" s="1" t="s">
        <v>2904</v>
      </c>
      <c r="H634" s="1" t="s">
        <v>657</v>
      </c>
      <c r="I634" t="b">
        <f>COUNTIF(Estadísticas!I:I,'centraldecomunicacion.es'!H634)&gt;0</f>
        <v>0</v>
      </c>
    </row>
    <row r="635" spans="1:9" hidden="1">
      <c r="A635" s="1" t="s">
        <v>2905</v>
      </c>
      <c r="B635" s="1" t="s">
        <v>24</v>
      </c>
      <c r="C635" s="1" t="s">
        <v>2906</v>
      </c>
      <c r="D635" s="1" t="s">
        <v>38</v>
      </c>
      <c r="E635" s="1" t="s">
        <v>38</v>
      </c>
      <c r="F635" s="1" t="s">
        <v>2907</v>
      </c>
      <c r="G635" s="1" t="s">
        <v>2908</v>
      </c>
      <c r="H635" s="1" t="s">
        <v>2909</v>
      </c>
      <c r="I635" t="b">
        <f>COUNTIF(Estadísticas!I:I,'centraldecomunicacion.es'!H635)&gt;0</f>
        <v>0</v>
      </c>
    </row>
    <row r="636" spans="1:9" hidden="1">
      <c r="A636" s="1" t="s">
        <v>2910</v>
      </c>
      <c r="B636" s="1" t="s">
        <v>10</v>
      </c>
      <c r="C636" s="1" t="s">
        <v>2911</v>
      </c>
      <c r="D636" s="1" t="s">
        <v>2912</v>
      </c>
      <c r="E636" s="1" t="s">
        <v>2913</v>
      </c>
      <c r="F636" s="1" t="s">
        <v>2914</v>
      </c>
      <c r="G636" s="1" t="s">
        <v>2915</v>
      </c>
      <c r="H636" s="1" t="s">
        <v>657</v>
      </c>
      <c r="I636" t="b">
        <f>COUNTIF(Estadísticas!I:I,'centraldecomunicacion.es'!H636)&gt;0</f>
        <v>0</v>
      </c>
    </row>
    <row r="637" spans="1:9" hidden="1">
      <c r="A637" s="1" t="s">
        <v>2916</v>
      </c>
      <c r="B637" s="1" t="s">
        <v>24</v>
      </c>
      <c r="C637" s="1" t="s">
        <v>2917</v>
      </c>
      <c r="D637" s="1" t="s">
        <v>2913</v>
      </c>
      <c r="E637" s="1" t="s">
        <v>2913</v>
      </c>
      <c r="F637" s="1" t="s">
        <v>78</v>
      </c>
      <c r="G637" s="1" t="s">
        <v>2918</v>
      </c>
      <c r="H637" s="1" t="s">
        <v>657</v>
      </c>
      <c r="I637" t="b">
        <f>COUNTIF(Estadísticas!I:I,'centraldecomunicacion.es'!H637)&gt;0</f>
        <v>0</v>
      </c>
    </row>
    <row r="638" spans="1:9">
      <c r="A638" s="1" t="s">
        <v>245</v>
      </c>
      <c r="B638" s="1" t="s">
        <v>10</v>
      </c>
      <c r="C638" s="1" t="s">
        <v>78</v>
      </c>
      <c r="D638" s="1" t="s">
        <v>246</v>
      </c>
      <c r="E638" s="1" t="s">
        <v>78</v>
      </c>
      <c r="F638" s="1" t="s">
        <v>247</v>
      </c>
      <c r="G638" s="1" t="s">
        <v>248</v>
      </c>
      <c r="H638" s="1" t="s">
        <v>249</v>
      </c>
      <c r="I638" t="b">
        <f>COUNTIF(Estadísticas!I:I,'centraldecomunicacion.es'!H638)&gt;0</f>
        <v>1</v>
      </c>
    </row>
    <row r="639" spans="1:9" hidden="1">
      <c r="A639" s="1" t="s">
        <v>2919</v>
      </c>
      <c r="B639" s="1" t="s">
        <v>24</v>
      </c>
      <c r="C639" s="1" t="s">
        <v>2920</v>
      </c>
      <c r="D639" s="1" t="s">
        <v>2913</v>
      </c>
      <c r="E639" s="1" t="s">
        <v>2913</v>
      </c>
      <c r="F639" s="1" t="s">
        <v>2921</v>
      </c>
      <c r="G639" s="1" t="s">
        <v>2922</v>
      </c>
      <c r="H639" s="1" t="s">
        <v>2923</v>
      </c>
      <c r="I639" t="b">
        <f>COUNTIF(Estadísticas!I:I,'centraldecomunicacion.es'!H639)&gt;0</f>
        <v>0</v>
      </c>
    </row>
    <row r="640" spans="1:9" hidden="1">
      <c r="A640" s="1" t="s">
        <v>2924</v>
      </c>
      <c r="B640" s="1" t="s">
        <v>24</v>
      </c>
      <c r="C640" s="1" t="s">
        <v>2925</v>
      </c>
      <c r="D640" s="1" t="s">
        <v>2913</v>
      </c>
      <c r="E640" s="1" t="s">
        <v>2913</v>
      </c>
      <c r="F640" s="1" t="s">
        <v>2926</v>
      </c>
      <c r="G640" s="1" t="s">
        <v>2927</v>
      </c>
      <c r="H640" s="1" t="s">
        <v>2928</v>
      </c>
      <c r="I640" t="b">
        <f>COUNTIF(Estadísticas!I:I,'centraldecomunicacion.es'!H640)&gt;0</f>
        <v>0</v>
      </c>
    </row>
    <row r="641" spans="1:9" hidden="1">
      <c r="A641" s="1" t="s">
        <v>2929</v>
      </c>
      <c r="B641" s="1" t="s">
        <v>10</v>
      </c>
      <c r="C641" s="1" t="s">
        <v>78</v>
      </c>
      <c r="D641" s="1" t="s">
        <v>246</v>
      </c>
      <c r="E641" s="1" t="s">
        <v>78</v>
      </c>
      <c r="F641" s="1" t="s">
        <v>78</v>
      </c>
      <c r="G641" s="1" t="s">
        <v>2918</v>
      </c>
      <c r="H641" s="1" t="s">
        <v>657</v>
      </c>
      <c r="I641" t="b">
        <f>COUNTIF(Estadísticas!I:I,'centraldecomunicacion.es'!H641)&gt;0</f>
        <v>0</v>
      </c>
    </row>
    <row r="642" spans="1:9" hidden="1">
      <c r="A642" s="1" t="s">
        <v>2930</v>
      </c>
      <c r="B642" s="1" t="s">
        <v>24</v>
      </c>
      <c r="C642" s="1" t="s">
        <v>2931</v>
      </c>
      <c r="D642" s="1" t="s">
        <v>2932</v>
      </c>
      <c r="E642" s="1" t="s">
        <v>2913</v>
      </c>
      <c r="F642" s="1" t="s">
        <v>78</v>
      </c>
      <c r="G642" s="1" t="s">
        <v>2933</v>
      </c>
      <c r="H642" s="1" t="s">
        <v>657</v>
      </c>
      <c r="I642" t="b">
        <f>COUNTIF(Estadísticas!I:I,'centraldecomunicacion.es'!H642)&gt;0</f>
        <v>0</v>
      </c>
    </row>
    <row r="643" spans="1:9" hidden="1">
      <c r="A643" s="1" t="s">
        <v>2934</v>
      </c>
      <c r="B643" s="1" t="s">
        <v>24</v>
      </c>
      <c r="C643" s="1" t="s">
        <v>2935</v>
      </c>
      <c r="D643" s="1" t="s">
        <v>38</v>
      </c>
      <c r="E643" s="1" t="s">
        <v>38</v>
      </c>
      <c r="F643" s="1" t="s">
        <v>2936</v>
      </c>
      <c r="G643" s="1" t="s">
        <v>2937</v>
      </c>
      <c r="H643" s="1" t="s">
        <v>2938</v>
      </c>
      <c r="I643" t="b">
        <f>COUNTIF(Estadísticas!I:I,'centraldecomunicacion.es'!H643)&gt;0</f>
        <v>0</v>
      </c>
    </row>
    <row r="644" spans="1:9" hidden="1">
      <c r="A644" s="1" t="s">
        <v>2939</v>
      </c>
      <c r="B644" s="1" t="s">
        <v>10</v>
      </c>
      <c r="C644" s="1" t="s">
        <v>2940</v>
      </c>
      <c r="D644" s="1" t="s">
        <v>38</v>
      </c>
      <c r="E644" s="1" t="s">
        <v>38</v>
      </c>
      <c r="F644" s="1" t="s">
        <v>2941</v>
      </c>
      <c r="G644" s="1" t="s">
        <v>2942</v>
      </c>
      <c r="H644" s="1" t="s">
        <v>2724</v>
      </c>
      <c r="I644" t="b">
        <f>COUNTIF(Estadísticas!I:I,'centraldecomunicacion.es'!H644)&gt;0</f>
        <v>0</v>
      </c>
    </row>
    <row r="645" spans="1:9" hidden="1">
      <c r="A645" s="1" t="s">
        <v>2943</v>
      </c>
      <c r="B645" s="1" t="s">
        <v>10</v>
      </c>
      <c r="C645" s="1" t="s">
        <v>2944</v>
      </c>
      <c r="D645" s="1" t="s">
        <v>38</v>
      </c>
      <c r="E645" s="1" t="s">
        <v>38</v>
      </c>
      <c r="F645" s="1" t="s">
        <v>2945</v>
      </c>
      <c r="G645" s="1" t="s">
        <v>2946</v>
      </c>
      <c r="H645" s="1" t="s">
        <v>2947</v>
      </c>
      <c r="I645" t="b">
        <f>COUNTIF(Estadísticas!I:I,'centraldecomunicacion.es'!H645)&gt;0</f>
        <v>0</v>
      </c>
    </row>
    <row r="646" spans="1:9" hidden="1">
      <c r="A646" s="1" t="s">
        <v>2948</v>
      </c>
      <c r="B646" s="1" t="s">
        <v>24</v>
      </c>
      <c r="C646" s="1" t="s">
        <v>78</v>
      </c>
      <c r="D646" s="1" t="s">
        <v>246</v>
      </c>
      <c r="E646" s="1" t="s">
        <v>78</v>
      </c>
      <c r="F646" s="1" t="s">
        <v>78</v>
      </c>
      <c r="G646" s="1" t="s">
        <v>2949</v>
      </c>
      <c r="H646" s="1" t="s">
        <v>657</v>
      </c>
      <c r="I646" t="b">
        <f>COUNTIF(Estadísticas!I:I,'centraldecomunicacion.es'!H646)&gt;0</f>
        <v>0</v>
      </c>
    </row>
    <row r="647" spans="1:9" hidden="1">
      <c r="A647" s="1" t="s">
        <v>2950</v>
      </c>
      <c r="B647" s="1" t="s">
        <v>24</v>
      </c>
      <c r="C647" s="1" t="s">
        <v>2951</v>
      </c>
      <c r="D647" s="1" t="s">
        <v>2952</v>
      </c>
      <c r="E647" s="1" t="s">
        <v>38</v>
      </c>
      <c r="F647" s="1" t="s">
        <v>78</v>
      </c>
      <c r="G647" s="1" t="s">
        <v>2953</v>
      </c>
      <c r="H647" s="1" t="s">
        <v>657</v>
      </c>
      <c r="I647" t="b">
        <f>COUNTIF(Estadísticas!I:I,'centraldecomunicacion.es'!H647)&gt;0</f>
        <v>0</v>
      </c>
    </row>
    <row r="648" spans="1:9" hidden="1">
      <c r="A648" s="1" t="s">
        <v>2954</v>
      </c>
      <c r="B648" s="1" t="s">
        <v>24</v>
      </c>
      <c r="C648" s="1" t="s">
        <v>2955</v>
      </c>
      <c r="D648" s="1" t="s">
        <v>602</v>
      </c>
      <c r="E648" s="1" t="s">
        <v>38</v>
      </c>
      <c r="F648" s="1" t="s">
        <v>2956</v>
      </c>
      <c r="G648" s="1" t="s">
        <v>2957</v>
      </c>
      <c r="H648" s="1" t="s">
        <v>2958</v>
      </c>
      <c r="I648" t="b">
        <f>COUNTIF(Estadísticas!I:I,'centraldecomunicacion.es'!H648)&gt;0</f>
        <v>0</v>
      </c>
    </row>
    <row r="649" spans="1:9" hidden="1">
      <c r="A649" s="1" t="s">
        <v>2959</v>
      </c>
      <c r="B649" s="1" t="s">
        <v>24</v>
      </c>
      <c r="C649" s="1" t="s">
        <v>2960</v>
      </c>
      <c r="D649" s="1" t="s">
        <v>2961</v>
      </c>
      <c r="E649" s="1" t="s">
        <v>396</v>
      </c>
      <c r="F649" s="1" t="s">
        <v>2962</v>
      </c>
      <c r="G649" s="1" t="s">
        <v>2963</v>
      </c>
      <c r="H649" s="1" t="s">
        <v>2964</v>
      </c>
      <c r="I649" t="b">
        <f>COUNTIF(Estadísticas!I:I,'centraldecomunicacion.es'!H649)&gt;0</f>
        <v>0</v>
      </c>
    </row>
    <row r="650" spans="1:9" hidden="1">
      <c r="A650" s="1" t="s">
        <v>600</v>
      </c>
      <c r="B650" s="1" t="s">
        <v>10</v>
      </c>
      <c r="C650" s="1" t="s">
        <v>2965</v>
      </c>
      <c r="D650" s="1" t="s">
        <v>573</v>
      </c>
      <c r="E650" s="1" t="s">
        <v>38</v>
      </c>
      <c r="F650" s="1" t="s">
        <v>1067</v>
      </c>
      <c r="G650" s="1" t="s">
        <v>78</v>
      </c>
      <c r="H650" s="1" t="s">
        <v>1069</v>
      </c>
      <c r="I650" t="b">
        <f>COUNTIF(Estadísticas!I:I,'centraldecomunicacion.es'!H650)&gt;0</f>
        <v>0</v>
      </c>
    </row>
    <row r="651" spans="1:9" hidden="1">
      <c r="A651" s="1" t="s">
        <v>2966</v>
      </c>
      <c r="B651" s="1" t="s">
        <v>24</v>
      </c>
      <c r="C651" s="1" t="s">
        <v>2967</v>
      </c>
      <c r="D651" s="1" t="s">
        <v>252</v>
      </c>
      <c r="E651" s="1" t="s">
        <v>252</v>
      </c>
      <c r="F651" s="1" t="s">
        <v>2968</v>
      </c>
      <c r="G651" s="1" t="s">
        <v>2969</v>
      </c>
      <c r="H651" s="1" t="s">
        <v>2970</v>
      </c>
      <c r="I651" t="b">
        <f>COUNTIF(Estadísticas!I:I,'centraldecomunicacion.es'!H651)&gt;0</f>
        <v>0</v>
      </c>
    </row>
    <row r="652" spans="1:9" hidden="1">
      <c r="A652" s="1" t="s">
        <v>2971</v>
      </c>
      <c r="B652" s="1" t="s">
        <v>24</v>
      </c>
      <c r="C652" s="1" t="s">
        <v>2972</v>
      </c>
      <c r="D652" s="1" t="s">
        <v>252</v>
      </c>
      <c r="E652" s="1" t="s">
        <v>252</v>
      </c>
      <c r="F652" s="1" t="s">
        <v>2973</v>
      </c>
      <c r="G652" s="1" t="s">
        <v>2974</v>
      </c>
      <c r="H652" s="1" t="s">
        <v>2975</v>
      </c>
      <c r="I652" t="b">
        <f>COUNTIF(Estadísticas!I:I,'centraldecomunicacion.es'!H652)&gt;0</f>
        <v>0</v>
      </c>
    </row>
    <row r="653" spans="1:9" hidden="1">
      <c r="A653" s="1" t="s">
        <v>2976</v>
      </c>
      <c r="B653" s="1" t="s">
        <v>24</v>
      </c>
      <c r="C653" s="1" t="s">
        <v>78</v>
      </c>
      <c r="D653" s="1" t="s">
        <v>2977</v>
      </c>
      <c r="E653" s="1" t="s">
        <v>78</v>
      </c>
      <c r="F653" s="1" t="s">
        <v>2978</v>
      </c>
      <c r="G653" s="1" t="s">
        <v>2979</v>
      </c>
      <c r="H653" s="1" t="s">
        <v>2980</v>
      </c>
      <c r="I653" t="b">
        <f>COUNTIF(Estadísticas!I:I,'centraldecomunicacion.es'!H653)&gt;0</f>
        <v>0</v>
      </c>
    </row>
    <row r="654" spans="1:9" hidden="1">
      <c r="A654" s="1" t="s">
        <v>2981</v>
      </c>
      <c r="B654" s="1" t="s">
        <v>24</v>
      </c>
      <c r="C654" s="1" t="s">
        <v>2982</v>
      </c>
      <c r="D654" s="1" t="s">
        <v>252</v>
      </c>
      <c r="E654" s="1" t="s">
        <v>252</v>
      </c>
      <c r="F654" s="1" t="s">
        <v>78</v>
      </c>
      <c r="G654" s="1" t="s">
        <v>2983</v>
      </c>
      <c r="H654" s="1" t="s">
        <v>657</v>
      </c>
      <c r="I654" t="b">
        <f>COUNTIF(Estadísticas!I:I,'centraldecomunicacion.es'!H654)&gt;0</f>
        <v>0</v>
      </c>
    </row>
    <row r="655" spans="1:9" hidden="1">
      <c r="A655" s="1" t="s">
        <v>2984</v>
      </c>
      <c r="B655" s="1" t="s">
        <v>24</v>
      </c>
      <c r="C655" s="1" t="s">
        <v>2985</v>
      </c>
      <c r="D655" s="1" t="s">
        <v>252</v>
      </c>
      <c r="E655" s="1" t="s">
        <v>252</v>
      </c>
      <c r="F655" s="1" t="s">
        <v>2986</v>
      </c>
      <c r="G655" s="1" t="s">
        <v>2987</v>
      </c>
      <c r="H655" s="1" t="s">
        <v>764</v>
      </c>
      <c r="I655" t="b">
        <f>COUNTIF(Estadísticas!I:I,'centraldecomunicacion.es'!H655)&gt;0</f>
        <v>0</v>
      </c>
    </row>
    <row r="656" spans="1:9" hidden="1">
      <c r="A656" s="1" t="s">
        <v>2988</v>
      </c>
      <c r="B656" s="1" t="s">
        <v>24</v>
      </c>
      <c r="C656" s="1" t="s">
        <v>2989</v>
      </c>
      <c r="D656" s="1" t="s">
        <v>252</v>
      </c>
      <c r="E656" s="1" t="s">
        <v>252</v>
      </c>
      <c r="F656" s="1" t="s">
        <v>2990</v>
      </c>
      <c r="G656" s="1" t="s">
        <v>2991</v>
      </c>
      <c r="H656" s="1" t="s">
        <v>657</v>
      </c>
      <c r="I656" t="b">
        <f>COUNTIF(Estadísticas!I:I,'centraldecomunicacion.es'!H656)&gt;0</f>
        <v>0</v>
      </c>
    </row>
    <row r="657" spans="1:9">
      <c r="A657" s="1" t="s">
        <v>250</v>
      </c>
      <c r="B657" s="1" t="s">
        <v>24</v>
      </c>
      <c r="C657" s="1" t="s">
        <v>251</v>
      </c>
      <c r="D657" s="1" t="s">
        <v>252</v>
      </c>
      <c r="E657" s="1" t="s">
        <v>252</v>
      </c>
      <c r="F657" s="1" t="s">
        <v>253</v>
      </c>
      <c r="G657" s="1" t="s">
        <v>254</v>
      </c>
      <c r="H657" s="1" t="s">
        <v>255</v>
      </c>
      <c r="I657" t="b">
        <f>COUNTIF(Estadísticas!I:I,'centraldecomunicacion.es'!H657)&gt;0</f>
        <v>1</v>
      </c>
    </row>
    <row r="658" spans="1:9" hidden="1">
      <c r="A658" s="1" t="s">
        <v>2992</v>
      </c>
      <c r="B658" s="1" t="s">
        <v>24</v>
      </c>
      <c r="C658" s="1" t="s">
        <v>2993</v>
      </c>
      <c r="D658" s="1" t="s">
        <v>252</v>
      </c>
      <c r="E658" s="1" t="s">
        <v>252</v>
      </c>
      <c r="F658" s="1" t="s">
        <v>78</v>
      </c>
      <c r="G658" s="1" t="s">
        <v>2994</v>
      </c>
      <c r="H658" s="1" t="s">
        <v>657</v>
      </c>
      <c r="I658" t="b">
        <f>COUNTIF(Estadísticas!I:I,'centraldecomunicacion.es'!H658)&gt;0</f>
        <v>0</v>
      </c>
    </row>
    <row r="659" spans="1:9" hidden="1">
      <c r="A659" s="1" t="s">
        <v>2995</v>
      </c>
      <c r="B659" s="1" t="s">
        <v>10</v>
      </c>
      <c r="C659" s="1" t="s">
        <v>2996</v>
      </c>
      <c r="D659" s="1" t="s">
        <v>252</v>
      </c>
      <c r="E659" s="1" t="s">
        <v>252</v>
      </c>
      <c r="F659" s="1" t="s">
        <v>78</v>
      </c>
      <c r="G659" s="1" t="s">
        <v>2997</v>
      </c>
      <c r="H659" s="1" t="s">
        <v>657</v>
      </c>
      <c r="I659" t="b">
        <f>COUNTIF(Estadísticas!I:I,'centraldecomunicacion.es'!H659)&gt;0</f>
        <v>0</v>
      </c>
    </row>
    <row r="660" spans="1:9" hidden="1">
      <c r="A660" s="1" t="s">
        <v>2998</v>
      </c>
      <c r="B660" s="1" t="s">
        <v>24</v>
      </c>
      <c r="C660" s="1" t="s">
        <v>2999</v>
      </c>
      <c r="D660" s="1" t="s">
        <v>252</v>
      </c>
      <c r="E660" s="1" t="s">
        <v>252</v>
      </c>
      <c r="F660" s="1" t="s">
        <v>78</v>
      </c>
      <c r="G660" s="1" t="s">
        <v>3000</v>
      </c>
      <c r="H660" s="1" t="s">
        <v>657</v>
      </c>
      <c r="I660" t="b">
        <f>COUNTIF(Estadísticas!I:I,'centraldecomunicacion.es'!H660)&gt;0</f>
        <v>0</v>
      </c>
    </row>
    <row r="661" spans="1:9" hidden="1">
      <c r="A661" s="1" t="s">
        <v>2971</v>
      </c>
      <c r="B661" s="1" t="s">
        <v>24</v>
      </c>
      <c r="C661" s="1" t="s">
        <v>3001</v>
      </c>
      <c r="D661" s="1" t="s">
        <v>213</v>
      </c>
      <c r="E661" s="1" t="s">
        <v>214</v>
      </c>
      <c r="F661" s="1" t="s">
        <v>2973</v>
      </c>
      <c r="G661" s="1" t="s">
        <v>3002</v>
      </c>
      <c r="H661" s="1" t="s">
        <v>2975</v>
      </c>
      <c r="I661" t="b">
        <f>COUNTIF(Estadísticas!I:I,'centraldecomunicacion.es'!H661)&gt;0</f>
        <v>0</v>
      </c>
    </row>
    <row r="662" spans="1:9" hidden="1">
      <c r="A662" s="1" t="s">
        <v>3003</v>
      </c>
      <c r="B662" s="1" t="s">
        <v>24</v>
      </c>
      <c r="C662" s="1" t="s">
        <v>3004</v>
      </c>
      <c r="D662" s="1" t="s">
        <v>265</v>
      </c>
      <c r="E662" s="1" t="s">
        <v>265</v>
      </c>
      <c r="F662" s="1" t="s">
        <v>3005</v>
      </c>
      <c r="G662" s="1" t="s">
        <v>3006</v>
      </c>
      <c r="H662" s="1" t="s">
        <v>3007</v>
      </c>
      <c r="I662" t="b">
        <f>COUNTIF(Estadísticas!I:I,'centraldecomunicacion.es'!H662)&gt;0</f>
        <v>0</v>
      </c>
    </row>
    <row r="663" spans="1:9" hidden="1">
      <c r="A663" s="1" t="s">
        <v>3003</v>
      </c>
      <c r="B663" s="1" t="s">
        <v>24</v>
      </c>
      <c r="C663" s="1" t="s">
        <v>3008</v>
      </c>
      <c r="D663" s="1" t="s">
        <v>3009</v>
      </c>
      <c r="E663" s="1" t="s">
        <v>3009</v>
      </c>
      <c r="F663" s="1" t="s">
        <v>3005</v>
      </c>
      <c r="G663" s="1" t="s">
        <v>3010</v>
      </c>
      <c r="H663" s="1" t="s">
        <v>3007</v>
      </c>
      <c r="I663" t="b">
        <f>COUNTIF(Estadísticas!I:I,'centraldecomunicacion.es'!H663)&gt;0</f>
        <v>0</v>
      </c>
    </row>
    <row r="664" spans="1:9" hidden="1">
      <c r="A664" s="1" t="s">
        <v>3011</v>
      </c>
      <c r="B664" s="1" t="s">
        <v>10</v>
      </c>
      <c r="C664" s="1" t="s">
        <v>3012</v>
      </c>
      <c r="D664" s="1" t="s">
        <v>3009</v>
      </c>
      <c r="E664" s="1" t="s">
        <v>3009</v>
      </c>
      <c r="F664" s="1" t="s">
        <v>3013</v>
      </c>
      <c r="G664" s="1" t="s">
        <v>734</v>
      </c>
      <c r="H664" s="1" t="s">
        <v>657</v>
      </c>
      <c r="I664" t="b">
        <f>COUNTIF(Estadísticas!I:I,'centraldecomunicacion.es'!H664)&gt;0</f>
        <v>0</v>
      </c>
    </row>
    <row r="665" spans="1:9" hidden="1">
      <c r="A665" s="1" t="s">
        <v>3014</v>
      </c>
      <c r="B665" s="1" t="s">
        <v>24</v>
      </c>
      <c r="C665" s="1" t="s">
        <v>3015</v>
      </c>
      <c r="D665" s="1" t="s">
        <v>265</v>
      </c>
      <c r="E665" s="1" t="s">
        <v>265</v>
      </c>
      <c r="F665" s="1" t="s">
        <v>78</v>
      </c>
      <c r="G665" s="1" t="s">
        <v>3016</v>
      </c>
      <c r="H665" s="1" t="s">
        <v>657</v>
      </c>
      <c r="I665" t="b">
        <f>COUNTIF(Estadísticas!I:I,'centraldecomunicacion.es'!H665)&gt;0</f>
        <v>0</v>
      </c>
    </row>
    <row r="666" spans="1:9" hidden="1">
      <c r="A666" s="1" t="s">
        <v>2988</v>
      </c>
      <c r="B666" s="1" t="s">
        <v>10</v>
      </c>
      <c r="C666" s="1" t="s">
        <v>3017</v>
      </c>
      <c r="D666" s="1" t="s">
        <v>265</v>
      </c>
      <c r="E666" s="1" t="s">
        <v>265</v>
      </c>
      <c r="F666" s="1" t="s">
        <v>2990</v>
      </c>
      <c r="G666" s="1" t="s">
        <v>3018</v>
      </c>
      <c r="H666" s="1" t="s">
        <v>657</v>
      </c>
      <c r="I666" t="b">
        <f>COUNTIF(Estadísticas!I:I,'centraldecomunicacion.es'!H666)&gt;0</f>
        <v>0</v>
      </c>
    </row>
    <row r="667" spans="1:9" hidden="1">
      <c r="A667" s="1" t="s">
        <v>3019</v>
      </c>
      <c r="B667" s="1" t="s">
        <v>24</v>
      </c>
      <c r="C667" s="1" t="s">
        <v>3020</v>
      </c>
      <c r="D667" s="1" t="s">
        <v>3021</v>
      </c>
      <c r="E667" s="1" t="s">
        <v>499</v>
      </c>
      <c r="F667" s="1" t="s">
        <v>3022</v>
      </c>
      <c r="G667" s="1" t="s">
        <v>3023</v>
      </c>
      <c r="H667" s="1" t="s">
        <v>3024</v>
      </c>
      <c r="I667" t="b">
        <f>COUNTIF(Estadísticas!I:I,'centraldecomunicacion.es'!H667)&gt;0</f>
        <v>0</v>
      </c>
    </row>
    <row r="668" spans="1:9" hidden="1">
      <c r="A668" s="1" t="s">
        <v>3025</v>
      </c>
      <c r="B668" s="1" t="s">
        <v>10</v>
      </c>
      <c r="C668" s="1" t="s">
        <v>3026</v>
      </c>
      <c r="D668" s="1" t="s">
        <v>265</v>
      </c>
      <c r="E668" s="1" t="s">
        <v>265</v>
      </c>
      <c r="F668" s="1" t="s">
        <v>795</v>
      </c>
      <c r="G668" s="1" t="s">
        <v>796</v>
      </c>
      <c r="H668" s="1" t="s">
        <v>797</v>
      </c>
      <c r="I668" t="b">
        <f>COUNTIF(Estadísticas!I:I,'centraldecomunicacion.es'!H668)&gt;0</f>
        <v>0</v>
      </c>
    </row>
    <row r="669" spans="1:9" hidden="1">
      <c r="A669" s="1" t="s">
        <v>3027</v>
      </c>
      <c r="B669" s="1" t="s">
        <v>24</v>
      </c>
      <c r="C669" s="1" t="s">
        <v>3028</v>
      </c>
      <c r="D669" s="1" t="s">
        <v>258</v>
      </c>
      <c r="E669" s="1" t="s">
        <v>258</v>
      </c>
      <c r="F669" s="1" t="s">
        <v>3029</v>
      </c>
      <c r="G669" s="1" t="s">
        <v>3030</v>
      </c>
      <c r="H669" s="1" t="s">
        <v>3031</v>
      </c>
      <c r="I669" t="b">
        <f>COUNTIF(Estadísticas!I:I,'centraldecomunicacion.es'!H669)&gt;0</f>
        <v>0</v>
      </c>
    </row>
    <row r="670" spans="1:9" hidden="1">
      <c r="A670" s="1" t="s">
        <v>3032</v>
      </c>
      <c r="B670" s="1" t="s">
        <v>24</v>
      </c>
      <c r="C670" s="1" t="s">
        <v>3033</v>
      </c>
      <c r="D670" s="1" t="s">
        <v>258</v>
      </c>
      <c r="E670" s="1" t="s">
        <v>258</v>
      </c>
      <c r="F670" s="1" t="s">
        <v>78</v>
      </c>
      <c r="G670" s="1" t="s">
        <v>3034</v>
      </c>
      <c r="H670" s="1" t="s">
        <v>657</v>
      </c>
      <c r="I670" t="b">
        <f>COUNTIF(Estadísticas!I:I,'centraldecomunicacion.es'!H670)&gt;0</f>
        <v>0</v>
      </c>
    </row>
    <row r="671" spans="1:9" hidden="1">
      <c r="A671" s="1" t="s">
        <v>3035</v>
      </c>
      <c r="B671" s="1" t="s">
        <v>24</v>
      </c>
      <c r="C671" s="1" t="s">
        <v>3036</v>
      </c>
      <c r="D671" s="1" t="s">
        <v>258</v>
      </c>
      <c r="E671" s="1" t="s">
        <v>258</v>
      </c>
      <c r="F671" s="1" t="s">
        <v>3037</v>
      </c>
      <c r="G671" s="1" t="s">
        <v>3038</v>
      </c>
      <c r="H671" s="1" t="s">
        <v>2724</v>
      </c>
      <c r="I671" t="b">
        <f>COUNTIF(Estadísticas!I:I,'centraldecomunicacion.es'!H671)&gt;0</f>
        <v>0</v>
      </c>
    </row>
    <row r="672" spans="1:9" hidden="1">
      <c r="A672" s="1" t="s">
        <v>3039</v>
      </c>
      <c r="B672" s="1" t="s">
        <v>24</v>
      </c>
      <c r="C672" s="1" t="s">
        <v>3040</v>
      </c>
      <c r="D672" s="1" t="s">
        <v>3041</v>
      </c>
      <c r="E672" s="1" t="s">
        <v>258</v>
      </c>
      <c r="F672" s="1" t="s">
        <v>3042</v>
      </c>
      <c r="G672" s="1" t="s">
        <v>3043</v>
      </c>
      <c r="H672" s="1" t="s">
        <v>657</v>
      </c>
      <c r="I672" t="b">
        <f>COUNTIF(Estadísticas!I:I,'centraldecomunicacion.es'!H672)&gt;0</f>
        <v>0</v>
      </c>
    </row>
    <row r="673" spans="1:9" hidden="1">
      <c r="A673" s="1" t="s">
        <v>3044</v>
      </c>
      <c r="B673" s="1" t="s">
        <v>24</v>
      </c>
      <c r="C673" s="1" t="s">
        <v>3045</v>
      </c>
      <c r="D673" s="1" t="s">
        <v>258</v>
      </c>
      <c r="E673" s="1" t="s">
        <v>258</v>
      </c>
      <c r="F673" s="1" t="s">
        <v>78</v>
      </c>
      <c r="G673" s="1" t="s">
        <v>3046</v>
      </c>
      <c r="H673" s="1" t="s">
        <v>657</v>
      </c>
      <c r="I673" t="b">
        <f>COUNTIF(Estadísticas!I:I,'centraldecomunicacion.es'!H673)&gt;0</f>
        <v>0</v>
      </c>
    </row>
    <row r="674" spans="1:9" hidden="1">
      <c r="A674" s="1" t="s">
        <v>3047</v>
      </c>
      <c r="B674" s="1" t="s">
        <v>24</v>
      </c>
      <c r="C674" s="1" t="s">
        <v>3048</v>
      </c>
      <c r="D674" s="1" t="s">
        <v>258</v>
      </c>
      <c r="E674" s="1" t="s">
        <v>258</v>
      </c>
      <c r="F674" s="1" t="s">
        <v>78</v>
      </c>
      <c r="G674" s="1" t="s">
        <v>3049</v>
      </c>
      <c r="H674" s="1" t="s">
        <v>657</v>
      </c>
      <c r="I674" t="b">
        <f>COUNTIF(Estadísticas!I:I,'centraldecomunicacion.es'!H674)&gt;0</f>
        <v>0</v>
      </c>
    </row>
    <row r="675" spans="1:9">
      <c r="A675" s="1" t="s">
        <v>256</v>
      </c>
      <c r="B675" s="1" t="s">
        <v>24</v>
      </c>
      <c r="C675" s="1" t="s">
        <v>257</v>
      </c>
      <c r="D675" s="1" t="s">
        <v>258</v>
      </c>
      <c r="E675" s="1" t="s">
        <v>258</v>
      </c>
      <c r="F675" s="1" t="s">
        <v>259</v>
      </c>
      <c r="G675" s="1" t="s">
        <v>260</v>
      </c>
      <c r="H675" s="1" t="s">
        <v>261</v>
      </c>
      <c r="I675" t="b">
        <f>COUNTIF(Estadísticas!I:I,'centraldecomunicacion.es'!H675)&gt;0</f>
        <v>1</v>
      </c>
    </row>
    <row r="676" spans="1:9" hidden="1">
      <c r="A676" s="1" t="s">
        <v>3050</v>
      </c>
      <c r="B676" s="1" t="s">
        <v>24</v>
      </c>
      <c r="C676" s="1" t="s">
        <v>3051</v>
      </c>
      <c r="D676" s="1" t="s">
        <v>3052</v>
      </c>
      <c r="E676" s="1" t="s">
        <v>258</v>
      </c>
      <c r="F676" s="1" t="s">
        <v>3053</v>
      </c>
      <c r="G676" s="1" t="s">
        <v>3054</v>
      </c>
      <c r="H676" s="1" t="s">
        <v>3055</v>
      </c>
      <c r="I676" t="b">
        <f>COUNTIF(Estadísticas!I:I,'centraldecomunicacion.es'!H676)&gt;0</f>
        <v>0</v>
      </c>
    </row>
    <row r="677" spans="1:9" hidden="1">
      <c r="A677" s="1" t="s">
        <v>3056</v>
      </c>
      <c r="B677" s="1" t="s">
        <v>24</v>
      </c>
      <c r="C677" s="1" t="s">
        <v>3057</v>
      </c>
      <c r="D677" s="1" t="s">
        <v>258</v>
      </c>
      <c r="E677" s="1" t="s">
        <v>258</v>
      </c>
      <c r="F677" s="1" t="s">
        <v>78</v>
      </c>
      <c r="G677" s="1" t="s">
        <v>3058</v>
      </c>
      <c r="H677" s="1" t="s">
        <v>657</v>
      </c>
      <c r="I677" t="b">
        <f>COUNTIF(Estadísticas!I:I,'centraldecomunicacion.es'!H677)&gt;0</f>
        <v>0</v>
      </c>
    </row>
    <row r="678" spans="1:9" hidden="1">
      <c r="A678" s="1" t="s">
        <v>3059</v>
      </c>
      <c r="B678" s="1" t="s">
        <v>10</v>
      </c>
      <c r="C678" s="1" t="s">
        <v>78</v>
      </c>
      <c r="D678" s="1" t="s">
        <v>3060</v>
      </c>
      <c r="E678" s="1" t="s">
        <v>78</v>
      </c>
      <c r="F678" s="1" t="s">
        <v>78</v>
      </c>
      <c r="G678" s="1" t="s">
        <v>3061</v>
      </c>
      <c r="H678" s="1" t="s">
        <v>657</v>
      </c>
      <c r="I678" t="b">
        <f>COUNTIF(Estadísticas!I:I,'centraldecomunicacion.es'!H678)&gt;0</f>
        <v>0</v>
      </c>
    </row>
    <row r="679" spans="1:9" hidden="1">
      <c r="A679" s="1" t="s">
        <v>3062</v>
      </c>
      <c r="B679" s="1" t="s">
        <v>24</v>
      </c>
      <c r="C679" s="1" t="s">
        <v>3063</v>
      </c>
      <c r="D679" s="1" t="s">
        <v>3064</v>
      </c>
      <c r="E679" s="1" t="s">
        <v>258</v>
      </c>
      <c r="F679" s="1" t="s">
        <v>3065</v>
      </c>
      <c r="G679" s="1" t="s">
        <v>3066</v>
      </c>
      <c r="H679" s="1" t="s">
        <v>3067</v>
      </c>
      <c r="I679" t="b">
        <f>COUNTIF(Estadísticas!I:I,'centraldecomunicacion.es'!H679)&gt;0</f>
        <v>0</v>
      </c>
    </row>
    <row r="680" spans="1:9" hidden="1">
      <c r="A680" s="1" t="s">
        <v>3068</v>
      </c>
      <c r="B680" s="1" t="s">
        <v>24</v>
      </c>
      <c r="C680" s="1" t="s">
        <v>3069</v>
      </c>
      <c r="D680" s="1" t="s">
        <v>3070</v>
      </c>
      <c r="E680" s="1" t="s">
        <v>258</v>
      </c>
      <c r="F680" s="1" t="s">
        <v>1309</v>
      </c>
      <c r="G680" s="1" t="s">
        <v>3071</v>
      </c>
      <c r="H680" s="1" t="s">
        <v>657</v>
      </c>
      <c r="I680" t="b">
        <f>COUNTIF(Estadísticas!I:I,'centraldecomunicacion.es'!H680)&gt;0</f>
        <v>0</v>
      </c>
    </row>
    <row r="681" spans="1:9" hidden="1">
      <c r="A681" s="1" t="s">
        <v>3072</v>
      </c>
      <c r="B681" s="1" t="s">
        <v>24</v>
      </c>
      <c r="C681" s="1" t="s">
        <v>3073</v>
      </c>
      <c r="D681" s="1" t="s">
        <v>3074</v>
      </c>
      <c r="E681" s="1" t="s">
        <v>258</v>
      </c>
      <c r="F681" s="1" t="s">
        <v>78</v>
      </c>
      <c r="G681" s="1" t="s">
        <v>3075</v>
      </c>
      <c r="H681" s="1" t="s">
        <v>657</v>
      </c>
      <c r="I681" t="b">
        <f>COUNTIF(Estadísticas!I:I,'centraldecomunicacion.es'!H681)&gt;0</f>
        <v>0</v>
      </c>
    </row>
    <row r="682" spans="1:9" hidden="1">
      <c r="A682" s="1" t="s">
        <v>3076</v>
      </c>
      <c r="B682" s="1" t="s">
        <v>24</v>
      </c>
      <c r="C682" s="1" t="s">
        <v>3077</v>
      </c>
      <c r="D682" s="1" t="s">
        <v>264</v>
      </c>
      <c r="E682" s="1" t="s">
        <v>265</v>
      </c>
      <c r="F682" s="1" t="s">
        <v>3078</v>
      </c>
      <c r="G682" s="1" t="s">
        <v>3079</v>
      </c>
      <c r="H682" s="1" t="s">
        <v>3080</v>
      </c>
      <c r="I682" t="b">
        <f>COUNTIF(Estadísticas!I:I,'centraldecomunicacion.es'!H682)&gt;0</f>
        <v>0</v>
      </c>
    </row>
    <row r="683" spans="1:9">
      <c r="A683" s="1" t="s">
        <v>262</v>
      </c>
      <c r="B683" s="1" t="s">
        <v>24</v>
      </c>
      <c r="C683" s="1" t="s">
        <v>263</v>
      </c>
      <c r="D683" s="1" t="s">
        <v>264</v>
      </c>
      <c r="E683" s="1" t="s">
        <v>265</v>
      </c>
      <c r="F683" s="1" t="s">
        <v>266</v>
      </c>
      <c r="G683" s="1" t="s">
        <v>267</v>
      </c>
      <c r="H683" s="1" t="s">
        <v>268</v>
      </c>
      <c r="I683" t="b">
        <f>COUNTIF(Estadísticas!I:I,'centraldecomunicacion.es'!H683)&gt;0</f>
        <v>1</v>
      </c>
    </row>
    <row r="684" spans="1:9" hidden="1">
      <c r="A684" s="1" t="s">
        <v>3081</v>
      </c>
      <c r="B684" s="1" t="s">
        <v>24</v>
      </c>
      <c r="C684" s="1" t="s">
        <v>3082</v>
      </c>
      <c r="D684" s="1" t="s">
        <v>264</v>
      </c>
      <c r="E684" s="1" t="s">
        <v>265</v>
      </c>
      <c r="F684" s="1" t="s">
        <v>3083</v>
      </c>
      <c r="G684" s="1" t="s">
        <v>3084</v>
      </c>
      <c r="H684" s="1" t="s">
        <v>657</v>
      </c>
      <c r="I684" t="b">
        <f>COUNTIF(Estadísticas!I:I,'centraldecomunicacion.es'!H684)&gt;0</f>
        <v>0</v>
      </c>
    </row>
    <row r="685" spans="1:9" hidden="1">
      <c r="A685" s="1" t="s">
        <v>3085</v>
      </c>
      <c r="B685" s="1" t="s">
        <v>24</v>
      </c>
      <c r="C685" s="1" t="s">
        <v>3086</v>
      </c>
      <c r="D685" s="1" t="s">
        <v>3074</v>
      </c>
      <c r="E685" s="1" t="s">
        <v>258</v>
      </c>
      <c r="F685" s="1" t="s">
        <v>2053</v>
      </c>
      <c r="G685" s="1" t="s">
        <v>2054</v>
      </c>
      <c r="H685" s="1" t="s">
        <v>657</v>
      </c>
      <c r="I685" t="b">
        <f>COUNTIF(Estadísticas!I:I,'centraldecomunicacion.es'!H685)&gt;0</f>
        <v>0</v>
      </c>
    </row>
    <row r="686" spans="1:9" hidden="1">
      <c r="A686" s="1" t="s">
        <v>3087</v>
      </c>
      <c r="B686" s="1" t="s">
        <v>24</v>
      </c>
      <c r="C686" s="1" t="s">
        <v>3088</v>
      </c>
      <c r="D686" s="1" t="s">
        <v>3009</v>
      </c>
      <c r="E686" s="1" t="s">
        <v>3009</v>
      </c>
      <c r="F686" s="1" t="s">
        <v>3089</v>
      </c>
      <c r="G686" s="1" t="s">
        <v>3090</v>
      </c>
      <c r="H686" s="1" t="s">
        <v>3091</v>
      </c>
      <c r="I686" t="b">
        <f>COUNTIF(Estadísticas!I:I,'centraldecomunicacion.es'!H686)&gt;0</f>
        <v>0</v>
      </c>
    </row>
    <row r="687" spans="1:9" hidden="1">
      <c r="A687" s="1" t="s">
        <v>3092</v>
      </c>
      <c r="B687" s="1" t="s">
        <v>24</v>
      </c>
      <c r="C687" s="1" t="s">
        <v>3093</v>
      </c>
      <c r="D687" s="1" t="s">
        <v>3009</v>
      </c>
      <c r="E687" s="1" t="s">
        <v>3009</v>
      </c>
      <c r="F687" s="1" t="s">
        <v>78</v>
      </c>
      <c r="G687" s="1" t="s">
        <v>3094</v>
      </c>
      <c r="H687" s="1" t="s">
        <v>657</v>
      </c>
      <c r="I687" t="b">
        <f>COUNTIF(Estadísticas!I:I,'centraldecomunicacion.es'!H687)&gt;0</f>
        <v>0</v>
      </c>
    </row>
    <row r="688" spans="1:9" hidden="1">
      <c r="A688" s="1" t="s">
        <v>3095</v>
      </c>
      <c r="B688" s="1" t="s">
        <v>24</v>
      </c>
      <c r="C688" s="1" t="s">
        <v>3096</v>
      </c>
      <c r="D688" s="1" t="s">
        <v>3009</v>
      </c>
      <c r="E688" s="1" t="s">
        <v>3009</v>
      </c>
      <c r="F688" s="1" t="s">
        <v>78</v>
      </c>
      <c r="G688" s="1" t="s">
        <v>3097</v>
      </c>
      <c r="H688" s="1" t="s">
        <v>657</v>
      </c>
      <c r="I688" t="b">
        <f>COUNTIF(Estadísticas!I:I,'centraldecomunicacion.es'!H688)&gt;0</f>
        <v>0</v>
      </c>
    </row>
    <row r="689" spans="1:9" hidden="1">
      <c r="A689" s="1" t="s">
        <v>3098</v>
      </c>
      <c r="B689" s="1" t="s">
        <v>10</v>
      </c>
      <c r="C689" s="1" t="s">
        <v>3099</v>
      </c>
      <c r="D689" s="1" t="s">
        <v>3100</v>
      </c>
      <c r="E689" s="1" t="s">
        <v>3009</v>
      </c>
      <c r="F689" s="1" t="s">
        <v>78</v>
      </c>
      <c r="G689" s="1" t="s">
        <v>3101</v>
      </c>
      <c r="H689" s="1" t="s">
        <v>657</v>
      </c>
      <c r="I689" t="b">
        <f>COUNTIF(Estadísticas!I:I,'centraldecomunicacion.es'!H689)&gt;0</f>
        <v>0</v>
      </c>
    </row>
    <row r="690" spans="1:9" hidden="1">
      <c r="A690" s="1" t="s">
        <v>3102</v>
      </c>
      <c r="B690" s="1" t="s">
        <v>24</v>
      </c>
      <c r="C690" s="1" t="s">
        <v>3103</v>
      </c>
      <c r="D690" s="1" t="s">
        <v>3104</v>
      </c>
      <c r="E690" s="1" t="s">
        <v>252</v>
      </c>
      <c r="F690" s="1" t="s">
        <v>3105</v>
      </c>
      <c r="G690" s="1" t="s">
        <v>734</v>
      </c>
      <c r="H690" s="1" t="s">
        <v>657</v>
      </c>
      <c r="I690" t="b">
        <f>COUNTIF(Estadísticas!I:I,'centraldecomunicacion.es'!H690)&gt;0</f>
        <v>0</v>
      </c>
    </row>
    <row r="691" spans="1:9" hidden="1">
      <c r="A691" s="1" t="s">
        <v>3106</v>
      </c>
      <c r="B691" s="1" t="s">
        <v>24</v>
      </c>
      <c r="C691" s="1" t="s">
        <v>3107</v>
      </c>
      <c r="D691" s="1" t="s">
        <v>265</v>
      </c>
      <c r="E691" s="1" t="s">
        <v>265</v>
      </c>
      <c r="F691" s="1" t="s">
        <v>3108</v>
      </c>
      <c r="G691" s="1" t="s">
        <v>3109</v>
      </c>
      <c r="H691" s="1" t="s">
        <v>3110</v>
      </c>
      <c r="I691" t="b">
        <f>COUNTIF(Estadísticas!I:I,'centraldecomunicacion.es'!H691)&gt;0</f>
        <v>0</v>
      </c>
    </row>
    <row r="692" spans="1:9" hidden="1">
      <c r="A692" s="1" t="s">
        <v>3111</v>
      </c>
      <c r="B692" s="1" t="s">
        <v>10</v>
      </c>
      <c r="C692" s="1" t="s">
        <v>3112</v>
      </c>
      <c r="D692" s="1" t="s">
        <v>265</v>
      </c>
      <c r="E692" s="1" t="s">
        <v>265</v>
      </c>
      <c r="F692" s="1" t="s">
        <v>78</v>
      </c>
      <c r="G692" s="1" t="s">
        <v>3113</v>
      </c>
      <c r="H692" s="1" t="s">
        <v>657</v>
      </c>
      <c r="I692" t="b">
        <f>COUNTIF(Estadísticas!I:I,'centraldecomunicacion.es'!H692)&gt;0</f>
        <v>0</v>
      </c>
    </row>
    <row r="693" spans="1:9" hidden="1">
      <c r="A693" s="1" t="s">
        <v>3114</v>
      </c>
      <c r="B693" s="1" t="s">
        <v>10</v>
      </c>
      <c r="C693" s="1" t="s">
        <v>3115</v>
      </c>
      <c r="D693" s="1" t="s">
        <v>265</v>
      </c>
      <c r="E693" s="1" t="s">
        <v>265</v>
      </c>
      <c r="F693" s="1" t="s">
        <v>3116</v>
      </c>
      <c r="G693" s="1" t="s">
        <v>734</v>
      </c>
      <c r="H693" s="1" t="s">
        <v>657</v>
      </c>
      <c r="I693" t="b">
        <f>COUNTIF(Estadísticas!I:I,'centraldecomunicacion.es'!H693)&gt;0</f>
        <v>0</v>
      </c>
    </row>
    <row r="694" spans="1:9" hidden="1">
      <c r="A694" s="1" t="s">
        <v>3117</v>
      </c>
      <c r="B694" s="1" t="s">
        <v>10</v>
      </c>
      <c r="C694" s="1" t="s">
        <v>3118</v>
      </c>
      <c r="D694" s="1" t="s">
        <v>38</v>
      </c>
      <c r="E694" s="1" t="s">
        <v>38</v>
      </c>
      <c r="F694" s="1" t="s">
        <v>3119</v>
      </c>
      <c r="G694" s="1" t="s">
        <v>3120</v>
      </c>
      <c r="H694" s="1" t="s">
        <v>3121</v>
      </c>
      <c r="I694" t="b">
        <f>COUNTIF(Estadísticas!I:I,'centraldecomunicacion.es'!H694)&gt;0</f>
        <v>0</v>
      </c>
    </row>
    <row r="695" spans="1:9" hidden="1">
      <c r="A695" s="1" t="s">
        <v>3122</v>
      </c>
      <c r="B695" s="1" t="s">
        <v>24</v>
      </c>
      <c r="C695" s="1" t="s">
        <v>3123</v>
      </c>
      <c r="D695" s="1" t="s">
        <v>265</v>
      </c>
      <c r="E695" s="1" t="s">
        <v>265</v>
      </c>
      <c r="F695" s="1" t="s">
        <v>78</v>
      </c>
      <c r="G695" s="1" t="s">
        <v>3124</v>
      </c>
      <c r="H695" s="1" t="s">
        <v>657</v>
      </c>
      <c r="I695" t="b">
        <f>COUNTIF(Estadísticas!I:I,'centraldecomunicacion.es'!H695)&gt;0</f>
        <v>0</v>
      </c>
    </row>
    <row r="696" spans="1:9" hidden="1">
      <c r="A696" s="1" t="s">
        <v>3125</v>
      </c>
      <c r="B696" s="1" t="s">
        <v>24</v>
      </c>
      <c r="C696" s="1" t="s">
        <v>3126</v>
      </c>
      <c r="D696" s="1" t="s">
        <v>3127</v>
      </c>
      <c r="E696" s="1" t="s">
        <v>3127</v>
      </c>
      <c r="F696" s="1" t="s">
        <v>3128</v>
      </c>
      <c r="G696" s="1" t="s">
        <v>3129</v>
      </c>
      <c r="H696" s="1" t="s">
        <v>3130</v>
      </c>
      <c r="I696" t="b">
        <f>COUNTIF(Estadísticas!I:I,'centraldecomunicacion.es'!H696)&gt;0</f>
        <v>0</v>
      </c>
    </row>
    <row r="697" spans="1:9" hidden="1">
      <c r="A697" s="1" t="s">
        <v>3131</v>
      </c>
      <c r="B697" s="1" t="s">
        <v>10</v>
      </c>
      <c r="C697" s="1" t="s">
        <v>3132</v>
      </c>
      <c r="D697" s="1" t="s">
        <v>3127</v>
      </c>
      <c r="E697" s="1" t="s">
        <v>3127</v>
      </c>
      <c r="F697" s="1" t="s">
        <v>3133</v>
      </c>
      <c r="G697" s="1" t="s">
        <v>3134</v>
      </c>
      <c r="H697" s="1" t="s">
        <v>3135</v>
      </c>
      <c r="I697" t="b">
        <f>COUNTIF(Estadísticas!I:I,'centraldecomunicacion.es'!H697)&gt;0</f>
        <v>0</v>
      </c>
    </row>
    <row r="698" spans="1:9" hidden="1">
      <c r="A698" s="1" t="s">
        <v>3136</v>
      </c>
      <c r="B698" s="1" t="s">
        <v>24</v>
      </c>
      <c r="C698" s="1" t="s">
        <v>3137</v>
      </c>
      <c r="D698" s="1" t="s">
        <v>3127</v>
      </c>
      <c r="E698" s="1" t="s">
        <v>3127</v>
      </c>
      <c r="F698" s="1" t="s">
        <v>3138</v>
      </c>
      <c r="G698" s="1" t="s">
        <v>3139</v>
      </c>
      <c r="H698" s="1" t="s">
        <v>657</v>
      </c>
      <c r="I698" t="b">
        <f>COUNTIF(Estadísticas!I:I,'centraldecomunicacion.es'!H698)&gt;0</f>
        <v>0</v>
      </c>
    </row>
    <row r="699" spans="1:9" hidden="1">
      <c r="A699" s="1" t="s">
        <v>3140</v>
      </c>
      <c r="B699" s="1" t="s">
        <v>24</v>
      </c>
      <c r="C699" s="1" t="s">
        <v>3141</v>
      </c>
      <c r="D699" s="1" t="s">
        <v>3127</v>
      </c>
      <c r="E699" s="1" t="s">
        <v>3127</v>
      </c>
      <c r="F699" s="1" t="s">
        <v>3142</v>
      </c>
      <c r="G699" s="1" t="s">
        <v>3143</v>
      </c>
      <c r="H699" s="1" t="s">
        <v>3144</v>
      </c>
      <c r="I699" t="b">
        <f>COUNTIF(Estadísticas!I:I,'centraldecomunicacion.es'!H699)&gt;0</f>
        <v>0</v>
      </c>
    </row>
    <row r="700" spans="1:9" hidden="1">
      <c r="A700" s="1" t="s">
        <v>3145</v>
      </c>
      <c r="B700" s="1" t="s">
        <v>24</v>
      </c>
      <c r="C700" s="1" t="s">
        <v>3146</v>
      </c>
      <c r="D700" s="1" t="s">
        <v>3127</v>
      </c>
      <c r="E700" s="1" t="s">
        <v>3127</v>
      </c>
      <c r="F700" s="1" t="s">
        <v>3147</v>
      </c>
      <c r="G700" s="1" t="s">
        <v>3148</v>
      </c>
      <c r="H700" s="1" t="s">
        <v>3149</v>
      </c>
      <c r="I700" t="b">
        <f>COUNTIF(Estadísticas!I:I,'centraldecomunicacion.es'!H700)&gt;0</f>
        <v>0</v>
      </c>
    </row>
    <row r="701" spans="1:9" hidden="1">
      <c r="A701" s="1" t="s">
        <v>3150</v>
      </c>
      <c r="B701" s="1" t="s">
        <v>24</v>
      </c>
      <c r="C701" s="1" t="s">
        <v>3151</v>
      </c>
      <c r="D701" s="1" t="s">
        <v>3127</v>
      </c>
      <c r="E701" s="1" t="s">
        <v>3127</v>
      </c>
      <c r="F701" s="1" t="s">
        <v>78</v>
      </c>
      <c r="G701" s="1" t="s">
        <v>3152</v>
      </c>
      <c r="H701" s="1" t="s">
        <v>657</v>
      </c>
      <c r="I701" t="b">
        <f>COUNTIF(Estadísticas!I:I,'centraldecomunicacion.es'!H701)&gt;0</f>
        <v>0</v>
      </c>
    </row>
    <row r="702" spans="1:9" hidden="1">
      <c r="A702" s="1" t="s">
        <v>3153</v>
      </c>
      <c r="B702" s="1" t="s">
        <v>24</v>
      </c>
      <c r="C702" s="1" t="s">
        <v>78</v>
      </c>
      <c r="D702" s="1" t="s">
        <v>3154</v>
      </c>
      <c r="E702" s="1" t="s">
        <v>78</v>
      </c>
      <c r="F702" s="1" t="s">
        <v>78</v>
      </c>
      <c r="G702" s="1" t="s">
        <v>3155</v>
      </c>
      <c r="H702" s="1" t="s">
        <v>657</v>
      </c>
      <c r="I702" t="b">
        <f>COUNTIF(Estadísticas!I:I,'centraldecomunicacion.es'!H702)&gt;0</f>
        <v>0</v>
      </c>
    </row>
    <row r="703" spans="1:9" hidden="1">
      <c r="A703" s="1" t="s">
        <v>3156</v>
      </c>
      <c r="B703" s="1" t="s">
        <v>10</v>
      </c>
      <c r="C703" s="1" t="s">
        <v>3157</v>
      </c>
      <c r="D703" s="1" t="s">
        <v>3127</v>
      </c>
      <c r="E703" s="1" t="s">
        <v>3127</v>
      </c>
      <c r="F703" s="1" t="s">
        <v>3158</v>
      </c>
      <c r="G703" s="1" t="s">
        <v>3159</v>
      </c>
      <c r="H703" s="1" t="s">
        <v>3160</v>
      </c>
      <c r="I703" t="b">
        <f>COUNTIF(Estadísticas!I:I,'centraldecomunicacion.es'!H703)&gt;0</f>
        <v>0</v>
      </c>
    </row>
    <row r="704" spans="1:9" hidden="1">
      <c r="A704" s="1" t="s">
        <v>3161</v>
      </c>
      <c r="B704" s="1" t="s">
        <v>24</v>
      </c>
      <c r="C704" s="1" t="s">
        <v>3162</v>
      </c>
      <c r="D704" s="1" t="s">
        <v>3127</v>
      </c>
      <c r="E704" s="1" t="s">
        <v>3127</v>
      </c>
      <c r="F704" s="1" t="s">
        <v>78</v>
      </c>
      <c r="G704" s="1" t="s">
        <v>3163</v>
      </c>
      <c r="H704" s="1" t="s">
        <v>657</v>
      </c>
      <c r="I704" t="b">
        <f>COUNTIF(Estadísticas!I:I,'centraldecomunicacion.es'!H704)&gt;0</f>
        <v>0</v>
      </c>
    </row>
    <row r="705" spans="1:9" hidden="1">
      <c r="A705" s="1" t="s">
        <v>3164</v>
      </c>
      <c r="B705" s="1" t="s">
        <v>24</v>
      </c>
      <c r="C705" s="1" t="s">
        <v>3165</v>
      </c>
      <c r="D705" s="1" t="s">
        <v>3127</v>
      </c>
      <c r="E705" s="1" t="s">
        <v>3127</v>
      </c>
      <c r="F705" s="1" t="s">
        <v>78</v>
      </c>
      <c r="G705" s="1" t="s">
        <v>3166</v>
      </c>
      <c r="H705" s="1" t="s">
        <v>657</v>
      </c>
      <c r="I705" t="b">
        <f>COUNTIF(Estadísticas!I:I,'centraldecomunicacion.es'!H705)&gt;0</f>
        <v>0</v>
      </c>
    </row>
    <row r="706" spans="1:9" hidden="1">
      <c r="A706" s="1" t="s">
        <v>3167</v>
      </c>
      <c r="B706" s="1" t="s">
        <v>10</v>
      </c>
      <c r="C706" s="1" t="s">
        <v>3168</v>
      </c>
      <c r="D706" s="1" t="s">
        <v>3127</v>
      </c>
      <c r="E706" s="1" t="s">
        <v>3127</v>
      </c>
      <c r="F706" s="1" t="s">
        <v>78</v>
      </c>
      <c r="G706" s="1" t="s">
        <v>3169</v>
      </c>
      <c r="H706" s="1" t="s">
        <v>657</v>
      </c>
      <c r="I706" t="b">
        <f>COUNTIF(Estadísticas!I:I,'centraldecomunicacion.es'!H706)&gt;0</f>
        <v>0</v>
      </c>
    </row>
    <row r="707" spans="1:9" hidden="1">
      <c r="A707" s="1" t="s">
        <v>3170</v>
      </c>
      <c r="B707" s="1" t="s">
        <v>24</v>
      </c>
      <c r="C707" s="1" t="s">
        <v>3171</v>
      </c>
      <c r="D707" s="1" t="s">
        <v>732</v>
      </c>
      <c r="E707" s="1" t="s">
        <v>732</v>
      </c>
      <c r="F707" s="1" t="s">
        <v>3172</v>
      </c>
      <c r="G707" s="1" t="s">
        <v>3173</v>
      </c>
      <c r="H707" s="1" t="s">
        <v>657</v>
      </c>
      <c r="I707" t="b">
        <f>COUNTIF(Estadísticas!I:I,'centraldecomunicacion.es'!H707)&gt;0</f>
        <v>0</v>
      </c>
    </row>
    <row r="708" spans="1:9" hidden="1">
      <c r="A708" s="1" t="s">
        <v>3174</v>
      </c>
      <c r="B708" s="1" t="s">
        <v>24</v>
      </c>
      <c r="C708" s="1" t="s">
        <v>3175</v>
      </c>
      <c r="D708" s="1" t="s">
        <v>732</v>
      </c>
      <c r="E708" s="1" t="s">
        <v>732</v>
      </c>
      <c r="F708" s="1" t="s">
        <v>3176</v>
      </c>
      <c r="G708" s="1" t="s">
        <v>3177</v>
      </c>
      <c r="H708" s="1" t="s">
        <v>3178</v>
      </c>
      <c r="I708" t="b">
        <f>COUNTIF(Estadísticas!I:I,'centraldecomunicacion.es'!H708)&gt;0</f>
        <v>0</v>
      </c>
    </row>
    <row r="709" spans="1:9" hidden="1">
      <c r="A709" s="1" t="s">
        <v>3179</v>
      </c>
      <c r="B709" s="1" t="s">
        <v>24</v>
      </c>
      <c r="C709" s="1" t="s">
        <v>3180</v>
      </c>
      <c r="D709" s="1" t="s">
        <v>3181</v>
      </c>
      <c r="E709" s="1" t="s">
        <v>732</v>
      </c>
      <c r="F709" s="1" t="s">
        <v>78</v>
      </c>
      <c r="G709" s="1" t="s">
        <v>3182</v>
      </c>
      <c r="H709" s="1" t="s">
        <v>657</v>
      </c>
      <c r="I709" t="b">
        <f>COUNTIF(Estadísticas!I:I,'centraldecomunicacion.es'!H709)&gt;0</f>
        <v>0</v>
      </c>
    </row>
    <row r="710" spans="1:9">
      <c r="A710" s="1" t="s">
        <v>269</v>
      </c>
      <c r="B710" s="1" t="s">
        <v>24</v>
      </c>
      <c r="C710" s="1" t="s">
        <v>270</v>
      </c>
      <c r="D710" s="1" t="s">
        <v>271</v>
      </c>
      <c r="E710" s="1" t="s">
        <v>38</v>
      </c>
      <c r="F710" s="1" t="s">
        <v>272</v>
      </c>
      <c r="G710" s="1" t="s">
        <v>273</v>
      </c>
      <c r="H710" s="1" t="s">
        <v>274</v>
      </c>
      <c r="I710" t="b">
        <f>COUNTIF(Estadísticas!I:I,'centraldecomunicacion.es'!H710)&gt;0</f>
        <v>1</v>
      </c>
    </row>
    <row r="711" spans="1:9" hidden="1">
      <c r="A711" s="1" t="s">
        <v>3183</v>
      </c>
      <c r="B711" s="1" t="s">
        <v>10</v>
      </c>
      <c r="C711" s="1" t="s">
        <v>3184</v>
      </c>
      <c r="D711" s="1" t="s">
        <v>38</v>
      </c>
      <c r="E711" s="1" t="s">
        <v>38</v>
      </c>
      <c r="F711" s="1" t="s">
        <v>3185</v>
      </c>
      <c r="G711" s="1" t="s">
        <v>3186</v>
      </c>
      <c r="H711" s="1" t="s">
        <v>1857</v>
      </c>
      <c r="I711" t="b">
        <f>COUNTIF(Estadísticas!I:I,'centraldecomunicacion.es'!H711)&gt;0</f>
        <v>0</v>
      </c>
    </row>
    <row r="712" spans="1:9">
      <c r="A712" s="1" t="s">
        <v>275</v>
      </c>
      <c r="B712" s="1" t="s">
        <v>24</v>
      </c>
      <c r="C712" s="1" t="s">
        <v>276</v>
      </c>
      <c r="D712" s="1" t="s">
        <v>277</v>
      </c>
      <c r="E712" s="1" t="s">
        <v>38</v>
      </c>
      <c r="F712" s="1" t="s">
        <v>278</v>
      </c>
      <c r="G712" s="1" t="s">
        <v>279</v>
      </c>
      <c r="H712" s="1" t="s">
        <v>280</v>
      </c>
      <c r="I712" t="b">
        <f>COUNTIF(Estadísticas!I:I,'centraldecomunicacion.es'!H712)&gt;0</f>
        <v>1</v>
      </c>
    </row>
    <row r="713" spans="1:9" hidden="1">
      <c r="A713" s="1" t="s">
        <v>3187</v>
      </c>
      <c r="B713" s="1" t="s">
        <v>10</v>
      </c>
      <c r="C713" s="1" t="s">
        <v>3188</v>
      </c>
      <c r="D713" s="1" t="s">
        <v>894</v>
      </c>
      <c r="E713" s="1" t="s">
        <v>38</v>
      </c>
      <c r="F713" s="1" t="s">
        <v>3189</v>
      </c>
      <c r="G713" s="1" t="s">
        <v>3190</v>
      </c>
      <c r="H713" s="1" t="s">
        <v>657</v>
      </c>
      <c r="I713" t="b">
        <f>COUNTIF(Estadísticas!I:I,'centraldecomunicacion.es'!H713)&gt;0</f>
        <v>0</v>
      </c>
    </row>
    <row r="714" spans="1:9" hidden="1">
      <c r="A714" s="1" t="s">
        <v>3191</v>
      </c>
      <c r="B714" s="1" t="s">
        <v>24</v>
      </c>
      <c r="C714" s="1" t="s">
        <v>3192</v>
      </c>
      <c r="D714" s="1" t="s">
        <v>3193</v>
      </c>
      <c r="E714" s="1" t="s">
        <v>38</v>
      </c>
      <c r="F714" s="1" t="s">
        <v>3194</v>
      </c>
      <c r="G714" s="1" t="s">
        <v>3195</v>
      </c>
      <c r="H714" s="1" t="s">
        <v>657</v>
      </c>
      <c r="I714" t="b">
        <f>COUNTIF(Estadísticas!I:I,'centraldecomunicacion.es'!H714)&gt;0</f>
        <v>0</v>
      </c>
    </row>
    <row r="715" spans="1:9" hidden="1">
      <c r="A715" s="1" t="s">
        <v>3196</v>
      </c>
      <c r="B715" s="1" t="s">
        <v>24</v>
      </c>
      <c r="C715" s="1" t="s">
        <v>3197</v>
      </c>
      <c r="D715" s="1" t="s">
        <v>3198</v>
      </c>
      <c r="E715" s="1" t="s">
        <v>38</v>
      </c>
      <c r="F715" s="1" t="s">
        <v>78</v>
      </c>
      <c r="G715" s="1" t="s">
        <v>3199</v>
      </c>
      <c r="H715" s="1" t="s">
        <v>657</v>
      </c>
      <c r="I715" t="b">
        <f>COUNTIF(Estadísticas!I:I,'centraldecomunicacion.es'!H715)&gt;0</f>
        <v>0</v>
      </c>
    </row>
    <row r="716" spans="1:9" hidden="1">
      <c r="A716" s="1" t="s">
        <v>3200</v>
      </c>
      <c r="B716" s="1" t="s">
        <v>24</v>
      </c>
      <c r="C716" s="1" t="s">
        <v>3201</v>
      </c>
      <c r="D716" s="1" t="s">
        <v>38</v>
      </c>
      <c r="E716" s="1" t="s">
        <v>38</v>
      </c>
      <c r="F716" s="1" t="s">
        <v>78</v>
      </c>
      <c r="G716" s="1" t="s">
        <v>3202</v>
      </c>
      <c r="H716" s="1" t="s">
        <v>657</v>
      </c>
      <c r="I716" t="b">
        <f>COUNTIF(Estadísticas!I:I,'centraldecomunicacion.es'!H716)&gt;0</f>
        <v>0</v>
      </c>
    </row>
    <row r="717" spans="1:9" hidden="1">
      <c r="A717" s="1" t="s">
        <v>3203</v>
      </c>
      <c r="B717" s="1" t="s">
        <v>24</v>
      </c>
      <c r="C717" s="1" t="s">
        <v>3204</v>
      </c>
      <c r="D717" s="1" t="s">
        <v>265</v>
      </c>
      <c r="E717" s="1" t="s">
        <v>265</v>
      </c>
      <c r="F717" s="1" t="s">
        <v>78</v>
      </c>
      <c r="G717" s="1" t="s">
        <v>3205</v>
      </c>
      <c r="H717" s="1" t="s">
        <v>657</v>
      </c>
      <c r="I717" t="b">
        <f>COUNTIF(Estadísticas!I:I,'centraldecomunicacion.es'!H717)&gt;0</f>
        <v>0</v>
      </c>
    </row>
    <row r="718" spans="1:9" hidden="1">
      <c r="A718" s="1" t="s">
        <v>3206</v>
      </c>
      <c r="B718" s="1" t="s">
        <v>24</v>
      </c>
      <c r="C718" s="1" t="s">
        <v>3207</v>
      </c>
      <c r="D718" s="1" t="s">
        <v>38</v>
      </c>
      <c r="E718" s="1" t="s">
        <v>38</v>
      </c>
      <c r="F718" s="1" t="s">
        <v>78</v>
      </c>
      <c r="G718" s="1" t="s">
        <v>3208</v>
      </c>
      <c r="H718" s="1" t="s">
        <v>657</v>
      </c>
      <c r="I718" t="b">
        <f>COUNTIF(Estadísticas!I:I,'centraldecomunicacion.es'!H718)&gt;0</f>
        <v>0</v>
      </c>
    </row>
    <row r="719" spans="1:9" hidden="1">
      <c r="A719" s="1" t="s">
        <v>3209</v>
      </c>
      <c r="B719" s="1" t="s">
        <v>24</v>
      </c>
      <c r="C719" s="1" t="s">
        <v>3210</v>
      </c>
      <c r="D719" s="1" t="s">
        <v>894</v>
      </c>
      <c r="E719" s="1" t="s">
        <v>38</v>
      </c>
      <c r="F719" s="1" t="s">
        <v>3211</v>
      </c>
      <c r="G719" s="1" t="s">
        <v>3212</v>
      </c>
      <c r="H719" s="1" t="s">
        <v>3213</v>
      </c>
      <c r="I719" t="b">
        <f>COUNTIF(Estadísticas!I:I,'centraldecomunicacion.es'!H719)&gt;0</f>
        <v>0</v>
      </c>
    </row>
    <row r="720" spans="1:9" hidden="1">
      <c r="A720" s="1" t="s">
        <v>3214</v>
      </c>
      <c r="B720" s="1" t="s">
        <v>24</v>
      </c>
      <c r="C720" s="1" t="s">
        <v>3215</v>
      </c>
      <c r="D720" s="1" t="s">
        <v>3216</v>
      </c>
      <c r="E720" s="1" t="s">
        <v>38</v>
      </c>
      <c r="F720" s="1" t="s">
        <v>78</v>
      </c>
      <c r="G720" s="1" t="s">
        <v>3217</v>
      </c>
      <c r="H720" s="1" t="s">
        <v>657</v>
      </c>
      <c r="I720" t="b">
        <f>COUNTIF(Estadísticas!I:I,'centraldecomunicacion.es'!H720)&gt;0</f>
        <v>0</v>
      </c>
    </row>
    <row r="721" spans="1:9" hidden="1">
      <c r="A721" s="1" t="s">
        <v>3218</v>
      </c>
      <c r="B721" s="1" t="s">
        <v>24</v>
      </c>
      <c r="C721" s="1" t="s">
        <v>3219</v>
      </c>
      <c r="D721" s="1" t="s">
        <v>277</v>
      </c>
      <c r="E721" s="1" t="s">
        <v>38</v>
      </c>
      <c r="F721" s="1" t="s">
        <v>3220</v>
      </c>
      <c r="G721" s="1" t="s">
        <v>3221</v>
      </c>
      <c r="H721" s="1" t="s">
        <v>3222</v>
      </c>
      <c r="I721" t="b">
        <f>COUNTIF(Estadísticas!I:I,'centraldecomunicacion.es'!H721)&gt;0</f>
        <v>0</v>
      </c>
    </row>
    <row r="722" spans="1:9" hidden="1">
      <c r="A722" s="1" t="s">
        <v>3223</v>
      </c>
      <c r="B722" s="1" t="s">
        <v>10</v>
      </c>
      <c r="C722" s="1" t="s">
        <v>3224</v>
      </c>
      <c r="D722" s="1" t="s">
        <v>277</v>
      </c>
      <c r="E722" s="1" t="s">
        <v>38</v>
      </c>
      <c r="F722" s="1" t="s">
        <v>3225</v>
      </c>
      <c r="G722" s="1" t="s">
        <v>3226</v>
      </c>
      <c r="H722" s="1" t="s">
        <v>3227</v>
      </c>
      <c r="I722" t="b">
        <f>COUNTIF(Estadísticas!I:I,'centraldecomunicacion.es'!H722)&gt;0</f>
        <v>0</v>
      </c>
    </row>
    <row r="723" spans="1:9">
      <c r="A723" s="1" t="s">
        <v>281</v>
      </c>
      <c r="B723" s="1" t="s">
        <v>10</v>
      </c>
      <c r="C723" s="1" t="s">
        <v>282</v>
      </c>
      <c r="D723" s="1" t="s">
        <v>283</v>
      </c>
      <c r="E723" s="1" t="s">
        <v>284</v>
      </c>
      <c r="F723" s="1" t="s">
        <v>285</v>
      </c>
      <c r="G723" s="1" t="s">
        <v>286</v>
      </c>
      <c r="H723" s="1" t="s">
        <v>287</v>
      </c>
      <c r="I723" t="b">
        <f>COUNTIF(Estadísticas!I:I,'centraldecomunicacion.es'!H723)&gt;0</f>
        <v>1</v>
      </c>
    </row>
    <row r="724" spans="1:9" hidden="1">
      <c r="A724" s="1" t="s">
        <v>3228</v>
      </c>
      <c r="B724" s="1" t="s">
        <v>10</v>
      </c>
      <c r="C724" s="1" t="s">
        <v>3229</v>
      </c>
      <c r="D724" s="1" t="s">
        <v>579</v>
      </c>
      <c r="E724" s="1" t="s">
        <v>38</v>
      </c>
      <c r="F724" s="1" t="s">
        <v>3230</v>
      </c>
      <c r="G724" s="1" t="s">
        <v>3231</v>
      </c>
      <c r="H724" s="1" t="s">
        <v>3232</v>
      </c>
      <c r="I724" t="b">
        <f>COUNTIF(Estadísticas!I:I,'centraldecomunicacion.es'!H724)&gt;0</f>
        <v>0</v>
      </c>
    </row>
    <row r="725" spans="1:9" hidden="1">
      <c r="A725" s="1" t="s">
        <v>3233</v>
      </c>
      <c r="B725" s="1" t="s">
        <v>24</v>
      </c>
      <c r="C725" s="1" t="s">
        <v>3234</v>
      </c>
      <c r="D725" s="1" t="s">
        <v>870</v>
      </c>
      <c r="E725" s="1" t="s">
        <v>38</v>
      </c>
      <c r="F725" s="1" t="s">
        <v>3235</v>
      </c>
      <c r="G725" s="1" t="s">
        <v>2686</v>
      </c>
      <c r="H725" s="1" t="s">
        <v>657</v>
      </c>
      <c r="I725" t="b">
        <f>COUNTIF(Estadísticas!I:I,'centraldecomunicacion.es'!H725)&gt;0</f>
        <v>0</v>
      </c>
    </row>
    <row r="726" spans="1:9">
      <c r="A726" s="1" t="s">
        <v>288</v>
      </c>
      <c r="B726" s="1" t="s">
        <v>36</v>
      </c>
      <c r="C726" s="1" t="s">
        <v>289</v>
      </c>
      <c r="D726" s="1" t="s">
        <v>38</v>
      </c>
      <c r="E726" s="1" t="s">
        <v>38</v>
      </c>
      <c r="F726" s="1" t="s">
        <v>290</v>
      </c>
      <c r="G726" s="1" t="s">
        <v>291</v>
      </c>
      <c r="H726" s="1" t="s">
        <v>292</v>
      </c>
      <c r="I726" t="b">
        <f>COUNTIF(Estadísticas!I:I,'centraldecomunicacion.es'!H726)&gt;0</f>
        <v>1</v>
      </c>
    </row>
    <row r="727" spans="1:9" hidden="1">
      <c r="A727" s="1" t="s">
        <v>3236</v>
      </c>
      <c r="B727" s="1" t="s">
        <v>10</v>
      </c>
      <c r="C727" s="1" t="s">
        <v>3237</v>
      </c>
      <c r="D727" s="1" t="s">
        <v>265</v>
      </c>
      <c r="E727" s="1" t="s">
        <v>265</v>
      </c>
      <c r="F727" s="1" t="s">
        <v>3238</v>
      </c>
      <c r="G727" s="1" t="s">
        <v>3239</v>
      </c>
      <c r="H727" s="1" t="s">
        <v>3240</v>
      </c>
      <c r="I727" t="b">
        <f>COUNTIF(Estadísticas!I:I,'centraldecomunicacion.es'!H727)&gt;0</f>
        <v>0</v>
      </c>
    </row>
    <row r="728" spans="1:9" hidden="1">
      <c r="A728" s="1" t="s">
        <v>3241</v>
      </c>
      <c r="B728" s="1" t="s">
        <v>24</v>
      </c>
      <c r="C728" s="1" t="s">
        <v>3242</v>
      </c>
      <c r="D728" s="1" t="s">
        <v>265</v>
      </c>
      <c r="E728" s="1" t="s">
        <v>265</v>
      </c>
      <c r="F728" s="1" t="s">
        <v>3243</v>
      </c>
      <c r="G728" s="1" t="s">
        <v>3244</v>
      </c>
      <c r="H728" s="1" t="s">
        <v>3245</v>
      </c>
      <c r="I728" t="b">
        <f>COUNTIF(Estadísticas!I:I,'centraldecomunicacion.es'!H728)&gt;0</f>
        <v>0</v>
      </c>
    </row>
    <row r="729" spans="1:9" hidden="1">
      <c r="A729" s="1" t="s">
        <v>3246</v>
      </c>
      <c r="B729" s="1" t="s">
        <v>10</v>
      </c>
      <c r="C729" s="1" t="s">
        <v>3247</v>
      </c>
      <c r="D729" s="1" t="s">
        <v>265</v>
      </c>
      <c r="E729" s="1" t="s">
        <v>265</v>
      </c>
      <c r="F729" s="1" t="s">
        <v>3248</v>
      </c>
      <c r="G729" s="1" t="s">
        <v>3249</v>
      </c>
      <c r="H729" s="1" t="s">
        <v>3250</v>
      </c>
      <c r="I729" t="b">
        <f>COUNTIF(Estadísticas!I:I,'centraldecomunicacion.es'!H729)&gt;0</f>
        <v>0</v>
      </c>
    </row>
    <row r="730" spans="1:9" hidden="1">
      <c r="A730" s="1" t="s">
        <v>3251</v>
      </c>
      <c r="B730" s="1" t="s">
        <v>10</v>
      </c>
      <c r="C730" s="1" t="s">
        <v>3252</v>
      </c>
      <c r="D730" s="1" t="s">
        <v>265</v>
      </c>
      <c r="E730" s="1" t="s">
        <v>265</v>
      </c>
      <c r="F730" s="1" t="s">
        <v>3253</v>
      </c>
      <c r="G730" s="1" t="s">
        <v>3254</v>
      </c>
      <c r="H730" s="1" t="s">
        <v>3255</v>
      </c>
      <c r="I730" t="b">
        <f>COUNTIF(Estadísticas!I:I,'centraldecomunicacion.es'!H730)&gt;0</f>
        <v>0</v>
      </c>
    </row>
    <row r="731" spans="1:9" hidden="1">
      <c r="A731" s="1" t="s">
        <v>3256</v>
      </c>
      <c r="B731" s="1" t="s">
        <v>24</v>
      </c>
      <c r="C731" s="1" t="s">
        <v>78</v>
      </c>
      <c r="D731" s="1" t="s">
        <v>3257</v>
      </c>
      <c r="E731" s="1" t="s">
        <v>78</v>
      </c>
      <c r="F731" s="1" t="s">
        <v>78</v>
      </c>
      <c r="G731" s="1" t="s">
        <v>3258</v>
      </c>
      <c r="H731" s="1" t="s">
        <v>657</v>
      </c>
      <c r="I731" t="b">
        <f>COUNTIF(Estadísticas!I:I,'centraldecomunicacion.es'!H731)&gt;0</f>
        <v>0</v>
      </c>
    </row>
    <row r="732" spans="1:9" hidden="1">
      <c r="A732" s="1" t="s">
        <v>3259</v>
      </c>
      <c r="B732" s="1" t="s">
        <v>24</v>
      </c>
      <c r="C732" s="1" t="s">
        <v>3260</v>
      </c>
      <c r="D732" s="1" t="s">
        <v>265</v>
      </c>
      <c r="E732" s="1" t="s">
        <v>265</v>
      </c>
      <c r="F732" s="1" t="s">
        <v>3261</v>
      </c>
      <c r="G732" s="1" t="s">
        <v>78</v>
      </c>
      <c r="H732" s="1" t="s">
        <v>657</v>
      </c>
      <c r="I732" t="b">
        <f>COUNTIF(Estadísticas!I:I,'centraldecomunicacion.es'!H732)&gt;0</f>
        <v>0</v>
      </c>
    </row>
    <row r="733" spans="1:9" hidden="1">
      <c r="A733" s="1" t="s">
        <v>3262</v>
      </c>
      <c r="B733" s="1" t="s">
        <v>24</v>
      </c>
      <c r="C733" s="1" t="s">
        <v>3263</v>
      </c>
      <c r="D733" s="1" t="s">
        <v>265</v>
      </c>
      <c r="E733" s="1" t="s">
        <v>265</v>
      </c>
      <c r="F733" s="1" t="s">
        <v>78</v>
      </c>
      <c r="G733" s="1" t="s">
        <v>78</v>
      </c>
      <c r="H733" s="1" t="s">
        <v>657</v>
      </c>
      <c r="I733" t="b">
        <f>COUNTIF(Estadísticas!I:I,'centraldecomunicacion.es'!H733)&gt;0</f>
        <v>0</v>
      </c>
    </row>
    <row r="734" spans="1:9" hidden="1">
      <c r="A734" s="1" t="s">
        <v>3264</v>
      </c>
      <c r="B734" s="1" t="s">
        <v>24</v>
      </c>
      <c r="C734" s="1" t="s">
        <v>3265</v>
      </c>
      <c r="D734" s="1" t="s">
        <v>265</v>
      </c>
      <c r="E734" s="1" t="s">
        <v>265</v>
      </c>
      <c r="F734" s="1" t="s">
        <v>78</v>
      </c>
      <c r="G734" s="1" t="s">
        <v>3266</v>
      </c>
      <c r="H734" s="1" t="s">
        <v>657</v>
      </c>
      <c r="I734" t="b">
        <f>COUNTIF(Estadísticas!I:I,'centraldecomunicacion.es'!H734)&gt;0</f>
        <v>0</v>
      </c>
    </row>
    <row r="735" spans="1:9" hidden="1">
      <c r="A735" s="1" t="s">
        <v>3267</v>
      </c>
      <c r="B735" s="1" t="s">
        <v>24</v>
      </c>
      <c r="C735" s="1" t="s">
        <v>3268</v>
      </c>
      <c r="D735" s="1" t="s">
        <v>3269</v>
      </c>
      <c r="E735" s="1" t="s">
        <v>265</v>
      </c>
      <c r="F735" s="1" t="s">
        <v>3253</v>
      </c>
      <c r="G735" s="1" t="s">
        <v>3254</v>
      </c>
      <c r="H735" s="1" t="s">
        <v>3255</v>
      </c>
      <c r="I735" t="b">
        <f>COUNTIF(Estadísticas!I:I,'centraldecomunicacion.es'!H735)&gt;0</f>
        <v>0</v>
      </c>
    </row>
    <row r="736" spans="1:9" hidden="1">
      <c r="A736" s="1" t="s">
        <v>3270</v>
      </c>
      <c r="B736" s="1" t="s">
        <v>24</v>
      </c>
      <c r="C736" s="1" t="s">
        <v>3271</v>
      </c>
      <c r="D736" s="1" t="s">
        <v>3269</v>
      </c>
      <c r="E736" s="1" t="s">
        <v>265</v>
      </c>
      <c r="F736" s="1" t="s">
        <v>78</v>
      </c>
      <c r="G736" s="1" t="s">
        <v>3272</v>
      </c>
      <c r="H736" s="1" t="s">
        <v>657</v>
      </c>
      <c r="I736" t="b">
        <f>COUNTIF(Estadísticas!I:I,'centraldecomunicacion.es'!H736)&gt;0</f>
        <v>0</v>
      </c>
    </row>
    <row r="737" spans="1:9" hidden="1">
      <c r="A737" s="1" t="s">
        <v>3251</v>
      </c>
      <c r="B737" s="1" t="s">
        <v>24</v>
      </c>
      <c r="C737" s="1" t="s">
        <v>3273</v>
      </c>
      <c r="D737" s="1" t="s">
        <v>3274</v>
      </c>
      <c r="E737" s="1" t="s">
        <v>265</v>
      </c>
      <c r="F737" s="1" t="s">
        <v>3253</v>
      </c>
      <c r="G737" s="1" t="s">
        <v>3254</v>
      </c>
      <c r="H737" s="1" t="s">
        <v>3255</v>
      </c>
      <c r="I737" t="b">
        <f>COUNTIF(Estadísticas!I:I,'centraldecomunicacion.es'!H737)&gt;0</f>
        <v>0</v>
      </c>
    </row>
    <row r="738" spans="1:9">
      <c r="A738" s="1" t="s">
        <v>293</v>
      </c>
      <c r="B738" s="1" t="s">
        <v>24</v>
      </c>
      <c r="C738" s="1" t="s">
        <v>294</v>
      </c>
      <c r="D738" s="1" t="s">
        <v>295</v>
      </c>
      <c r="E738" s="1" t="s">
        <v>295</v>
      </c>
      <c r="F738" s="1" t="s">
        <v>296</v>
      </c>
      <c r="G738" s="1" t="s">
        <v>297</v>
      </c>
      <c r="H738" s="1" t="s">
        <v>298</v>
      </c>
      <c r="I738" t="b">
        <f>COUNTIF(Estadísticas!I:I,'centraldecomunicacion.es'!H738)&gt;0</f>
        <v>1</v>
      </c>
    </row>
    <row r="739" spans="1:9" hidden="1">
      <c r="A739" s="1" t="s">
        <v>3275</v>
      </c>
      <c r="B739" s="1" t="s">
        <v>24</v>
      </c>
      <c r="C739" s="1" t="s">
        <v>3276</v>
      </c>
      <c r="D739" s="1" t="s">
        <v>295</v>
      </c>
      <c r="E739" s="1" t="s">
        <v>295</v>
      </c>
      <c r="F739" s="1" t="s">
        <v>3277</v>
      </c>
      <c r="G739" s="1" t="s">
        <v>3278</v>
      </c>
      <c r="H739" s="1" t="s">
        <v>657</v>
      </c>
      <c r="I739" t="b">
        <f>COUNTIF(Estadísticas!I:I,'centraldecomunicacion.es'!H739)&gt;0</f>
        <v>0</v>
      </c>
    </row>
    <row r="740" spans="1:9">
      <c r="A740" s="1" t="s">
        <v>299</v>
      </c>
      <c r="B740" s="1" t="s">
        <v>24</v>
      </c>
      <c r="C740" s="1" t="s">
        <v>300</v>
      </c>
      <c r="D740" s="1" t="s">
        <v>295</v>
      </c>
      <c r="E740" s="1" t="s">
        <v>295</v>
      </c>
      <c r="F740" s="1" t="s">
        <v>301</v>
      </c>
      <c r="G740" s="1" t="s">
        <v>302</v>
      </c>
      <c r="H740" s="1" t="s">
        <v>303</v>
      </c>
      <c r="I740" t="b">
        <f>COUNTIF(Estadísticas!I:I,'centraldecomunicacion.es'!H740)&gt;0</f>
        <v>1</v>
      </c>
    </row>
    <row r="741" spans="1:9" hidden="1">
      <c r="A741" s="1" t="s">
        <v>3279</v>
      </c>
      <c r="B741" s="1" t="s">
        <v>24</v>
      </c>
      <c r="C741" s="1" t="s">
        <v>3280</v>
      </c>
      <c r="D741" s="1" t="s">
        <v>295</v>
      </c>
      <c r="E741" s="1" t="s">
        <v>295</v>
      </c>
      <c r="F741" s="1" t="s">
        <v>78</v>
      </c>
      <c r="G741" s="1" t="s">
        <v>3281</v>
      </c>
      <c r="H741" s="1" t="s">
        <v>657</v>
      </c>
      <c r="I741" t="b">
        <f>COUNTIF(Estadísticas!I:I,'centraldecomunicacion.es'!H741)&gt;0</f>
        <v>0</v>
      </c>
    </row>
    <row r="742" spans="1:9" hidden="1">
      <c r="A742" s="1" t="s">
        <v>3282</v>
      </c>
      <c r="B742" s="1" t="s">
        <v>24</v>
      </c>
      <c r="C742" s="1" t="s">
        <v>3283</v>
      </c>
      <c r="D742" s="1" t="s">
        <v>295</v>
      </c>
      <c r="E742" s="1" t="s">
        <v>295</v>
      </c>
      <c r="F742" s="1" t="s">
        <v>78</v>
      </c>
      <c r="G742" s="1" t="s">
        <v>3284</v>
      </c>
      <c r="H742" s="1" t="s">
        <v>657</v>
      </c>
      <c r="I742" t="b">
        <f>COUNTIF(Estadísticas!I:I,'centraldecomunicacion.es'!H742)&gt;0</f>
        <v>0</v>
      </c>
    </row>
    <row r="743" spans="1:9">
      <c r="A743" s="1" t="s">
        <v>3285</v>
      </c>
      <c r="B743" s="1" t="s">
        <v>10</v>
      </c>
      <c r="C743" s="1" t="s">
        <v>3286</v>
      </c>
      <c r="D743" s="1" t="s">
        <v>264</v>
      </c>
      <c r="E743" s="1" t="s">
        <v>265</v>
      </c>
      <c r="F743" s="1" t="s">
        <v>301</v>
      </c>
      <c r="G743" s="1" t="s">
        <v>3287</v>
      </c>
      <c r="H743" s="1" t="s">
        <v>303</v>
      </c>
      <c r="I743" t="b">
        <f>COUNTIF(Estadísticas!I:I,'centraldecomunicacion.es'!H743)&gt;0</f>
        <v>1</v>
      </c>
    </row>
    <row r="744" spans="1:9" hidden="1">
      <c r="A744" s="1" t="s">
        <v>3288</v>
      </c>
      <c r="B744" s="1" t="s">
        <v>24</v>
      </c>
      <c r="C744" s="1" t="s">
        <v>3289</v>
      </c>
      <c r="D744" s="1" t="s">
        <v>3127</v>
      </c>
      <c r="E744" s="1" t="s">
        <v>3127</v>
      </c>
      <c r="F744" s="1" t="s">
        <v>3290</v>
      </c>
      <c r="G744" s="1" t="s">
        <v>3291</v>
      </c>
      <c r="H744" s="1" t="s">
        <v>657</v>
      </c>
      <c r="I744" t="b">
        <f>COUNTIF(Estadísticas!I:I,'centraldecomunicacion.es'!H744)&gt;0</f>
        <v>0</v>
      </c>
    </row>
    <row r="745" spans="1:9" hidden="1">
      <c r="A745" s="1" t="s">
        <v>3292</v>
      </c>
      <c r="B745" s="1" t="s">
        <v>24</v>
      </c>
      <c r="C745" s="1" t="s">
        <v>3293</v>
      </c>
      <c r="D745" s="1" t="s">
        <v>3294</v>
      </c>
      <c r="E745" s="1" t="s">
        <v>518</v>
      </c>
      <c r="F745" s="1" t="s">
        <v>3295</v>
      </c>
      <c r="G745" s="1" t="s">
        <v>3296</v>
      </c>
      <c r="H745" s="1" t="s">
        <v>657</v>
      </c>
      <c r="I745" t="b">
        <f>COUNTIF(Estadísticas!I:I,'centraldecomunicacion.es'!H745)&gt;0</f>
        <v>0</v>
      </c>
    </row>
    <row r="746" spans="1:9" hidden="1">
      <c r="A746" s="1" t="s">
        <v>3297</v>
      </c>
      <c r="B746" s="1" t="s">
        <v>10</v>
      </c>
      <c r="C746" s="1" t="s">
        <v>3298</v>
      </c>
      <c r="D746" s="1" t="s">
        <v>3299</v>
      </c>
      <c r="E746" s="1" t="s">
        <v>284</v>
      </c>
      <c r="F746" s="1" t="s">
        <v>3300</v>
      </c>
      <c r="G746" s="1" t="s">
        <v>3301</v>
      </c>
      <c r="H746" s="1" t="s">
        <v>3302</v>
      </c>
      <c r="I746" t="b">
        <f>COUNTIF(Estadísticas!I:I,'centraldecomunicacion.es'!H746)&gt;0</f>
        <v>0</v>
      </c>
    </row>
    <row r="747" spans="1:9" hidden="1">
      <c r="A747" s="1" t="s">
        <v>3303</v>
      </c>
      <c r="B747" s="1" t="s">
        <v>24</v>
      </c>
      <c r="C747" s="1" t="s">
        <v>3304</v>
      </c>
      <c r="D747" s="1" t="s">
        <v>284</v>
      </c>
      <c r="E747" s="1" t="s">
        <v>284</v>
      </c>
      <c r="F747" s="1" t="s">
        <v>3305</v>
      </c>
      <c r="G747" s="1" t="s">
        <v>3306</v>
      </c>
      <c r="H747" s="1" t="s">
        <v>3307</v>
      </c>
      <c r="I747" t="b">
        <f>COUNTIF(Estadísticas!I:I,'centraldecomunicacion.es'!H747)&gt;0</f>
        <v>0</v>
      </c>
    </row>
    <row r="748" spans="1:9" hidden="1">
      <c r="A748" s="1" t="s">
        <v>3308</v>
      </c>
      <c r="B748" s="1" t="s">
        <v>24</v>
      </c>
      <c r="C748" s="1" t="s">
        <v>3309</v>
      </c>
      <c r="D748" s="1" t="s">
        <v>284</v>
      </c>
      <c r="E748" s="1" t="s">
        <v>284</v>
      </c>
      <c r="F748" s="1" t="s">
        <v>3310</v>
      </c>
      <c r="G748" s="1" t="s">
        <v>3311</v>
      </c>
      <c r="H748" s="1" t="s">
        <v>657</v>
      </c>
      <c r="I748" t="b">
        <f>COUNTIF(Estadísticas!I:I,'centraldecomunicacion.es'!H748)&gt;0</f>
        <v>0</v>
      </c>
    </row>
    <row r="749" spans="1:9" hidden="1">
      <c r="A749" s="1" t="s">
        <v>3312</v>
      </c>
      <c r="B749" s="1" t="s">
        <v>24</v>
      </c>
      <c r="C749" s="1" t="s">
        <v>3313</v>
      </c>
      <c r="D749" s="1" t="s">
        <v>284</v>
      </c>
      <c r="E749" s="1" t="s">
        <v>284</v>
      </c>
      <c r="F749" s="1" t="s">
        <v>3314</v>
      </c>
      <c r="G749" s="1" t="s">
        <v>3315</v>
      </c>
      <c r="H749" s="1" t="s">
        <v>3316</v>
      </c>
      <c r="I749" t="b">
        <f>COUNTIF(Estadísticas!I:I,'centraldecomunicacion.es'!H749)&gt;0</f>
        <v>0</v>
      </c>
    </row>
    <row r="750" spans="1:9">
      <c r="A750" s="1" t="s">
        <v>304</v>
      </c>
      <c r="B750" s="1" t="s">
        <v>24</v>
      </c>
      <c r="C750" s="1" t="s">
        <v>305</v>
      </c>
      <c r="D750" s="1" t="s">
        <v>284</v>
      </c>
      <c r="E750" s="1" t="s">
        <v>284</v>
      </c>
      <c r="F750" s="1" t="s">
        <v>306</v>
      </c>
      <c r="G750" s="1" t="s">
        <v>307</v>
      </c>
      <c r="H750" s="1" t="s">
        <v>308</v>
      </c>
      <c r="I750" t="b">
        <f>COUNTIF(Estadísticas!I:I,'centraldecomunicacion.es'!H750)&gt;0</f>
        <v>1</v>
      </c>
    </row>
    <row r="751" spans="1:9" hidden="1">
      <c r="A751" s="1" t="s">
        <v>3317</v>
      </c>
      <c r="B751" s="1" t="s">
        <v>10</v>
      </c>
      <c r="C751" s="1" t="s">
        <v>3318</v>
      </c>
      <c r="D751" s="1" t="s">
        <v>284</v>
      </c>
      <c r="E751" s="1" t="s">
        <v>284</v>
      </c>
      <c r="F751" s="1" t="s">
        <v>3319</v>
      </c>
      <c r="G751" s="1" t="s">
        <v>3320</v>
      </c>
      <c r="H751" s="1" t="s">
        <v>3321</v>
      </c>
      <c r="I751" t="b">
        <f>COUNTIF(Estadísticas!I:I,'centraldecomunicacion.es'!H751)&gt;0</f>
        <v>0</v>
      </c>
    </row>
    <row r="752" spans="1:9" hidden="1">
      <c r="A752" s="1" t="s">
        <v>3322</v>
      </c>
      <c r="B752" s="1" t="s">
        <v>24</v>
      </c>
      <c r="C752" s="1" t="s">
        <v>3323</v>
      </c>
      <c r="D752" s="1" t="s">
        <v>284</v>
      </c>
      <c r="E752" s="1" t="s">
        <v>284</v>
      </c>
      <c r="F752" s="1" t="s">
        <v>3324</v>
      </c>
      <c r="G752" s="1" t="s">
        <v>3325</v>
      </c>
      <c r="H752" s="1" t="s">
        <v>657</v>
      </c>
      <c r="I752" t="b">
        <f>COUNTIF(Estadísticas!I:I,'centraldecomunicacion.es'!H752)&gt;0</f>
        <v>0</v>
      </c>
    </row>
    <row r="753" spans="1:9" hidden="1">
      <c r="A753" s="1" t="s">
        <v>3326</v>
      </c>
      <c r="B753" s="1" t="s">
        <v>10</v>
      </c>
      <c r="C753" s="1" t="s">
        <v>78</v>
      </c>
      <c r="D753" s="1" t="s">
        <v>363</v>
      </c>
      <c r="E753" s="1" t="s">
        <v>78</v>
      </c>
      <c r="F753" s="1" t="s">
        <v>3327</v>
      </c>
      <c r="G753" s="1" t="s">
        <v>1629</v>
      </c>
      <c r="H753" s="1" t="s">
        <v>3328</v>
      </c>
      <c r="I753" t="b">
        <f>COUNTIF(Estadísticas!I:I,'centraldecomunicacion.es'!H753)&gt;0</f>
        <v>0</v>
      </c>
    </row>
    <row r="754" spans="1:9" hidden="1">
      <c r="A754" s="1" t="s">
        <v>3329</v>
      </c>
      <c r="B754" s="1" t="s">
        <v>24</v>
      </c>
      <c r="C754" s="1" t="s">
        <v>3330</v>
      </c>
      <c r="D754" s="1" t="s">
        <v>284</v>
      </c>
      <c r="E754" s="1" t="s">
        <v>284</v>
      </c>
      <c r="F754" s="1" t="s">
        <v>78</v>
      </c>
      <c r="G754" s="1" t="s">
        <v>3331</v>
      </c>
      <c r="H754" s="1" t="s">
        <v>657</v>
      </c>
      <c r="I754" t="b">
        <f>COUNTIF(Estadísticas!I:I,'centraldecomunicacion.es'!H754)&gt;0</f>
        <v>0</v>
      </c>
    </row>
    <row r="755" spans="1:9" hidden="1">
      <c r="A755" s="1" t="s">
        <v>3332</v>
      </c>
      <c r="B755" s="1" t="s">
        <v>10</v>
      </c>
      <c r="C755" s="1" t="s">
        <v>3333</v>
      </c>
      <c r="D755" s="1" t="s">
        <v>890</v>
      </c>
      <c r="E755" s="1" t="s">
        <v>284</v>
      </c>
      <c r="F755" s="1" t="s">
        <v>1619</v>
      </c>
      <c r="G755" s="1" t="s">
        <v>3334</v>
      </c>
      <c r="H755" s="1" t="s">
        <v>1621</v>
      </c>
      <c r="I755" t="b">
        <f>COUNTIF(Estadísticas!I:I,'centraldecomunicacion.es'!H755)&gt;0</f>
        <v>0</v>
      </c>
    </row>
    <row r="756" spans="1:9" hidden="1">
      <c r="A756" s="1" t="s">
        <v>3335</v>
      </c>
      <c r="B756" s="1" t="s">
        <v>10</v>
      </c>
      <c r="C756" s="1" t="s">
        <v>3336</v>
      </c>
      <c r="D756" s="1" t="s">
        <v>284</v>
      </c>
      <c r="E756" s="1" t="s">
        <v>284</v>
      </c>
      <c r="F756" s="1" t="s">
        <v>3337</v>
      </c>
      <c r="G756" s="1" t="s">
        <v>3338</v>
      </c>
      <c r="H756" s="1" t="s">
        <v>3339</v>
      </c>
      <c r="I756" t="b">
        <f>COUNTIF(Estadísticas!I:I,'centraldecomunicacion.es'!H756)&gt;0</f>
        <v>0</v>
      </c>
    </row>
    <row r="757" spans="1:9" hidden="1">
      <c r="A757" s="1" t="s">
        <v>3340</v>
      </c>
      <c r="B757" s="1" t="s">
        <v>24</v>
      </c>
      <c r="C757" s="1" t="s">
        <v>3341</v>
      </c>
      <c r="D757" s="1" t="s">
        <v>890</v>
      </c>
      <c r="E757" s="1" t="s">
        <v>284</v>
      </c>
      <c r="F757" s="1" t="s">
        <v>3342</v>
      </c>
      <c r="G757" s="1" t="s">
        <v>3343</v>
      </c>
      <c r="H757" s="1" t="s">
        <v>657</v>
      </c>
      <c r="I757" t="b">
        <f>COUNTIF(Estadísticas!I:I,'centraldecomunicacion.es'!H757)&gt;0</f>
        <v>0</v>
      </c>
    </row>
    <row r="758" spans="1:9" hidden="1">
      <c r="A758" s="1" t="s">
        <v>3344</v>
      </c>
      <c r="B758" s="1" t="s">
        <v>24</v>
      </c>
      <c r="C758" s="1" t="s">
        <v>3345</v>
      </c>
      <c r="D758" s="1" t="s">
        <v>284</v>
      </c>
      <c r="E758" s="1" t="s">
        <v>284</v>
      </c>
      <c r="F758" s="1" t="s">
        <v>3346</v>
      </c>
      <c r="G758" s="1" t="s">
        <v>3347</v>
      </c>
      <c r="H758" s="1" t="s">
        <v>3348</v>
      </c>
      <c r="I758" t="b">
        <f>COUNTIF(Estadísticas!I:I,'centraldecomunicacion.es'!H758)&gt;0</f>
        <v>0</v>
      </c>
    </row>
    <row r="759" spans="1:9" hidden="1">
      <c r="A759" s="1" t="s">
        <v>3349</v>
      </c>
      <c r="B759" s="1" t="s">
        <v>24</v>
      </c>
      <c r="C759" s="1" t="s">
        <v>3350</v>
      </c>
      <c r="D759" s="1" t="s">
        <v>284</v>
      </c>
      <c r="E759" s="1" t="s">
        <v>284</v>
      </c>
      <c r="F759" s="1" t="s">
        <v>3351</v>
      </c>
      <c r="G759" s="1" t="s">
        <v>3352</v>
      </c>
      <c r="H759" s="1" t="s">
        <v>3353</v>
      </c>
      <c r="I759" t="b">
        <f>COUNTIF(Estadísticas!I:I,'centraldecomunicacion.es'!H759)&gt;0</f>
        <v>0</v>
      </c>
    </row>
    <row r="760" spans="1:9" hidden="1">
      <c r="A760" s="1" t="s">
        <v>3354</v>
      </c>
      <c r="B760" s="1" t="s">
        <v>24</v>
      </c>
      <c r="C760" s="1" t="s">
        <v>3355</v>
      </c>
      <c r="D760" s="1" t="s">
        <v>284</v>
      </c>
      <c r="E760" s="1" t="s">
        <v>284</v>
      </c>
      <c r="F760" s="1" t="s">
        <v>78</v>
      </c>
      <c r="G760" s="1" t="s">
        <v>3356</v>
      </c>
      <c r="H760" s="1" t="s">
        <v>657</v>
      </c>
      <c r="I760" t="b">
        <f>COUNTIF(Estadísticas!I:I,'centraldecomunicacion.es'!H760)&gt;0</f>
        <v>0</v>
      </c>
    </row>
    <row r="761" spans="1:9" hidden="1">
      <c r="A761" s="1" t="s">
        <v>3357</v>
      </c>
      <c r="B761" s="1" t="s">
        <v>10</v>
      </c>
      <c r="C761" s="1" t="s">
        <v>3358</v>
      </c>
      <c r="D761" s="1" t="s">
        <v>284</v>
      </c>
      <c r="E761" s="1" t="s">
        <v>284</v>
      </c>
      <c r="F761" s="1" t="s">
        <v>3359</v>
      </c>
      <c r="G761" s="1" t="s">
        <v>3360</v>
      </c>
      <c r="H761" s="1" t="s">
        <v>3361</v>
      </c>
      <c r="I761" t="b">
        <f>COUNTIF(Estadísticas!I:I,'centraldecomunicacion.es'!H761)&gt;0</f>
        <v>0</v>
      </c>
    </row>
    <row r="762" spans="1:9" hidden="1">
      <c r="A762" s="1" t="s">
        <v>3362</v>
      </c>
      <c r="B762" s="1" t="s">
        <v>24</v>
      </c>
      <c r="C762" s="1" t="s">
        <v>3363</v>
      </c>
      <c r="D762" s="1" t="s">
        <v>284</v>
      </c>
      <c r="E762" s="1" t="s">
        <v>284</v>
      </c>
      <c r="F762" s="1" t="s">
        <v>78</v>
      </c>
      <c r="G762" s="1" t="s">
        <v>3301</v>
      </c>
      <c r="H762" s="1" t="s">
        <v>657</v>
      </c>
      <c r="I762" t="b">
        <f>COUNTIF(Estadísticas!I:I,'centraldecomunicacion.es'!H762)&gt;0</f>
        <v>0</v>
      </c>
    </row>
    <row r="763" spans="1:9" hidden="1">
      <c r="A763" s="1" t="s">
        <v>3364</v>
      </c>
      <c r="B763" s="1" t="s">
        <v>10</v>
      </c>
      <c r="C763" s="1" t="s">
        <v>3365</v>
      </c>
      <c r="D763" s="1" t="s">
        <v>284</v>
      </c>
      <c r="E763" s="1" t="s">
        <v>284</v>
      </c>
      <c r="F763" s="1" t="s">
        <v>78</v>
      </c>
      <c r="G763" s="1" t="s">
        <v>3366</v>
      </c>
      <c r="H763" s="1" t="s">
        <v>657</v>
      </c>
      <c r="I763" t="b">
        <f>COUNTIF(Estadísticas!I:I,'centraldecomunicacion.es'!H763)&gt;0</f>
        <v>0</v>
      </c>
    </row>
    <row r="764" spans="1:9" hidden="1">
      <c r="A764" s="1" t="s">
        <v>3367</v>
      </c>
      <c r="B764" s="1" t="s">
        <v>24</v>
      </c>
      <c r="C764" s="1" t="s">
        <v>3368</v>
      </c>
      <c r="D764" s="1" t="s">
        <v>284</v>
      </c>
      <c r="E764" s="1" t="s">
        <v>284</v>
      </c>
      <c r="F764" s="1" t="s">
        <v>3369</v>
      </c>
      <c r="G764" s="1" t="s">
        <v>3370</v>
      </c>
      <c r="H764" s="1" t="s">
        <v>3371</v>
      </c>
      <c r="I764" t="b">
        <f>COUNTIF(Estadísticas!I:I,'centraldecomunicacion.es'!H764)&gt;0</f>
        <v>0</v>
      </c>
    </row>
    <row r="765" spans="1:9" hidden="1">
      <c r="A765" s="1" t="s">
        <v>3372</v>
      </c>
      <c r="B765" s="1" t="s">
        <v>10</v>
      </c>
      <c r="C765" s="1" t="s">
        <v>3373</v>
      </c>
      <c r="D765" s="1" t="s">
        <v>284</v>
      </c>
      <c r="E765" s="1" t="s">
        <v>284</v>
      </c>
      <c r="F765" s="1" t="s">
        <v>3374</v>
      </c>
      <c r="G765" s="1" t="s">
        <v>3375</v>
      </c>
      <c r="H765" s="1" t="s">
        <v>3376</v>
      </c>
      <c r="I765" t="b">
        <f>COUNTIF(Estadísticas!I:I,'centraldecomunicacion.es'!H765)&gt;0</f>
        <v>0</v>
      </c>
    </row>
    <row r="766" spans="1:9" hidden="1">
      <c r="A766" s="1" t="s">
        <v>3377</v>
      </c>
      <c r="B766" s="1" t="s">
        <v>24</v>
      </c>
      <c r="C766" s="1" t="s">
        <v>3378</v>
      </c>
      <c r="D766" s="1" t="s">
        <v>3379</v>
      </c>
      <c r="E766" s="1" t="s">
        <v>284</v>
      </c>
      <c r="F766" s="1" t="s">
        <v>3380</v>
      </c>
      <c r="G766" s="1" t="s">
        <v>3381</v>
      </c>
      <c r="H766" s="1" t="s">
        <v>657</v>
      </c>
      <c r="I766" t="b">
        <f>COUNTIF(Estadísticas!I:I,'centraldecomunicacion.es'!H766)&gt;0</f>
        <v>0</v>
      </c>
    </row>
    <row r="767" spans="1:9" hidden="1">
      <c r="A767" s="1" t="s">
        <v>3382</v>
      </c>
      <c r="B767" s="1" t="s">
        <v>24</v>
      </c>
      <c r="C767" s="1" t="s">
        <v>3383</v>
      </c>
      <c r="D767" s="1" t="s">
        <v>890</v>
      </c>
      <c r="E767" s="1" t="s">
        <v>284</v>
      </c>
      <c r="F767" s="1" t="s">
        <v>3384</v>
      </c>
      <c r="G767" s="1" t="s">
        <v>3385</v>
      </c>
      <c r="H767" s="1" t="s">
        <v>657</v>
      </c>
      <c r="I767" t="b">
        <f>COUNTIF(Estadísticas!I:I,'centraldecomunicacion.es'!H767)&gt;0</f>
        <v>0</v>
      </c>
    </row>
    <row r="768" spans="1:9" hidden="1">
      <c r="A768" s="1" t="s">
        <v>3386</v>
      </c>
      <c r="B768" s="1" t="s">
        <v>24</v>
      </c>
      <c r="C768" s="1" t="s">
        <v>3387</v>
      </c>
      <c r="D768" s="1" t="s">
        <v>890</v>
      </c>
      <c r="E768" s="1" t="s">
        <v>284</v>
      </c>
      <c r="F768" s="1" t="s">
        <v>3388</v>
      </c>
      <c r="G768" s="1" t="s">
        <v>3389</v>
      </c>
      <c r="H768" s="1" t="s">
        <v>3390</v>
      </c>
      <c r="I768" t="b">
        <f>COUNTIF(Estadísticas!I:I,'centraldecomunicacion.es'!H768)&gt;0</f>
        <v>0</v>
      </c>
    </row>
    <row r="769" spans="1:9" hidden="1">
      <c r="A769" s="1" t="s">
        <v>3391</v>
      </c>
      <c r="B769" s="1" t="s">
        <v>10</v>
      </c>
      <c r="C769" s="1" t="s">
        <v>3392</v>
      </c>
      <c r="D769" s="1" t="s">
        <v>3393</v>
      </c>
      <c r="E769" s="1" t="s">
        <v>284</v>
      </c>
      <c r="F769" s="1" t="s">
        <v>78</v>
      </c>
      <c r="G769" s="1" t="s">
        <v>3394</v>
      </c>
      <c r="H769" s="1" t="s">
        <v>657</v>
      </c>
      <c r="I769" t="b">
        <f>COUNTIF(Estadísticas!I:I,'centraldecomunicacion.es'!H769)&gt;0</f>
        <v>0</v>
      </c>
    </row>
    <row r="770" spans="1:9" hidden="1">
      <c r="A770" s="1" t="s">
        <v>3395</v>
      </c>
      <c r="B770" s="1" t="s">
        <v>10</v>
      </c>
      <c r="C770" s="1" t="s">
        <v>3396</v>
      </c>
      <c r="D770" s="1" t="s">
        <v>284</v>
      </c>
      <c r="E770" s="1" t="s">
        <v>284</v>
      </c>
      <c r="F770" s="1" t="s">
        <v>3397</v>
      </c>
      <c r="G770" s="1" t="s">
        <v>3398</v>
      </c>
      <c r="H770" s="1" t="s">
        <v>3399</v>
      </c>
      <c r="I770" t="b">
        <f>COUNTIF(Estadísticas!I:I,'centraldecomunicacion.es'!H770)&gt;0</f>
        <v>0</v>
      </c>
    </row>
    <row r="771" spans="1:9" hidden="1">
      <c r="A771" s="1" t="s">
        <v>3400</v>
      </c>
      <c r="B771" s="1" t="s">
        <v>24</v>
      </c>
      <c r="C771" s="1" t="s">
        <v>3401</v>
      </c>
      <c r="D771" s="1" t="s">
        <v>3402</v>
      </c>
      <c r="E771" s="1" t="s">
        <v>284</v>
      </c>
      <c r="F771" s="1" t="s">
        <v>3403</v>
      </c>
      <c r="G771" s="1" t="s">
        <v>3404</v>
      </c>
      <c r="H771" s="1" t="s">
        <v>657</v>
      </c>
      <c r="I771" t="b">
        <f>COUNTIF(Estadísticas!I:I,'centraldecomunicacion.es'!H771)&gt;0</f>
        <v>0</v>
      </c>
    </row>
    <row r="772" spans="1:9" hidden="1">
      <c r="A772" s="1" t="s">
        <v>3405</v>
      </c>
      <c r="B772" s="1" t="s">
        <v>10</v>
      </c>
      <c r="C772" s="1" t="s">
        <v>3406</v>
      </c>
      <c r="D772" s="1" t="s">
        <v>284</v>
      </c>
      <c r="E772" s="1" t="s">
        <v>284</v>
      </c>
      <c r="F772" s="1" t="s">
        <v>3407</v>
      </c>
      <c r="G772" s="1" t="s">
        <v>3408</v>
      </c>
      <c r="H772" s="1" t="s">
        <v>3409</v>
      </c>
      <c r="I772" t="b">
        <f>COUNTIF(Estadísticas!I:I,'centraldecomunicacion.es'!H772)&gt;0</f>
        <v>0</v>
      </c>
    </row>
    <row r="773" spans="1:9" hidden="1">
      <c r="A773" s="1" t="s">
        <v>3410</v>
      </c>
      <c r="B773" s="1" t="s">
        <v>24</v>
      </c>
      <c r="C773" s="1" t="s">
        <v>3411</v>
      </c>
      <c r="D773" s="1" t="s">
        <v>284</v>
      </c>
      <c r="E773" s="1" t="s">
        <v>284</v>
      </c>
      <c r="F773" s="1" t="s">
        <v>3412</v>
      </c>
      <c r="G773" s="1" t="s">
        <v>3413</v>
      </c>
      <c r="H773" s="1" t="s">
        <v>3414</v>
      </c>
      <c r="I773" t="b">
        <f>COUNTIF(Estadísticas!I:I,'centraldecomunicacion.es'!H773)&gt;0</f>
        <v>0</v>
      </c>
    </row>
    <row r="774" spans="1:9" hidden="1">
      <c r="A774" s="1" t="s">
        <v>3415</v>
      </c>
      <c r="B774" s="1" t="s">
        <v>24</v>
      </c>
      <c r="C774" s="1" t="s">
        <v>3416</v>
      </c>
      <c r="D774" s="1" t="s">
        <v>284</v>
      </c>
      <c r="E774" s="1" t="s">
        <v>284</v>
      </c>
      <c r="F774" s="1" t="s">
        <v>3417</v>
      </c>
      <c r="G774" s="1" t="s">
        <v>3418</v>
      </c>
      <c r="H774" s="1" t="s">
        <v>657</v>
      </c>
      <c r="I774" t="b">
        <f>COUNTIF(Estadísticas!I:I,'centraldecomunicacion.es'!H774)&gt;0</f>
        <v>0</v>
      </c>
    </row>
    <row r="775" spans="1:9">
      <c r="A775" s="1" t="s">
        <v>309</v>
      </c>
      <c r="B775" s="1" t="s">
        <v>24</v>
      </c>
      <c r="C775" s="1" t="s">
        <v>310</v>
      </c>
      <c r="D775" s="1" t="s">
        <v>284</v>
      </c>
      <c r="E775" s="1" t="s">
        <v>284</v>
      </c>
      <c r="F775" s="1" t="s">
        <v>311</v>
      </c>
      <c r="G775" s="1" t="s">
        <v>312</v>
      </c>
      <c r="H775" s="1" t="s">
        <v>313</v>
      </c>
      <c r="I775" t="b">
        <f>COUNTIF(Estadísticas!I:I,'centraldecomunicacion.es'!H775)&gt;0</f>
        <v>1</v>
      </c>
    </row>
    <row r="776" spans="1:9" hidden="1">
      <c r="A776" s="1" t="s">
        <v>3419</v>
      </c>
      <c r="B776" s="1" t="s">
        <v>24</v>
      </c>
      <c r="C776" s="1" t="s">
        <v>3420</v>
      </c>
      <c r="D776" s="1" t="s">
        <v>284</v>
      </c>
      <c r="E776" s="1" t="s">
        <v>284</v>
      </c>
      <c r="F776" s="1" t="s">
        <v>1104</v>
      </c>
      <c r="G776" s="1" t="s">
        <v>3421</v>
      </c>
      <c r="H776" s="1" t="s">
        <v>657</v>
      </c>
      <c r="I776" t="b">
        <f>COUNTIF(Estadísticas!I:I,'centraldecomunicacion.es'!H776)&gt;0</f>
        <v>0</v>
      </c>
    </row>
    <row r="777" spans="1:9" hidden="1">
      <c r="A777" s="1" t="s">
        <v>3422</v>
      </c>
      <c r="B777" s="1" t="s">
        <v>24</v>
      </c>
      <c r="C777" s="1" t="s">
        <v>78</v>
      </c>
      <c r="D777" s="1" t="s">
        <v>363</v>
      </c>
      <c r="E777" s="1" t="s">
        <v>78</v>
      </c>
      <c r="F777" s="1" t="s">
        <v>3423</v>
      </c>
      <c r="G777" s="1" t="s">
        <v>3424</v>
      </c>
      <c r="H777" s="1" t="s">
        <v>3425</v>
      </c>
      <c r="I777" t="b">
        <f>COUNTIF(Estadísticas!I:I,'centraldecomunicacion.es'!H777)&gt;0</f>
        <v>0</v>
      </c>
    </row>
    <row r="778" spans="1:9" hidden="1">
      <c r="A778" s="1" t="s">
        <v>3426</v>
      </c>
      <c r="B778" s="1" t="s">
        <v>24</v>
      </c>
      <c r="C778" s="1" t="s">
        <v>3427</v>
      </c>
      <c r="D778" s="1" t="s">
        <v>284</v>
      </c>
      <c r="E778" s="1" t="s">
        <v>284</v>
      </c>
      <c r="F778" s="1" t="s">
        <v>78</v>
      </c>
      <c r="G778" s="1" t="s">
        <v>3428</v>
      </c>
      <c r="H778" s="1" t="s">
        <v>657</v>
      </c>
      <c r="I778" t="b">
        <f>COUNTIF(Estadísticas!I:I,'centraldecomunicacion.es'!H778)&gt;0</f>
        <v>0</v>
      </c>
    </row>
    <row r="779" spans="1:9" hidden="1">
      <c r="A779" s="1" t="s">
        <v>3429</v>
      </c>
      <c r="B779" s="1" t="s">
        <v>24</v>
      </c>
      <c r="C779" s="1" t="s">
        <v>3430</v>
      </c>
      <c r="D779" s="1" t="s">
        <v>284</v>
      </c>
      <c r="E779" s="1" t="s">
        <v>284</v>
      </c>
      <c r="F779" s="1" t="s">
        <v>78</v>
      </c>
      <c r="G779" s="1" t="s">
        <v>3431</v>
      </c>
      <c r="H779" s="1" t="s">
        <v>657</v>
      </c>
      <c r="I779" t="b">
        <f>COUNTIF(Estadísticas!I:I,'centraldecomunicacion.es'!H779)&gt;0</f>
        <v>0</v>
      </c>
    </row>
    <row r="780" spans="1:9">
      <c r="A780" s="1" t="s">
        <v>314</v>
      </c>
      <c r="B780" s="1" t="s">
        <v>10</v>
      </c>
      <c r="C780" s="1" t="s">
        <v>315</v>
      </c>
      <c r="D780" s="1" t="s">
        <v>316</v>
      </c>
      <c r="E780" s="1" t="s">
        <v>284</v>
      </c>
      <c r="F780" s="1" t="s">
        <v>317</v>
      </c>
      <c r="G780" s="1" t="s">
        <v>318</v>
      </c>
      <c r="H780" s="1" t="s">
        <v>319</v>
      </c>
      <c r="I780" t="b">
        <f>COUNTIF(Estadísticas!I:I,'centraldecomunicacion.es'!H780)&gt;0</f>
        <v>1</v>
      </c>
    </row>
    <row r="781" spans="1:9" hidden="1">
      <c r="A781" s="1" t="s">
        <v>3432</v>
      </c>
      <c r="B781" s="1" t="s">
        <v>10</v>
      </c>
      <c r="C781" s="1" t="s">
        <v>3433</v>
      </c>
      <c r="D781" s="1" t="s">
        <v>3434</v>
      </c>
      <c r="E781" s="1" t="s">
        <v>284</v>
      </c>
      <c r="F781" s="1" t="s">
        <v>3435</v>
      </c>
      <c r="G781" s="1" t="s">
        <v>3436</v>
      </c>
      <c r="H781" s="1" t="s">
        <v>657</v>
      </c>
      <c r="I781" t="b">
        <f>COUNTIF(Estadísticas!I:I,'centraldecomunicacion.es'!H781)&gt;0</f>
        <v>0</v>
      </c>
    </row>
    <row r="782" spans="1:9" hidden="1">
      <c r="A782" s="1" t="s">
        <v>3437</v>
      </c>
      <c r="B782" s="1" t="s">
        <v>10</v>
      </c>
      <c r="C782" s="1" t="s">
        <v>3438</v>
      </c>
      <c r="D782" s="1" t="s">
        <v>284</v>
      </c>
      <c r="E782" s="1" t="s">
        <v>284</v>
      </c>
      <c r="F782" s="1" t="s">
        <v>3439</v>
      </c>
      <c r="G782" s="1" t="s">
        <v>3440</v>
      </c>
      <c r="H782" s="1" t="s">
        <v>657</v>
      </c>
      <c r="I782" t="b">
        <f>COUNTIF(Estadísticas!I:I,'centraldecomunicacion.es'!H782)&gt;0</f>
        <v>0</v>
      </c>
    </row>
    <row r="783" spans="1:9" hidden="1">
      <c r="A783" s="1" t="s">
        <v>3441</v>
      </c>
      <c r="B783" s="1" t="s">
        <v>24</v>
      </c>
      <c r="C783" s="1" t="s">
        <v>3442</v>
      </c>
      <c r="D783" s="1" t="s">
        <v>284</v>
      </c>
      <c r="E783" s="1" t="s">
        <v>284</v>
      </c>
      <c r="F783" s="1" t="s">
        <v>3443</v>
      </c>
      <c r="G783" s="1" t="s">
        <v>3444</v>
      </c>
      <c r="H783" s="1" t="s">
        <v>3445</v>
      </c>
      <c r="I783" t="b">
        <f>COUNTIF(Estadísticas!I:I,'centraldecomunicacion.es'!H783)&gt;0</f>
        <v>0</v>
      </c>
    </row>
    <row r="784" spans="1:9" hidden="1">
      <c r="A784" s="1" t="s">
        <v>3446</v>
      </c>
      <c r="B784" s="1" t="s">
        <v>24</v>
      </c>
      <c r="C784" s="1" t="s">
        <v>3447</v>
      </c>
      <c r="D784" s="1" t="s">
        <v>284</v>
      </c>
      <c r="E784" s="1" t="s">
        <v>284</v>
      </c>
      <c r="F784" s="1" t="s">
        <v>3448</v>
      </c>
      <c r="G784" s="1" t="s">
        <v>3449</v>
      </c>
      <c r="H784" s="1" t="s">
        <v>3450</v>
      </c>
      <c r="I784" t="b">
        <f>COUNTIF(Estadísticas!I:I,'centraldecomunicacion.es'!H784)&gt;0</f>
        <v>0</v>
      </c>
    </row>
    <row r="785" spans="1:9" hidden="1">
      <c r="A785" s="1" t="s">
        <v>3451</v>
      </c>
      <c r="B785" s="1" t="s">
        <v>24</v>
      </c>
      <c r="C785" s="1" t="s">
        <v>3452</v>
      </c>
      <c r="D785" s="1" t="s">
        <v>284</v>
      </c>
      <c r="E785" s="1" t="s">
        <v>284</v>
      </c>
      <c r="F785" s="1" t="s">
        <v>3453</v>
      </c>
      <c r="G785" s="1" t="s">
        <v>3454</v>
      </c>
      <c r="H785" s="1" t="s">
        <v>657</v>
      </c>
      <c r="I785" t="b">
        <f>COUNTIF(Estadísticas!I:I,'centraldecomunicacion.es'!H785)&gt;0</f>
        <v>0</v>
      </c>
    </row>
    <row r="786" spans="1:9" hidden="1">
      <c r="A786" s="1" t="s">
        <v>3455</v>
      </c>
      <c r="B786" s="1" t="s">
        <v>10</v>
      </c>
      <c r="C786" s="1" t="s">
        <v>3456</v>
      </c>
      <c r="D786" s="1" t="s">
        <v>890</v>
      </c>
      <c r="E786" s="1" t="s">
        <v>284</v>
      </c>
      <c r="F786" s="1" t="s">
        <v>3457</v>
      </c>
      <c r="G786" s="1" t="s">
        <v>3458</v>
      </c>
      <c r="H786" s="1" t="s">
        <v>657</v>
      </c>
      <c r="I786" t="b">
        <f>COUNTIF(Estadísticas!I:I,'centraldecomunicacion.es'!H786)&gt;0</f>
        <v>0</v>
      </c>
    </row>
    <row r="787" spans="1:9" hidden="1">
      <c r="A787" s="1" t="s">
        <v>3459</v>
      </c>
      <c r="B787" s="1" t="s">
        <v>24</v>
      </c>
      <c r="C787" s="1" t="s">
        <v>3460</v>
      </c>
      <c r="D787" s="1" t="s">
        <v>3393</v>
      </c>
      <c r="E787" s="1" t="s">
        <v>284</v>
      </c>
      <c r="F787" s="1" t="s">
        <v>3461</v>
      </c>
      <c r="G787" s="1" t="s">
        <v>3462</v>
      </c>
      <c r="H787" s="1" t="s">
        <v>3463</v>
      </c>
      <c r="I787" t="b">
        <f>COUNTIF(Estadísticas!I:I,'centraldecomunicacion.es'!H787)&gt;0</f>
        <v>0</v>
      </c>
    </row>
    <row r="788" spans="1:9" hidden="1">
      <c r="A788" s="1" t="s">
        <v>3464</v>
      </c>
      <c r="B788" s="1" t="s">
        <v>24</v>
      </c>
      <c r="C788" s="1" t="s">
        <v>3465</v>
      </c>
      <c r="D788" s="1" t="s">
        <v>284</v>
      </c>
      <c r="E788" s="1" t="s">
        <v>284</v>
      </c>
      <c r="F788" s="1" t="s">
        <v>3466</v>
      </c>
      <c r="G788" s="1" t="s">
        <v>3467</v>
      </c>
      <c r="H788" s="1" t="s">
        <v>657</v>
      </c>
      <c r="I788" t="b">
        <f>COUNTIF(Estadísticas!I:I,'centraldecomunicacion.es'!H788)&gt;0</f>
        <v>0</v>
      </c>
    </row>
    <row r="789" spans="1:9">
      <c r="A789" s="1" t="s">
        <v>320</v>
      </c>
      <c r="B789" s="1" t="s">
        <v>24</v>
      </c>
      <c r="C789" s="1" t="s">
        <v>321</v>
      </c>
      <c r="D789" s="1" t="s">
        <v>284</v>
      </c>
      <c r="E789" s="1" t="s">
        <v>284</v>
      </c>
      <c r="F789" s="1" t="s">
        <v>322</v>
      </c>
      <c r="G789" s="1" t="s">
        <v>323</v>
      </c>
      <c r="H789" s="1" t="s">
        <v>324</v>
      </c>
      <c r="I789" t="b">
        <f>COUNTIF(Estadísticas!I:I,'centraldecomunicacion.es'!H789)&gt;0</f>
        <v>1</v>
      </c>
    </row>
    <row r="790" spans="1:9" hidden="1">
      <c r="A790" s="1" t="s">
        <v>3468</v>
      </c>
      <c r="B790" s="1" t="s">
        <v>24</v>
      </c>
      <c r="C790" s="1" t="s">
        <v>3469</v>
      </c>
      <c r="D790" s="1" t="s">
        <v>284</v>
      </c>
      <c r="E790" s="1" t="s">
        <v>284</v>
      </c>
      <c r="F790" s="1" t="s">
        <v>3470</v>
      </c>
      <c r="G790" s="1" t="s">
        <v>3471</v>
      </c>
      <c r="H790" s="1" t="s">
        <v>3472</v>
      </c>
      <c r="I790" t="b">
        <f>COUNTIF(Estadísticas!I:I,'centraldecomunicacion.es'!H790)&gt;0</f>
        <v>0</v>
      </c>
    </row>
    <row r="791" spans="1:9" hidden="1">
      <c r="A791" s="1" t="s">
        <v>3473</v>
      </c>
      <c r="B791" s="1" t="s">
        <v>10</v>
      </c>
      <c r="C791" s="1" t="s">
        <v>3474</v>
      </c>
      <c r="D791" s="1" t="s">
        <v>3475</v>
      </c>
      <c r="E791" s="1" t="s">
        <v>284</v>
      </c>
      <c r="F791" s="1" t="s">
        <v>3346</v>
      </c>
      <c r="G791" s="1" t="s">
        <v>3347</v>
      </c>
      <c r="H791" s="1" t="s">
        <v>3348</v>
      </c>
      <c r="I791" t="b">
        <f>COUNTIF(Estadísticas!I:I,'centraldecomunicacion.es'!H791)&gt;0</f>
        <v>0</v>
      </c>
    </row>
    <row r="792" spans="1:9" hidden="1">
      <c r="A792" s="1" t="s">
        <v>3476</v>
      </c>
      <c r="B792" s="1" t="s">
        <v>24</v>
      </c>
      <c r="C792" s="1" t="s">
        <v>3477</v>
      </c>
      <c r="D792" s="1" t="s">
        <v>327</v>
      </c>
      <c r="E792" s="1" t="s">
        <v>284</v>
      </c>
      <c r="F792" s="1" t="s">
        <v>3374</v>
      </c>
      <c r="G792" s="1" t="s">
        <v>3375</v>
      </c>
      <c r="H792" s="1" t="s">
        <v>3376</v>
      </c>
      <c r="I792" t="b">
        <f>COUNTIF(Estadísticas!I:I,'centraldecomunicacion.es'!H792)&gt;0</f>
        <v>0</v>
      </c>
    </row>
    <row r="793" spans="1:9" hidden="1">
      <c r="A793" s="1" t="s">
        <v>3478</v>
      </c>
      <c r="B793" s="1" t="s">
        <v>10</v>
      </c>
      <c r="C793" s="1" t="s">
        <v>3479</v>
      </c>
      <c r="D793" s="1" t="s">
        <v>284</v>
      </c>
      <c r="E793" s="1" t="s">
        <v>284</v>
      </c>
      <c r="F793" s="1" t="s">
        <v>3480</v>
      </c>
      <c r="G793" s="1" t="s">
        <v>3481</v>
      </c>
      <c r="H793" s="1" t="s">
        <v>3482</v>
      </c>
      <c r="I793" t="b">
        <f>COUNTIF(Estadísticas!I:I,'centraldecomunicacion.es'!H793)&gt;0</f>
        <v>0</v>
      </c>
    </row>
    <row r="794" spans="1:9" hidden="1">
      <c r="A794" s="1" t="s">
        <v>3483</v>
      </c>
      <c r="B794" s="1" t="s">
        <v>24</v>
      </c>
      <c r="C794" s="1" t="s">
        <v>3484</v>
      </c>
      <c r="D794" s="1" t="s">
        <v>284</v>
      </c>
      <c r="E794" s="1" t="s">
        <v>284</v>
      </c>
      <c r="F794" s="1" t="s">
        <v>78</v>
      </c>
      <c r="G794" s="1" t="s">
        <v>3485</v>
      </c>
      <c r="H794" s="1" t="s">
        <v>657</v>
      </c>
      <c r="I794" t="b">
        <f>COUNTIF(Estadísticas!I:I,'centraldecomunicacion.es'!H794)&gt;0</f>
        <v>0</v>
      </c>
    </row>
    <row r="795" spans="1:9" hidden="1">
      <c r="A795" s="1" t="s">
        <v>3410</v>
      </c>
      <c r="B795" s="1" t="s">
        <v>10</v>
      </c>
      <c r="C795" s="1" t="s">
        <v>3486</v>
      </c>
      <c r="D795" s="1" t="s">
        <v>3475</v>
      </c>
      <c r="E795" s="1" t="s">
        <v>284</v>
      </c>
      <c r="F795" s="1" t="s">
        <v>3412</v>
      </c>
      <c r="G795" s="1" t="s">
        <v>3487</v>
      </c>
      <c r="H795" s="1" t="s">
        <v>3414</v>
      </c>
      <c r="I795" t="b">
        <f>COUNTIF(Estadísticas!I:I,'centraldecomunicacion.es'!H795)&gt;0</f>
        <v>0</v>
      </c>
    </row>
    <row r="796" spans="1:9" hidden="1">
      <c r="A796" s="1" t="s">
        <v>3488</v>
      </c>
      <c r="B796" s="1" t="s">
        <v>24</v>
      </c>
      <c r="C796" s="1" t="s">
        <v>3489</v>
      </c>
      <c r="D796" s="1" t="s">
        <v>284</v>
      </c>
      <c r="E796" s="1" t="s">
        <v>284</v>
      </c>
      <c r="F796" s="1" t="s">
        <v>3490</v>
      </c>
      <c r="G796" s="1" t="s">
        <v>3491</v>
      </c>
      <c r="H796" s="1" t="s">
        <v>2724</v>
      </c>
      <c r="I796" t="b">
        <f>COUNTIF(Estadísticas!I:I,'centraldecomunicacion.es'!H796)&gt;0</f>
        <v>0</v>
      </c>
    </row>
    <row r="797" spans="1:9" hidden="1">
      <c r="A797" s="1" t="s">
        <v>3344</v>
      </c>
      <c r="B797" s="1" t="s">
        <v>10</v>
      </c>
      <c r="C797" s="1" t="s">
        <v>3492</v>
      </c>
      <c r="D797" s="1" t="s">
        <v>284</v>
      </c>
      <c r="E797" s="1" t="s">
        <v>284</v>
      </c>
      <c r="F797" s="1" t="s">
        <v>3346</v>
      </c>
      <c r="G797" s="1" t="s">
        <v>3493</v>
      </c>
      <c r="H797" s="1" t="s">
        <v>3348</v>
      </c>
      <c r="I797" t="b">
        <f>COUNTIF(Estadísticas!I:I,'centraldecomunicacion.es'!H797)&gt;0</f>
        <v>0</v>
      </c>
    </row>
    <row r="798" spans="1:9" hidden="1">
      <c r="A798" s="1" t="s">
        <v>3494</v>
      </c>
      <c r="B798" s="1" t="s">
        <v>10</v>
      </c>
      <c r="C798" s="1" t="s">
        <v>3495</v>
      </c>
      <c r="D798" s="1" t="s">
        <v>327</v>
      </c>
      <c r="E798" s="1" t="s">
        <v>284</v>
      </c>
      <c r="F798" s="1" t="s">
        <v>3496</v>
      </c>
      <c r="G798" s="1" t="s">
        <v>3497</v>
      </c>
      <c r="H798" s="1" t="s">
        <v>657</v>
      </c>
      <c r="I798" t="b">
        <f>COUNTIF(Estadísticas!I:I,'centraldecomunicacion.es'!H798)&gt;0</f>
        <v>0</v>
      </c>
    </row>
    <row r="799" spans="1:9" hidden="1">
      <c r="A799" s="1" t="s">
        <v>3498</v>
      </c>
      <c r="B799" s="1" t="s">
        <v>24</v>
      </c>
      <c r="C799" s="1" t="s">
        <v>3499</v>
      </c>
      <c r="D799" s="1" t="s">
        <v>890</v>
      </c>
      <c r="E799" s="1" t="s">
        <v>284</v>
      </c>
      <c r="F799" s="1" t="s">
        <v>3500</v>
      </c>
      <c r="G799" s="1" t="s">
        <v>3501</v>
      </c>
      <c r="H799" s="1" t="s">
        <v>3502</v>
      </c>
      <c r="I799" t="b">
        <f>COUNTIF(Estadísticas!I:I,'centraldecomunicacion.es'!H799)&gt;0</f>
        <v>0</v>
      </c>
    </row>
    <row r="800" spans="1:9" hidden="1">
      <c r="A800" s="1" t="s">
        <v>3503</v>
      </c>
      <c r="B800" s="1" t="s">
        <v>10</v>
      </c>
      <c r="C800" s="1" t="s">
        <v>3504</v>
      </c>
      <c r="D800" s="1" t="s">
        <v>284</v>
      </c>
      <c r="E800" s="1" t="s">
        <v>284</v>
      </c>
      <c r="F800" s="1" t="s">
        <v>3505</v>
      </c>
      <c r="G800" s="1" t="s">
        <v>3506</v>
      </c>
      <c r="H800" s="1" t="s">
        <v>3507</v>
      </c>
      <c r="I800" t="b">
        <f>COUNTIF(Estadísticas!I:I,'centraldecomunicacion.es'!H800)&gt;0</f>
        <v>0</v>
      </c>
    </row>
    <row r="801" spans="1:9" hidden="1">
      <c r="A801" s="1" t="s">
        <v>3508</v>
      </c>
      <c r="B801" s="1" t="s">
        <v>10</v>
      </c>
      <c r="C801" s="1" t="s">
        <v>3509</v>
      </c>
      <c r="D801" s="1" t="s">
        <v>284</v>
      </c>
      <c r="E801" s="1" t="s">
        <v>284</v>
      </c>
      <c r="F801" s="1" t="s">
        <v>78</v>
      </c>
      <c r="G801" s="1" t="s">
        <v>3510</v>
      </c>
      <c r="H801" s="1" t="s">
        <v>657</v>
      </c>
      <c r="I801" t="b">
        <f>COUNTIF(Estadísticas!I:I,'centraldecomunicacion.es'!H801)&gt;0</f>
        <v>0</v>
      </c>
    </row>
    <row r="802" spans="1:9" hidden="1">
      <c r="A802" s="1" t="s">
        <v>3511</v>
      </c>
      <c r="B802" s="1" t="s">
        <v>10</v>
      </c>
      <c r="C802" s="1" t="s">
        <v>3512</v>
      </c>
      <c r="D802" s="1" t="s">
        <v>3513</v>
      </c>
      <c r="E802" s="1" t="s">
        <v>284</v>
      </c>
      <c r="F802" s="1" t="s">
        <v>3514</v>
      </c>
      <c r="G802" s="1" t="s">
        <v>3515</v>
      </c>
      <c r="H802" s="1" t="s">
        <v>3516</v>
      </c>
      <c r="I802" t="b">
        <f>COUNTIF(Estadísticas!I:I,'centraldecomunicacion.es'!H802)&gt;0</f>
        <v>0</v>
      </c>
    </row>
    <row r="803" spans="1:9" hidden="1">
      <c r="A803" s="1" t="s">
        <v>3517</v>
      </c>
      <c r="B803" s="1" t="s">
        <v>24</v>
      </c>
      <c r="C803" s="1" t="s">
        <v>3518</v>
      </c>
      <c r="D803" s="1" t="s">
        <v>3434</v>
      </c>
      <c r="E803" s="1" t="s">
        <v>284</v>
      </c>
      <c r="F803" s="1" t="s">
        <v>3519</v>
      </c>
      <c r="G803" s="1" t="s">
        <v>3520</v>
      </c>
      <c r="H803" s="1" t="s">
        <v>657</v>
      </c>
      <c r="I803" t="b">
        <f>COUNTIF(Estadísticas!I:I,'centraldecomunicacion.es'!H803)&gt;0</f>
        <v>0</v>
      </c>
    </row>
    <row r="804" spans="1:9" hidden="1">
      <c r="A804" s="1" t="s">
        <v>3521</v>
      </c>
      <c r="B804" s="1" t="s">
        <v>10</v>
      </c>
      <c r="C804" s="1" t="s">
        <v>3522</v>
      </c>
      <c r="D804" s="1" t="s">
        <v>890</v>
      </c>
      <c r="E804" s="1" t="s">
        <v>284</v>
      </c>
      <c r="F804" s="1" t="s">
        <v>3523</v>
      </c>
      <c r="G804" s="1" t="s">
        <v>3524</v>
      </c>
      <c r="H804" s="1" t="s">
        <v>3525</v>
      </c>
      <c r="I804" t="b">
        <f>COUNTIF(Estadísticas!I:I,'centraldecomunicacion.es'!H804)&gt;0</f>
        <v>0</v>
      </c>
    </row>
    <row r="805" spans="1:9" hidden="1">
      <c r="A805" s="1" t="s">
        <v>3526</v>
      </c>
      <c r="B805" s="1" t="s">
        <v>24</v>
      </c>
      <c r="C805" s="1" t="s">
        <v>3527</v>
      </c>
      <c r="D805" s="1" t="s">
        <v>284</v>
      </c>
      <c r="E805" s="1" t="s">
        <v>284</v>
      </c>
      <c r="F805" s="1" t="s">
        <v>78</v>
      </c>
      <c r="G805" s="1" t="s">
        <v>3528</v>
      </c>
      <c r="H805" s="1" t="s">
        <v>657</v>
      </c>
      <c r="I805" t="b">
        <f>COUNTIF(Estadísticas!I:I,'centraldecomunicacion.es'!H805)&gt;0</f>
        <v>0</v>
      </c>
    </row>
    <row r="806" spans="1:9" hidden="1">
      <c r="A806" s="1" t="s">
        <v>3529</v>
      </c>
      <c r="B806" s="1" t="s">
        <v>10</v>
      </c>
      <c r="C806" s="1" t="s">
        <v>3530</v>
      </c>
      <c r="D806" s="1" t="s">
        <v>327</v>
      </c>
      <c r="E806" s="1" t="s">
        <v>284</v>
      </c>
      <c r="F806" s="1" t="s">
        <v>3531</v>
      </c>
      <c r="G806" s="1" t="s">
        <v>3532</v>
      </c>
      <c r="H806" s="1" t="s">
        <v>3533</v>
      </c>
      <c r="I806" t="b">
        <f>COUNTIF(Estadísticas!I:I,'centraldecomunicacion.es'!H806)&gt;0</f>
        <v>0</v>
      </c>
    </row>
    <row r="807" spans="1:9" hidden="1">
      <c r="A807" s="1" t="s">
        <v>3534</v>
      </c>
      <c r="B807" s="1" t="s">
        <v>10</v>
      </c>
      <c r="C807" s="1" t="s">
        <v>3535</v>
      </c>
      <c r="D807" s="1" t="s">
        <v>333</v>
      </c>
      <c r="E807" s="1" t="s">
        <v>284</v>
      </c>
      <c r="F807" s="1" t="s">
        <v>78</v>
      </c>
      <c r="G807" s="1" t="s">
        <v>3301</v>
      </c>
      <c r="H807" s="1" t="s">
        <v>657</v>
      </c>
      <c r="I807" t="b">
        <f>COUNTIF(Estadísticas!I:I,'centraldecomunicacion.es'!H807)&gt;0</f>
        <v>0</v>
      </c>
    </row>
    <row r="808" spans="1:9" hidden="1">
      <c r="A808" s="1" t="s">
        <v>3536</v>
      </c>
      <c r="B808" s="1" t="s">
        <v>24</v>
      </c>
      <c r="C808" s="1" t="s">
        <v>3537</v>
      </c>
      <c r="D808" s="1" t="s">
        <v>890</v>
      </c>
      <c r="E808" s="1" t="s">
        <v>284</v>
      </c>
      <c r="F808" s="1" t="s">
        <v>3538</v>
      </c>
      <c r="G808" s="1" t="s">
        <v>3539</v>
      </c>
      <c r="H808" s="1" t="s">
        <v>3540</v>
      </c>
      <c r="I808" t="b">
        <f>COUNTIF(Estadísticas!I:I,'centraldecomunicacion.es'!H808)&gt;0</f>
        <v>0</v>
      </c>
    </row>
    <row r="809" spans="1:9" hidden="1">
      <c r="A809" s="1" t="s">
        <v>3541</v>
      </c>
      <c r="B809" s="1" t="s">
        <v>24</v>
      </c>
      <c r="C809" s="1" t="s">
        <v>3542</v>
      </c>
      <c r="D809" s="1" t="s">
        <v>284</v>
      </c>
      <c r="E809" s="1" t="s">
        <v>284</v>
      </c>
      <c r="F809" s="1" t="s">
        <v>3403</v>
      </c>
      <c r="G809" s="1" t="s">
        <v>3404</v>
      </c>
      <c r="H809" s="1" t="s">
        <v>657</v>
      </c>
      <c r="I809" t="b">
        <f>COUNTIF(Estadísticas!I:I,'centraldecomunicacion.es'!H809)&gt;0</f>
        <v>0</v>
      </c>
    </row>
    <row r="810" spans="1:9" hidden="1">
      <c r="A810" s="1" t="s">
        <v>3543</v>
      </c>
      <c r="B810" s="1" t="s">
        <v>10</v>
      </c>
      <c r="C810" s="1" t="s">
        <v>3544</v>
      </c>
      <c r="D810" s="1" t="s">
        <v>284</v>
      </c>
      <c r="E810" s="1" t="s">
        <v>284</v>
      </c>
      <c r="F810" s="1" t="s">
        <v>78</v>
      </c>
      <c r="G810" s="1" t="s">
        <v>3545</v>
      </c>
      <c r="H810" s="1" t="s">
        <v>657</v>
      </c>
      <c r="I810" t="b">
        <f>COUNTIF(Estadísticas!I:I,'centraldecomunicacion.es'!H810)&gt;0</f>
        <v>0</v>
      </c>
    </row>
    <row r="811" spans="1:9" hidden="1">
      <c r="A811" s="1" t="s">
        <v>3546</v>
      </c>
      <c r="B811" s="1" t="s">
        <v>24</v>
      </c>
      <c r="C811" s="1" t="s">
        <v>3547</v>
      </c>
      <c r="D811" s="1" t="s">
        <v>284</v>
      </c>
      <c r="E811" s="1" t="s">
        <v>284</v>
      </c>
      <c r="F811" s="1" t="s">
        <v>78</v>
      </c>
      <c r="G811" s="1" t="s">
        <v>78</v>
      </c>
      <c r="H811" s="1" t="s">
        <v>657</v>
      </c>
      <c r="I811" t="b">
        <f>COUNTIF(Estadísticas!I:I,'centraldecomunicacion.es'!H811)&gt;0</f>
        <v>0</v>
      </c>
    </row>
    <row r="812" spans="1:9" hidden="1">
      <c r="A812" s="1" t="s">
        <v>3548</v>
      </c>
      <c r="B812" s="1" t="s">
        <v>24</v>
      </c>
      <c r="C812" s="1" t="s">
        <v>3549</v>
      </c>
      <c r="D812" s="1" t="s">
        <v>3550</v>
      </c>
      <c r="E812" s="1" t="s">
        <v>284</v>
      </c>
      <c r="F812" s="1" t="s">
        <v>3551</v>
      </c>
      <c r="G812" s="1" t="s">
        <v>3552</v>
      </c>
      <c r="H812" s="1" t="s">
        <v>657</v>
      </c>
      <c r="I812" t="b">
        <f>COUNTIF(Estadísticas!I:I,'centraldecomunicacion.es'!H812)&gt;0</f>
        <v>0</v>
      </c>
    </row>
    <row r="813" spans="1:9">
      <c r="A813" s="1" t="s">
        <v>325</v>
      </c>
      <c r="B813" s="1" t="s">
        <v>24</v>
      </c>
      <c r="C813" s="1" t="s">
        <v>326</v>
      </c>
      <c r="D813" s="1" t="s">
        <v>327</v>
      </c>
      <c r="E813" s="1" t="s">
        <v>284</v>
      </c>
      <c r="F813" s="1" t="s">
        <v>328</v>
      </c>
      <c r="G813" s="1" t="s">
        <v>329</v>
      </c>
      <c r="H813" s="1" t="s">
        <v>330</v>
      </c>
      <c r="I813" t="b">
        <f>COUNTIF(Estadísticas!I:I,'centraldecomunicacion.es'!H813)&gt;0</f>
        <v>1</v>
      </c>
    </row>
    <row r="814" spans="1:9" hidden="1">
      <c r="A814" s="1" t="s">
        <v>3553</v>
      </c>
      <c r="B814" s="1" t="s">
        <v>10</v>
      </c>
      <c r="C814" s="1" t="s">
        <v>3554</v>
      </c>
      <c r="D814" s="1" t="s">
        <v>3434</v>
      </c>
      <c r="E814" s="1" t="s">
        <v>284</v>
      </c>
      <c r="F814" s="1" t="s">
        <v>3555</v>
      </c>
      <c r="G814" s="1" t="s">
        <v>3556</v>
      </c>
      <c r="H814" s="1" t="s">
        <v>3557</v>
      </c>
      <c r="I814" t="b">
        <f>COUNTIF(Estadísticas!I:I,'centraldecomunicacion.es'!H814)&gt;0</f>
        <v>0</v>
      </c>
    </row>
    <row r="815" spans="1:9" hidden="1">
      <c r="A815" s="1" t="s">
        <v>3558</v>
      </c>
      <c r="B815" s="1" t="s">
        <v>24</v>
      </c>
      <c r="C815" s="1" t="s">
        <v>3559</v>
      </c>
      <c r="D815" s="1" t="s">
        <v>284</v>
      </c>
      <c r="E815" s="1" t="s">
        <v>284</v>
      </c>
      <c r="F815" s="1" t="s">
        <v>3560</v>
      </c>
      <c r="G815" s="1" t="s">
        <v>3561</v>
      </c>
      <c r="H815" s="1" t="s">
        <v>3562</v>
      </c>
      <c r="I815" t="b">
        <f>COUNTIF(Estadísticas!I:I,'centraldecomunicacion.es'!H815)&gt;0</f>
        <v>0</v>
      </c>
    </row>
    <row r="816" spans="1:9" hidden="1">
      <c r="A816" s="1" t="s">
        <v>3563</v>
      </c>
      <c r="B816" s="1" t="s">
        <v>10</v>
      </c>
      <c r="C816" s="1" t="s">
        <v>3564</v>
      </c>
      <c r="D816" s="1" t="s">
        <v>3565</v>
      </c>
      <c r="E816" s="1" t="s">
        <v>284</v>
      </c>
      <c r="F816" s="1" t="s">
        <v>3566</v>
      </c>
      <c r="G816" s="1" t="s">
        <v>3567</v>
      </c>
      <c r="H816" s="1" t="s">
        <v>3568</v>
      </c>
      <c r="I816" t="b">
        <f>COUNTIF(Estadísticas!I:I,'centraldecomunicacion.es'!H816)&gt;0</f>
        <v>0</v>
      </c>
    </row>
    <row r="817" spans="1:9" hidden="1">
      <c r="A817" s="1" t="s">
        <v>3569</v>
      </c>
      <c r="B817" s="1" t="s">
        <v>24</v>
      </c>
      <c r="C817" s="1" t="s">
        <v>3570</v>
      </c>
      <c r="D817" s="1" t="s">
        <v>3434</v>
      </c>
      <c r="E817" s="1" t="s">
        <v>284</v>
      </c>
      <c r="F817" s="1" t="s">
        <v>3571</v>
      </c>
      <c r="G817" s="1" t="s">
        <v>3572</v>
      </c>
      <c r="H817" s="1" t="s">
        <v>3573</v>
      </c>
      <c r="I817" t="b">
        <f>COUNTIF(Estadísticas!I:I,'centraldecomunicacion.es'!H817)&gt;0</f>
        <v>0</v>
      </c>
    </row>
    <row r="818" spans="1:9" hidden="1">
      <c r="A818" s="1" t="s">
        <v>3574</v>
      </c>
      <c r="B818" s="1" t="s">
        <v>24</v>
      </c>
      <c r="C818" s="1" t="s">
        <v>3575</v>
      </c>
      <c r="D818" s="1" t="s">
        <v>284</v>
      </c>
      <c r="E818" s="1" t="s">
        <v>284</v>
      </c>
      <c r="F818" s="1" t="s">
        <v>78</v>
      </c>
      <c r="G818" s="1" t="s">
        <v>3576</v>
      </c>
      <c r="H818" s="1" t="s">
        <v>657</v>
      </c>
      <c r="I818" t="b">
        <f>COUNTIF(Estadísticas!I:I,'centraldecomunicacion.es'!H818)&gt;0</f>
        <v>0</v>
      </c>
    </row>
    <row r="819" spans="1:9" hidden="1">
      <c r="A819" s="1" t="s">
        <v>3577</v>
      </c>
      <c r="B819" s="1" t="s">
        <v>10</v>
      </c>
      <c r="C819" s="1" t="s">
        <v>3578</v>
      </c>
      <c r="D819" s="1" t="s">
        <v>284</v>
      </c>
      <c r="E819" s="1" t="s">
        <v>284</v>
      </c>
      <c r="F819" s="1" t="s">
        <v>1570</v>
      </c>
      <c r="G819" s="1" t="s">
        <v>1571</v>
      </c>
      <c r="H819" s="1" t="s">
        <v>1572</v>
      </c>
      <c r="I819" t="b">
        <f>COUNTIF(Estadísticas!I:I,'centraldecomunicacion.es'!H819)&gt;0</f>
        <v>0</v>
      </c>
    </row>
    <row r="820" spans="1:9" hidden="1">
      <c r="A820" s="1" t="s">
        <v>3579</v>
      </c>
      <c r="B820" s="1" t="s">
        <v>24</v>
      </c>
      <c r="C820" s="1" t="s">
        <v>3580</v>
      </c>
      <c r="D820" s="1" t="s">
        <v>284</v>
      </c>
      <c r="E820" s="1" t="s">
        <v>284</v>
      </c>
      <c r="F820" s="1" t="s">
        <v>3581</v>
      </c>
      <c r="G820" s="1" t="s">
        <v>3582</v>
      </c>
      <c r="H820" s="1" t="s">
        <v>3583</v>
      </c>
      <c r="I820" t="b">
        <f>COUNTIF(Estadísticas!I:I,'centraldecomunicacion.es'!H820)&gt;0</f>
        <v>0</v>
      </c>
    </row>
    <row r="821" spans="1:9" hidden="1">
      <c r="A821" s="1" t="s">
        <v>3584</v>
      </c>
      <c r="B821" s="1" t="s">
        <v>10</v>
      </c>
      <c r="C821" s="1" t="s">
        <v>3585</v>
      </c>
      <c r="D821" s="1" t="s">
        <v>3586</v>
      </c>
      <c r="E821" s="1" t="s">
        <v>284</v>
      </c>
      <c r="F821" s="1" t="s">
        <v>3566</v>
      </c>
      <c r="G821" s="1" t="s">
        <v>3587</v>
      </c>
      <c r="H821" s="1" t="s">
        <v>3568</v>
      </c>
      <c r="I821" t="b">
        <f>COUNTIF(Estadísticas!I:I,'centraldecomunicacion.es'!H821)&gt;0</f>
        <v>0</v>
      </c>
    </row>
    <row r="822" spans="1:9">
      <c r="A822" s="1" t="s">
        <v>331</v>
      </c>
      <c r="B822" s="1" t="s">
        <v>24</v>
      </c>
      <c r="C822" s="1" t="s">
        <v>332</v>
      </c>
      <c r="D822" s="1" t="s">
        <v>333</v>
      </c>
      <c r="E822" s="1" t="s">
        <v>284</v>
      </c>
      <c r="F822" s="1" t="s">
        <v>334</v>
      </c>
      <c r="G822" s="1" t="s">
        <v>335</v>
      </c>
      <c r="H822" s="1" t="s">
        <v>336</v>
      </c>
      <c r="I822" t="b">
        <f>COUNTIF(Estadísticas!I:I,'centraldecomunicacion.es'!H822)&gt;0</f>
        <v>1</v>
      </c>
    </row>
    <row r="823" spans="1:9" hidden="1">
      <c r="A823" s="1" t="s">
        <v>3588</v>
      </c>
      <c r="B823" s="1" t="s">
        <v>24</v>
      </c>
      <c r="C823" s="1" t="s">
        <v>78</v>
      </c>
      <c r="D823" s="1" t="s">
        <v>363</v>
      </c>
      <c r="E823" s="1" t="s">
        <v>78</v>
      </c>
      <c r="F823" s="1" t="s">
        <v>3589</v>
      </c>
      <c r="G823" s="1" t="s">
        <v>3590</v>
      </c>
      <c r="H823" s="1" t="s">
        <v>657</v>
      </c>
      <c r="I823" t="b">
        <f>COUNTIF(Estadísticas!I:I,'centraldecomunicacion.es'!H823)&gt;0</f>
        <v>0</v>
      </c>
    </row>
    <row r="824" spans="1:9" hidden="1">
      <c r="A824" s="1" t="s">
        <v>3591</v>
      </c>
      <c r="B824" s="1" t="s">
        <v>24</v>
      </c>
      <c r="C824" s="1" t="s">
        <v>3592</v>
      </c>
      <c r="D824" s="1" t="s">
        <v>284</v>
      </c>
      <c r="E824" s="1" t="s">
        <v>284</v>
      </c>
      <c r="F824" s="1" t="s">
        <v>3593</v>
      </c>
      <c r="G824" s="1" t="s">
        <v>3594</v>
      </c>
      <c r="H824" s="1" t="s">
        <v>3595</v>
      </c>
      <c r="I824" t="b">
        <f>COUNTIF(Estadísticas!I:I,'centraldecomunicacion.es'!H824)&gt;0</f>
        <v>0</v>
      </c>
    </row>
    <row r="825" spans="1:9">
      <c r="A825" s="1" t="s">
        <v>337</v>
      </c>
      <c r="B825" s="1" t="s">
        <v>24</v>
      </c>
      <c r="C825" s="1" t="s">
        <v>338</v>
      </c>
      <c r="D825" s="1" t="s">
        <v>284</v>
      </c>
      <c r="E825" s="1" t="s">
        <v>284</v>
      </c>
      <c r="F825" s="1" t="s">
        <v>339</v>
      </c>
      <c r="G825" s="1" t="s">
        <v>340</v>
      </c>
      <c r="H825" s="1" t="s">
        <v>341</v>
      </c>
      <c r="I825" t="b">
        <f>COUNTIF(Estadísticas!I:I,'centraldecomunicacion.es'!H825)&gt;0</f>
        <v>1</v>
      </c>
    </row>
    <row r="826" spans="1:9" hidden="1">
      <c r="A826" s="1" t="s">
        <v>3596</v>
      </c>
      <c r="B826" s="1" t="s">
        <v>10</v>
      </c>
      <c r="C826" s="1" t="s">
        <v>3597</v>
      </c>
      <c r="D826" s="1" t="s">
        <v>3475</v>
      </c>
      <c r="E826" s="1" t="s">
        <v>284</v>
      </c>
      <c r="F826" s="1" t="s">
        <v>3598</v>
      </c>
      <c r="G826" s="1" t="s">
        <v>3599</v>
      </c>
      <c r="H826" s="1" t="s">
        <v>3600</v>
      </c>
      <c r="I826" t="b">
        <f>COUNTIF(Estadísticas!I:I,'centraldecomunicacion.es'!H826)&gt;0</f>
        <v>0</v>
      </c>
    </row>
    <row r="827" spans="1:9" hidden="1">
      <c r="A827" s="1" t="s">
        <v>3601</v>
      </c>
      <c r="B827" s="1" t="s">
        <v>24</v>
      </c>
      <c r="C827" s="1" t="s">
        <v>3602</v>
      </c>
      <c r="D827" s="1" t="s">
        <v>327</v>
      </c>
      <c r="E827" s="1" t="s">
        <v>284</v>
      </c>
      <c r="F827" s="1" t="s">
        <v>78</v>
      </c>
      <c r="G827" s="1" t="s">
        <v>3603</v>
      </c>
      <c r="H827" s="1" t="s">
        <v>657</v>
      </c>
      <c r="I827" t="b">
        <f>COUNTIF(Estadísticas!I:I,'centraldecomunicacion.es'!H827)&gt;0</f>
        <v>0</v>
      </c>
    </row>
    <row r="828" spans="1:9" hidden="1">
      <c r="A828" s="1" t="s">
        <v>3604</v>
      </c>
      <c r="B828" s="1" t="s">
        <v>10</v>
      </c>
      <c r="C828" s="1" t="s">
        <v>3605</v>
      </c>
      <c r="D828" s="1" t="s">
        <v>333</v>
      </c>
      <c r="E828" s="1" t="s">
        <v>284</v>
      </c>
      <c r="F828" s="1" t="s">
        <v>3606</v>
      </c>
      <c r="G828" s="1" t="s">
        <v>3607</v>
      </c>
      <c r="H828" s="1" t="s">
        <v>657</v>
      </c>
      <c r="I828" t="b">
        <f>COUNTIF(Estadísticas!I:I,'centraldecomunicacion.es'!H828)&gt;0</f>
        <v>0</v>
      </c>
    </row>
    <row r="829" spans="1:9">
      <c r="A829" s="1" t="s">
        <v>342</v>
      </c>
      <c r="B829" s="1" t="s">
        <v>24</v>
      </c>
      <c r="C829" s="1" t="s">
        <v>343</v>
      </c>
      <c r="D829" s="1" t="s">
        <v>327</v>
      </c>
      <c r="E829" s="1" t="s">
        <v>284</v>
      </c>
      <c r="F829" s="1" t="s">
        <v>344</v>
      </c>
      <c r="G829" s="1" t="s">
        <v>345</v>
      </c>
      <c r="H829" s="1" t="s">
        <v>346</v>
      </c>
      <c r="I829" t="b">
        <f>COUNTIF(Estadísticas!I:I,'centraldecomunicacion.es'!H829)&gt;0</f>
        <v>1</v>
      </c>
    </row>
    <row r="830" spans="1:9" hidden="1">
      <c r="A830" s="1" t="s">
        <v>3608</v>
      </c>
      <c r="B830" s="1" t="s">
        <v>24</v>
      </c>
      <c r="C830" s="1" t="s">
        <v>3609</v>
      </c>
      <c r="D830" s="1" t="s">
        <v>284</v>
      </c>
      <c r="E830" s="1" t="s">
        <v>284</v>
      </c>
      <c r="F830" s="1" t="s">
        <v>3610</v>
      </c>
      <c r="G830" s="1" t="s">
        <v>3611</v>
      </c>
      <c r="H830" s="1" t="s">
        <v>3612</v>
      </c>
      <c r="I830" t="b">
        <f>COUNTIF(Estadísticas!I:I,'centraldecomunicacion.es'!H830)&gt;0</f>
        <v>0</v>
      </c>
    </row>
    <row r="831" spans="1:9" hidden="1">
      <c r="A831" s="1" t="s">
        <v>3613</v>
      </c>
      <c r="B831" s="1" t="s">
        <v>24</v>
      </c>
      <c r="C831" s="1" t="s">
        <v>3614</v>
      </c>
      <c r="D831" s="1" t="s">
        <v>3615</v>
      </c>
      <c r="E831" s="1" t="s">
        <v>284</v>
      </c>
      <c r="F831" s="1" t="s">
        <v>3616</v>
      </c>
      <c r="G831" s="1" t="s">
        <v>3617</v>
      </c>
      <c r="H831" s="1" t="s">
        <v>657</v>
      </c>
      <c r="I831" t="b">
        <f>COUNTIF(Estadísticas!I:I,'centraldecomunicacion.es'!H831)&gt;0</f>
        <v>0</v>
      </c>
    </row>
    <row r="832" spans="1:9" hidden="1">
      <c r="A832" s="1" t="s">
        <v>3618</v>
      </c>
      <c r="B832" s="1" t="s">
        <v>24</v>
      </c>
      <c r="C832" s="1" t="s">
        <v>3619</v>
      </c>
      <c r="D832" s="1" t="s">
        <v>284</v>
      </c>
      <c r="E832" s="1" t="s">
        <v>284</v>
      </c>
      <c r="F832" s="1" t="s">
        <v>3620</v>
      </c>
      <c r="G832" s="1" t="s">
        <v>3621</v>
      </c>
      <c r="H832" s="1" t="s">
        <v>3622</v>
      </c>
      <c r="I832" t="b">
        <f>COUNTIF(Estadísticas!I:I,'centraldecomunicacion.es'!H832)&gt;0</f>
        <v>0</v>
      </c>
    </row>
    <row r="833" spans="1:9" hidden="1">
      <c r="A833" s="1" t="s">
        <v>3623</v>
      </c>
      <c r="B833" s="1" t="s">
        <v>10</v>
      </c>
      <c r="C833" s="1" t="s">
        <v>3624</v>
      </c>
      <c r="D833" s="1" t="s">
        <v>327</v>
      </c>
      <c r="E833" s="1" t="s">
        <v>284</v>
      </c>
      <c r="F833" s="1" t="s">
        <v>3593</v>
      </c>
      <c r="G833" s="1" t="s">
        <v>3594</v>
      </c>
      <c r="H833" s="1" t="s">
        <v>3595</v>
      </c>
      <c r="I833" t="b">
        <f>COUNTIF(Estadísticas!I:I,'centraldecomunicacion.es'!H833)&gt;0</f>
        <v>0</v>
      </c>
    </row>
    <row r="834" spans="1:9" hidden="1">
      <c r="A834" s="1" t="s">
        <v>3625</v>
      </c>
      <c r="B834" s="1" t="s">
        <v>24</v>
      </c>
      <c r="C834" s="1" t="s">
        <v>3626</v>
      </c>
      <c r="D834" s="1" t="s">
        <v>327</v>
      </c>
      <c r="E834" s="1" t="s">
        <v>284</v>
      </c>
      <c r="F834" s="1" t="s">
        <v>3627</v>
      </c>
      <c r="G834" s="1" t="s">
        <v>3628</v>
      </c>
      <c r="H834" s="1" t="s">
        <v>3629</v>
      </c>
      <c r="I834" t="b">
        <f>COUNTIF(Estadísticas!I:I,'centraldecomunicacion.es'!H834)&gt;0</f>
        <v>0</v>
      </c>
    </row>
    <row r="835" spans="1:9" hidden="1">
      <c r="A835" s="1" t="s">
        <v>3630</v>
      </c>
      <c r="B835" s="1" t="s">
        <v>24</v>
      </c>
      <c r="C835" s="1" t="s">
        <v>3631</v>
      </c>
      <c r="D835" s="1" t="s">
        <v>890</v>
      </c>
      <c r="E835" s="1" t="s">
        <v>284</v>
      </c>
      <c r="F835" s="1" t="s">
        <v>78</v>
      </c>
      <c r="G835" s="1" t="s">
        <v>78</v>
      </c>
      <c r="H835" s="1" t="s">
        <v>657</v>
      </c>
      <c r="I835" t="b">
        <f>COUNTIF(Estadísticas!I:I,'centraldecomunicacion.es'!H835)&gt;0</f>
        <v>0</v>
      </c>
    </row>
    <row r="836" spans="1:9" hidden="1">
      <c r="A836" s="1" t="s">
        <v>3632</v>
      </c>
      <c r="B836" s="1" t="s">
        <v>10</v>
      </c>
      <c r="C836" s="1" t="s">
        <v>3633</v>
      </c>
      <c r="D836" s="1" t="s">
        <v>3299</v>
      </c>
      <c r="E836" s="1" t="s">
        <v>284</v>
      </c>
      <c r="F836" s="1" t="s">
        <v>3634</v>
      </c>
      <c r="G836" s="1" t="s">
        <v>3635</v>
      </c>
      <c r="H836" s="1" t="s">
        <v>3636</v>
      </c>
      <c r="I836" t="b">
        <f>COUNTIF(Estadísticas!I:I,'centraldecomunicacion.es'!H836)&gt;0</f>
        <v>0</v>
      </c>
    </row>
    <row r="837" spans="1:9" hidden="1">
      <c r="A837" s="1" t="s">
        <v>3637</v>
      </c>
      <c r="B837" s="1" t="s">
        <v>10</v>
      </c>
      <c r="C837" s="1" t="s">
        <v>3638</v>
      </c>
      <c r="D837" s="1" t="s">
        <v>284</v>
      </c>
      <c r="E837" s="1" t="s">
        <v>284</v>
      </c>
      <c r="F837" s="1" t="s">
        <v>3639</v>
      </c>
      <c r="G837" s="1" t="s">
        <v>3640</v>
      </c>
      <c r="H837" s="1" t="s">
        <v>3641</v>
      </c>
      <c r="I837" t="b">
        <f>COUNTIF(Estadísticas!I:I,'centraldecomunicacion.es'!H837)&gt;0</f>
        <v>0</v>
      </c>
    </row>
    <row r="838" spans="1:9" hidden="1">
      <c r="A838" s="1" t="s">
        <v>3642</v>
      </c>
      <c r="B838" s="1" t="s">
        <v>24</v>
      </c>
      <c r="C838" s="1" t="s">
        <v>3643</v>
      </c>
      <c r="D838" s="1" t="s">
        <v>284</v>
      </c>
      <c r="E838" s="1" t="s">
        <v>284</v>
      </c>
      <c r="F838" s="1" t="s">
        <v>3384</v>
      </c>
      <c r="G838" s="1" t="s">
        <v>3644</v>
      </c>
      <c r="H838" s="1" t="s">
        <v>657</v>
      </c>
      <c r="I838" t="b">
        <f>COUNTIF(Estadísticas!I:I,'centraldecomunicacion.es'!H838)&gt;0</f>
        <v>0</v>
      </c>
    </row>
    <row r="839" spans="1:9" hidden="1">
      <c r="A839" s="1" t="s">
        <v>3645</v>
      </c>
      <c r="B839" s="1" t="s">
        <v>24</v>
      </c>
      <c r="C839" s="1" t="s">
        <v>3646</v>
      </c>
      <c r="D839" s="1" t="s">
        <v>327</v>
      </c>
      <c r="E839" s="1" t="s">
        <v>284</v>
      </c>
      <c r="F839" s="1" t="s">
        <v>3647</v>
      </c>
      <c r="G839" s="1" t="s">
        <v>3648</v>
      </c>
      <c r="H839" s="1" t="s">
        <v>3649</v>
      </c>
      <c r="I839" t="b">
        <f>COUNTIF(Estadísticas!I:I,'centraldecomunicacion.es'!H839)&gt;0</f>
        <v>0</v>
      </c>
    </row>
    <row r="840" spans="1:9" hidden="1">
      <c r="A840" s="1" t="s">
        <v>3650</v>
      </c>
      <c r="B840" s="1" t="s">
        <v>10</v>
      </c>
      <c r="C840" s="1" t="s">
        <v>3651</v>
      </c>
      <c r="D840" s="1" t="s">
        <v>284</v>
      </c>
      <c r="E840" s="1" t="s">
        <v>284</v>
      </c>
      <c r="F840" s="1" t="s">
        <v>3652</v>
      </c>
      <c r="G840" s="1" t="s">
        <v>3653</v>
      </c>
      <c r="H840" s="1" t="s">
        <v>3654</v>
      </c>
      <c r="I840" t="b">
        <f>COUNTIF(Estadísticas!I:I,'centraldecomunicacion.es'!H840)&gt;0</f>
        <v>0</v>
      </c>
    </row>
    <row r="841" spans="1:9" hidden="1">
      <c r="A841" s="1" t="s">
        <v>3655</v>
      </c>
      <c r="B841" s="1" t="s">
        <v>10</v>
      </c>
      <c r="C841" s="1" t="s">
        <v>3656</v>
      </c>
      <c r="D841" s="1" t="s">
        <v>3586</v>
      </c>
      <c r="E841" s="1" t="s">
        <v>284</v>
      </c>
      <c r="F841" s="1" t="s">
        <v>78</v>
      </c>
      <c r="G841" s="1" t="s">
        <v>3657</v>
      </c>
      <c r="H841" s="1" t="s">
        <v>657</v>
      </c>
      <c r="I841" t="b">
        <f>COUNTIF(Estadísticas!I:I,'centraldecomunicacion.es'!H841)&gt;0</f>
        <v>0</v>
      </c>
    </row>
    <row r="842" spans="1:9" hidden="1">
      <c r="A842" s="1" t="s">
        <v>3658</v>
      </c>
      <c r="B842" s="1" t="s">
        <v>24</v>
      </c>
      <c r="C842" s="1" t="s">
        <v>3659</v>
      </c>
      <c r="D842" s="1" t="s">
        <v>284</v>
      </c>
      <c r="E842" s="1" t="s">
        <v>284</v>
      </c>
      <c r="F842" s="1" t="s">
        <v>78</v>
      </c>
      <c r="G842" s="1" t="s">
        <v>3660</v>
      </c>
      <c r="H842" s="1" t="s">
        <v>657</v>
      </c>
      <c r="I842" t="b">
        <f>COUNTIF(Estadísticas!I:I,'centraldecomunicacion.es'!H842)&gt;0</f>
        <v>0</v>
      </c>
    </row>
    <row r="843" spans="1:9" hidden="1">
      <c r="A843" s="1" t="s">
        <v>3661</v>
      </c>
      <c r="B843" s="1" t="s">
        <v>24</v>
      </c>
      <c r="C843" s="1" t="s">
        <v>3662</v>
      </c>
      <c r="D843" s="1" t="s">
        <v>284</v>
      </c>
      <c r="E843" s="1" t="s">
        <v>284</v>
      </c>
      <c r="F843" s="1" t="s">
        <v>3593</v>
      </c>
      <c r="G843" s="1" t="s">
        <v>3663</v>
      </c>
      <c r="H843" s="1" t="s">
        <v>3595</v>
      </c>
      <c r="I843" t="b">
        <f>COUNTIF(Estadísticas!I:I,'centraldecomunicacion.es'!H843)&gt;0</f>
        <v>0</v>
      </c>
    </row>
    <row r="844" spans="1:9">
      <c r="A844" s="1" t="s">
        <v>347</v>
      </c>
      <c r="B844" s="1" t="s">
        <v>24</v>
      </c>
      <c r="C844" s="1" t="s">
        <v>348</v>
      </c>
      <c r="D844" s="1" t="s">
        <v>284</v>
      </c>
      <c r="E844" s="1" t="s">
        <v>284</v>
      </c>
      <c r="F844" s="1" t="s">
        <v>349</v>
      </c>
      <c r="G844" s="1" t="s">
        <v>350</v>
      </c>
      <c r="H844" s="1" t="s">
        <v>351</v>
      </c>
      <c r="I844" t="b">
        <f>COUNTIF(Estadísticas!I:I,'centraldecomunicacion.es'!H844)&gt;0</f>
        <v>1</v>
      </c>
    </row>
    <row r="845" spans="1:9" hidden="1">
      <c r="A845" s="1" t="s">
        <v>3664</v>
      </c>
      <c r="B845" s="1" t="s">
        <v>10</v>
      </c>
      <c r="C845" s="1" t="s">
        <v>3665</v>
      </c>
      <c r="D845" s="1" t="s">
        <v>3666</v>
      </c>
      <c r="E845" s="1" t="s">
        <v>284</v>
      </c>
      <c r="F845" s="1" t="s">
        <v>3667</v>
      </c>
      <c r="G845" s="1" t="s">
        <v>3668</v>
      </c>
      <c r="H845" s="1" t="s">
        <v>3669</v>
      </c>
      <c r="I845" t="b">
        <f>COUNTIF(Estadísticas!I:I,'centraldecomunicacion.es'!H845)&gt;0</f>
        <v>0</v>
      </c>
    </row>
    <row r="846" spans="1:9">
      <c r="A846" s="1" t="s">
        <v>352</v>
      </c>
      <c r="B846" s="1" t="s">
        <v>10</v>
      </c>
      <c r="C846" s="1" t="s">
        <v>353</v>
      </c>
      <c r="D846" s="1" t="s">
        <v>284</v>
      </c>
      <c r="E846" s="1" t="s">
        <v>284</v>
      </c>
      <c r="F846" s="1" t="s">
        <v>354</v>
      </c>
      <c r="G846" s="1" t="s">
        <v>355</v>
      </c>
      <c r="H846" s="1" t="s">
        <v>356</v>
      </c>
      <c r="I846" t="b">
        <f>COUNTIF(Estadísticas!I:I,'centraldecomunicacion.es'!H846)&gt;0</f>
        <v>1</v>
      </c>
    </row>
    <row r="847" spans="1:9" hidden="1">
      <c r="A847" s="1" t="s">
        <v>3670</v>
      </c>
      <c r="B847" s="1" t="s">
        <v>10</v>
      </c>
      <c r="C847" s="1" t="s">
        <v>3671</v>
      </c>
      <c r="D847" s="1" t="s">
        <v>284</v>
      </c>
      <c r="E847" s="1" t="s">
        <v>284</v>
      </c>
      <c r="F847" s="1" t="s">
        <v>3672</v>
      </c>
      <c r="G847" s="1" t="s">
        <v>3673</v>
      </c>
      <c r="H847" s="1" t="s">
        <v>657</v>
      </c>
      <c r="I847" t="b">
        <f>COUNTIF(Estadísticas!I:I,'centraldecomunicacion.es'!H847)&gt;0</f>
        <v>0</v>
      </c>
    </row>
    <row r="848" spans="1:9" hidden="1">
      <c r="A848" s="1" t="s">
        <v>3674</v>
      </c>
      <c r="B848" s="1" t="s">
        <v>24</v>
      </c>
      <c r="C848" s="1" t="s">
        <v>3675</v>
      </c>
      <c r="D848" s="1" t="s">
        <v>284</v>
      </c>
      <c r="E848" s="1" t="s">
        <v>284</v>
      </c>
      <c r="F848" s="1" t="s">
        <v>3676</v>
      </c>
      <c r="G848" s="1" t="s">
        <v>3677</v>
      </c>
      <c r="H848" s="1" t="s">
        <v>3678</v>
      </c>
      <c r="I848" t="b">
        <f>COUNTIF(Estadísticas!I:I,'centraldecomunicacion.es'!H848)&gt;0</f>
        <v>0</v>
      </c>
    </row>
    <row r="849" spans="1:9">
      <c r="A849" s="1" t="s">
        <v>3679</v>
      </c>
      <c r="B849" s="1" t="s">
        <v>24</v>
      </c>
      <c r="C849" s="1" t="s">
        <v>3680</v>
      </c>
      <c r="D849" s="1" t="s">
        <v>284</v>
      </c>
      <c r="E849" s="1" t="s">
        <v>284</v>
      </c>
      <c r="F849" s="1" t="s">
        <v>27</v>
      </c>
      <c r="G849" s="1" t="s">
        <v>3681</v>
      </c>
      <c r="H849" s="1" t="s">
        <v>29</v>
      </c>
      <c r="I849" t="b">
        <f>COUNTIF(Estadísticas!I:I,'centraldecomunicacion.es'!H849)&gt;0</f>
        <v>1</v>
      </c>
    </row>
    <row r="850" spans="1:9" hidden="1">
      <c r="A850" s="1" t="s">
        <v>3682</v>
      </c>
      <c r="B850" s="1" t="s">
        <v>24</v>
      </c>
      <c r="C850" s="1" t="s">
        <v>3683</v>
      </c>
      <c r="D850" s="1" t="s">
        <v>284</v>
      </c>
      <c r="E850" s="1" t="s">
        <v>284</v>
      </c>
      <c r="F850" s="1" t="s">
        <v>78</v>
      </c>
      <c r="G850" s="1" t="s">
        <v>3684</v>
      </c>
      <c r="H850" s="1" t="s">
        <v>657</v>
      </c>
      <c r="I850" t="b">
        <f>COUNTIF(Estadísticas!I:I,'centraldecomunicacion.es'!H850)&gt;0</f>
        <v>0</v>
      </c>
    </row>
    <row r="851" spans="1:9" hidden="1">
      <c r="A851" s="1" t="s">
        <v>3685</v>
      </c>
      <c r="B851" s="1" t="s">
        <v>10</v>
      </c>
      <c r="C851" s="1" t="s">
        <v>3686</v>
      </c>
      <c r="D851" s="1" t="s">
        <v>284</v>
      </c>
      <c r="E851" s="1" t="s">
        <v>284</v>
      </c>
      <c r="F851" s="1" t="s">
        <v>3319</v>
      </c>
      <c r="G851" s="1" t="s">
        <v>3687</v>
      </c>
      <c r="H851" s="1" t="s">
        <v>3321</v>
      </c>
      <c r="I851" t="b">
        <f>COUNTIF(Estadísticas!I:I,'centraldecomunicacion.es'!H851)&gt;0</f>
        <v>0</v>
      </c>
    </row>
    <row r="852" spans="1:9" hidden="1">
      <c r="A852" s="1" t="s">
        <v>3688</v>
      </c>
      <c r="B852" s="1" t="s">
        <v>24</v>
      </c>
      <c r="C852" s="1" t="s">
        <v>3689</v>
      </c>
      <c r="D852" s="1" t="s">
        <v>284</v>
      </c>
      <c r="E852" s="1" t="s">
        <v>284</v>
      </c>
      <c r="F852" s="1" t="s">
        <v>3690</v>
      </c>
      <c r="G852" s="1" t="s">
        <v>78</v>
      </c>
      <c r="H852" s="1" t="s">
        <v>657</v>
      </c>
      <c r="I852" t="b">
        <f>COUNTIF(Estadísticas!I:I,'centraldecomunicacion.es'!H852)&gt;0</f>
        <v>0</v>
      </c>
    </row>
    <row r="853" spans="1:9" hidden="1">
      <c r="A853" s="1" t="s">
        <v>3691</v>
      </c>
      <c r="B853" s="1" t="s">
        <v>24</v>
      </c>
      <c r="C853" s="1" t="s">
        <v>3692</v>
      </c>
      <c r="D853" s="1" t="s">
        <v>3434</v>
      </c>
      <c r="E853" s="1" t="s">
        <v>284</v>
      </c>
      <c r="F853" s="1" t="s">
        <v>3693</v>
      </c>
      <c r="G853" s="1" t="s">
        <v>3694</v>
      </c>
      <c r="H853" s="1" t="s">
        <v>3695</v>
      </c>
      <c r="I853" t="b">
        <f>COUNTIF(Estadísticas!I:I,'centraldecomunicacion.es'!H853)&gt;0</f>
        <v>0</v>
      </c>
    </row>
    <row r="854" spans="1:9" hidden="1">
      <c r="A854" s="1" t="s">
        <v>3696</v>
      </c>
      <c r="B854" s="1" t="s">
        <v>24</v>
      </c>
      <c r="C854" s="1" t="s">
        <v>78</v>
      </c>
      <c r="D854" s="1" t="s">
        <v>363</v>
      </c>
      <c r="E854" s="1" t="s">
        <v>78</v>
      </c>
      <c r="F854" s="1" t="s">
        <v>3697</v>
      </c>
      <c r="G854" s="1" t="s">
        <v>3698</v>
      </c>
      <c r="H854" s="1" t="s">
        <v>657</v>
      </c>
      <c r="I854" t="b">
        <f>COUNTIF(Estadísticas!I:I,'centraldecomunicacion.es'!H854)&gt;0</f>
        <v>0</v>
      </c>
    </row>
    <row r="855" spans="1:9" hidden="1">
      <c r="A855" s="1" t="s">
        <v>3699</v>
      </c>
      <c r="B855" s="1" t="s">
        <v>24</v>
      </c>
      <c r="C855" s="1" t="s">
        <v>3700</v>
      </c>
      <c r="D855" s="1" t="s">
        <v>284</v>
      </c>
      <c r="E855" s="1" t="s">
        <v>284</v>
      </c>
      <c r="F855" s="1" t="s">
        <v>1067</v>
      </c>
      <c r="G855" s="1" t="s">
        <v>3701</v>
      </c>
      <c r="H855" s="1" t="s">
        <v>1069</v>
      </c>
      <c r="I855" t="b">
        <f>COUNTIF(Estadísticas!I:I,'centraldecomunicacion.es'!H855)&gt;0</f>
        <v>0</v>
      </c>
    </row>
    <row r="856" spans="1:9" hidden="1">
      <c r="A856" s="1" t="s">
        <v>3702</v>
      </c>
      <c r="B856" s="1" t="s">
        <v>24</v>
      </c>
      <c r="C856" s="1" t="s">
        <v>3703</v>
      </c>
      <c r="D856" s="1" t="s">
        <v>890</v>
      </c>
      <c r="E856" s="1" t="s">
        <v>284</v>
      </c>
      <c r="F856" s="1" t="s">
        <v>3704</v>
      </c>
      <c r="G856" s="1" t="s">
        <v>3705</v>
      </c>
      <c r="H856" s="1" t="s">
        <v>657</v>
      </c>
      <c r="I856" t="b">
        <f>COUNTIF(Estadísticas!I:I,'centraldecomunicacion.es'!H856)&gt;0</f>
        <v>0</v>
      </c>
    </row>
    <row r="857" spans="1:9" hidden="1">
      <c r="A857" s="1" t="s">
        <v>3706</v>
      </c>
      <c r="B857" s="1" t="s">
        <v>24</v>
      </c>
      <c r="C857" s="1" t="s">
        <v>3707</v>
      </c>
      <c r="D857" s="1" t="s">
        <v>284</v>
      </c>
      <c r="E857" s="1" t="s">
        <v>284</v>
      </c>
      <c r="F857" s="1" t="s">
        <v>78</v>
      </c>
      <c r="G857" s="1" t="s">
        <v>3708</v>
      </c>
      <c r="H857" s="1" t="s">
        <v>657</v>
      </c>
      <c r="I857" t="b">
        <f>COUNTIF(Estadísticas!I:I,'centraldecomunicacion.es'!H857)&gt;0</f>
        <v>0</v>
      </c>
    </row>
    <row r="858" spans="1:9" hidden="1">
      <c r="A858" s="1" t="s">
        <v>3709</v>
      </c>
      <c r="B858" s="1" t="s">
        <v>24</v>
      </c>
      <c r="C858" s="1" t="s">
        <v>3710</v>
      </c>
      <c r="D858" s="1" t="s">
        <v>284</v>
      </c>
      <c r="E858" s="1" t="s">
        <v>284</v>
      </c>
      <c r="F858" s="1" t="s">
        <v>78</v>
      </c>
      <c r="G858" s="1" t="s">
        <v>3711</v>
      </c>
      <c r="H858" s="1" t="s">
        <v>657</v>
      </c>
      <c r="I858" t="b">
        <f>COUNTIF(Estadísticas!I:I,'centraldecomunicacion.es'!H858)&gt;0</f>
        <v>0</v>
      </c>
    </row>
    <row r="859" spans="1:9" hidden="1">
      <c r="A859" s="1" t="s">
        <v>3712</v>
      </c>
      <c r="B859" s="1" t="s">
        <v>24</v>
      </c>
      <c r="C859" s="1" t="s">
        <v>3713</v>
      </c>
      <c r="D859" s="1" t="s">
        <v>890</v>
      </c>
      <c r="E859" s="1" t="s">
        <v>284</v>
      </c>
      <c r="F859" s="1" t="s">
        <v>78</v>
      </c>
      <c r="G859" s="1" t="s">
        <v>3714</v>
      </c>
      <c r="H859" s="1" t="s">
        <v>657</v>
      </c>
      <c r="I859" t="b">
        <f>COUNTIF(Estadísticas!I:I,'centraldecomunicacion.es'!H859)&gt;0</f>
        <v>0</v>
      </c>
    </row>
    <row r="860" spans="1:9" hidden="1">
      <c r="A860" s="1" t="s">
        <v>3715</v>
      </c>
      <c r="B860" s="1" t="s">
        <v>24</v>
      </c>
      <c r="C860" s="1" t="s">
        <v>3716</v>
      </c>
      <c r="D860" s="1" t="s">
        <v>284</v>
      </c>
      <c r="E860" s="1" t="s">
        <v>284</v>
      </c>
      <c r="F860" s="1" t="s">
        <v>3717</v>
      </c>
      <c r="G860" s="1" t="s">
        <v>3718</v>
      </c>
      <c r="H860" s="1" t="s">
        <v>3719</v>
      </c>
      <c r="I860" t="b">
        <f>COUNTIF(Estadísticas!I:I,'centraldecomunicacion.es'!H860)&gt;0</f>
        <v>0</v>
      </c>
    </row>
    <row r="861" spans="1:9" hidden="1">
      <c r="A861" s="1" t="s">
        <v>3720</v>
      </c>
      <c r="B861" s="1" t="s">
        <v>24</v>
      </c>
      <c r="C861" s="1" t="s">
        <v>3721</v>
      </c>
      <c r="D861" s="1" t="s">
        <v>890</v>
      </c>
      <c r="E861" s="1" t="s">
        <v>284</v>
      </c>
      <c r="F861" s="1" t="s">
        <v>78</v>
      </c>
      <c r="G861" s="1" t="s">
        <v>3722</v>
      </c>
      <c r="H861" s="1" t="s">
        <v>657</v>
      </c>
      <c r="I861" t="b">
        <f>COUNTIF(Estadísticas!I:I,'centraldecomunicacion.es'!H861)&gt;0</f>
        <v>0</v>
      </c>
    </row>
    <row r="862" spans="1:9" hidden="1">
      <c r="A862" s="1" t="s">
        <v>3723</v>
      </c>
      <c r="B862" s="1" t="s">
        <v>10</v>
      </c>
      <c r="C862" s="1" t="s">
        <v>3724</v>
      </c>
      <c r="D862" s="1" t="s">
        <v>3565</v>
      </c>
      <c r="E862" s="1" t="s">
        <v>284</v>
      </c>
      <c r="F862" s="1" t="s">
        <v>744</v>
      </c>
      <c r="G862" s="1" t="s">
        <v>3725</v>
      </c>
      <c r="H862" s="1" t="s">
        <v>746</v>
      </c>
      <c r="I862" t="b">
        <f>COUNTIF(Estadísticas!I:I,'centraldecomunicacion.es'!H862)&gt;0</f>
        <v>0</v>
      </c>
    </row>
    <row r="863" spans="1:9" hidden="1">
      <c r="A863" s="1" t="s">
        <v>3726</v>
      </c>
      <c r="B863" s="1" t="s">
        <v>10</v>
      </c>
      <c r="C863" s="1" t="s">
        <v>3727</v>
      </c>
      <c r="D863" s="1" t="s">
        <v>284</v>
      </c>
      <c r="E863" s="1" t="s">
        <v>284</v>
      </c>
      <c r="F863" s="1" t="s">
        <v>78</v>
      </c>
      <c r="G863" s="1" t="s">
        <v>3728</v>
      </c>
      <c r="H863" s="1" t="s">
        <v>657</v>
      </c>
      <c r="I863" t="b">
        <f>COUNTIF(Estadísticas!I:I,'centraldecomunicacion.es'!H863)&gt;0</f>
        <v>0</v>
      </c>
    </row>
    <row r="864" spans="1:9" hidden="1">
      <c r="A864" s="1" t="s">
        <v>3729</v>
      </c>
      <c r="B864" s="1" t="s">
        <v>24</v>
      </c>
      <c r="C864" s="1" t="s">
        <v>3730</v>
      </c>
      <c r="D864" s="1" t="s">
        <v>284</v>
      </c>
      <c r="E864" s="1" t="s">
        <v>284</v>
      </c>
      <c r="F864" s="1" t="s">
        <v>3717</v>
      </c>
      <c r="G864" s="1" t="s">
        <v>3731</v>
      </c>
      <c r="H864" s="1" t="s">
        <v>3719</v>
      </c>
      <c r="I864" t="b">
        <f>COUNTIF(Estadísticas!I:I,'centraldecomunicacion.es'!H864)&gt;0</f>
        <v>0</v>
      </c>
    </row>
    <row r="865" spans="1:9" hidden="1">
      <c r="A865" s="1" t="s">
        <v>3732</v>
      </c>
      <c r="B865" s="1" t="s">
        <v>24</v>
      </c>
      <c r="C865" s="1" t="s">
        <v>3733</v>
      </c>
      <c r="D865" s="1" t="s">
        <v>890</v>
      </c>
      <c r="E865" s="1" t="s">
        <v>284</v>
      </c>
      <c r="F865" s="1" t="s">
        <v>3734</v>
      </c>
      <c r="G865" s="1" t="s">
        <v>3735</v>
      </c>
      <c r="H865" s="1" t="s">
        <v>3736</v>
      </c>
      <c r="I865" t="b">
        <f>COUNTIF(Estadísticas!I:I,'centraldecomunicacion.es'!H865)&gt;0</f>
        <v>0</v>
      </c>
    </row>
    <row r="866" spans="1:9" hidden="1">
      <c r="A866" s="1" t="s">
        <v>3737</v>
      </c>
      <c r="B866" s="1" t="s">
        <v>24</v>
      </c>
      <c r="C866" s="1" t="s">
        <v>3738</v>
      </c>
      <c r="D866" s="1" t="s">
        <v>284</v>
      </c>
      <c r="E866" s="1" t="s">
        <v>284</v>
      </c>
      <c r="F866" s="1" t="s">
        <v>78</v>
      </c>
      <c r="G866" s="1" t="s">
        <v>3739</v>
      </c>
      <c r="H866" s="1" t="s">
        <v>657</v>
      </c>
      <c r="I866" t="b">
        <f>COUNTIF(Estadísticas!I:I,'centraldecomunicacion.es'!H866)&gt;0</f>
        <v>0</v>
      </c>
    </row>
    <row r="867" spans="1:9" hidden="1">
      <c r="A867" s="1" t="s">
        <v>3740</v>
      </c>
      <c r="B867" s="1" t="s">
        <v>24</v>
      </c>
      <c r="C867" s="1" t="s">
        <v>3456</v>
      </c>
      <c r="D867" s="1" t="s">
        <v>890</v>
      </c>
      <c r="E867" s="1" t="s">
        <v>284</v>
      </c>
      <c r="F867" s="1" t="s">
        <v>3741</v>
      </c>
      <c r="G867" s="1" t="s">
        <v>3742</v>
      </c>
      <c r="H867" s="1" t="s">
        <v>3743</v>
      </c>
      <c r="I867" t="b">
        <f>COUNTIF(Estadísticas!I:I,'centraldecomunicacion.es'!H867)&gt;0</f>
        <v>0</v>
      </c>
    </row>
    <row r="868" spans="1:9" hidden="1">
      <c r="A868" s="1" t="s">
        <v>3744</v>
      </c>
      <c r="B868" s="1" t="s">
        <v>24</v>
      </c>
      <c r="C868" s="1" t="s">
        <v>3745</v>
      </c>
      <c r="D868" s="1" t="s">
        <v>1575</v>
      </c>
      <c r="E868" s="1" t="s">
        <v>284</v>
      </c>
      <c r="F868" s="1" t="s">
        <v>3746</v>
      </c>
      <c r="G868" s="1" t="s">
        <v>3747</v>
      </c>
      <c r="H868" s="1" t="s">
        <v>3748</v>
      </c>
      <c r="I868" t="b">
        <f>COUNTIF(Estadísticas!I:I,'centraldecomunicacion.es'!H868)&gt;0</f>
        <v>0</v>
      </c>
    </row>
    <row r="869" spans="1:9" hidden="1">
      <c r="A869" s="1" t="s">
        <v>3749</v>
      </c>
      <c r="B869" s="1" t="s">
        <v>10</v>
      </c>
      <c r="C869" s="1" t="s">
        <v>3750</v>
      </c>
      <c r="D869" s="1" t="s">
        <v>284</v>
      </c>
      <c r="E869" s="1" t="s">
        <v>284</v>
      </c>
      <c r="F869" s="1" t="s">
        <v>3751</v>
      </c>
      <c r="G869" s="1" t="s">
        <v>3752</v>
      </c>
      <c r="H869" s="1" t="s">
        <v>3753</v>
      </c>
      <c r="I869" t="b">
        <f>COUNTIF(Estadísticas!I:I,'centraldecomunicacion.es'!H869)&gt;0</f>
        <v>0</v>
      </c>
    </row>
    <row r="870" spans="1:9" hidden="1">
      <c r="A870" s="1" t="s">
        <v>3754</v>
      </c>
      <c r="B870" s="1" t="s">
        <v>10</v>
      </c>
      <c r="C870" s="1" t="s">
        <v>3755</v>
      </c>
      <c r="D870" s="1" t="s">
        <v>284</v>
      </c>
      <c r="E870" s="1" t="s">
        <v>284</v>
      </c>
      <c r="F870" s="1" t="s">
        <v>1619</v>
      </c>
      <c r="G870" s="1" t="s">
        <v>3334</v>
      </c>
      <c r="H870" s="1" t="s">
        <v>1621</v>
      </c>
      <c r="I870" t="b">
        <f>COUNTIF(Estadísticas!I:I,'centraldecomunicacion.es'!H870)&gt;0</f>
        <v>0</v>
      </c>
    </row>
    <row r="871" spans="1:9" hidden="1">
      <c r="A871" s="1" t="s">
        <v>3756</v>
      </c>
      <c r="B871" s="1" t="s">
        <v>10</v>
      </c>
      <c r="C871" s="1" t="s">
        <v>3757</v>
      </c>
      <c r="D871" s="1" t="s">
        <v>284</v>
      </c>
      <c r="E871" s="1" t="s">
        <v>284</v>
      </c>
      <c r="F871" s="1" t="s">
        <v>3758</v>
      </c>
      <c r="G871" s="1" t="s">
        <v>3759</v>
      </c>
      <c r="H871" s="1" t="s">
        <v>3760</v>
      </c>
      <c r="I871" t="b">
        <f>COUNTIF(Estadísticas!I:I,'centraldecomunicacion.es'!H871)&gt;0</f>
        <v>0</v>
      </c>
    </row>
    <row r="872" spans="1:9" hidden="1">
      <c r="A872" s="1" t="s">
        <v>3761</v>
      </c>
      <c r="B872" s="1" t="s">
        <v>24</v>
      </c>
      <c r="C872" s="1" t="s">
        <v>3762</v>
      </c>
      <c r="D872" s="1" t="s">
        <v>284</v>
      </c>
      <c r="E872" s="1" t="s">
        <v>284</v>
      </c>
      <c r="F872" s="1" t="s">
        <v>3763</v>
      </c>
      <c r="G872" s="1" t="s">
        <v>3764</v>
      </c>
      <c r="H872" s="1" t="s">
        <v>3765</v>
      </c>
      <c r="I872" t="b">
        <f>COUNTIF(Estadísticas!I:I,'centraldecomunicacion.es'!H872)&gt;0</f>
        <v>0</v>
      </c>
    </row>
    <row r="873" spans="1:9" hidden="1">
      <c r="A873" s="1" t="s">
        <v>3203</v>
      </c>
      <c r="B873" s="1" t="s">
        <v>24</v>
      </c>
      <c r="C873" s="1" t="s">
        <v>3766</v>
      </c>
      <c r="D873" s="1" t="s">
        <v>284</v>
      </c>
      <c r="E873" s="1" t="s">
        <v>284</v>
      </c>
      <c r="F873" s="1" t="s">
        <v>78</v>
      </c>
      <c r="G873" s="1" t="s">
        <v>3767</v>
      </c>
      <c r="H873" s="1" t="s">
        <v>657</v>
      </c>
      <c r="I873" t="b">
        <f>COUNTIF(Estadísticas!I:I,'centraldecomunicacion.es'!H873)&gt;0</f>
        <v>0</v>
      </c>
    </row>
    <row r="874" spans="1:9" hidden="1">
      <c r="A874" s="1" t="s">
        <v>3768</v>
      </c>
      <c r="B874" s="1" t="s">
        <v>10</v>
      </c>
      <c r="C874" s="1" t="s">
        <v>3769</v>
      </c>
      <c r="D874" s="1" t="s">
        <v>284</v>
      </c>
      <c r="E874" s="1" t="s">
        <v>284</v>
      </c>
      <c r="F874" s="1" t="s">
        <v>3770</v>
      </c>
      <c r="G874" s="1" t="s">
        <v>3771</v>
      </c>
      <c r="H874" s="1" t="s">
        <v>657</v>
      </c>
      <c r="I874" t="b">
        <f>COUNTIF(Estadísticas!I:I,'centraldecomunicacion.es'!H874)&gt;0</f>
        <v>0</v>
      </c>
    </row>
    <row r="875" spans="1:9" hidden="1">
      <c r="A875" s="1" t="s">
        <v>3772</v>
      </c>
      <c r="B875" s="1" t="s">
        <v>10</v>
      </c>
      <c r="C875" s="1" t="s">
        <v>3773</v>
      </c>
      <c r="D875" s="1" t="s">
        <v>3774</v>
      </c>
      <c r="E875" s="1" t="s">
        <v>284</v>
      </c>
      <c r="F875" s="1" t="s">
        <v>3775</v>
      </c>
      <c r="G875" s="1" t="s">
        <v>3776</v>
      </c>
      <c r="H875" s="1" t="s">
        <v>3777</v>
      </c>
      <c r="I875" t="b">
        <f>COUNTIF(Estadísticas!I:I,'centraldecomunicacion.es'!H875)&gt;0</f>
        <v>0</v>
      </c>
    </row>
    <row r="876" spans="1:9" hidden="1">
      <c r="A876" s="1" t="s">
        <v>3778</v>
      </c>
      <c r="B876" s="1" t="s">
        <v>24</v>
      </c>
      <c r="C876" s="1" t="s">
        <v>3779</v>
      </c>
      <c r="D876" s="1" t="s">
        <v>284</v>
      </c>
      <c r="E876" s="1" t="s">
        <v>284</v>
      </c>
      <c r="F876" s="1" t="s">
        <v>78</v>
      </c>
      <c r="G876" s="1" t="s">
        <v>3780</v>
      </c>
      <c r="H876" s="1" t="s">
        <v>657</v>
      </c>
      <c r="I876" t="b">
        <f>COUNTIF(Estadísticas!I:I,'centraldecomunicacion.es'!H876)&gt;0</f>
        <v>0</v>
      </c>
    </row>
    <row r="877" spans="1:9" hidden="1">
      <c r="A877" s="1" t="s">
        <v>3781</v>
      </c>
      <c r="B877" s="1" t="s">
        <v>24</v>
      </c>
      <c r="C877" s="1" t="s">
        <v>3782</v>
      </c>
      <c r="D877" s="1" t="s">
        <v>3434</v>
      </c>
      <c r="E877" s="1" t="s">
        <v>284</v>
      </c>
      <c r="F877" s="1" t="s">
        <v>3783</v>
      </c>
      <c r="G877" s="1" t="s">
        <v>1629</v>
      </c>
      <c r="H877" s="1" t="s">
        <v>3784</v>
      </c>
      <c r="I877" t="b">
        <f>COUNTIF(Estadísticas!I:I,'centraldecomunicacion.es'!H877)&gt;0</f>
        <v>0</v>
      </c>
    </row>
    <row r="878" spans="1:9" hidden="1">
      <c r="A878" s="1" t="s">
        <v>3785</v>
      </c>
      <c r="B878" s="1" t="s">
        <v>24</v>
      </c>
      <c r="C878" s="1" t="s">
        <v>3786</v>
      </c>
      <c r="D878" s="1" t="s">
        <v>284</v>
      </c>
      <c r="E878" s="1" t="s">
        <v>284</v>
      </c>
      <c r="F878" s="1" t="s">
        <v>3634</v>
      </c>
      <c r="G878" s="1" t="s">
        <v>3635</v>
      </c>
      <c r="H878" s="1" t="s">
        <v>3636</v>
      </c>
      <c r="I878" t="b">
        <f>COUNTIF(Estadísticas!I:I,'centraldecomunicacion.es'!H878)&gt;0</f>
        <v>0</v>
      </c>
    </row>
    <row r="879" spans="1:9" hidden="1">
      <c r="A879" s="1" t="s">
        <v>3787</v>
      </c>
      <c r="B879" s="1" t="s">
        <v>24</v>
      </c>
      <c r="C879" s="1" t="s">
        <v>3788</v>
      </c>
      <c r="D879" s="1" t="s">
        <v>890</v>
      </c>
      <c r="E879" s="1" t="s">
        <v>284</v>
      </c>
      <c r="F879" s="1" t="s">
        <v>3789</v>
      </c>
      <c r="G879" s="1" t="s">
        <v>3790</v>
      </c>
      <c r="H879" s="1" t="s">
        <v>2724</v>
      </c>
      <c r="I879" t="b">
        <f>COUNTIF(Estadísticas!I:I,'centraldecomunicacion.es'!H879)&gt;0</f>
        <v>0</v>
      </c>
    </row>
    <row r="880" spans="1:9" hidden="1">
      <c r="A880" s="1" t="s">
        <v>3791</v>
      </c>
      <c r="B880" s="1" t="s">
        <v>24</v>
      </c>
      <c r="C880" s="1" t="s">
        <v>3792</v>
      </c>
      <c r="D880" s="1" t="s">
        <v>284</v>
      </c>
      <c r="E880" s="1" t="s">
        <v>284</v>
      </c>
      <c r="F880" s="1" t="s">
        <v>78</v>
      </c>
      <c r="G880" s="1" t="s">
        <v>3793</v>
      </c>
      <c r="H880" s="1" t="s">
        <v>657</v>
      </c>
      <c r="I880" t="b">
        <f>COUNTIF(Estadísticas!I:I,'centraldecomunicacion.es'!H880)&gt;0</f>
        <v>0</v>
      </c>
    </row>
    <row r="881" spans="1:9" hidden="1">
      <c r="A881" s="1" t="s">
        <v>3794</v>
      </c>
      <c r="B881" s="1" t="s">
        <v>10</v>
      </c>
      <c r="C881" s="1" t="s">
        <v>3795</v>
      </c>
      <c r="D881" s="1" t="s">
        <v>3434</v>
      </c>
      <c r="E881" s="1" t="s">
        <v>284</v>
      </c>
      <c r="F881" s="1" t="s">
        <v>78</v>
      </c>
      <c r="G881" s="1" t="s">
        <v>3796</v>
      </c>
      <c r="H881" s="1" t="s">
        <v>657</v>
      </c>
      <c r="I881" t="b">
        <f>COUNTIF(Estadísticas!I:I,'centraldecomunicacion.es'!H881)&gt;0</f>
        <v>0</v>
      </c>
    </row>
    <row r="882" spans="1:9" hidden="1">
      <c r="A882" s="1" t="s">
        <v>3797</v>
      </c>
      <c r="B882" s="1" t="s">
        <v>24</v>
      </c>
      <c r="C882" s="1" t="s">
        <v>3798</v>
      </c>
      <c r="D882" s="1" t="s">
        <v>890</v>
      </c>
      <c r="E882" s="1" t="s">
        <v>284</v>
      </c>
      <c r="F882" s="1" t="s">
        <v>3799</v>
      </c>
      <c r="G882" s="1" t="s">
        <v>3800</v>
      </c>
      <c r="H882" s="1" t="s">
        <v>657</v>
      </c>
      <c r="I882" t="b">
        <f>COUNTIF(Estadísticas!I:I,'centraldecomunicacion.es'!H882)&gt;0</f>
        <v>0</v>
      </c>
    </row>
    <row r="883" spans="1:9" hidden="1">
      <c r="A883" s="1" t="s">
        <v>3801</v>
      </c>
      <c r="B883" s="1" t="s">
        <v>24</v>
      </c>
      <c r="C883" s="1" t="s">
        <v>3802</v>
      </c>
      <c r="D883" s="1" t="s">
        <v>284</v>
      </c>
      <c r="E883" s="1" t="s">
        <v>284</v>
      </c>
      <c r="F883" s="1" t="s">
        <v>78</v>
      </c>
      <c r="G883" s="1" t="s">
        <v>3803</v>
      </c>
      <c r="H883" s="1" t="s">
        <v>657</v>
      </c>
      <c r="I883" t="b">
        <f>COUNTIF(Estadísticas!I:I,'centraldecomunicacion.es'!H883)&gt;0</f>
        <v>0</v>
      </c>
    </row>
    <row r="884" spans="1:9" hidden="1">
      <c r="A884" s="1" t="s">
        <v>3804</v>
      </c>
      <c r="B884" s="1" t="s">
        <v>24</v>
      </c>
      <c r="C884" s="1" t="s">
        <v>3805</v>
      </c>
      <c r="D884" s="1" t="s">
        <v>284</v>
      </c>
      <c r="E884" s="1" t="s">
        <v>284</v>
      </c>
      <c r="F884" s="1" t="s">
        <v>3806</v>
      </c>
      <c r="G884" s="1" t="s">
        <v>3807</v>
      </c>
      <c r="H884" s="1" t="s">
        <v>3808</v>
      </c>
      <c r="I884" t="b">
        <f>COUNTIF(Estadísticas!I:I,'centraldecomunicacion.es'!H884)&gt;0</f>
        <v>0</v>
      </c>
    </row>
    <row r="885" spans="1:9" hidden="1">
      <c r="A885" s="1" t="s">
        <v>3809</v>
      </c>
      <c r="B885" s="1" t="s">
        <v>24</v>
      </c>
      <c r="C885" s="1" t="s">
        <v>3810</v>
      </c>
      <c r="D885" s="1" t="s">
        <v>3811</v>
      </c>
      <c r="E885" s="1" t="s">
        <v>284</v>
      </c>
      <c r="F885" s="1" t="s">
        <v>3812</v>
      </c>
      <c r="G885" s="1" t="s">
        <v>3813</v>
      </c>
      <c r="H885" s="1" t="s">
        <v>3814</v>
      </c>
      <c r="I885" t="b">
        <f>COUNTIF(Estadísticas!I:I,'centraldecomunicacion.es'!H885)&gt;0</f>
        <v>0</v>
      </c>
    </row>
    <row r="886" spans="1:9" hidden="1">
      <c r="A886" s="1" t="s">
        <v>3815</v>
      </c>
      <c r="B886" s="1" t="s">
        <v>24</v>
      </c>
      <c r="C886" s="1" t="s">
        <v>3816</v>
      </c>
      <c r="D886" s="1" t="s">
        <v>890</v>
      </c>
      <c r="E886" s="1" t="s">
        <v>284</v>
      </c>
      <c r="F886" s="1" t="s">
        <v>78</v>
      </c>
      <c r="G886" s="1" t="s">
        <v>3817</v>
      </c>
      <c r="H886" s="1" t="s">
        <v>657</v>
      </c>
      <c r="I886" t="b">
        <f>COUNTIF(Estadísticas!I:I,'centraldecomunicacion.es'!H886)&gt;0</f>
        <v>0</v>
      </c>
    </row>
    <row r="887" spans="1:9" hidden="1">
      <c r="A887" s="1" t="s">
        <v>3818</v>
      </c>
      <c r="B887" s="1" t="s">
        <v>10</v>
      </c>
      <c r="C887" s="1" t="s">
        <v>3819</v>
      </c>
      <c r="D887" s="1" t="s">
        <v>327</v>
      </c>
      <c r="E887" s="1" t="s">
        <v>284</v>
      </c>
      <c r="F887" s="1" t="s">
        <v>3820</v>
      </c>
      <c r="G887" s="1" t="s">
        <v>3821</v>
      </c>
      <c r="H887" s="1" t="s">
        <v>2724</v>
      </c>
      <c r="I887" t="b">
        <f>COUNTIF(Estadísticas!I:I,'centraldecomunicacion.es'!H887)&gt;0</f>
        <v>0</v>
      </c>
    </row>
    <row r="888" spans="1:9" hidden="1">
      <c r="A888" s="1" t="s">
        <v>3822</v>
      </c>
      <c r="B888" s="1" t="s">
        <v>24</v>
      </c>
      <c r="C888" s="1" t="s">
        <v>3823</v>
      </c>
      <c r="D888" s="1" t="s">
        <v>3615</v>
      </c>
      <c r="E888" s="1" t="s">
        <v>284</v>
      </c>
      <c r="F888" s="1" t="s">
        <v>3824</v>
      </c>
      <c r="G888" s="1" t="s">
        <v>3825</v>
      </c>
      <c r="H888" s="1" t="s">
        <v>3826</v>
      </c>
      <c r="I888" t="b">
        <f>COUNTIF(Estadísticas!I:I,'centraldecomunicacion.es'!H888)&gt;0</f>
        <v>0</v>
      </c>
    </row>
    <row r="889" spans="1:9" hidden="1">
      <c r="A889" s="1" t="s">
        <v>3827</v>
      </c>
      <c r="B889" s="1" t="s">
        <v>24</v>
      </c>
      <c r="C889" s="1" t="s">
        <v>3828</v>
      </c>
      <c r="D889" s="1" t="s">
        <v>284</v>
      </c>
      <c r="E889" s="1" t="s">
        <v>284</v>
      </c>
      <c r="F889" s="1" t="s">
        <v>78</v>
      </c>
      <c r="G889" s="1" t="s">
        <v>3829</v>
      </c>
      <c r="H889" s="1" t="s">
        <v>657</v>
      </c>
      <c r="I889" t="b">
        <f>COUNTIF(Estadísticas!I:I,'centraldecomunicacion.es'!H889)&gt;0</f>
        <v>0</v>
      </c>
    </row>
    <row r="890" spans="1:9" hidden="1">
      <c r="A890" s="1" t="s">
        <v>3830</v>
      </c>
      <c r="B890" s="1" t="s">
        <v>24</v>
      </c>
      <c r="C890" s="1" t="s">
        <v>3831</v>
      </c>
      <c r="D890" s="1" t="s">
        <v>284</v>
      </c>
      <c r="E890" s="1" t="s">
        <v>284</v>
      </c>
      <c r="F890" s="1" t="s">
        <v>78</v>
      </c>
      <c r="G890" s="1" t="s">
        <v>3832</v>
      </c>
      <c r="H890" s="1" t="s">
        <v>657</v>
      </c>
      <c r="I890" t="b">
        <f>COUNTIF(Estadísticas!I:I,'centraldecomunicacion.es'!H890)&gt;0</f>
        <v>0</v>
      </c>
    </row>
    <row r="891" spans="1:9" hidden="1">
      <c r="A891" s="1" t="s">
        <v>3833</v>
      </c>
      <c r="B891" s="1" t="s">
        <v>24</v>
      </c>
      <c r="C891" s="1" t="s">
        <v>3834</v>
      </c>
      <c r="D891" s="1" t="s">
        <v>284</v>
      </c>
      <c r="E891" s="1" t="s">
        <v>284</v>
      </c>
      <c r="F891" s="1" t="s">
        <v>78</v>
      </c>
      <c r="G891" s="1" t="s">
        <v>3835</v>
      </c>
      <c r="H891" s="1" t="s">
        <v>657</v>
      </c>
      <c r="I891" t="b">
        <f>COUNTIF(Estadísticas!I:I,'centraldecomunicacion.es'!H891)&gt;0</f>
        <v>0</v>
      </c>
    </row>
    <row r="892" spans="1:9" hidden="1">
      <c r="A892" s="1" t="s">
        <v>3836</v>
      </c>
      <c r="B892" s="1" t="s">
        <v>10</v>
      </c>
      <c r="C892" s="1" t="s">
        <v>3837</v>
      </c>
      <c r="D892" s="1" t="s">
        <v>890</v>
      </c>
      <c r="E892" s="1" t="s">
        <v>284</v>
      </c>
      <c r="F892" s="1" t="s">
        <v>78</v>
      </c>
      <c r="G892" s="1" t="s">
        <v>3838</v>
      </c>
      <c r="H892" s="1" t="s">
        <v>657</v>
      </c>
      <c r="I892" t="b">
        <f>COUNTIF(Estadísticas!I:I,'centraldecomunicacion.es'!H892)&gt;0</f>
        <v>0</v>
      </c>
    </row>
    <row r="893" spans="1:9" hidden="1">
      <c r="A893" s="1" t="s">
        <v>3839</v>
      </c>
      <c r="B893" s="1" t="s">
        <v>24</v>
      </c>
      <c r="C893" s="1" t="s">
        <v>3840</v>
      </c>
      <c r="D893" s="1" t="s">
        <v>3586</v>
      </c>
      <c r="E893" s="1" t="s">
        <v>284</v>
      </c>
      <c r="F893" s="1" t="s">
        <v>3403</v>
      </c>
      <c r="G893" s="1" t="s">
        <v>3841</v>
      </c>
      <c r="H893" s="1" t="s">
        <v>657</v>
      </c>
      <c r="I893" t="b">
        <f>COUNTIF(Estadísticas!I:I,'centraldecomunicacion.es'!H893)&gt;0</f>
        <v>0</v>
      </c>
    </row>
    <row r="894" spans="1:9" hidden="1">
      <c r="A894" s="1" t="s">
        <v>3842</v>
      </c>
      <c r="B894" s="1" t="s">
        <v>24</v>
      </c>
      <c r="C894" s="1" t="s">
        <v>3843</v>
      </c>
      <c r="D894" s="1" t="s">
        <v>284</v>
      </c>
      <c r="E894" s="1" t="s">
        <v>284</v>
      </c>
      <c r="F894" s="1" t="s">
        <v>2711</v>
      </c>
      <c r="G894" s="1" t="s">
        <v>3844</v>
      </c>
      <c r="H894" s="1" t="s">
        <v>2713</v>
      </c>
      <c r="I894" t="b">
        <f>COUNTIF(Estadísticas!I:I,'centraldecomunicacion.es'!H894)&gt;0</f>
        <v>0</v>
      </c>
    </row>
    <row r="895" spans="1:9" hidden="1">
      <c r="A895" s="1" t="s">
        <v>2118</v>
      </c>
      <c r="B895" s="1" t="s">
        <v>24</v>
      </c>
      <c r="C895" s="1" t="s">
        <v>3845</v>
      </c>
      <c r="D895" s="1" t="s">
        <v>284</v>
      </c>
      <c r="E895" s="1" t="s">
        <v>284</v>
      </c>
      <c r="F895" s="1" t="s">
        <v>78</v>
      </c>
      <c r="G895" s="1" t="s">
        <v>78</v>
      </c>
      <c r="H895" s="1" t="s">
        <v>657</v>
      </c>
      <c r="I895" t="b">
        <f>COUNTIF(Estadísticas!I:I,'centraldecomunicacion.es'!H895)&gt;0</f>
        <v>0</v>
      </c>
    </row>
    <row r="896" spans="1:9" hidden="1">
      <c r="A896" s="1" t="s">
        <v>3846</v>
      </c>
      <c r="B896" s="1" t="s">
        <v>24</v>
      </c>
      <c r="C896" s="1" t="s">
        <v>3847</v>
      </c>
      <c r="D896" s="1" t="s">
        <v>284</v>
      </c>
      <c r="E896" s="1" t="s">
        <v>284</v>
      </c>
      <c r="F896" s="1" t="s">
        <v>78</v>
      </c>
      <c r="G896" s="1" t="s">
        <v>3848</v>
      </c>
      <c r="H896" s="1" t="s">
        <v>657</v>
      </c>
      <c r="I896" t="b">
        <f>COUNTIF(Estadísticas!I:I,'centraldecomunicacion.es'!H896)&gt;0</f>
        <v>0</v>
      </c>
    </row>
    <row r="897" spans="1:9" hidden="1">
      <c r="A897" s="1" t="s">
        <v>3849</v>
      </c>
      <c r="B897" s="1" t="s">
        <v>24</v>
      </c>
      <c r="C897" s="1" t="s">
        <v>3850</v>
      </c>
      <c r="D897" s="1" t="s">
        <v>890</v>
      </c>
      <c r="E897" s="1" t="s">
        <v>284</v>
      </c>
      <c r="F897" s="1" t="s">
        <v>3851</v>
      </c>
      <c r="G897" s="1" t="s">
        <v>3852</v>
      </c>
      <c r="H897" s="1" t="s">
        <v>3853</v>
      </c>
      <c r="I897" t="b">
        <f>COUNTIF(Estadísticas!I:I,'centraldecomunicacion.es'!H897)&gt;0</f>
        <v>0</v>
      </c>
    </row>
    <row r="898" spans="1:9" hidden="1">
      <c r="A898" s="1" t="s">
        <v>3658</v>
      </c>
      <c r="B898" s="1" t="s">
        <v>24</v>
      </c>
      <c r="C898" s="1" t="s">
        <v>78</v>
      </c>
      <c r="D898" s="1" t="s">
        <v>363</v>
      </c>
      <c r="E898" s="1" t="s">
        <v>78</v>
      </c>
      <c r="F898" s="1" t="s">
        <v>3854</v>
      </c>
      <c r="G898" s="1" t="s">
        <v>3855</v>
      </c>
      <c r="H898" s="1" t="s">
        <v>3856</v>
      </c>
      <c r="I898" t="b">
        <f>COUNTIF(Estadísticas!I:I,'centraldecomunicacion.es'!H898)&gt;0</f>
        <v>0</v>
      </c>
    </row>
    <row r="899" spans="1:9" hidden="1">
      <c r="A899" s="1" t="s">
        <v>3857</v>
      </c>
      <c r="B899" s="1" t="s">
        <v>24</v>
      </c>
      <c r="C899" s="1" t="s">
        <v>3858</v>
      </c>
      <c r="D899" s="1" t="s">
        <v>3434</v>
      </c>
      <c r="E899" s="1" t="s">
        <v>284</v>
      </c>
      <c r="F899" s="1" t="s">
        <v>3859</v>
      </c>
      <c r="G899" s="1" t="s">
        <v>1629</v>
      </c>
      <c r="H899" s="1" t="s">
        <v>3860</v>
      </c>
      <c r="I899" t="b">
        <f>COUNTIF(Estadísticas!I:I,'centraldecomunicacion.es'!H899)&gt;0</f>
        <v>0</v>
      </c>
    </row>
    <row r="900" spans="1:9" hidden="1">
      <c r="A900" s="1" t="s">
        <v>3861</v>
      </c>
      <c r="B900" s="1" t="s">
        <v>24</v>
      </c>
      <c r="C900" s="1" t="s">
        <v>3862</v>
      </c>
      <c r="D900" s="1" t="s">
        <v>284</v>
      </c>
      <c r="E900" s="1" t="s">
        <v>284</v>
      </c>
      <c r="F900" s="1" t="s">
        <v>78</v>
      </c>
      <c r="G900" s="1" t="s">
        <v>3863</v>
      </c>
      <c r="H900" s="1" t="s">
        <v>657</v>
      </c>
      <c r="I900" t="b">
        <f>COUNTIF(Estadísticas!I:I,'centraldecomunicacion.es'!H900)&gt;0</f>
        <v>0</v>
      </c>
    </row>
    <row r="901" spans="1:9" hidden="1">
      <c r="A901" s="1" t="s">
        <v>3864</v>
      </c>
      <c r="B901" s="1" t="s">
        <v>24</v>
      </c>
      <c r="C901" s="1" t="s">
        <v>3865</v>
      </c>
      <c r="D901" s="1" t="s">
        <v>369</v>
      </c>
      <c r="E901" s="1" t="s">
        <v>284</v>
      </c>
      <c r="F901" s="1" t="s">
        <v>3866</v>
      </c>
      <c r="G901" s="1" t="s">
        <v>3867</v>
      </c>
      <c r="H901" s="1" t="s">
        <v>3868</v>
      </c>
      <c r="I901" t="b">
        <f>COUNTIF(Estadísticas!I:I,'centraldecomunicacion.es'!H901)&gt;0</f>
        <v>0</v>
      </c>
    </row>
    <row r="902" spans="1:9" hidden="1">
      <c r="A902" s="1" t="s">
        <v>3706</v>
      </c>
      <c r="B902" s="1" t="s">
        <v>24</v>
      </c>
      <c r="C902" s="1" t="s">
        <v>3869</v>
      </c>
      <c r="D902" s="1" t="s">
        <v>284</v>
      </c>
      <c r="E902" s="1" t="s">
        <v>284</v>
      </c>
      <c r="F902" s="1" t="s">
        <v>3717</v>
      </c>
      <c r="G902" s="1" t="s">
        <v>3870</v>
      </c>
      <c r="H902" s="1" t="s">
        <v>3719</v>
      </c>
      <c r="I902" t="b">
        <f>COUNTIF(Estadísticas!I:I,'centraldecomunicacion.es'!H902)&gt;0</f>
        <v>0</v>
      </c>
    </row>
    <row r="903" spans="1:9" hidden="1">
      <c r="A903" s="1" t="s">
        <v>3871</v>
      </c>
      <c r="B903" s="1" t="s">
        <v>24</v>
      </c>
      <c r="C903" s="1" t="s">
        <v>3872</v>
      </c>
      <c r="D903" s="1" t="s">
        <v>284</v>
      </c>
      <c r="E903" s="1" t="s">
        <v>284</v>
      </c>
      <c r="F903" s="1" t="s">
        <v>78</v>
      </c>
      <c r="G903" s="1" t="s">
        <v>3873</v>
      </c>
      <c r="H903" s="1" t="s">
        <v>657</v>
      </c>
      <c r="I903" t="b">
        <f>COUNTIF(Estadísticas!I:I,'centraldecomunicacion.es'!H903)&gt;0</f>
        <v>0</v>
      </c>
    </row>
    <row r="904" spans="1:9" hidden="1">
      <c r="A904" s="1" t="s">
        <v>3874</v>
      </c>
      <c r="B904" s="1" t="s">
        <v>24</v>
      </c>
      <c r="C904" s="1" t="s">
        <v>3875</v>
      </c>
      <c r="D904" s="1" t="s">
        <v>284</v>
      </c>
      <c r="E904" s="1" t="s">
        <v>284</v>
      </c>
      <c r="F904" s="1" t="s">
        <v>78</v>
      </c>
      <c r="G904" s="1" t="s">
        <v>3876</v>
      </c>
      <c r="H904" s="1" t="s">
        <v>657</v>
      </c>
      <c r="I904" t="b">
        <f>COUNTIF(Estadísticas!I:I,'centraldecomunicacion.es'!H904)&gt;0</f>
        <v>0</v>
      </c>
    </row>
    <row r="905" spans="1:9">
      <c r="A905" s="1" t="s">
        <v>357</v>
      </c>
      <c r="B905" s="1" t="s">
        <v>24</v>
      </c>
      <c r="C905" s="1" t="s">
        <v>358</v>
      </c>
      <c r="D905" s="1" t="s">
        <v>284</v>
      </c>
      <c r="E905" s="1" t="s">
        <v>284</v>
      </c>
      <c r="F905" s="1" t="s">
        <v>359</v>
      </c>
      <c r="G905" s="1" t="s">
        <v>360</v>
      </c>
      <c r="H905" s="1" t="s">
        <v>361</v>
      </c>
      <c r="I905" t="b">
        <f>COUNTIF(Estadísticas!I:I,'centraldecomunicacion.es'!H905)&gt;0</f>
        <v>1</v>
      </c>
    </row>
    <row r="906" spans="1:9" hidden="1">
      <c r="A906" s="1" t="s">
        <v>3877</v>
      </c>
      <c r="B906" s="1" t="s">
        <v>24</v>
      </c>
      <c r="C906" s="1" t="s">
        <v>3878</v>
      </c>
      <c r="D906" s="1" t="s">
        <v>284</v>
      </c>
      <c r="E906" s="1" t="s">
        <v>284</v>
      </c>
      <c r="F906" s="1" t="s">
        <v>78</v>
      </c>
      <c r="G906" s="1" t="s">
        <v>3879</v>
      </c>
      <c r="H906" s="1" t="s">
        <v>657</v>
      </c>
      <c r="I906" t="b">
        <f>COUNTIF(Estadísticas!I:I,'centraldecomunicacion.es'!H906)&gt;0</f>
        <v>0</v>
      </c>
    </row>
    <row r="907" spans="1:9" hidden="1">
      <c r="A907" s="1" t="s">
        <v>3880</v>
      </c>
      <c r="B907" s="1" t="s">
        <v>24</v>
      </c>
      <c r="C907" s="1" t="s">
        <v>3881</v>
      </c>
      <c r="D907" s="1" t="s">
        <v>284</v>
      </c>
      <c r="E907" s="1" t="s">
        <v>284</v>
      </c>
      <c r="F907" s="1" t="s">
        <v>78</v>
      </c>
      <c r="G907" s="1" t="s">
        <v>3882</v>
      </c>
      <c r="H907" s="1" t="s">
        <v>657</v>
      </c>
      <c r="I907" t="b">
        <f>COUNTIF(Estadísticas!I:I,'centraldecomunicacion.es'!H907)&gt;0</f>
        <v>0</v>
      </c>
    </row>
    <row r="908" spans="1:9" hidden="1">
      <c r="A908" s="1" t="s">
        <v>3706</v>
      </c>
      <c r="B908" s="1" t="s">
        <v>10</v>
      </c>
      <c r="C908" s="1" t="s">
        <v>3883</v>
      </c>
      <c r="D908" s="1" t="s">
        <v>3586</v>
      </c>
      <c r="E908" s="1" t="s">
        <v>284</v>
      </c>
      <c r="F908" s="1" t="s">
        <v>78</v>
      </c>
      <c r="G908" s="1" t="s">
        <v>3884</v>
      </c>
      <c r="H908" s="1" t="s">
        <v>657</v>
      </c>
      <c r="I908" t="b">
        <f>COUNTIF(Estadísticas!I:I,'centraldecomunicacion.es'!H908)&gt;0</f>
        <v>0</v>
      </c>
    </row>
    <row r="909" spans="1:9" hidden="1">
      <c r="A909" s="1" t="s">
        <v>3885</v>
      </c>
      <c r="B909" s="1" t="s">
        <v>24</v>
      </c>
      <c r="C909" s="1" t="s">
        <v>3886</v>
      </c>
      <c r="D909" s="1" t="s">
        <v>284</v>
      </c>
      <c r="E909" s="1" t="s">
        <v>284</v>
      </c>
      <c r="F909" s="1" t="s">
        <v>78</v>
      </c>
      <c r="G909" s="1" t="s">
        <v>3887</v>
      </c>
      <c r="H909" s="1" t="s">
        <v>657</v>
      </c>
      <c r="I909" t="b">
        <f>COUNTIF(Estadísticas!I:I,'centraldecomunicacion.es'!H909)&gt;0</f>
        <v>0</v>
      </c>
    </row>
    <row r="910" spans="1:9" hidden="1">
      <c r="A910" s="1" t="s">
        <v>3888</v>
      </c>
      <c r="B910" s="1" t="s">
        <v>24</v>
      </c>
      <c r="C910" s="1" t="s">
        <v>3889</v>
      </c>
      <c r="D910" s="1" t="s">
        <v>284</v>
      </c>
      <c r="E910" s="1" t="s">
        <v>284</v>
      </c>
      <c r="F910" s="1" t="s">
        <v>78</v>
      </c>
      <c r="G910" s="1" t="s">
        <v>3890</v>
      </c>
      <c r="H910" s="1" t="s">
        <v>657</v>
      </c>
      <c r="I910" t="b">
        <f>COUNTIF(Estadísticas!I:I,'centraldecomunicacion.es'!H910)&gt;0</f>
        <v>0</v>
      </c>
    </row>
    <row r="911" spans="1:9">
      <c r="A911" s="1" t="s">
        <v>362</v>
      </c>
      <c r="B911" s="1" t="s">
        <v>10</v>
      </c>
      <c r="C911" s="1" t="s">
        <v>78</v>
      </c>
      <c r="D911" s="1" t="s">
        <v>363</v>
      </c>
      <c r="E911" s="1" t="s">
        <v>78</v>
      </c>
      <c r="F911" s="1" t="s">
        <v>364</v>
      </c>
      <c r="G911" s="1" t="s">
        <v>365</v>
      </c>
      <c r="H911" s="1" t="s">
        <v>366</v>
      </c>
      <c r="I911" t="b">
        <f>COUNTIF(Estadísticas!I:I,'centraldecomunicacion.es'!H911)&gt;0</f>
        <v>1</v>
      </c>
    </row>
    <row r="912" spans="1:9" hidden="1">
      <c r="A912" s="1" t="s">
        <v>3891</v>
      </c>
      <c r="B912" s="1" t="s">
        <v>24</v>
      </c>
      <c r="C912" s="1" t="s">
        <v>3892</v>
      </c>
      <c r="D912" s="1" t="s">
        <v>284</v>
      </c>
      <c r="E912" s="1" t="s">
        <v>284</v>
      </c>
      <c r="F912" s="1" t="s">
        <v>78</v>
      </c>
      <c r="G912" s="1" t="s">
        <v>3893</v>
      </c>
      <c r="H912" s="1" t="s">
        <v>657</v>
      </c>
      <c r="I912" t="b">
        <f>COUNTIF(Estadísticas!I:I,'centraldecomunicacion.es'!H912)&gt;0</f>
        <v>0</v>
      </c>
    </row>
    <row r="913" spans="1:9" hidden="1">
      <c r="A913" s="1" t="s">
        <v>3894</v>
      </c>
      <c r="B913" s="1" t="s">
        <v>24</v>
      </c>
      <c r="C913" s="1" t="s">
        <v>3895</v>
      </c>
      <c r="D913" s="1" t="s">
        <v>333</v>
      </c>
      <c r="E913" s="1" t="s">
        <v>284</v>
      </c>
      <c r="F913" s="1" t="s">
        <v>3896</v>
      </c>
      <c r="G913" s="1" t="s">
        <v>3897</v>
      </c>
      <c r="H913" s="1" t="s">
        <v>657</v>
      </c>
      <c r="I913" t="b">
        <f>COUNTIF(Estadísticas!I:I,'centraldecomunicacion.es'!H913)&gt;0</f>
        <v>0</v>
      </c>
    </row>
    <row r="914" spans="1:9" hidden="1">
      <c r="A914" s="1" t="s">
        <v>3898</v>
      </c>
      <c r="B914" s="1" t="s">
        <v>24</v>
      </c>
      <c r="C914" s="1" t="s">
        <v>3899</v>
      </c>
      <c r="D914" s="1" t="s">
        <v>890</v>
      </c>
      <c r="E914" s="1" t="s">
        <v>284</v>
      </c>
      <c r="F914" s="1" t="s">
        <v>78</v>
      </c>
      <c r="G914" s="1" t="s">
        <v>3900</v>
      </c>
      <c r="H914" s="1" t="s">
        <v>657</v>
      </c>
      <c r="I914" t="b">
        <f>COUNTIF(Estadísticas!I:I,'centraldecomunicacion.es'!H914)&gt;0</f>
        <v>0</v>
      </c>
    </row>
    <row r="915" spans="1:9" hidden="1">
      <c r="A915" s="1" t="s">
        <v>3901</v>
      </c>
      <c r="B915" s="1" t="s">
        <v>24</v>
      </c>
      <c r="C915" s="1" t="s">
        <v>3902</v>
      </c>
      <c r="D915" s="1" t="s">
        <v>3903</v>
      </c>
      <c r="E915" s="1" t="s">
        <v>284</v>
      </c>
      <c r="F915" s="1" t="s">
        <v>78</v>
      </c>
      <c r="G915" s="1" t="s">
        <v>3904</v>
      </c>
      <c r="H915" s="1" t="s">
        <v>657</v>
      </c>
      <c r="I915" t="b">
        <f>COUNTIF(Estadísticas!I:I,'centraldecomunicacion.es'!H915)&gt;0</f>
        <v>0</v>
      </c>
    </row>
    <row r="916" spans="1:9">
      <c r="A916" s="1" t="s">
        <v>367</v>
      </c>
      <c r="B916" s="1" t="s">
        <v>24</v>
      </c>
      <c r="C916" s="1" t="s">
        <v>368</v>
      </c>
      <c r="D916" s="1" t="s">
        <v>369</v>
      </c>
      <c r="E916" s="1" t="s">
        <v>284</v>
      </c>
      <c r="F916" s="1" t="s">
        <v>370</v>
      </c>
      <c r="G916" s="1" t="s">
        <v>371</v>
      </c>
      <c r="H916" s="1" t="s">
        <v>372</v>
      </c>
      <c r="I916" t="b">
        <f>COUNTIF(Estadísticas!I:I,'centraldecomunicacion.es'!H916)&gt;0</f>
        <v>1</v>
      </c>
    </row>
    <row r="917" spans="1:9" hidden="1">
      <c r="A917" s="1" t="s">
        <v>3905</v>
      </c>
      <c r="B917" s="1" t="s">
        <v>10</v>
      </c>
      <c r="C917" s="1" t="s">
        <v>3906</v>
      </c>
      <c r="D917" s="1" t="s">
        <v>890</v>
      </c>
      <c r="E917" s="1" t="s">
        <v>284</v>
      </c>
      <c r="F917" s="1" t="s">
        <v>78</v>
      </c>
      <c r="G917" s="1" t="s">
        <v>3790</v>
      </c>
      <c r="H917" s="1" t="s">
        <v>657</v>
      </c>
      <c r="I917" t="b">
        <f>COUNTIF(Estadísticas!I:I,'centraldecomunicacion.es'!H917)&gt;0</f>
        <v>0</v>
      </c>
    </row>
    <row r="918" spans="1:9" hidden="1">
      <c r="A918" s="1" t="s">
        <v>3907</v>
      </c>
      <c r="B918" s="1" t="s">
        <v>24</v>
      </c>
      <c r="C918" s="1" t="s">
        <v>3908</v>
      </c>
      <c r="D918" s="1" t="s">
        <v>316</v>
      </c>
      <c r="E918" s="1" t="s">
        <v>284</v>
      </c>
      <c r="F918" s="1" t="s">
        <v>3909</v>
      </c>
      <c r="G918" s="1" t="s">
        <v>3910</v>
      </c>
      <c r="H918" s="1" t="s">
        <v>657</v>
      </c>
      <c r="I918" t="b">
        <f>COUNTIF(Estadísticas!I:I,'centraldecomunicacion.es'!H918)&gt;0</f>
        <v>0</v>
      </c>
    </row>
    <row r="919" spans="1:9" hidden="1">
      <c r="A919" s="1" t="s">
        <v>3911</v>
      </c>
      <c r="B919" s="1" t="s">
        <v>24</v>
      </c>
      <c r="C919" s="1" t="s">
        <v>3912</v>
      </c>
      <c r="D919" s="1" t="s">
        <v>284</v>
      </c>
      <c r="E919" s="1" t="s">
        <v>284</v>
      </c>
      <c r="F919" s="1" t="s">
        <v>3913</v>
      </c>
      <c r="G919" s="1" t="s">
        <v>3914</v>
      </c>
      <c r="H919" s="1" t="s">
        <v>3915</v>
      </c>
      <c r="I919" t="b">
        <f>COUNTIF(Estadísticas!I:I,'centraldecomunicacion.es'!H919)&gt;0</f>
        <v>0</v>
      </c>
    </row>
    <row r="920" spans="1:9" hidden="1">
      <c r="A920" s="1" t="s">
        <v>3916</v>
      </c>
      <c r="B920" s="1" t="s">
        <v>24</v>
      </c>
      <c r="C920" s="1" t="s">
        <v>3917</v>
      </c>
      <c r="D920" s="1" t="s">
        <v>3918</v>
      </c>
      <c r="E920" s="1" t="s">
        <v>284</v>
      </c>
      <c r="F920" s="1" t="s">
        <v>78</v>
      </c>
      <c r="G920" s="1" t="s">
        <v>3919</v>
      </c>
      <c r="H920" s="1" t="s">
        <v>657</v>
      </c>
      <c r="I920" t="b">
        <f>COUNTIF(Estadísticas!I:I,'centraldecomunicacion.es'!H920)&gt;0</f>
        <v>0</v>
      </c>
    </row>
    <row r="921" spans="1:9" hidden="1">
      <c r="A921" s="1" t="s">
        <v>3920</v>
      </c>
      <c r="B921" s="1" t="s">
        <v>24</v>
      </c>
      <c r="C921" s="1" t="s">
        <v>3921</v>
      </c>
      <c r="D921" s="1" t="s">
        <v>3922</v>
      </c>
      <c r="E921" s="1" t="s">
        <v>284</v>
      </c>
      <c r="F921" s="1" t="s">
        <v>78</v>
      </c>
      <c r="G921" s="1" t="s">
        <v>3923</v>
      </c>
      <c r="H921" s="1" t="s">
        <v>657</v>
      </c>
      <c r="I921" t="b">
        <f>COUNTIF(Estadísticas!I:I,'centraldecomunicacion.es'!H921)&gt;0</f>
        <v>0</v>
      </c>
    </row>
    <row r="922" spans="1:9" hidden="1">
      <c r="A922" s="1" t="s">
        <v>3924</v>
      </c>
      <c r="B922" s="1" t="s">
        <v>24</v>
      </c>
      <c r="C922" s="1" t="s">
        <v>3925</v>
      </c>
      <c r="D922" s="1" t="s">
        <v>3434</v>
      </c>
      <c r="E922" s="1" t="s">
        <v>284</v>
      </c>
      <c r="F922" s="1" t="s">
        <v>3926</v>
      </c>
      <c r="G922" s="1" t="s">
        <v>3927</v>
      </c>
      <c r="H922" s="1" t="s">
        <v>3928</v>
      </c>
      <c r="I922" t="b">
        <f>COUNTIF(Estadísticas!I:I,'centraldecomunicacion.es'!H922)&gt;0</f>
        <v>0</v>
      </c>
    </row>
    <row r="923" spans="1:9" hidden="1">
      <c r="A923" s="1" t="s">
        <v>3929</v>
      </c>
      <c r="B923" s="1" t="s">
        <v>24</v>
      </c>
      <c r="C923" s="1" t="s">
        <v>3930</v>
      </c>
      <c r="D923" s="1" t="s">
        <v>284</v>
      </c>
      <c r="E923" s="1" t="s">
        <v>284</v>
      </c>
      <c r="F923" s="1" t="s">
        <v>78</v>
      </c>
      <c r="G923" s="1" t="s">
        <v>78</v>
      </c>
      <c r="H923" s="1" t="s">
        <v>657</v>
      </c>
      <c r="I923" t="b">
        <f>COUNTIF(Estadísticas!I:I,'centraldecomunicacion.es'!H923)&gt;0</f>
        <v>0</v>
      </c>
    </row>
    <row r="924" spans="1:9" hidden="1">
      <c r="A924" s="1" t="s">
        <v>3931</v>
      </c>
      <c r="B924" s="1" t="s">
        <v>24</v>
      </c>
      <c r="C924" s="1" t="s">
        <v>3932</v>
      </c>
      <c r="D924" s="1" t="s">
        <v>3933</v>
      </c>
      <c r="E924" s="1" t="s">
        <v>284</v>
      </c>
      <c r="F924" s="1" t="s">
        <v>3717</v>
      </c>
      <c r="G924" s="1" t="s">
        <v>3718</v>
      </c>
      <c r="H924" s="1" t="s">
        <v>3719</v>
      </c>
      <c r="I924" t="b">
        <f>COUNTIF(Estadísticas!I:I,'centraldecomunicacion.es'!H924)&gt;0</f>
        <v>0</v>
      </c>
    </row>
    <row r="925" spans="1:9" hidden="1">
      <c r="A925" s="1" t="s">
        <v>3934</v>
      </c>
      <c r="B925" s="1" t="s">
        <v>24</v>
      </c>
      <c r="C925" s="1" t="s">
        <v>3935</v>
      </c>
      <c r="D925" s="1" t="s">
        <v>327</v>
      </c>
      <c r="E925" s="1" t="s">
        <v>284</v>
      </c>
      <c r="F925" s="1" t="s">
        <v>3936</v>
      </c>
      <c r="G925" s="1" t="s">
        <v>3803</v>
      </c>
      <c r="H925" s="1" t="s">
        <v>1611</v>
      </c>
      <c r="I925" t="b">
        <f>COUNTIF(Estadísticas!I:I,'centraldecomunicacion.es'!H925)&gt;0</f>
        <v>0</v>
      </c>
    </row>
    <row r="926" spans="1:9" hidden="1">
      <c r="A926" s="1" t="s">
        <v>3937</v>
      </c>
      <c r="B926" s="1" t="s">
        <v>36</v>
      </c>
      <c r="C926" s="1" t="s">
        <v>3938</v>
      </c>
      <c r="D926" s="1" t="s">
        <v>284</v>
      </c>
      <c r="E926" s="1" t="s">
        <v>284</v>
      </c>
      <c r="F926" s="1" t="s">
        <v>78</v>
      </c>
      <c r="G926" s="1" t="s">
        <v>3939</v>
      </c>
      <c r="H926" s="1" t="s">
        <v>657</v>
      </c>
      <c r="I926" t="b">
        <f>COUNTIF(Estadísticas!I:I,'centraldecomunicacion.es'!H926)&gt;0</f>
        <v>0</v>
      </c>
    </row>
    <row r="927" spans="1:9" hidden="1">
      <c r="A927" s="1" t="s">
        <v>3940</v>
      </c>
      <c r="B927" s="1" t="s">
        <v>10</v>
      </c>
      <c r="C927" s="1" t="s">
        <v>3941</v>
      </c>
      <c r="D927" s="1" t="s">
        <v>3393</v>
      </c>
      <c r="E927" s="1" t="s">
        <v>284</v>
      </c>
      <c r="F927" s="1" t="s">
        <v>78</v>
      </c>
      <c r="G927" s="1" t="s">
        <v>78</v>
      </c>
      <c r="H927" s="1" t="s">
        <v>657</v>
      </c>
      <c r="I927" t="b">
        <f>COUNTIF(Estadísticas!I:I,'centraldecomunicacion.es'!H927)&gt;0</f>
        <v>0</v>
      </c>
    </row>
    <row r="928" spans="1:9" hidden="1">
      <c r="A928" s="1" t="s">
        <v>3756</v>
      </c>
      <c r="B928" s="1" t="s">
        <v>10</v>
      </c>
      <c r="C928" s="1" t="s">
        <v>3942</v>
      </c>
      <c r="D928" s="1" t="s">
        <v>3943</v>
      </c>
      <c r="E928" s="1" t="s">
        <v>284</v>
      </c>
      <c r="F928" s="1" t="s">
        <v>3944</v>
      </c>
      <c r="G928" s="1" t="s">
        <v>3945</v>
      </c>
      <c r="H928" s="1" t="s">
        <v>3760</v>
      </c>
      <c r="I928" t="b">
        <f>COUNTIF(Estadísticas!I:I,'centraldecomunicacion.es'!H928)&gt;0</f>
        <v>0</v>
      </c>
    </row>
    <row r="929" spans="1:9" hidden="1">
      <c r="A929" s="1" t="s">
        <v>3946</v>
      </c>
      <c r="B929" s="1" t="s">
        <v>10</v>
      </c>
      <c r="C929" s="1" t="s">
        <v>78</v>
      </c>
      <c r="D929" s="1" t="s">
        <v>3947</v>
      </c>
      <c r="E929" s="1" t="s">
        <v>78</v>
      </c>
      <c r="F929" s="1" t="s">
        <v>3948</v>
      </c>
      <c r="G929" s="1" t="s">
        <v>3949</v>
      </c>
      <c r="H929" s="1" t="s">
        <v>3950</v>
      </c>
      <c r="I929" t="b">
        <f>COUNTIF(Estadísticas!I:I,'centraldecomunicacion.es'!H929)&gt;0</f>
        <v>0</v>
      </c>
    </row>
    <row r="930" spans="1:9" hidden="1">
      <c r="A930" s="1" t="s">
        <v>3951</v>
      </c>
      <c r="B930" s="1" t="s">
        <v>24</v>
      </c>
      <c r="C930" s="1" t="s">
        <v>3952</v>
      </c>
      <c r="D930" s="1" t="s">
        <v>3953</v>
      </c>
      <c r="E930" s="1" t="s">
        <v>376</v>
      </c>
      <c r="F930" s="1" t="s">
        <v>3954</v>
      </c>
      <c r="G930" s="1" t="s">
        <v>3955</v>
      </c>
      <c r="H930" s="1" t="s">
        <v>657</v>
      </c>
      <c r="I930" t="b">
        <f>COUNTIF(Estadísticas!I:I,'centraldecomunicacion.es'!H930)&gt;0</f>
        <v>0</v>
      </c>
    </row>
    <row r="931" spans="1:9" hidden="1">
      <c r="A931" s="1" t="s">
        <v>3956</v>
      </c>
      <c r="B931" s="1" t="s">
        <v>24</v>
      </c>
      <c r="C931" s="1" t="s">
        <v>3957</v>
      </c>
      <c r="D931" s="1" t="s">
        <v>3953</v>
      </c>
      <c r="E931" s="1" t="s">
        <v>376</v>
      </c>
      <c r="F931" s="1" t="s">
        <v>3958</v>
      </c>
      <c r="G931" s="1" t="s">
        <v>3959</v>
      </c>
      <c r="H931" s="1" t="s">
        <v>657</v>
      </c>
      <c r="I931" t="b">
        <f>COUNTIF(Estadísticas!I:I,'centraldecomunicacion.es'!H931)&gt;0</f>
        <v>0</v>
      </c>
    </row>
    <row r="932" spans="1:9" hidden="1">
      <c r="A932" s="1" t="s">
        <v>3960</v>
      </c>
      <c r="B932" s="1" t="s">
        <v>24</v>
      </c>
      <c r="C932" s="1" t="s">
        <v>78</v>
      </c>
      <c r="D932" s="1" t="s">
        <v>3947</v>
      </c>
      <c r="E932" s="1" t="s">
        <v>78</v>
      </c>
      <c r="F932" s="1" t="s">
        <v>3961</v>
      </c>
      <c r="G932" s="1" t="s">
        <v>3962</v>
      </c>
      <c r="H932" s="1" t="s">
        <v>3950</v>
      </c>
      <c r="I932" t="b">
        <f>COUNTIF(Estadísticas!I:I,'centraldecomunicacion.es'!H932)&gt;0</f>
        <v>0</v>
      </c>
    </row>
    <row r="933" spans="1:9" hidden="1">
      <c r="A933" s="1" t="s">
        <v>3963</v>
      </c>
      <c r="B933" s="1" t="s">
        <v>24</v>
      </c>
      <c r="C933" s="1" t="s">
        <v>3964</v>
      </c>
      <c r="D933" s="1" t="s">
        <v>3953</v>
      </c>
      <c r="E933" s="1" t="s">
        <v>376</v>
      </c>
      <c r="F933" s="1" t="s">
        <v>78</v>
      </c>
      <c r="G933" s="1" t="s">
        <v>3965</v>
      </c>
      <c r="H933" s="1" t="s">
        <v>657</v>
      </c>
      <c r="I933" t="b">
        <f>COUNTIF(Estadísticas!I:I,'centraldecomunicacion.es'!H933)&gt;0</f>
        <v>0</v>
      </c>
    </row>
    <row r="934" spans="1:9" hidden="1">
      <c r="A934" s="1" t="s">
        <v>3966</v>
      </c>
      <c r="B934" s="1" t="s">
        <v>24</v>
      </c>
      <c r="C934" s="1" t="s">
        <v>3967</v>
      </c>
      <c r="D934" s="1" t="s">
        <v>3953</v>
      </c>
      <c r="E934" s="1" t="s">
        <v>376</v>
      </c>
      <c r="F934" s="1" t="s">
        <v>829</v>
      </c>
      <c r="G934" s="1" t="s">
        <v>3968</v>
      </c>
      <c r="H934" s="1" t="s">
        <v>831</v>
      </c>
      <c r="I934" t="b">
        <f>COUNTIF(Estadísticas!I:I,'centraldecomunicacion.es'!H934)&gt;0</f>
        <v>0</v>
      </c>
    </row>
    <row r="935" spans="1:9" hidden="1">
      <c r="A935" s="1" t="s">
        <v>3969</v>
      </c>
      <c r="B935" s="1" t="s">
        <v>10</v>
      </c>
      <c r="C935" s="1" t="s">
        <v>3970</v>
      </c>
      <c r="D935" s="1" t="s">
        <v>3953</v>
      </c>
      <c r="E935" s="1" t="s">
        <v>376</v>
      </c>
      <c r="F935" s="1" t="s">
        <v>3971</v>
      </c>
      <c r="G935" s="1" t="s">
        <v>3972</v>
      </c>
      <c r="H935" s="1" t="s">
        <v>3973</v>
      </c>
      <c r="I935" t="b">
        <f>COUNTIF(Estadísticas!I:I,'centraldecomunicacion.es'!H935)&gt;0</f>
        <v>0</v>
      </c>
    </row>
    <row r="936" spans="1:9" hidden="1">
      <c r="A936" s="1" t="s">
        <v>3974</v>
      </c>
      <c r="B936" s="1" t="s">
        <v>24</v>
      </c>
      <c r="C936" s="1" t="s">
        <v>3975</v>
      </c>
      <c r="D936" s="1" t="s">
        <v>3976</v>
      </c>
      <c r="E936" s="1" t="s">
        <v>376</v>
      </c>
      <c r="F936" s="1" t="s">
        <v>3977</v>
      </c>
      <c r="G936" s="1" t="s">
        <v>3978</v>
      </c>
      <c r="H936" s="1" t="s">
        <v>3979</v>
      </c>
      <c r="I936" t="b">
        <f>COUNTIF(Estadísticas!I:I,'centraldecomunicacion.es'!H936)&gt;0</f>
        <v>0</v>
      </c>
    </row>
    <row r="937" spans="1:9" hidden="1">
      <c r="A937" s="1" t="s">
        <v>3980</v>
      </c>
      <c r="B937" s="1" t="s">
        <v>24</v>
      </c>
      <c r="C937" s="1" t="s">
        <v>3981</v>
      </c>
      <c r="D937" s="1" t="s">
        <v>3953</v>
      </c>
      <c r="E937" s="1" t="s">
        <v>376</v>
      </c>
      <c r="F937" s="1" t="s">
        <v>3977</v>
      </c>
      <c r="G937" s="1" t="s">
        <v>3978</v>
      </c>
      <c r="H937" s="1" t="s">
        <v>3979</v>
      </c>
      <c r="I937" t="b">
        <f>COUNTIF(Estadísticas!I:I,'centraldecomunicacion.es'!H937)&gt;0</f>
        <v>0</v>
      </c>
    </row>
    <row r="938" spans="1:9" hidden="1">
      <c r="A938" s="1" t="s">
        <v>3982</v>
      </c>
      <c r="B938" s="1" t="s">
        <v>10</v>
      </c>
      <c r="C938" s="1" t="s">
        <v>3983</v>
      </c>
      <c r="D938" s="1" t="s">
        <v>3984</v>
      </c>
      <c r="E938" s="1" t="s">
        <v>376</v>
      </c>
      <c r="F938" s="1" t="s">
        <v>3985</v>
      </c>
      <c r="G938" s="1" t="s">
        <v>3986</v>
      </c>
      <c r="H938" s="1" t="s">
        <v>3987</v>
      </c>
      <c r="I938" t="b">
        <f>COUNTIF(Estadísticas!I:I,'centraldecomunicacion.es'!H938)&gt;0</f>
        <v>0</v>
      </c>
    </row>
    <row r="939" spans="1:9" hidden="1">
      <c r="A939" s="1" t="s">
        <v>3988</v>
      </c>
      <c r="B939" s="1" t="s">
        <v>24</v>
      </c>
      <c r="C939" s="1" t="s">
        <v>3989</v>
      </c>
      <c r="D939" s="1" t="s">
        <v>3990</v>
      </c>
      <c r="E939" s="1" t="s">
        <v>376</v>
      </c>
      <c r="F939" s="1" t="s">
        <v>78</v>
      </c>
      <c r="G939" s="1" t="s">
        <v>78</v>
      </c>
      <c r="H939" s="1" t="s">
        <v>657</v>
      </c>
      <c r="I939" t="b">
        <f>COUNTIF(Estadísticas!I:I,'centraldecomunicacion.es'!H939)&gt;0</f>
        <v>0</v>
      </c>
    </row>
    <row r="940" spans="1:9" hidden="1">
      <c r="A940" s="1" t="s">
        <v>3991</v>
      </c>
      <c r="B940" s="1" t="s">
        <v>10</v>
      </c>
      <c r="C940" s="1" t="s">
        <v>78</v>
      </c>
      <c r="D940" s="1" t="s">
        <v>3947</v>
      </c>
      <c r="E940" s="1" t="s">
        <v>78</v>
      </c>
      <c r="F940" s="1" t="s">
        <v>3992</v>
      </c>
      <c r="G940" s="1" t="s">
        <v>3993</v>
      </c>
      <c r="H940" s="1" t="s">
        <v>657</v>
      </c>
      <c r="I940" t="b">
        <f>COUNTIF(Estadísticas!I:I,'centraldecomunicacion.es'!H940)&gt;0</f>
        <v>0</v>
      </c>
    </row>
    <row r="941" spans="1:9" hidden="1">
      <c r="A941" s="1" t="s">
        <v>3994</v>
      </c>
      <c r="B941" s="1" t="s">
        <v>24</v>
      </c>
      <c r="C941" s="1" t="s">
        <v>3995</v>
      </c>
      <c r="D941" s="1" t="s">
        <v>3953</v>
      </c>
      <c r="E941" s="1" t="s">
        <v>376</v>
      </c>
      <c r="F941" s="1" t="s">
        <v>78</v>
      </c>
      <c r="G941" s="1" t="s">
        <v>78</v>
      </c>
      <c r="H941" s="1" t="s">
        <v>657</v>
      </c>
      <c r="I941" t="b">
        <f>COUNTIF(Estadísticas!I:I,'centraldecomunicacion.es'!H941)&gt;0</f>
        <v>0</v>
      </c>
    </row>
    <row r="942" spans="1:9" hidden="1">
      <c r="A942" s="1" t="s">
        <v>3996</v>
      </c>
      <c r="B942" s="1" t="s">
        <v>24</v>
      </c>
      <c r="C942" s="1" t="s">
        <v>3997</v>
      </c>
      <c r="D942" s="1" t="s">
        <v>3998</v>
      </c>
      <c r="E942" s="1" t="s">
        <v>376</v>
      </c>
      <c r="F942" s="1" t="s">
        <v>78</v>
      </c>
      <c r="G942" s="1" t="s">
        <v>3999</v>
      </c>
      <c r="H942" s="1" t="s">
        <v>657</v>
      </c>
      <c r="I942" t="b">
        <f>COUNTIF(Estadísticas!I:I,'centraldecomunicacion.es'!H942)&gt;0</f>
        <v>0</v>
      </c>
    </row>
    <row r="943" spans="1:9" hidden="1">
      <c r="A943" s="1" t="s">
        <v>4000</v>
      </c>
      <c r="B943" s="1" t="s">
        <v>24</v>
      </c>
      <c r="C943" s="1" t="s">
        <v>4001</v>
      </c>
      <c r="D943" s="1" t="s">
        <v>3990</v>
      </c>
      <c r="E943" s="1" t="s">
        <v>376</v>
      </c>
      <c r="F943" s="1" t="s">
        <v>78</v>
      </c>
      <c r="G943" s="1" t="s">
        <v>4002</v>
      </c>
      <c r="H943" s="1" t="s">
        <v>657</v>
      </c>
      <c r="I943" t="b">
        <f>COUNTIF(Estadísticas!I:I,'centraldecomunicacion.es'!H943)&gt;0</f>
        <v>0</v>
      </c>
    </row>
    <row r="944" spans="1:9" hidden="1">
      <c r="A944" s="1" t="s">
        <v>4003</v>
      </c>
      <c r="B944" s="1" t="s">
        <v>24</v>
      </c>
      <c r="C944" s="1" t="s">
        <v>4004</v>
      </c>
      <c r="D944" s="1" t="s">
        <v>3990</v>
      </c>
      <c r="E944" s="1" t="s">
        <v>376</v>
      </c>
      <c r="F944" s="1" t="s">
        <v>78</v>
      </c>
      <c r="G944" s="1" t="s">
        <v>78</v>
      </c>
      <c r="H944" s="1" t="s">
        <v>657</v>
      </c>
      <c r="I944" t="b">
        <f>COUNTIF(Estadísticas!I:I,'centraldecomunicacion.es'!H944)&gt;0</f>
        <v>0</v>
      </c>
    </row>
    <row r="945" spans="1:9" hidden="1">
      <c r="A945" s="1" t="s">
        <v>4005</v>
      </c>
      <c r="B945" s="1" t="s">
        <v>24</v>
      </c>
      <c r="C945" s="1" t="s">
        <v>4006</v>
      </c>
      <c r="D945" s="1" t="s">
        <v>4007</v>
      </c>
      <c r="E945" s="1" t="s">
        <v>376</v>
      </c>
      <c r="F945" s="1" t="s">
        <v>78</v>
      </c>
      <c r="G945" s="1" t="s">
        <v>4008</v>
      </c>
      <c r="H945" s="1" t="s">
        <v>657</v>
      </c>
      <c r="I945" t="b">
        <f>COUNTIF(Estadísticas!I:I,'centraldecomunicacion.es'!H945)&gt;0</f>
        <v>0</v>
      </c>
    </row>
    <row r="946" spans="1:9" hidden="1">
      <c r="A946" s="1" t="s">
        <v>4009</v>
      </c>
      <c r="B946" s="1" t="s">
        <v>24</v>
      </c>
      <c r="C946" s="1" t="s">
        <v>4010</v>
      </c>
      <c r="D946" s="1" t="s">
        <v>3953</v>
      </c>
      <c r="E946" s="1" t="s">
        <v>376</v>
      </c>
      <c r="F946" s="1" t="s">
        <v>3961</v>
      </c>
      <c r="G946" s="1" t="s">
        <v>3949</v>
      </c>
      <c r="H946" s="1" t="s">
        <v>3950</v>
      </c>
      <c r="I946" t="b">
        <f>COUNTIF(Estadísticas!I:I,'centraldecomunicacion.es'!H946)&gt;0</f>
        <v>0</v>
      </c>
    </row>
    <row r="947" spans="1:9" hidden="1">
      <c r="A947" s="1" t="s">
        <v>4011</v>
      </c>
      <c r="B947" s="1" t="s">
        <v>24</v>
      </c>
      <c r="C947" s="1" t="s">
        <v>4012</v>
      </c>
      <c r="D947" s="1" t="s">
        <v>3984</v>
      </c>
      <c r="E947" s="1" t="s">
        <v>376</v>
      </c>
      <c r="F947" s="1" t="s">
        <v>4013</v>
      </c>
      <c r="G947" s="1" t="s">
        <v>78</v>
      </c>
      <c r="H947" s="1" t="s">
        <v>4014</v>
      </c>
      <c r="I947" t="b">
        <f>COUNTIF(Estadísticas!I:I,'centraldecomunicacion.es'!H947)&gt;0</f>
        <v>0</v>
      </c>
    </row>
    <row r="948" spans="1:9" hidden="1">
      <c r="A948" s="1" t="s">
        <v>4015</v>
      </c>
      <c r="B948" s="1" t="s">
        <v>10</v>
      </c>
      <c r="C948" s="1" t="s">
        <v>4016</v>
      </c>
      <c r="D948" s="1" t="s">
        <v>4017</v>
      </c>
      <c r="E948" s="1" t="s">
        <v>376</v>
      </c>
      <c r="F948" s="1" t="s">
        <v>4018</v>
      </c>
      <c r="G948" s="1" t="s">
        <v>4019</v>
      </c>
      <c r="H948" s="1" t="s">
        <v>657</v>
      </c>
      <c r="I948" t="b">
        <f>COUNTIF(Estadísticas!I:I,'centraldecomunicacion.es'!H948)&gt;0</f>
        <v>0</v>
      </c>
    </row>
    <row r="949" spans="1:9" hidden="1">
      <c r="A949" s="1" t="s">
        <v>4020</v>
      </c>
      <c r="B949" s="1" t="s">
        <v>10</v>
      </c>
      <c r="C949" s="1" t="s">
        <v>4021</v>
      </c>
      <c r="D949" s="1" t="s">
        <v>4022</v>
      </c>
      <c r="E949" s="1" t="s">
        <v>376</v>
      </c>
      <c r="F949" s="1" t="s">
        <v>4023</v>
      </c>
      <c r="G949" s="1" t="s">
        <v>378</v>
      </c>
      <c r="H949" s="1" t="s">
        <v>4024</v>
      </c>
      <c r="I949" t="b">
        <f>COUNTIF(Estadísticas!I:I,'centraldecomunicacion.es'!H949)&gt;0</f>
        <v>0</v>
      </c>
    </row>
    <row r="950" spans="1:9" hidden="1">
      <c r="A950" s="1" t="s">
        <v>4025</v>
      </c>
      <c r="B950" s="1" t="s">
        <v>10</v>
      </c>
      <c r="C950" s="1" t="s">
        <v>78</v>
      </c>
      <c r="D950" s="1" t="s">
        <v>3947</v>
      </c>
      <c r="E950" s="1" t="s">
        <v>78</v>
      </c>
      <c r="F950" s="1" t="s">
        <v>4026</v>
      </c>
      <c r="G950" s="1" t="s">
        <v>3949</v>
      </c>
      <c r="H950" s="1" t="s">
        <v>3950</v>
      </c>
      <c r="I950" t="b">
        <f>COUNTIF(Estadísticas!I:I,'centraldecomunicacion.es'!H950)&gt;0</f>
        <v>0</v>
      </c>
    </row>
    <row r="951" spans="1:9" hidden="1">
      <c r="A951" s="1" t="s">
        <v>4027</v>
      </c>
      <c r="B951" s="1" t="s">
        <v>24</v>
      </c>
      <c r="C951" s="1" t="s">
        <v>4028</v>
      </c>
      <c r="D951" s="1" t="s">
        <v>4029</v>
      </c>
      <c r="E951" s="1" t="s">
        <v>376</v>
      </c>
      <c r="F951" s="1" t="s">
        <v>4013</v>
      </c>
      <c r="G951" s="1" t="s">
        <v>4030</v>
      </c>
      <c r="H951" s="1" t="s">
        <v>4014</v>
      </c>
      <c r="I951" t="b">
        <f>COUNTIF(Estadísticas!I:I,'centraldecomunicacion.es'!H951)&gt;0</f>
        <v>0</v>
      </c>
    </row>
    <row r="952" spans="1:9">
      <c r="A952" s="1" t="s">
        <v>373</v>
      </c>
      <c r="B952" s="1" t="s">
        <v>24</v>
      </c>
      <c r="C952" s="1" t="s">
        <v>374</v>
      </c>
      <c r="D952" s="1" t="s">
        <v>375</v>
      </c>
      <c r="E952" s="1" t="s">
        <v>376</v>
      </c>
      <c r="F952" s="1" t="s">
        <v>377</v>
      </c>
      <c r="G952" s="1" t="s">
        <v>378</v>
      </c>
      <c r="H952" s="1" t="s">
        <v>379</v>
      </c>
      <c r="I952" t="b">
        <f>COUNTIF(Estadísticas!I:I,'centraldecomunicacion.es'!H952)&gt;0</f>
        <v>1</v>
      </c>
    </row>
    <row r="953" spans="1:9" hidden="1">
      <c r="A953" s="1" t="s">
        <v>4031</v>
      </c>
      <c r="B953" s="1" t="s">
        <v>24</v>
      </c>
      <c r="C953" s="1" t="s">
        <v>4032</v>
      </c>
      <c r="D953" s="1" t="s">
        <v>4033</v>
      </c>
      <c r="E953" s="1" t="s">
        <v>376</v>
      </c>
      <c r="F953" s="1" t="s">
        <v>4034</v>
      </c>
      <c r="G953" s="1" t="s">
        <v>4035</v>
      </c>
      <c r="H953" s="1" t="s">
        <v>4036</v>
      </c>
      <c r="I953" t="b">
        <f>COUNTIF(Estadísticas!I:I,'centraldecomunicacion.es'!H953)&gt;0</f>
        <v>0</v>
      </c>
    </row>
    <row r="954" spans="1:9" hidden="1">
      <c r="A954" s="1" t="s">
        <v>4037</v>
      </c>
      <c r="B954" s="1" t="s">
        <v>24</v>
      </c>
      <c r="C954" s="1" t="s">
        <v>4038</v>
      </c>
      <c r="D954" s="1" t="s">
        <v>4029</v>
      </c>
      <c r="E954" s="1" t="s">
        <v>376</v>
      </c>
      <c r="F954" s="1" t="s">
        <v>78</v>
      </c>
      <c r="G954" s="1" t="s">
        <v>4039</v>
      </c>
      <c r="H954" s="1" t="s">
        <v>657</v>
      </c>
      <c r="I954" t="b">
        <f>COUNTIF(Estadísticas!I:I,'centraldecomunicacion.es'!H954)&gt;0</f>
        <v>0</v>
      </c>
    </row>
    <row r="955" spans="1:9" hidden="1">
      <c r="A955" s="1" t="s">
        <v>4040</v>
      </c>
      <c r="B955" s="1" t="s">
        <v>24</v>
      </c>
      <c r="C955" s="1" t="s">
        <v>4041</v>
      </c>
      <c r="D955" s="1" t="s">
        <v>4042</v>
      </c>
      <c r="E955" s="1" t="s">
        <v>284</v>
      </c>
      <c r="F955" s="1" t="s">
        <v>4013</v>
      </c>
      <c r="G955" s="1" t="s">
        <v>4030</v>
      </c>
      <c r="H955" s="1" t="s">
        <v>4014</v>
      </c>
      <c r="I955" t="b">
        <f>COUNTIF(Estadísticas!I:I,'centraldecomunicacion.es'!H955)&gt;0</f>
        <v>0</v>
      </c>
    </row>
    <row r="956" spans="1:9" hidden="1">
      <c r="A956" s="1" t="s">
        <v>4043</v>
      </c>
      <c r="B956" s="1" t="s">
        <v>24</v>
      </c>
      <c r="C956" s="1" t="s">
        <v>4044</v>
      </c>
      <c r="D956" s="1" t="s">
        <v>4045</v>
      </c>
      <c r="E956" s="1" t="s">
        <v>284</v>
      </c>
      <c r="F956" s="1" t="s">
        <v>4046</v>
      </c>
      <c r="G956" s="1" t="s">
        <v>4047</v>
      </c>
      <c r="H956" s="1" t="s">
        <v>657</v>
      </c>
      <c r="I956" t="b">
        <f>COUNTIF(Estadísticas!I:I,'centraldecomunicacion.es'!H956)&gt;0</f>
        <v>0</v>
      </c>
    </row>
    <row r="957" spans="1:9" hidden="1">
      <c r="A957" s="1" t="s">
        <v>4048</v>
      </c>
      <c r="B957" s="1" t="s">
        <v>10</v>
      </c>
      <c r="C957" s="1" t="s">
        <v>4049</v>
      </c>
      <c r="D957" s="1" t="s">
        <v>382</v>
      </c>
      <c r="E957" s="1" t="s">
        <v>383</v>
      </c>
      <c r="F957" s="1" t="s">
        <v>1570</v>
      </c>
      <c r="G957" s="1" t="s">
        <v>1571</v>
      </c>
      <c r="H957" s="1" t="s">
        <v>1572</v>
      </c>
      <c r="I957" t="b">
        <f>COUNTIF(Estadísticas!I:I,'centraldecomunicacion.es'!H957)&gt;0</f>
        <v>0</v>
      </c>
    </row>
    <row r="958" spans="1:9" hidden="1">
      <c r="A958" s="1" t="s">
        <v>4050</v>
      </c>
      <c r="B958" s="1" t="s">
        <v>24</v>
      </c>
      <c r="C958" s="1" t="s">
        <v>4051</v>
      </c>
      <c r="D958" s="1" t="s">
        <v>382</v>
      </c>
      <c r="E958" s="1" t="s">
        <v>383</v>
      </c>
      <c r="F958" s="1" t="s">
        <v>4052</v>
      </c>
      <c r="G958" s="1" t="s">
        <v>4053</v>
      </c>
      <c r="H958" s="1" t="s">
        <v>4054</v>
      </c>
      <c r="I958" t="b">
        <f>COUNTIF(Estadísticas!I:I,'centraldecomunicacion.es'!H958)&gt;0</f>
        <v>0</v>
      </c>
    </row>
    <row r="959" spans="1:9">
      <c r="A959" s="1" t="s">
        <v>380</v>
      </c>
      <c r="B959" s="1" t="s">
        <v>24</v>
      </c>
      <c r="C959" s="1" t="s">
        <v>381</v>
      </c>
      <c r="D959" s="1" t="s">
        <v>382</v>
      </c>
      <c r="E959" s="1" t="s">
        <v>383</v>
      </c>
      <c r="F959" s="1" t="s">
        <v>384</v>
      </c>
      <c r="G959" s="1" t="s">
        <v>385</v>
      </c>
      <c r="H959" s="1" t="s">
        <v>386</v>
      </c>
      <c r="I959" t="b">
        <f>COUNTIF(Estadísticas!I:I,'centraldecomunicacion.es'!H959)&gt;0</f>
        <v>1</v>
      </c>
    </row>
    <row r="960" spans="1:9" hidden="1">
      <c r="A960" s="1" t="s">
        <v>4055</v>
      </c>
      <c r="B960" s="1" t="s">
        <v>10</v>
      </c>
      <c r="C960" s="1" t="s">
        <v>4056</v>
      </c>
      <c r="D960" s="1" t="s">
        <v>382</v>
      </c>
      <c r="E960" s="1" t="s">
        <v>383</v>
      </c>
      <c r="F960" s="1" t="s">
        <v>4057</v>
      </c>
      <c r="G960" s="1" t="s">
        <v>4058</v>
      </c>
      <c r="H960" s="1" t="s">
        <v>1526</v>
      </c>
      <c r="I960" t="b">
        <f>COUNTIF(Estadísticas!I:I,'centraldecomunicacion.es'!H960)&gt;0</f>
        <v>0</v>
      </c>
    </row>
    <row r="961" spans="1:9" hidden="1">
      <c r="A961" s="1" t="s">
        <v>4059</v>
      </c>
      <c r="B961" s="1" t="s">
        <v>24</v>
      </c>
      <c r="C961" s="1" t="s">
        <v>78</v>
      </c>
      <c r="D961" s="1" t="s">
        <v>4060</v>
      </c>
      <c r="E961" s="1" t="s">
        <v>78</v>
      </c>
      <c r="F961" s="1" t="s">
        <v>4013</v>
      </c>
      <c r="G961" s="1" t="s">
        <v>4030</v>
      </c>
      <c r="H961" s="1" t="s">
        <v>4014</v>
      </c>
      <c r="I961" t="b">
        <f>COUNTIF(Estadísticas!I:I,'centraldecomunicacion.es'!H961)&gt;0</f>
        <v>0</v>
      </c>
    </row>
    <row r="962" spans="1:9" hidden="1">
      <c r="A962" s="1" t="s">
        <v>4061</v>
      </c>
      <c r="B962" s="1" t="s">
        <v>24</v>
      </c>
      <c r="C962" s="1" t="s">
        <v>4062</v>
      </c>
      <c r="D962" s="1" t="s">
        <v>382</v>
      </c>
      <c r="E962" s="1" t="s">
        <v>383</v>
      </c>
      <c r="F962" s="1" t="s">
        <v>78</v>
      </c>
      <c r="G962" s="1" t="s">
        <v>4063</v>
      </c>
      <c r="H962" s="1" t="s">
        <v>657</v>
      </c>
      <c r="I962" t="b">
        <f>COUNTIF(Estadísticas!I:I,'centraldecomunicacion.es'!H962)&gt;0</f>
        <v>0</v>
      </c>
    </row>
    <row r="963" spans="1:9" hidden="1">
      <c r="A963" s="1" t="s">
        <v>4064</v>
      </c>
      <c r="B963" s="1" t="s">
        <v>10</v>
      </c>
      <c r="C963" s="1" t="s">
        <v>4065</v>
      </c>
      <c r="D963" s="1" t="s">
        <v>382</v>
      </c>
      <c r="E963" s="1" t="s">
        <v>383</v>
      </c>
      <c r="F963" s="1" t="s">
        <v>78</v>
      </c>
      <c r="G963" s="1" t="s">
        <v>3893</v>
      </c>
      <c r="H963" s="1" t="s">
        <v>657</v>
      </c>
      <c r="I963" t="b">
        <f>COUNTIF(Estadísticas!I:I,'centraldecomunicacion.es'!H963)&gt;0</f>
        <v>0</v>
      </c>
    </row>
    <row r="964" spans="1:9" hidden="1">
      <c r="A964" s="1" t="s">
        <v>4066</v>
      </c>
      <c r="B964" s="1" t="s">
        <v>24</v>
      </c>
      <c r="C964" s="1" t="s">
        <v>78</v>
      </c>
      <c r="D964" s="1" t="s">
        <v>4060</v>
      </c>
      <c r="E964" s="1" t="s">
        <v>78</v>
      </c>
      <c r="F964" s="1" t="s">
        <v>1570</v>
      </c>
      <c r="G964" s="1" t="s">
        <v>1571</v>
      </c>
      <c r="H964" s="1" t="s">
        <v>1572</v>
      </c>
      <c r="I964" t="b">
        <f>COUNTIF(Estadísticas!I:I,'centraldecomunicacion.es'!H964)&gt;0</f>
        <v>0</v>
      </c>
    </row>
    <row r="965" spans="1:9" hidden="1">
      <c r="A965" s="1" t="s">
        <v>4067</v>
      </c>
      <c r="B965" s="1" t="s">
        <v>24</v>
      </c>
      <c r="C965" s="1" t="s">
        <v>4068</v>
      </c>
      <c r="D965" s="1" t="s">
        <v>382</v>
      </c>
      <c r="E965" s="1" t="s">
        <v>383</v>
      </c>
      <c r="F965" s="1" t="s">
        <v>4069</v>
      </c>
      <c r="G965" s="1" t="s">
        <v>78</v>
      </c>
      <c r="H965" s="1" t="s">
        <v>1572</v>
      </c>
      <c r="I965" t="b">
        <f>COUNTIF(Estadísticas!I:I,'centraldecomunicacion.es'!H965)&gt;0</f>
        <v>0</v>
      </c>
    </row>
    <row r="966" spans="1:9" hidden="1">
      <c r="A966" s="1" t="s">
        <v>4070</v>
      </c>
      <c r="B966" s="1" t="s">
        <v>10</v>
      </c>
      <c r="C966" s="1" t="s">
        <v>4071</v>
      </c>
      <c r="D966" s="1" t="s">
        <v>4072</v>
      </c>
      <c r="E966" s="1" t="s">
        <v>383</v>
      </c>
      <c r="F966" s="1" t="s">
        <v>1570</v>
      </c>
      <c r="G966" s="1" t="s">
        <v>1571</v>
      </c>
      <c r="H966" s="1" t="s">
        <v>1572</v>
      </c>
      <c r="I966" t="b">
        <f>COUNTIF(Estadísticas!I:I,'centraldecomunicacion.es'!H966)&gt;0</f>
        <v>0</v>
      </c>
    </row>
    <row r="967" spans="1:9" hidden="1">
      <c r="A967" s="1" t="s">
        <v>4059</v>
      </c>
      <c r="B967" s="1" t="s">
        <v>24</v>
      </c>
      <c r="C967" s="1" t="s">
        <v>4073</v>
      </c>
      <c r="D967" s="1" t="s">
        <v>382</v>
      </c>
      <c r="E967" s="1" t="s">
        <v>383</v>
      </c>
      <c r="F967" s="1" t="s">
        <v>78</v>
      </c>
      <c r="G967" s="1" t="s">
        <v>78</v>
      </c>
      <c r="H967" s="1" t="s">
        <v>657</v>
      </c>
      <c r="I967" t="b">
        <f>COUNTIF(Estadísticas!I:I,'centraldecomunicacion.es'!H967)&gt;0</f>
        <v>0</v>
      </c>
    </row>
    <row r="968" spans="1:9" hidden="1">
      <c r="A968" s="1" t="s">
        <v>4074</v>
      </c>
      <c r="B968" s="1" t="s">
        <v>24</v>
      </c>
      <c r="C968" s="1" t="s">
        <v>4075</v>
      </c>
      <c r="D968" s="1" t="s">
        <v>4076</v>
      </c>
      <c r="E968" s="1" t="s">
        <v>383</v>
      </c>
      <c r="F968" s="1" t="s">
        <v>78</v>
      </c>
      <c r="G968" s="1" t="s">
        <v>4077</v>
      </c>
      <c r="H968" s="1" t="s">
        <v>657</v>
      </c>
      <c r="I968" t="b">
        <f>COUNTIF(Estadísticas!I:I,'centraldecomunicacion.es'!H968)&gt;0</f>
        <v>0</v>
      </c>
    </row>
    <row r="969" spans="1:9" hidden="1">
      <c r="A969" s="1" t="s">
        <v>4078</v>
      </c>
      <c r="B969" s="1" t="s">
        <v>24</v>
      </c>
      <c r="C969" s="1" t="s">
        <v>4071</v>
      </c>
      <c r="D969" s="1" t="s">
        <v>4072</v>
      </c>
      <c r="E969" s="1" t="s">
        <v>383</v>
      </c>
      <c r="F969" s="1" t="s">
        <v>4079</v>
      </c>
      <c r="G969" s="1" t="s">
        <v>4080</v>
      </c>
      <c r="H969" s="1" t="s">
        <v>1572</v>
      </c>
      <c r="I969" t="b">
        <f>COUNTIF(Estadísticas!I:I,'centraldecomunicacion.es'!H969)&gt;0</f>
        <v>0</v>
      </c>
    </row>
    <row r="970" spans="1:9" hidden="1">
      <c r="A970" s="1" t="s">
        <v>4081</v>
      </c>
      <c r="B970" s="1" t="s">
        <v>24</v>
      </c>
      <c r="C970" s="1" t="s">
        <v>4082</v>
      </c>
      <c r="D970" s="1" t="s">
        <v>4083</v>
      </c>
      <c r="E970" s="1" t="s">
        <v>383</v>
      </c>
      <c r="F970" s="1" t="s">
        <v>78</v>
      </c>
      <c r="G970" s="1" t="s">
        <v>4084</v>
      </c>
      <c r="H970" s="1" t="s">
        <v>657</v>
      </c>
      <c r="I970" t="b">
        <f>COUNTIF(Estadísticas!I:I,'centraldecomunicacion.es'!H970)&gt;0</f>
        <v>0</v>
      </c>
    </row>
    <row r="971" spans="1:9" hidden="1">
      <c r="A971" s="1" t="s">
        <v>4085</v>
      </c>
      <c r="B971" s="1" t="s">
        <v>24</v>
      </c>
      <c r="C971" s="1" t="s">
        <v>4086</v>
      </c>
      <c r="D971" s="1" t="s">
        <v>4087</v>
      </c>
      <c r="E971" s="1" t="s">
        <v>389</v>
      </c>
      <c r="F971" s="1" t="s">
        <v>4088</v>
      </c>
      <c r="G971" s="1" t="s">
        <v>4089</v>
      </c>
      <c r="H971" s="1" t="s">
        <v>657</v>
      </c>
      <c r="I971" t="b">
        <f>COUNTIF(Estadísticas!I:I,'centraldecomunicacion.es'!H971)&gt;0</f>
        <v>0</v>
      </c>
    </row>
    <row r="972" spans="1:9" hidden="1">
      <c r="A972" s="1" t="s">
        <v>4090</v>
      </c>
      <c r="B972" s="1" t="s">
        <v>24</v>
      </c>
      <c r="C972" s="1" t="s">
        <v>4091</v>
      </c>
      <c r="D972" s="1" t="s">
        <v>4092</v>
      </c>
      <c r="E972" s="1" t="s">
        <v>383</v>
      </c>
      <c r="F972" s="1" t="s">
        <v>4093</v>
      </c>
      <c r="G972" s="1" t="s">
        <v>4094</v>
      </c>
      <c r="H972" s="1" t="s">
        <v>4095</v>
      </c>
      <c r="I972" t="b">
        <f>COUNTIF(Estadísticas!I:I,'centraldecomunicacion.es'!H972)&gt;0</f>
        <v>0</v>
      </c>
    </row>
    <row r="973" spans="1:9" hidden="1">
      <c r="A973" s="1" t="s">
        <v>4096</v>
      </c>
      <c r="B973" s="1" t="s">
        <v>24</v>
      </c>
      <c r="C973" s="1" t="s">
        <v>4097</v>
      </c>
      <c r="D973" s="1" t="s">
        <v>284</v>
      </c>
      <c r="E973" s="1" t="s">
        <v>284</v>
      </c>
      <c r="F973" s="1" t="s">
        <v>3461</v>
      </c>
      <c r="G973" s="1" t="s">
        <v>4098</v>
      </c>
      <c r="H973" s="1" t="s">
        <v>3463</v>
      </c>
      <c r="I973" t="b">
        <f>COUNTIF(Estadísticas!I:I,'centraldecomunicacion.es'!H973)&gt;0</f>
        <v>0</v>
      </c>
    </row>
    <row r="974" spans="1:9" hidden="1">
      <c r="A974" s="1" t="s">
        <v>3907</v>
      </c>
      <c r="B974" s="1" t="s">
        <v>36</v>
      </c>
      <c r="C974" s="1" t="s">
        <v>4099</v>
      </c>
      <c r="D974" s="1" t="s">
        <v>4083</v>
      </c>
      <c r="E974" s="1" t="s">
        <v>383</v>
      </c>
      <c r="F974" s="1" t="s">
        <v>78</v>
      </c>
      <c r="G974" s="1" t="s">
        <v>3803</v>
      </c>
      <c r="H974" s="1" t="s">
        <v>657</v>
      </c>
      <c r="I974" t="b">
        <f>COUNTIF(Estadísticas!I:I,'centraldecomunicacion.es'!H974)&gt;0</f>
        <v>0</v>
      </c>
    </row>
    <row r="975" spans="1:9">
      <c r="A975" s="1" t="s">
        <v>387</v>
      </c>
      <c r="B975" s="1" t="s">
        <v>24</v>
      </c>
      <c r="C975" s="1" t="s">
        <v>388</v>
      </c>
      <c r="D975" s="1" t="s">
        <v>389</v>
      </c>
      <c r="E975" s="1" t="s">
        <v>389</v>
      </c>
      <c r="F975" s="1" t="s">
        <v>390</v>
      </c>
      <c r="G975" s="1" t="s">
        <v>391</v>
      </c>
      <c r="H975" s="1" t="s">
        <v>392</v>
      </c>
      <c r="I975" t="b">
        <f>COUNTIF(Estadísticas!I:I,'centraldecomunicacion.es'!H975)&gt;0</f>
        <v>1</v>
      </c>
    </row>
    <row r="976" spans="1:9" hidden="1">
      <c r="A976" s="1" t="s">
        <v>4100</v>
      </c>
      <c r="B976" s="1" t="s">
        <v>24</v>
      </c>
      <c r="C976" s="1" t="s">
        <v>4101</v>
      </c>
      <c r="D976" s="1" t="s">
        <v>389</v>
      </c>
      <c r="E976" s="1" t="s">
        <v>389</v>
      </c>
      <c r="F976" s="1" t="s">
        <v>4102</v>
      </c>
      <c r="G976" s="1" t="s">
        <v>4103</v>
      </c>
      <c r="H976" s="1" t="s">
        <v>4104</v>
      </c>
      <c r="I976" t="b">
        <f>COUNTIF(Estadísticas!I:I,'centraldecomunicacion.es'!H976)&gt;0</f>
        <v>0</v>
      </c>
    </row>
    <row r="977" spans="1:9" hidden="1">
      <c r="A977" s="1" t="s">
        <v>4105</v>
      </c>
      <c r="B977" s="1" t="s">
        <v>24</v>
      </c>
      <c r="C977" s="1" t="s">
        <v>4106</v>
      </c>
      <c r="D977" s="1" t="s">
        <v>4107</v>
      </c>
      <c r="E977" s="1" t="s">
        <v>389</v>
      </c>
      <c r="F977" s="1" t="s">
        <v>78</v>
      </c>
      <c r="G977" s="1" t="s">
        <v>4108</v>
      </c>
      <c r="H977" s="1" t="s">
        <v>657</v>
      </c>
      <c r="I977" t="b">
        <f>COUNTIF(Estadísticas!I:I,'centraldecomunicacion.es'!H977)&gt;0</f>
        <v>0</v>
      </c>
    </row>
    <row r="978" spans="1:9" hidden="1">
      <c r="A978" s="1" t="s">
        <v>4109</v>
      </c>
      <c r="B978" s="1" t="s">
        <v>10</v>
      </c>
      <c r="C978" s="1" t="s">
        <v>4110</v>
      </c>
      <c r="D978" s="1" t="s">
        <v>389</v>
      </c>
      <c r="E978" s="1" t="s">
        <v>389</v>
      </c>
      <c r="F978" s="1" t="s">
        <v>4111</v>
      </c>
      <c r="G978" s="1" t="s">
        <v>4112</v>
      </c>
      <c r="H978" s="1" t="s">
        <v>4113</v>
      </c>
      <c r="I978" t="b">
        <f>COUNTIF(Estadísticas!I:I,'centraldecomunicacion.es'!H978)&gt;0</f>
        <v>0</v>
      </c>
    </row>
    <row r="979" spans="1:9" hidden="1">
      <c r="A979" s="1" t="s">
        <v>4114</v>
      </c>
      <c r="B979" s="1" t="s">
        <v>24</v>
      </c>
      <c r="C979" s="1" t="s">
        <v>4115</v>
      </c>
      <c r="D979" s="1" t="s">
        <v>4116</v>
      </c>
      <c r="E979" s="1" t="s">
        <v>389</v>
      </c>
      <c r="F979" s="1" t="s">
        <v>4117</v>
      </c>
      <c r="G979" s="1" t="s">
        <v>4118</v>
      </c>
      <c r="H979" s="1" t="s">
        <v>4119</v>
      </c>
      <c r="I979" t="b">
        <f>COUNTIF(Estadísticas!I:I,'centraldecomunicacion.es'!H979)&gt;0</f>
        <v>0</v>
      </c>
    </row>
    <row r="980" spans="1:9" hidden="1">
      <c r="A980" s="1" t="s">
        <v>4120</v>
      </c>
      <c r="B980" s="1" t="s">
        <v>24</v>
      </c>
      <c r="C980" s="1" t="s">
        <v>4121</v>
      </c>
      <c r="D980" s="1" t="s">
        <v>4122</v>
      </c>
      <c r="E980" s="1" t="s">
        <v>389</v>
      </c>
      <c r="F980" s="1" t="s">
        <v>78</v>
      </c>
      <c r="G980" s="1" t="s">
        <v>4123</v>
      </c>
      <c r="H980" s="1" t="s">
        <v>657</v>
      </c>
      <c r="I980" t="b">
        <f>COUNTIF(Estadísticas!I:I,'centraldecomunicacion.es'!H980)&gt;0</f>
        <v>0</v>
      </c>
    </row>
    <row r="981" spans="1:9" hidden="1">
      <c r="A981" s="1" t="s">
        <v>4124</v>
      </c>
      <c r="B981" s="1" t="s">
        <v>24</v>
      </c>
      <c r="C981" s="1" t="s">
        <v>4125</v>
      </c>
      <c r="D981" s="1" t="s">
        <v>4126</v>
      </c>
      <c r="E981" s="1" t="s">
        <v>389</v>
      </c>
      <c r="F981" s="1" t="s">
        <v>4127</v>
      </c>
      <c r="G981" s="1" t="s">
        <v>4128</v>
      </c>
      <c r="H981" s="1" t="s">
        <v>657</v>
      </c>
      <c r="I981" t="b">
        <f>COUNTIF(Estadísticas!I:I,'centraldecomunicacion.es'!H981)&gt;0</f>
        <v>0</v>
      </c>
    </row>
    <row r="982" spans="1:9" hidden="1">
      <c r="A982" s="1" t="s">
        <v>4129</v>
      </c>
      <c r="B982" s="1" t="s">
        <v>36</v>
      </c>
      <c r="C982" s="1" t="s">
        <v>4130</v>
      </c>
      <c r="D982" s="1" t="s">
        <v>4122</v>
      </c>
      <c r="E982" s="1" t="s">
        <v>389</v>
      </c>
      <c r="F982" s="1" t="s">
        <v>78</v>
      </c>
      <c r="G982" s="1" t="s">
        <v>3821</v>
      </c>
      <c r="H982" s="1" t="s">
        <v>657</v>
      </c>
      <c r="I982" t="b">
        <f>COUNTIF(Estadísticas!I:I,'centraldecomunicacion.es'!H982)&gt;0</f>
        <v>0</v>
      </c>
    </row>
    <row r="983" spans="1:9" hidden="1">
      <c r="A983" s="1" t="s">
        <v>4131</v>
      </c>
      <c r="B983" s="1" t="s">
        <v>24</v>
      </c>
      <c r="C983" s="1" t="s">
        <v>4132</v>
      </c>
      <c r="D983" s="1" t="s">
        <v>3586</v>
      </c>
      <c r="E983" s="1" t="s">
        <v>284</v>
      </c>
      <c r="F983" s="1" t="s">
        <v>4133</v>
      </c>
      <c r="G983" s="1" t="s">
        <v>4134</v>
      </c>
      <c r="H983" s="1" t="s">
        <v>4135</v>
      </c>
      <c r="I983" t="b">
        <f>COUNTIF(Estadísticas!I:I,'centraldecomunicacion.es'!H983)&gt;0</f>
        <v>0</v>
      </c>
    </row>
    <row r="984" spans="1:9" hidden="1">
      <c r="A984" s="1" t="s">
        <v>4136</v>
      </c>
      <c r="B984" s="1" t="s">
        <v>24</v>
      </c>
      <c r="C984" s="1" t="s">
        <v>4137</v>
      </c>
      <c r="D984" s="1" t="s">
        <v>4138</v>
      </c>
      <c r="E984" s="1" t="s">
        <v>4138</v>
      </c>
      <c r="F984" s="1" t="s">
        <v>78</v>
      </c>
      <c r="G984" s="1" t="s">
        <v>4139</v>
      </c>
      <c r="H984" s="1" t="s">
        <v>657</v>
      </c>
      <c r="I984" t="b">
        <f>COUNTIF(Estadísticas!I:I,'centraldecomunicacion.es'!H984)&gt;0</f>
        <v>0</v>
      </c>
    </row>
    <row r="985" spans="1:9" hidden="1">
      <c r="A985" s="1" t="s">
        <v>4140</v>
      </c>
      <c r="B985" s="1" t="s">
        <v>24</v>
      </c>
      <c r="C985" s="1" t="s">
        <v>4141</v>
      </c>
      <c r="D985" s="1" t="s">
        <v>4138</v>
      </c>
      <c r="E985" s="1" t="s">
        <v>4138</v>
      </c>
      <c r="F985" s="1" t="s">
        <v>78</v>
      </c>
      <c r="G985" s="1" t="s">
        <v>4142</v>
      </c>
      <c r="H985" s="1" t="s">
        <v>657</v>
      </c>
      <c r="I985" t="b">
        <f>COUNTIF(Estadísticas!I:I,'centraldecomunicacion.es'!H985)&gt;0</f>
        <v>0</v>
      </c>
    </row>
    <row r="986" spans="1:9" hidden="1">
      <c r="A986" s="1" t="s">
        <v>4143</v>
      </c>
      <c r="B986" s="1" t="s">
        <v>24</v>
      </c>
      <c r="C986" s="1" t="s">
        <v>4144</v>
      </c>
      <c r="D986" s="1" t="s">
        <v>4145</v>
      </c>
      <c r="E986" s="1" t="s">
        <v>91</v>
      </c>
      <c r="F986" s="1" t="s">
        <v>78</v>
      </c>
      <c r="G986" s="1" t="s">
        <v>4146</v>
      </c>
      <c r="H986" s="1" t="s">
        <v>657</v>
      </c>
      <c r="I986" t="b">
        <f>COUNTIF(Estadísticas!I:I,'centraldecomunicacion.es'!H986)&gt;0</f>
        <v>0</v>
      </c>
    </row>
    <row r="987" spans="1:9" hidden="1">
      <c r="A987" s="1" t="s">
        <v>4147</v>
      </c>
      <c r="B987" s="1" t="s">
        <v>24</v>
      </c>
      <c r="C987" s="1" t="s">
        <v>4148</v>
      </c>
      <c r="D987" s="1" t="s">
        <v>4149</v>
      </c>
      <c r="E987" s="1" t="s">
        <v>91</v>
      </c>
      <c r="F987" s="1" t="s">
        <v>4150</v>
      </c>
      <c r="G987" s="1" t="s">
        <v>4151</v>
      </c>
      <c r="H987" s="1" t="s">
        <v>4152</v>
      </c>
      <c r="I987" t="b">
        <f>COUNTIF(Estadísticas!I:I,'centraldecomunicacion.es'!H987)&gt;0</f>
        <v>0</v>
      </c>
    </row>
    <row r="988" spans="1:9" hidden="1">
      <c r="A988" s="1" t="s">
        <v>4153</v>
      </c>
      <c r="B988" s="1" t="s">
        <v>10</v>
      </c>
      <c r="C988" s="1" t="s">
        <v>4154</v>
      </c>
      <c r="D988" s="1" t="s">
        <v>4155</v>
      </c>
      <c r="E988" s="1" t="s">
        <v>91</v>
      </c>
      <c r="F988" s="1" t="s">
        <v>4156</v>
      </c>
      <c r="G988" s="1" t="s">
        <v>4157</v>
      </c>
      <c r="H988" s="1" t="s">
        <v>4158</v>
      </c>
      <c r="I988" t="b">
        <f>COUNTIF(Estadísticas!I:I,'centraldecomunicacion.es'!H988)&gt;0</f>
        <v>0</v>
      </c>
    </row>
    <row r="989" spans="1:9" hidden="1">
      <c r="A989" s="1" t="s">
        <v>4159</v>
      </c>
      <c r="B989" s="1" t="s">
        <v>24</v>
      </c>
      <c r="C989" s="1" t="s">
        <v>4160</v>
      </c>
      <c r="D989" s="1" t="s">
        <v>4161</v>
      </c>
      <c r="E989" s="1" t="s">
        <v>45</v>
      </c>
      <c r="F989" s="1" t="s">
        <v>78</v>
      </c>
      <c r="G989" s="1" t="s">
        <v>4162</v>
      </c>
      <c r="H989" s="1" t="s">
        <v>657</v>
      </c>
      <c r="I989" t="b">
        <f>COUNTIF(Estadísticas!I:I,'centraldecomunicacion.es'!H989)&gt;0</f>
        <v>0</v>
      </c>
    </row>
    <row r="990" spans="1:9" hidden="1">
      <c r="A990" s="1" t="s">
        <v>4163</v>
      </c>
      <c r="B990" s="1" t="s">
        <v>24</v>
      </c>
      <c r="C990" s="1" t="s">
        <v>4164</v>
      </c>
      <c r="D990" s="1" t="s">
        <v>867</v>
      </c>
      <c r="E990" s="1" t="s">
        <v>91</v>
      </c>
      <c r="F990" s="1" t="s">
        <v>4165</v>
      </c>
      <c r="G990" s="1" t="s">
        <v>4166</v>
      </c>
      <c r="H990" s="1" t="s">
        <v>4167</v>
      </c>
      <c r="I990" t="b">
        <f>COUNTIF(Estadísticas!I:I,'centraldecomunicacion.es'!H990)&gt;0</f>
        <v>0</v>
      </c>
    </row>
    <row r="991" spans="1:9">
      <c r="A991" s="1" t="s">
        <v>4168</v>
      </c>
      <c r="B991" s="1" t="s">
        <v>10</v>
      </c>
      <c r="C991" s="1" t="s">
        <v>4169</v>
      </c>
      <c r="D991" s="1" t="s">
        <v>4170</v>
      </c>
      <c r="E991" s="1" t="s">
        <v>45</v>
      </c>
      <c r="F991" s="1" t="s">
        <v>4171</v>
      </c>
      <c r="G991" s="1" t="s">
        <v>4172</v>
      </c>
      <c r="H991" s="1" t="s">
        <v>99</v>
      </c>
      <c r="I991" t="b">
        <f>COUNTIF(Estadísticas!I:I,'centraldecomunicacion.es'!H991)&gt;0</f>
        <v>1</v>
      </c>
    </row>
    <row r="992" spans="1:9" hidden="1">
      <c r="A992" s="1" t="s">
        <v>4173</v>
      </c>
      <c r="B992" s="1" t="s">
        <v>24</v>
      </c>
      <c r="C992" s="1" t="s">
        <v>4174</v>
      </c>
      <c r="D992" s="1" t="s">
        <v>4175</v>
      </c>
      <c r="E992" s="1" t="s">
        <v>4175</v>
      </c>
      <c r="F992" s="1" t="s">
        <v>4176</v>
      </c>
      <c r="G992" s="1" t="s">
        <v>4177</v>
      </c>
      <c r="H992" s="1" t="s">
        <v>657</v>
      </c>
      <c r="I992" t="b">
        <f>COUNTIF(Estadísticas!I:I,'centraldecomunicacion.es'!H992)&gt;0</f>
        <v>0</v>
      </c>
    </row>
    <row r="993" spans="1:9" hidden="1">
      <c r="A993" s="1" t="s">
        <v>4178</v>
      </c>
      <c r="B993" s="1" t="s">
        <v>24</v>
      </c>
      <c r="C993" s="1" t="s">
        <v>4179</v>
      </c>
      <c r="D993" s="1" t="s">
        <v>4180</v>
      </c>
      <c r="E993" s="1" t="s">
        <v>45</v>
      </c>
      <c r="F993" s="1" t="s">
        <v>4181</v>
      </c>
      <c r="G993" s="1" t="s">
        <v>4182</v>
      </c>
      <c r="H993" s="1" t="s">
        <v>657</v>
      </c>
      <c r="I993" t="b">
        <f>COUNTIF(Estadísticas!I:I,'centraldecomunicacion.es'!H993)&gt;0</f>
        <v>0</v>
      </c>
    </row>
    <row r="994" spans="1:9" hidden="1">
      <c r="A994" s="1" t="s">
        <v>4183</v>
      </c>
      <c r="B994" s="1" t="s">
        <v>24</v>
      </c>
      <c r="C994" s="1" t="s">
        <v>4184</v>
      </c>
      <c r="D994" s="1" t="s">
        <v>4175</v>
      </c>
      <c r="E994" s="1" t="s">
        <v>4175</v>
      </c>
      <c r="F994" s="1" t="s">
        <v>4185</v>
      </c>
      <c r="G994" s="1" t="s">
        <v>4186</v>
      </c>
      <c r="H994" s="1" t="s">
        <v>4187</v>
      </c>
      <c r="I994" t="b">
        <f>COUNTIF(Estadísticas!I:I,'centraldecomunicacion.es'!H994)&gt;0</f>
        <v>0</v>
      </c>
    </row>
    <row r="995" spans="1:9" hidden="1">
      <c r="A995" s="1" t="s">
        <v>4188</v>
      </c>
      <c r="B995" s="1" t="s">
        <v>24</v>
      </c>
      <c r="C995" s="1" t="s">
        <v>4189</v>
      </c>
      <c r="D995" s="1" t="s">
        <v>4190</v>
      </c>
      <c r="E995" s="1" t="s">
        <v>45</v>
      </c>
      <c r="F995" s="1" t="s">
        <v>78</v>
      </c>
      <c r="G995" s="1" t="s">
        <v>78</v>
      </c>
      <c r="H995" s="1" t="s">
        <v>657</v>
      </c>
      <c r="I995" t="b">
        <f>COUNTIF(Estadísticas!I:I,'centraldecomunicacion.es'!H995)&gt;0</f>
        <v>0</v>
      </c>
    </row>
    <row r="996" spans="1:9" hidden="1">
      <c r="A996" s="1" t="s">
        <v>4191</v>
      </c>
      <c r="B996" s="1" t="s">
        <v>10</v>
      </c>
      <c r="C996" s="1" t="s">
        <v>4192</v>
      </c>
      <c r="D996" s="1" t="s">
        <v>4193</v>
      </c>
      <c r="E996" s="1" t="s">
        <v>45</v>
      </c>
      <c r="F996" s="1" t="s">
        <v>4194</v>
      </c>
      <c r="G996" s="1" t="s">
        <v>4195</v>
      </c>
      <c r="H996" s="1" t="s">
        <v>4196</v>
      </c>
      <c r="I996" t="b">
        <f>COUNTIF(Estadísticas!I:I,'centraldecomunicacion.es'!H996)&gt;0</f>
        <v>0</v>
      </c>
    </row>
    <row r="997" spans="1:9" hidden="1">
      <c r="A997" s="1" t="s">
        <v>4197</v>
      </c>
      <c r="B997" s="1" t="s">
        <v>10</v>
      </c>
      <c r="C997" s="1" t="s">
        <v>78</v>
      </c>
      <c r="D997" s="1" t="s">
        <v>4138</v>
      </c>
      <c r="E997" s="1" t="s">
        <v>78</v>
      </c>
      <c r="F997" s="1" t="s">
        <v>78</v>
      </c>
      <c r="G997" s="1" t="s">
        <v>4198</v>
      </c>
      <c r="H997" s="1" t="s">
        <v>657</v>
      </c>
      <c r="I997" t="b">
        <f>COUNTIF(Estadísticas!I:I,'centraldecomunicacion.es'!H997)&gt;0</f>
        <v>0</v>
      </c>
    </row>
    <row r="998" spans="1:9" hidden="1">
      <c r="A998" s="1" t="s">
        <v>4199</v>
      </c>
      <c r="B998" s="1" t="s">
        <v>24</v>
      </c>
      <c r="C998" s="1" t="s">
        <v>4200</v>
      </c>
      <c r="D998" s="1" t="s">
        <v>407</v>
      </c>
      <c r="E998" s="1" t="s">
        <v>396</v>
      </c>
      <c r="F998" s="1" t="s">
        <v>78</v>
      </c>
      <c r="G998" s="1" t="s">
        <v>4201</v>
      </c>
      <c r="H998" s="1" t="s">
        <v>657</v>
      </c>
      <c r="I998" t="b">
        <f>COUNTIF(Estadísticas!I:I,'centraldecomunicacion.es'!H998)&gt;0</f>
        <v>0</v>
      </c>
    </row>
    <row r="999" spans="1:9" hidden="1">
      <c r="A999" s="1" t="s">
        <v>4202</v>
      </c>
      <c r="B999" s="1" t="s">
        <v>24</v>
      </c>
      <c r="C999" s="1" t="s">
        <v>4203</v>
      </c>
      <c r="D999" s="1" t="s">
        <v>407</v>
      </c>
      <c r="E999" s="1" t="s">
        <v>396</v>
      </c>
      <c r="F999" s="1" t="s">
        <v>829</v>
      </c>
      <c r="G999" s="1" t="s">
        <v>4204</v>
      </c>
      <c r="H999" s="1" t="s">
        <v>831</v>
      </c>
      <c r="I999" t="b">
        <f>COUNTIF(Estadísticas!I:I,'centraldecomunicacion.es'!H999)&gt;0</f>
        <v>0</v>
      </c>
    </row>
    <row r="1000" spans="1:9" hidden="1">
      <c r="A1000" s="1" t="s">
        <v>4205</v>
      </c>
      <c r="B1000" s="1" t="s">
        <v>10</v>
      </c>
      <c r="C1000" s="1" t="s">
        <v>4206</v>
      </c>
      <c r="D1000" s="1" t="s">
        <v>407</v>
      </c>
      <c r="E1000" s="1" t="s">
        <v>396</v>
      </c>
      <c r="F1000" s="1" t="s">
        <v>4207</v>
      </c>
      <c r="G1000" s="1" t="s">
        <v>4208</v>
      </c>
      <c r="H1000" s="1" t="s">
        <v>657</v>
      </c>
      <c r="I1000" t="b">
        <f>COUNTIF(Estadísticas!I:I,'centraldecomunicacion.es'!H1000)&gt;0</f>
        <v>0</v>
      </c>
    </row>
    <row r="1001" spans="1:9" hidden="1">
      <c r="A1001" s="1" t="s">
        <v>4209</v>
      </c>
      <c r="B1001" s="1" t="s">
        <v>24</v>
      </c>
      <c r="C1001" s="1" t="s">
        <v>4210</v>
      </c>
      <c r="D1001" s="1" t="s">
        <v>407</v>
      </c>
      <c r="E1001" s="1" t="s">
        <v>396</v>
      </c>
      <c r="F1001" s="1" t="s">
        <v>4211</v>
      </c>
      <c r="G1001" s="1" t="s">
        <v>1665</v>
      </c>
      <c r="H1001" s="1" t="s">
        <v>4212</v>
      </c>
      <c r="I1001" t="b">
        <f>COUNTIF(Estadísticas!I:I,'centraldecomunicacion.es'!H1001)&gt;0</f>
        <v>0</v>
      </c>
    </row>
    <row r="1002" spans="1:9" hidden="1">
      <c r="A1002" s="1" t="s">
        <v>4213</v>
      </c>
      <c r="B1002" s="1" t="s">
        <v>24</v>
      </c>
      <c r="C1002" s="1" t="s">
        <v>4214</v>
      </c>
      <c r="D1002" s="1" t="s">
        <v>407</v>
      </c>
      <c r="E1002" s="1" t="s">
        <v>396</v>
      </c>
      <c r="F1002" s="1" t="s">
        <v>4215</v>
      </c>
      <c r="G1002" s="1" t="s">
        <v>4216</v>
      </c>
      <c r="H1002" s="1" t="s">
        <v>657</v>
      </c>
      <c r="I1002" t="b">
        <f>COUNTIF(Estadísticas!I:I,'centraldecomunicacion.es'!H1002)&gt;0</f>
        <v>0</v>
      </c>
    </row>
    <row r="1003" spans="1:9" hidden="1">
      <c r="A1003" s="1" t="s">
        <v>4217</v>
      </c>
      <c r="B1003" s="1" t="s">
        <v>24</v>
      </c>
      <c r="C1003" s="1" t="s">
        <v>4218</v>
      </c>
      <c r="D1003" s="1" t="s">
        <v>407</v>
      </c>
      <c r="E1003" s="1" t="s">
        <v>396</v>
      </c>
      <c r="F1003" s="1" t="s">
        <v>4219</v>
      </c>
      <c r="G1003" s="1" t="s">
        <v>4220</v>
      </c>
      <c r="H1003" s="1" t="s">
        <v>4212</v>
      </c>
      <c r="I1003" t="b">
        <f>COUNTIF(Estadísticas!I:I,'centraldecomunicacion.es'!H1003)&gt;0</f>
        <v>0</v>
      </c>
    </row>
    <row r="1004" spans="1:9" hidden="1">
      <c r="A1004" s="1" t="s">
        <v>4221</v>
      </c>
      <c r="B1004" s="1" t="s">
        <v>10</v>
      </c>
      <c r="C1004" s="1" t="s">
        <v>4222</v>
      </c>
      <c r="D1004" s="1" t="s">
        <v>407</v>
      </c>
      <c r="E1004" s="1" t="s">
        <v>396</v>
      </c>
      <c r="F1004" s="1" t="s">
        <v>78</v>
      </c>
      <c r="G1004" s="1" t="s">
        <v>4223</v>
      </c>
      <c r="H1004" s="1" t="s">
        <v>657</v>
      </c>
      <c r="I1004" t="b">
        <f>COUNTIF(Estadísticas!I:I,'centraldecomunicacion.es'!H1004)&gt;0</f>
        <v>0</v>
      </c>
    </row>
    <row r="1005" spans="1:9" hidden="1">
      <c r="A1005" s="1" t="s">
        <v>4224</v>
      </c>
      <c r="B1005" s="1" t="s">
        <v>10</v>
      </c>
      <c r="C1005" s="1" t="s">
        <v>4225</v>
      </c>
      <c r="D1005" s="1" t="s">
        <v>407</v>
      </c>
      <c r="E1005" s="1" t="s">
        <v>396</v>
      </c>
      <c r="F1005" s="1" t="s">
        <v>4226</v>
      </c>
      <c r="G1005" s="1" t="s">
        <v>4227</v>
      </c>
      <c r="H1005" s="1" t="s">
        <v>4228</v>
      </c>
      <c r="I1005" t="b">
        <f>COUNTIF(Estadísticas!I:I,'centraldecomunicacion.es'!H1005)&gt;0</f>
        <v>0</v>
      </c>
    </row>
    <row r="1006" spans="1:9" hidden="1">
      <c r="A1006" s="1" t="s">
        <v>4229</v>
      </c>
      <c r="B1006" s="1" t="s">
        <v>10</v>
      </c>
      <c r="C1006" s="1" t="s">
        <v>4230</v>
      </c>
      <c r="D1006" s="1" t="s">
        <v>4231</v>
      </c>
      <c r="E1006" s="1" t="s">
        <v>396</v>
      </c>
      <c r="F1006" s="1" t="s">
        <v>4232</v>
      </c>
      <c r="G1006" s="1" t="s">
        <v>4233</v>
      </c>
      <c r="H1006" s="1" t="s">
        <v>2724</v>
      </c>
      <c r="I1006" t="b">
        <f>COUNTIF(Estadísticas!I:I,'centraldecomunicacion.es'!H1006)&gt;0</f>
        <v>0</v>
      </c>
    </row>
    <row r="1007" spans="1:9" hidden="1">
      <c r="A1007" s="1" t="s">
        <v>4234</v>
      </c>
      <c r="B1007" s="1" t="s">
        <v>24</v>
      </c>
      <c r="C1007" s="1" t="s">
        <v>4235</v>
      </c>
      <c r="D1007" s="1" t="s">
        <v>395</v>
      </c>
      <c r="E1007" s="1" t="s">
        <v>396</v>
      </c>
      <c r="F1007" s="1" t="s">
        <v>4236</v>
      </c>
      <c r="G1007" s="1" t="s">
        <v>4237</v>
      </c>
      <c r="H1007" s="1" t="s">
        <v>4238</v>
      </c>
      <c r="I1007" t="b">
        <f>COUNTIF(Estadísticas!I:I,'centraldecomunicacion.es'!H1007)&gt;0</f>
        <v>0</v>
      </c>
    </row>
    <row r="1008" spans="1:9" hidden="1">
      <c r="A1008" s="1" t="s">
        <v>4239</v>
      </c>
      <c r="B1008" s="1" t="s">
        <v>24</v>
      </c>
      <c r="C1008" s="1" t="s">
        <v>78</v>
      </c>
      <c r="D1008" s="1" t="s">
        <v>4240</v>
      </c>
      <c r="E1008" s="1" t="s">
        <v>78</v>
      </c>
      <c r="F1008" s="1" t="s">
        <v>4241</v>
      </c>
      <c r="G1008" s="1" t="s">
        <v>4242</v>
      </c>
      <c r="H1008" s="1" t="s">
        <v>657</v>
      </c>
      <c r="I1008" t="b">
        <f>COUNTIF(Estadísticas!I:I,'centraldecomunicacion.es'!H1008)&gt;0</f>
        <v>0</v>
      </c>
    </row>
    <row r="1009" spans="1:9">
      <c r="A1009" s="1" t="s">
        <v>393</v>
      </c>
      <c r="B1009" s="1" t="s">
        <v>24</v>
      </c>
      <c r="C1009" s="1" t="s">
        <v>394</v>
      </c>
      <c r="D1009" s="1" t="s">
        <v>395</v>
      </c>
      <c r="E1009" s="1" t="s">
        <v>396</v>
      </c>
      <c r="F1009" s="1" t="s">
        <v>397</v>
      </c>
      <c r="G1009" s="1" t="s">
        <v>398</v>
      </c>
      <c r="H1009" s="1" t="s">
        <v>399</v>
      </c>
      <c r="I1009" t="b">
        <f>COUNTIF(Estadísticas!I:I,'centraldecomunicacion.es'!H1009)&gt;0</f>
        <v>1</v>
      </c>
    </row>
    <row r="1010" spans="1:9" hidden="1">
      <c r="A1010" s="1" t="s">
        <v>4243</v>
      </c>
      <c r="B1010" s="1" t="s">
        <v>10</v>
      </c>
      <c r="C1010" s="1" t="s">
        <v>4244</v>
      </c>
      <c r="D1010" s="1" t="s">
        <v>407</v>
      </c>
      <c r="E1010" s="1" t="s">
        <v>396</v>
      </c>
      <c r="F1010" s="1" t="s">
        <v>1309</v>
      </c>
      <c r="G1010" s="1" t="s">
        <v>4245</v>
      </c>
      <c r="H1010" s="1" t="s">
        <v>657</v>
      </c>
      <c r="I1010" t="b">
        <f>COUNTIF(Estadísticas!I:I,'centraldecomunicacion.es'!H1010)&gt;0</f>
        <v>0</v>
      </c>
    </row>
    <row r="1011" spans="1:9" hidden="1">
      <c r="A1011" s="1" t="s">
        <v>4246</v>
      </c>
      <c r="B1011" s="1" t="s">
        <v>10</v>
      </c>
      <c r="C1011" s="1" t="s">
        <v>4247</v>
      </c>
      <c r="D1011" s="1" t="s">
        <v>407</v>
      </c>
      <c r="E1011" s="1" t="s">
        <v>396</v>
      </c>
      <c r="F1011" s="1" t="s">
        <v>78</v>
      </c>
      <c r="G1011" s="1" t="s">
        <v>4223</v>
      </c>
      <c r="H1011" s="1" t="s">
        <v>657</v>
      </c>
      <c r="I1011" t="b">
        <f>COUNTIF(Estadísticas!I:I,'centraldecomunicacion.es'!H1011)&gt;0</f>
        <v>0</v>
      </c>
    </row>
    <row r="1012" spans="1:9" hidden="1">
      <c r="A1012" s="1" t="s">
        <v>4248</v>
      </c>
      <c r="B1012" s="1" t="s">
        <v>10</v>
      </c>
      <c r="C1012" s="1" t="s">
        <v>4249</v>
      </c>
      <c r="D1012" s="1" t="s">
        <v>4231</v>
      </c>
      <c r="E1012" s="1" t="s">
        <v>396</v>
      </c>
      <c r="F1012" s="1" t="s">
        <v>4250</v>
      </c>
      <c r="G1012" s="1" t="s">
        <v>4251</v>
      </c>
      <c r="H1012" s="1" t="s">
        <v>657</v>
      </c>
      <c r="I1012" t="b">
        <f>COUNTIF(Estadísticas!I:I,'centraldecomunicacion.es'!H1012)&gt;0</f>
        <v>0</v>
      </c>
    </row>
    <row r="1013" spans="1:9" hidden="1">
      <c r="A1013" s="1" t="s">
        <v>4252</v>
      </c>
      <c r="B1013" s="1" t="s">
        <v>24</v>
      </c>
      <c r="C1013" s="1" t="s">
        <v>4253</v>
      </c>
      <c r="D1013" s="1" t="s">
        <v>407</v>
      </c>
      <c r="E1013" s="1" t="s">
        <v>396</v>
      </c>
      <c r="F1013" s="1" t="s">
        <v>78</v>
      </c>
      <c r="G1013" s="1" t="s">
        <v>4254</v>
      </c>
      <c r="H1013" s="1" t="s">
        <v>657</v>
      </c>
      <c r="I1013" t="b">
        <f>COUNTIF(Estadísticas!I:I,'centraldecomunicacion.es'!H1013)&gt;0</f>
        <v>0</v>
      </c>
    </row>
    <row r="1014" spans="1:9">
      <c r="A1014" s="1" t="s">
        <v>400</v>
      </c>
      <c r="B1014" s="1" t="s">
        <v>24</v>
      </c>
      <c r="C1014" s="1" t="s">
        <v>401</v>
      </c>
      <c r="D1014" s="1" t="s">
        <v>395</v>
      </c>
      <c r="E1014" s="1" t="s">
        <v>396</v>
      </c>
      <c r="F1014" s="1" t="s">
        <v>402</v>
      </c>
      <c r="G1014" s="1" t="s">
        <v>403</v>
      </c>
      <c r="H1014" s="1" t="s">
        <v>404</v>
      </c>
      <c r="I1014" t="b">
        <f>COUNTIF(Estadísticas!I:I,'centraldecomunicacion.es'!H1014)&gt;0</f>
        <v>1</v>
      </c>
    </row>
    <row r="1015" spans="1:9" hidden="1">
      <c r="A1015" s="1" t="s">
        <v>4255</v>
      </c>
      <c r="B1015" s="1" t="s">
        <v>24</v>
      </c>
      <c r="C1015" s="1" t="s">
        <v>4256</v>
      </c>
      <c r="D1015" s="1" t="s">
        <v>407</v>
      </c>
      <c r="E1015" s="1" t="s">
        <v>396</v>
      </c>
      <c r="F1015" s="1" t="s">
        <v>78</v>
      </c>
      <c r="G1015" s="1" t="s">
        <v>4257</v>
      </c>
      <c r="H1015" s="1" t="s">
        <v>657</v>
      </c>
      <c r="I1015" t="b">
        <f>COUNTIF(Estadísticas!I:I,'centraldecomunicacion.es'!H1015)&gt;0</f>
        <v>0</v>
      </c>
    </row>
    <row r="1016" spans="1:9" hidden="1">
      <c r="A1016" s="1" t="s">
        <v>4258</v>
      </c>
      <c r="B1016" s="1" t="s">
        <v>24</v>
      </c>
      <c r="C1016" s="1" t="s">
        <v>4259</v>
      </c>
      <c r="D1016" s="1" t="s">
        <v>407</v>
      </c>
      <c r="E1016" s="1" t="s">
        <v>396</v>
      </c>
      <c r="F1016" s="1" t="s">
        <v>78</v>
      </c>
      <c r="G1016" s="1" t="s">
        <v>2609</v>
      </c>
      <c r="H1016" s="1" t="s">
        <v>657</v>
      </c>
      <c r="I1016" t="b">
        <f>COUNTIF(Estadísticas!I:I,'centraldecomunicacion.es'!H1016)&gt;0</f>
        <v>0</v>
      </c>
    </row>
    <row r="1017" spans="1:9" hidden="1">
      <c r="A1017" s="1" t="s">
        <v>4260</v>
      </c>
      <c r="B1017" s="1" t="s">
        <v>24</v>
      </c>
      <c r="C1017" s="1" t="s">
        <v>4261</v>
      </c>
      <c r="D1017" s="1" t="s">
        <v>407</v>
      </c>
      <c r="E1017" s="1" t="s">
        <v>396</v>
      </c>
      <c r="F1017" s="1" t="s">
        <v>78</v>
      </c>
      <c r="G1017" s="1" t="s">
        <v>4262</v>
      </c>
      <c r="H1017" s="1" t="s">
        <v>657</v>
      </c>
      <c r="I1017" t="b">
        <f>COUNTIF(Estadísticas!I:I,'centraldecomunicacion.es'!H1017)&gt;0</f>
        <v>0</v>
      </c>
    </row>
    <row r="1018" spans="1:9" hidden="1">
      <c r="A1018" s="1" t="s">
        <v>4263</v>
      </c>
      <c r="B1018" s="1" t="s">
        <v>10</v>
      </c>
      <c r="C1018" s="1" t="s">
        <v>4264</v>
      </c>
      <c r="D1018" s="1" t="s">
        <v>395</v>
      </c>
      <c r="E1018" s="1" t="s">
        <v>396</v>
      </c>
      <c r="F1018" s="1" t="s">
        <v>4265</v>
      </c>
      <c r="G1018" s="1" t="s">
        <v>4266</v>
      </c>
      <c r="H1018" s="1" t="s">
        <v>4267</v>
      </c>
      <c r="I1018" t="b">
        <f>COUNTIF(Estadísticas!I:I,'centraldecomunicacion.es'!H1018)&gt;0</f>
        <v>0</v>
      </c>
    </row>
    <row r="1019" spans="1:9" hidden="1">
      <c r="A1019" s="1" t="s">
        <v>4268</v>
      </c>
      <c r="B1019" s="1" t="s">
        <v>24</v>
      </c>
      <c r="C1019" s="1" t="s">
        <v>4269</v>
      </c>
      <c r="D1019" s="1" t="s">
        <v>4270</v>
      </c>
      <c r="E1019" s="1" t="s">
        <v>396</v>
      </c>
      <c r="F1019" s="1" t="s">
        <v>4271</v>
      </c>
      <c r="G1019" s="1" t="s">
        <v>4272</v>
      </c>
      <c r="H1019" s="1" t="s">
        <v>4273</v>
      </c>
      <c r="I1019" t="b">
        <f>COUNTIF(Estadísticas!I:I,'centraldecomunicacion.es'!H1019)&gt;0</f>
        <v>0</v>
      </c>
    </row>
    <row r="1020" spans="1:9" hidden="1">
      <c r="A1020" s="1" t="s">
        <v>4274</v>
      </c>
      <c r="B1020" s="1" t="s">
        <v>10</v>
      </c>
      <c r="C1020" s="1" t="s">
        <v>4275</v>
      </c>
      <c r="D1020" s="1" t="s">
        <v>407</v>
      </c>
      <c r="E1020" s="1" t="s">
        <v>396</v>
      </c>
      <c r="F1020" s="1" t="s">
        <v>78</v>
      </c>
      <c r="G1020" s="1" t="s">
        <v>4276</v>
      </c>
      <c r="H1020" s="1" t="s">
        <v>657</v>
      </c>
      <c r="I1020" t="b">
        <f>COUNTIF(Estadísticas!I:I,'centraldecomunicacion.es'!H1020)&gt;0</f>
        <v>0</v>
      </c>
    </row>
    <row r="1021" spans="1:9" hidden="1">
      <c r="A1021" s="1" t="s">
        <v>4277</v>
      </c>
      <c r="B1021" s="1" t="s">
        <v>24</v>
      </c>
      <c r="C1021" s="1" t="s">
        <v>4278</v>
      </c>
      <c r="D1021" s="1" t="s">
        <v>407</v>
      </c>
      <c r="E1021" s="1" t="s">
        <v>396</v>
      </c>
      <c r="F1021" s="1" t="s">
        <v>78</v>
      </c>
      <c r="G1021" s="1" t="s">
        <v>4279</v>
      </c>
      <c r="H1021" s="1" t="s">
        <v>657</v>
      </c>
      <c r="I1021" t="b">
        <f>COUNTIF(Estadísticas!I:I,'centraldecomunicacion.es'!H1021)&gt;0</f>
        <v>0</v>
      </c>
    </row>
    <row r="1022" spans="1:9" hidden="1">
      <c r="A1022" s="1" t="s">
        <v>4280</v>
      </c>
      <c r="B1022" s="1" t="s">
        <v>24</v>
      </c>
      <c r="C1022" s="1" t="s">
        <v>4281</v>
      </c>
      <c r="D1022" s="1" t="s">
        <v>407</v>
      </c>
      <c r="E1022" s="1" t="s">
        <v>396</v>
      </c>
      <c r="F1022" s="1" t="s">
        <v>78</v>
      </c>
      <c r="G1022" s="1" t="s">
        <v>4282</v>
      </c>
      <c r="H1022" s="1" t="s">
        <v>657</v>
      </c>
      <c r="I1022" t="b">
        <f>COUNTIF(Estadísticas!I:I,'centraldecomunicacion.es'!H1022)&gt;0</f>
        <v>0</v>
      </c>
    </row>
    <row r="1023" spans="1:9" hidden="1">
      <c r="A1023" s="1" t="s">
        <v>4283</v>
      </c>
      <c r="B1023" s="1" t="s">
        <v>24</v>
      </c>
      <c r="C1023" s="1" t="s">
        <v>4284</v>
      </c>
      <c r="D1023" s="1" t="s">
        <v>407</v>
      </c>
      <c r="E1023" s="1" t="s">
        <v>396</v>
      </c>
      <c r="F1023" s="1" t="s">
        <v>78</v>
      </c>
      <c r="G1023" s="1" t="s">
        <v>4285</v>
      </c>
      <c r="H1023" s="1" t="s">
        <v>657</v>
      </c>
      <c r="I1023" t="b">
        <f>COUNTIF(Estadísticas!I:I,'centraldecomunicacion.es'!H1023)&gt;0</f>
        <v>0</v>
      </c>
    </row>
    <row r="1024" spans="1:9" hidden="1">
      <c r="A1024" s="1" t="s">
        <v>4286</v>
      </c>
      <c r="B1024" s="1" t="s">
        <v>10</v>
      </c>
      <c r="C1024" s="1" t="s">
        <v>4287</v>
      </c>
      <c r="D1024" s="1" t="s">
        <v>407</v>
      </c>
      <c r="E1024" s="1" t="s">
        <v>396</v>
      </c>
      <c r="F1024" s="1" t="s">
        <v>78</v>
      </c>
      <c r="G1024" s="1" t="s">
        <v>4262</v>
      </c>
      <c r="H1024" s="1" t="s">
        <v>657</v>
      </c>
      <c r="I1024" t="b">
        <f>COUNTIF(Estadísticas!I:I,'centraldecomunicacion.es'!H1024)&gt;0</f>
        <v>0</v>
      </c>
    </row>
    <row r="1025" spans="1:9" hidden="1">
      <c r="A1025" s="1" t="s">
        <v>4288</v>
      </c>
      <c r="B1025" s="1" t="s">
        <v>24</v>
      </c>
      <c r="C1025" s="1" t="s">
        <v>78</v>
      </c>
      <c r="D1025" s="1" t="s">
        <v>4240</v>
      </c>
      <c r="E1025" s="1" t="s">
        <v>78</v>
      </c>
      <c r="F1025" s="1" t="s">
        <v>78</v>
      </c>
      <c r="G1025" s="1" t="s">
        <v>4282</v>
      </c>
      <c r="H1025" s="1" t="s">
        <v>657</v>
      </c>
      <c r="I1025" t="b">
        <f>COUNTIF(Estadísticas!I:I,'centraldecomunicacion.es'!H1025)&gt;0</f>
        <v>0</v>
      </c>
    </row>
    <row r="1026" spans="1:9" hidden="1">
      <c r="A1026" s="1" t="s">
        <v>4289</v>
      </c>
      <c r="B1026" s="1" t="s">
        <v>24</v>
      </c>
      <c r="C1026" s="1" t="s">
        <v>4290</v>
      </c>
      <c r="D1026" s="1" t="s">
        <v>407</v>
      </c>
      <c r="E1026" s="1" t="s">
        <v>396</v>
      </c>
      <c r="F1026" s="1" t="s">
        <v>78</v>
      </c>
      <c r="G1026" s="1" t="s">
        <v>4291</v>
      </c>
      <c r="H1026" s="1" t="s">
        <v>657</v>
      </c>
      <c r="I1026" t="b">
        <f>COUNTIF(Estadísticas!I:I,'centraldecomunicacion.es'!H1026)&gt;0</f>
        <v>0</v>
      </c>
    </row>
    <row r="1027" spans="1:9" hidden="1">
      <c r="A1027" s="1" t="s">
        <v>4292</v>
      </c>
      <c r="B1027" s="1" t="s">
        <v>24</v>
      </c>
      <c r="C1027" s="1" t="s">
        <v>4293</v>
      </c>
      <c r="D1027" s="1" t="s">
        <v>395</v>
      </c>
      <c r="E1027" s="1" t="s">
        <v>396</v>
      </c>
      <c r="F1027" s="1" t="s">
        <v>4294</v>
      </c>
      <c r="G1027" s="1" t="s">
        <v>4295</v>
      </c>
      <c r="H1027" s="1" t="s">
        <v>2724</v>
      </c>
      <c r="I1027" t="b">
        <f>COUNTIF(Estadísticas!I:I,'centraldecomunicacion.es'!H1027)&gt;0</f>
        <v>0</v>
      </c>
    </row>
    <row r="1028" spans="1:9" hidden="1">
      <c r="A1028" s="1" t="s">
        <v>4296</v>
      </c>
      <c r="B1028" s="1" t="s">
        <v>24</v>
      </c>
      <c r="C1028" s="1" t="s">
        <v>4297</v>
      </c>
      <c r="D1028" s="1" t="s">
        <v>395</v>
      </c>
      <c r="E1028" s="1" t="s">
        <v>396</v>
      </c>
      <c r="F1028" s="1" t="s">
        <v>4207</v>
      </c>
      <c r="G1028" s="1" t="s">
        <v>4208</v>
      </c>
      <c r="H1028" s="1" t="s">
        <v>657</v>
      </c>
      <c r="I1028" t="b">
        <f>COUNTIF(Estadísticas!I:I,'centraldecomunicacion.es'!H1028)&gt;0</f>
        <v>0</v>
      </c>
    </row>
    <row r="1029" spans="1:9">
      <c r="A1029" s="1" t="s">
        <v>405</v>
      </c>
      <c r="B1029" s="1" t="s">
        <v>24</v>
      </c>
      <c r="C1029" s="1" t="s">
        <v>406</v>
      </c>
      <c r="D1029" s="1" t="s">
        <v>407</v>
      </c>
      <c r="E1029" s="1" t="s">
        <v>408</v>
      </c>
      <c r="F1029" s="1" t="s">
        <v>409</v>
      </c>
      <c r="G1029" s="1" t="s">
        <v>410</v>
      </c>
      <c r="H1029" s="1" t="s">
        <v>411</v>
      </c>
      <c r="I1029" t="b">
        <f>COUNTIF(Estadísticas!I:I,'centraldecomunicacion.es'!H1029)&gt;0</f>
        <v>1</v>
      </c>
    </row>
    <row r="1030" spans="1:9" hidden="1">
      <c r="A1030" s="1" t="s">
        <v>4298</v>
      </c>
      <c r="B1030" s="1" t="s">
        <v>24</v>
      </c>
      <c r="C1030" s="1" t="s">
        <v>4299</v>
      </c>
      <c r="D1030" s="1" t="s">
        <v>395</v>
      </c>
      <c r="E1030" s="1" t="s">
        <v>396</v>
      </c>
      <c r="F1030" s="1" t="s">
        <v>4300</v>
      </c>
      <c r="G1030" s="1" t="s">
        <v>4301</v>
      </c>
      <c r="H1030" s="1" t="s">
        <v>657</v>
      </c>
      <c r="I1030" t="b">
        <f>COUNTIF(Estadísticas!I:I,'centraldecomunicacion.es'!H1030)&gt;0</f>
        <v>0</v>
      </c>
    </row>
    <row r="1031" spans="1:9" hidden="1">
      <c r="A1031" s="1" t="s">
        <v>4302</v>
      </c>
      <c r="B1031" s="1" t="s">
        <v>10</v>
      </c>
      <c r="C1031" s="1" t="s">
        <v>4303</v>
      </c>
      <c r="D1031" s="1" t="s">
        <v>395</v>
      </c>
      <c r="E1031" s="1" t="s">
        <v>396</v>
      </c>
      <c r="F1031" s="1" t="s">
        <v>78</v>
      </c>
      <c r="G1031" s="1" t="s">
        <v>4304</v>
      </c>
      <c r="H1031" s="1" t="s">
        <v>657</v>
      </c>
      <c r="I1031" t="b">
        <f>COUNTIF(Estadísticas!I:I,'centraldecomunicacion.es'!H1031)&gt;0</f>
        <v>0</v>
      </c>
    </row>
    <row r="1032" spans="1:9" hidden="1">
      <c r="A1032" s="1" t="s">
        <v>4305</v>
      </c>
      <c r="B1032" s="1" t="s">
        <v>10</v>
      </c>
      <c r="C1032" s="1" t="s">
        <v>4306</v>
      </c>
      <c r="D1032" s="1" t="s">
        <v>407</v>
      </c>
      <c r="E1032" s="1" t="s">
        <v>396</v>
      </c>
      <c r="F1032" s="1" t="s">
        <v>4307</v>
      </c>
      <c r="G1032" s="1" t="s">
        <v>4308</v>
      </c>
      <c r="H1032" s="1" t="s">
        <v>4309</v>
      </c>
      <c r="I1032" t="b">
        <f>COUNTIF(Estadísticas!I:I,'centraldecomunicacion.es'!H1032)&gt;0</f>
        <v>0</v>
      </c>
    </row>
    <row r="1033" spans="1:9" hidden="1">
      <c r="A1033" s="1" t="s">
        <v>4310</v>
      </c>
      <c r="B1033" s="1" t="s">
        <v>24</v>
      </c>
      <c r="C1033" s="1" t="s">
        <v>4311</v>
      </c>
      <c r="D1033" s="1" t="s">
        <v>407</v>
      </c>
      <c r="E1033" s="1" t="s">
        <v>396</v>
      </c>
      <c r="F1033" s="1" t="s">
        <v>78</v>
      </c>
      <c r="G1033" s="1" t="s">
        <v>4312</v>
      </c>
      <c r="H1033" s="1" t="s">
        <v>657</v>
      </c>
      <c r="I1033" t="b">
        <f>COUNTIF(Estadísticas!I:I,'centraldecomunicacion.es'!H1033)&gt;0</f>
        <v>0</v>
      </c>
    </row>
    <row r="1034" spans="1:9" hidden="1">
      <c r="A1034" s="1" t="s">
        <v>4313</v>
      </c>
      <c r="B1034" s="1" t="s">
        <v>24</v>
      </c>
      <c r="C1034" s="1" t="s">
        <v>78</v>
      </c>
      <c r="D1034" s="1" t="s">
        <v>4240</v>
      </c>
      <c r="E1034" s="1" t="s">
        <v>78</v>
      </c>
      <c r="F1034" s="1" t="s">
        <v>78</v>
      </c>
      <c r="G1034" s="1" t="s">
        <v>4282</v>
      </c>
      <c r="H1034" s="1" t="s">
        <v>657</v>
      </c>
      <c r="I1034" t="b">
        <f>COUNTIF(Estadísticas!I:I,'centraldecomunicacion.es'!H1034)&gt;0</f>
        <v>0</v>
      </c>
    </row>
    <row r="1035" spans="1:9" hidden="1">
      <c r="A1035" s="1" t="s">
        <v>4314</v>
      </c>
      <c r="B1035" s="1" t="s">
        <v>24</v>
      </c>
      <c r="C1035" s="1" t="s">
        <v>4315</v>
      </c>
      <c r="D1035" s="1" t="s">
        <v>407</v>
      </c>
      <c r="E1035" s="1" t="s">
        <v>396</v>
      </c>
      <c r="F1035" s="1" t="s">
        <v>78</v>
      </c>
      <c r="G1035" s="1" t="s">
        <v>4316</v>
      </c>
      <c r="H1035" s="1" t="s">
        <v>657</v>
      </c>
      <c r="I1035" t="b">
        <f>COUNTIF(Estadísticas!I:I,'centraldecomunicacion.es'!H1035)&gt;0</f>
        <v>0</v>
      </c>
    </row>
    <row r="1036" spans="1:9" hidden="1">
      <c r="A1036" s="1" t="s">
        <v>4317</v>
      </c>
      <c r="B1036" s="1" t="s">
        <v>10</v>
      </c>
      <c r="C1036" s="1" t="s">
        <v>4318</v>
      </c>
      <c r="D1036" s="1" t="s">
        <v>4319</v>
      </c>
      <c r="E1036" s="1" t="s">
        <v>396</v>
      </c>
      <c r="F1036" s="1" t="s">
        <v>4232</v>
      </c>
      <c r="G1036" s="1" t="s">
        <v>4233</v>
      </c>
      <c r="H1036" s="1" t="s">
        <v>2724</v>
      </c>
      <c r="I1036" t="b">
        <f>COUNTIF(Estadísticas!I:I,'centraldecomunicacion.es'!H1036)&gt;0</f>
        <v>0</v>
      </c>
    </row>
    <row r="1037" spans="1:9" hidden="1">
      <c r="A1037" s="1" t="s">
        <v>4320</v>
      </c>
      <c r="B1037" s="1" t="s">
        <v>10</v>
      </c>
      <c r="C1037" s="1" t="s">
        <v>4321</v>
      </c>
      <c r="D1037" s="1" t="s">
        <v>4322</v>
      </c>
      <c r="E1037" s="1" t="s">
        <v>396</v>
      </c>
      <c r="F1037" s="1" t="s">
        <v>78</v>
      </c>
      <c r="G1037" s="1" t="s">
        <v>78</v>
      </c>
      <c r="H1037" s="1" t="s">
        <v>657</v>
      </c>
      <c r="I1037" t="b">
        <f>COUNTIF(Estadísticas!I:I,'centraldecomunicacion.es'!H1037)&gt;0</f>
        <v>0</v>
      </c>
    </row>
    <row r="1038" spans="1:9" hidden="1">
      <c r="A1038" s="1" t="s">
        <v>4323</v>
      </c>
      <c r="B1038" s="1" t="s">
        <v>24</v>
      </c>
      <c r="C1038" s="1" t="s">
        <v>4324</v>
      </c>
      <c r="D1038" s="1" t="s">
        <v>407</v>
      </c>
      <c r="E1038" s="1" t="s">
        <v>396</v>
      </c>
      <c r="F1038" s="1" t="s">
        <v>4325</v>
      </c>
      <c r="G1038" s="1" t="s">
        <v>4326</v>
      </c>
      <c r="H1038" s="1" t="s">
        <v>657</v>
      </c>
      <c r="I1038" t="b">
        <f>COUNTIF(Estadísticas!I:I,'centraldecomunicacion.es'!H1038)&gt;0</f>
        <v>0</v>
      </c>
    </row>
    <row r="1039" spans="1:9" hidden="1">
      <c r="A1039" s="1" t="s">
        <v>4327</v>
      </c>
      <c r="B1039" s="1" t="s">
        <v>10</v>
      </c>
      <c r="C1039" s="1" t="s">
        <v>4328</v>
      </c>
      <c r="D1039" s="1" t="s">
        <v>407</v>
      </c>
      <c r="E1039" s="1" t="s">
        <v>396</v>
      </c>
      <c r="F1039" s="1" t="s">
        <v>78</v>
      </c>
      <c r="G1039" s="1" t="s">
        <v>4329</v>
      </c>
      <c r="H1039" s="1" t="s">
        <v>657</v>
      </c>
      <c r="I1039" t="b">
        <f>COUNTIF(Estadísticas!I:I,'centraldecomunicacion.es'!H1039)&gt;0</f>
        <v>0</v>
      </c>
    </row>
    <row r="1040" spans="1:9" hidden="1">
      <c r="A1040" s="1" t="s">
        <v>4330</v>
      </c>
      <c r="B1040" s="1" t="s">
        <v>24</v>
      </c>
      <c r="C1040" s="1" t="s">
        <v>78</v>
      </c>
      <c r="D1040" s="1" t="s">
        <v>4240</v>
      </c>
      <c r="E1040" s="1" t="s">
        <v>78</v>
      </c>
      <c r="F1040" s="1" t="s">
        <v>78</v>
      </c>
      <c r="G1040" s="1" t="s">
        <v>4331</v>
      </c>
      <c r="H1040" s="1" t="s">
        <v>657</v>
      </c>
      <c r="I1040" t="b">
        <f>COUNTIF(Estadísticas!I:I,'centraldecomunicacion.es'!H1040)&gt;0</f>
        <v>0</v>
      </c>
    </row>
    <row r="1041" spans="1:9" hidden="1">
      <c r="A1041" s="1" t="s">
        <v>4332</v>
      </c>
      <c r="B1041" s="1" t="s">
        <v>24</v>
      </c>
      <c r="C1041" s="1" t="s">
        <v>4333</v>
      </c>
      <c r="D1041" s="1" t="s">
        <v>407</v>
      </c>
      <c r="E1041" s="1" t="s">
        <v>396</v>
      </c>
      <c r="F1041" s="1" t="s">
        <v>78</v>
      </c>
      <c r="G1041" s="1" t="s">
        <v>4334</v>
      </c>
      <c r="H1041" s="1" t="s">
        <v>657</v>
      </c>
      <c r="I1041" t="b">
        <f>COUNTIF(Estadísticas!I:I,'centraldecomunicacion.es'!H1041)&gt;0</f>
        <v>0</v>
      </c>
    </row>
    <row r="1042" spans="1:9" hidden="1">
      <c r="A1042" s="1" t="s">
        <v>4335</v>
      </c>
      <c r="B1042" s="1" t="s">
        <v>24</v>
      </c>
      <c r="C1042" s="1" t="s">
        <v>4336</v>
      </c>
      <c r="D1042" s="1" t="s">
        <v>4337</v>
      </c>
      <c r="E1042" s="1" t="s">
        <v>396</v>
      </c>
      <c r="F1042" s="1" t="s">
        <v>4338</v>
      </c>
      <c r="G1042" s="1" t="s">
        <v>4339</v>
      </c>
      <c r="H1042" s="1" t="s">
        <v>657</v>
      </c>
      <c r="I1042" t="b">
        <f>COUNTIF(Estadísticas!I:I,'centraldecomunicacion.es'!H1042)&gt;0</f>
        <v>0</v>
      </c>
    </row>
    <row r="1043" spans="1:9" hidden="1">
      <c r="A1043" s="1" t="s">
        <v>4340</v>
      </c>
      <c r="B1043" s="1" t="s">
        <v>10</v>
      </c>
      <c r="C1043" s="1" t="s">
        <v>4341</v>
      </c>
      <c r="D1043" s="1" t="s">
        <v>4342</v>
      </c>
      <c r="E1043" s="1" t="s">
        <v>396</v>
      </c>
      <c r="F1043" s="1" t="s">
        <v>829</v>
      </c>
      <c r="G1043" s="1" t="s">
        <v>4204</v>
      </c>
      <c r="H1043" s="1" t="s">
        <v>831</v>
      </c>
      <c r="I1043" t="b">
        <f>COUNTIF(Estadísticas!I:I,'centraldecomunicacion.es'!H1043)&gt;0</f>
        <v>0</v>
      </c>
    </row>
    <row r="1044" spans="1:9" hidden="1">
      <c r="A1044" s="1" t="s">
        <v>4343</v>
      </c>
      <c r="B1044" s="1" t="s">
        <v>24</v>
      </c>
      <c r="C1044" s="1" t="s">
        <v>4344</v>
      </c>
      <c r="D1044" s="1" t="s">
        <v>395</v>
      </c>
      <c r="E1044" s="1" t="s">
        <v>396</v>
      </c>
      <c r="F1044" s="1" t="s">
        <v>78</v>
      </c>
      <c r="G1044" s="1" t="s">
        <v>4345</v>
      </c>
      <c r="H1044" s="1" t="s">
        <v>657</v>
      </c>
      <c r="I1044" t="b">
        <f>COUNTIF(Estadísticas!I:I,'centraldecomunicacion.es'!H1044)&gt;0</f>
        <v>0</v>
      </c>
    </row>
    <row r="1045" spans="1:9" hidden="1">
      <c r="A1045" s="1" t="s">
        <v>4346</v>
      </c>
      <c r="B1045" s="1" t="s">
        <v>10</v>
      </c>
      <c r="C1045" s="1" t="s">
        <v>4347</v>
      </c>
      <c r="D1045" s="1" t="s">
        <v>395</v>
      </c>
      <c r="E1045" s="1" t="s">
        <v>396</v>
      </c>
      <c r="F1045" s="1" t="s">
        <v>829</v>
      </c>
      <c r="G1045" s="1" t="s">
        <v>4204</v>
      </c>
      <c r="H1045" s="1" t="s">
        <v>831</v>
      </c>
      <c r="I1045" t="b">
        <f>COUNTIF(Estadísticas!I:I,'centraldecomunicacion.es'!H1045)&gt;0</f>
        <v>0</v>
      </c>
    </row>
    <row r="1046" spans="1:9" hidden="1">
      <c r="A1046" s="1" t="s">
        <v>4348</v>
      </c>
      <c r="B1046" s="1" t="s">
        <v>24</v>
      </c>
      <c r="C1046" s="1" t="s">
        <v>4349</v>
      </c>
      <c r="D1046" s="1" t="s">
        <v>1583</v>
      </c>
      <c r="E1046" s="1" t="s">
        <v>396</v>
      </c>
      <c r="F1046" s="1" t="s">
        <v>4350</v>
      </c>
      <c r="G1046" s="1" t="s">
        <v>4351</v>
      </c>
      <c r="H1046" s="1" t="s">
        <v>4352</v>
      </c>
      <c r="I1046" t="b">
        <f>COUNTIF(Estadísticas!I:I,'centraldecomunicacion.es'!H1046)&gt;0</f>
        <v>0</v>
      </c>
    </row>
    <row r="1047" spans="1:9" hidden="1">
      <c r="A1047" s="1" t="s">
        <v>4353</v>
      </c>
      <c r="B1047" s="1" t="s">
        <v>24</v>
      </c>
      <c r="C1047" s="1" t="s">
        <v>78</v>
      </c>
      <c r="D1047" s="1" t="s">
        <v>4240</v>
      </c>
      <c r="E1047" s="1" t="s">
        <v>78</v>
      </c>
      <c r="F1047" s="1" t="s">
        <v>78</v>
      </c>
      <c r="G1047" s="1" t="s">
        <v>4354</v>
      </c>
      <c r="H1047" s="1" t="s">
        <v>657</v>
      </c>
      <c r="I1047" t="b">
        <f>COUNTIF(Estadísticas!I:I,'centraldecomunicacion.es'!H1047)&gt;0</f>
        <v>0</v>
      </c>
    </row>
    <row r="1048" spans="1:9" hidden="1">
      <c r="A1048" s="1" t="s">
        <v>4355</v>
      </c>
      <c r="B1048" s="1" t="s">
        <v>24</v>
      </c>
      <c r="C1048" s="1" t="s">
        <v>4356</v>
      </c>
      <c r="D1048" s="1" t="s">
        <v>4322</v>
      </c>
      <c r="E1048" s="1" t="s">
        <v>396</v>
      </c>
      <c r="F1048" s="1" t="s">
        <v>2711</v>
      </c>
      <c r="G1048" s="1" t="s">
        <v>4357</v>
      </c>
      <c r="H1048" s="1" t="s">
        <v>2713</v>
      </c>
      <c r="I1048" t="b">
        <f>COUNTIF(Estadísticas!I:I,'centraldecomunicacion.es'!H1048)&gt;0</f>
        <v>0</v>
      </c>
    </row>
    <row r="1049" spans="1:9" hidden="1">
      <c r="A1049" s="1" t="s">
        <v>4358</v>
      </c>
      <c r="B1049" s="1" t="s">
        <v>24</v>
      </c>
      <c r="C1049" s="1" t="s">
        <v>4359</v>
      </c>
      <c r="D1049" s="1" t="s">
        <v>4322</v>
      </c>
      <c r="E1049" s="1" t="s">
        <v>396</v>
      </c>
      <c r="F1049" s="1" t="s">
        <v>78</v>
      </c>
      <c r="G1049" s="1" t="s">
        <v>4360</v>
      </c>
      <c r="H1049" s="1" t="s">
        <v>657</v>
      </c>
      <c r="I1049" t="b">
        <f>COUNTIF(Estadísticas!I:I,'centraldecomunicacion.es'!H1049)&gt;0</f>
        <v>0</v>
      </c>
    </row>
    <row r="1050" spans="1:9" hidden="1">
      <c r="A1050" s="1" t="s">
        <v>4361</v>
      </c>
      <c r="B1050" s="1" t="s">
        <v>24</v>
      </c>
      <c r="C1050" s="1" t="s">
        <v>4362</v>
      </c>
      <c r="D1050" s="1" t="s">
        <v>4363</v>
      </c>
      <c r="E1050" s="1" t="s">
        <v>396</v>
      </c>
      <c r="F1050" s="1" t="s">
        <v>78</v>
      </c>
      <c r="G1050" s="1" t="s">
        <v>4364</v>
      </c>
      <c r="H1050" s="1" t="s">
        <v>657</v>
      </c>
      <c r="I1050" t="b">
        <f>COUNTIF(Estadísticas!I:I,'centraldecomunicacion.es'!H1050)&gt;0</f>
        <v>0</v>
      </c>
    </row>
    <row r="1051" spans="1:9" hidden="1">
      <c r="A1051" s="1" t="s">
        <v>4365</v>
      </c>
      <c r="B1051" s="1" t="s">
        <v>10</v>
      </c>
      <c r="C1051" s="1" t="s">
        <v>4366</v>
      </c>
      <c r="D1051" s="1" t="s">
        <v>4367</v>
      </c>
      <c r="E1051" s="1" t="s">
        <v>396</v>
      </c>
      <c r="F1051" s="1" t="s">
        <v>78</v>
      </c>
      <c r="G1051" s="1" t="s">
        <v>4368</v>
      </c>
      <c r="H1051" s="1" t="s">
        <v>657</v>
      </c>
      <c r="I1051" t="b">
        <f>COUNTIF(Estadísticas!I:I,'centraldecomunicacion.es'!H1051)&gt;0</f>
        <v>0</v>
      </c>
    </row>
    <row r="1052" spans="1:9" hidden="1">
      <c r="A1052" s="1" t="s">
        <v>4369</v>
      </c>
      <c r="B1052" s="1" t="s">
        <v>24</v>
      </c>
      <c r="C1052" s="1" t="s">
        <v>4370</v>
      </c>
      <c r="D1052" s="1" t="s">
        <v>4371</v>
      </c>
      <c r="E1052" s="1" t="s">
        <v>396</v>
      </c>
      <c r="F1052" s="1" t="s">
        <v>78</v>
      </c>
      <c r="G1052" s="1" t="s">
        <v>4372</v>
      </c>
      <c r="H1052" s="1" t="s">
        <v>657</v>
      </c>
      <c r="I1052" t="b">
        <f>COUNTIF(Estadísticas!I:I,'centraldecomunicacion.es'!H1052)&gt;0</f>
        <v>0</v>
      </c>
    </row>
    <row r="1053" spans="1:9" hidden="1">
      <c r="A1053" s="1" t="s">
        <v>4373</v>
      </c>
      <c r="B1053" s="1" t="s">
        <v>24</v>
      </c>
      <c r="C1053" s="1" t="s">
        <v>4374</v>
      </c>
      <c r="D1053" s="1" t="s">
        <v>1603</v>
      </c>
      <c r="E1053" s="1" t="s">
        <v>396</v>
      </c>
      <c r="F1053" s="1" t="s">
        <v>78</v>
      </c>
      <c r="G1053" s="1" t="s">
        <v>78</v>
      </c>
      <c r="H1053" s="1" t="s">
        <v>657</v>
      </c>
      <c r="I1053" t="b">
        <f>COUNTIF(Estadísticas!I:I,'centraldecomunicacion.es'!H1053)&gt;0</f>
        <v>0</v>
      </c>
    </row>
    <row r="1054" spans="1:9" hidden="1">
      <c r="A1054" s="1" t="s">
        <v>4375</v>
      </c>
      <c r="B1054" s="1" t="s">
        <v>24</v>
      </c>
      <c r="C1054" s="1" t="s">
        <v>4376</v>
      </c>
      <c r="D1054" s="1" t="s">
        <v>618</v>
      </c>
      <c r="E1054" s="1" t="s">
        <v>618</v>
      </c>
      <c r="F1054" s="1" t="s">
        <v>4377</v>
      </c>
      <c r="G1054" s="1" t="s">
        <v>4378</v>
      </c>
      <c r="H1054" s="1" t="s">
        <v>4379</v>
      </c>
      <c r="I1054" t="b">
        <f>COUNTIF(Estadísticas!I:I,'centraldecomunicacion.es'!H1054)&gt;0</f>
        <v>0</v>
      </c>
    </row>
    <row r="1055" spans="1:9" hidden="1">
      <c r="A1055" s="1" t="s">
        <v>4380</v>
      </c>
      <c r="B1055" s="1" t="s">
        <v>10</v>
      </c>
      <c r="C1055" s="1" t="s">
        <v>4381</v>
      </c>
      <c r="D1055" s="1" t="s">
        <v>4382</v>
      </c>
      <c r="E1055" s="1" t="s">
        <v>430</v>
      </c>
      <c r="F1055" s="1" t="s">
        <v>4383</v>
      </c>
      <c r="G1055" s="1" t="s">
        <v>4384</v>
      </c>
      <c r="H1055" s="1" t="s">
        <v>657</v>
      </c>
      <c r="I1055" t="b">
        <f>COUNTIF(Estadísticas!I:I,'centraldecomunicacion.es'!H1055)&gt;0</f>
        <v>0</v>
      </c>
    </row>
    <row r="1056" spans="1:9" hidden="1">
      <c r="A1056" s="1" t="s">
        <v>4385</v>
      </c>
      <c r="B1056" s="1" t="s">
        <v>24</v>
      </c>
      <c r="C1056" s="1" t="s">
        <v>4386</v>
      </c>
      <c r="D1056" s="1" t="s">
        <v>186</v>
      </c>
      <c r="E1056" s="1" t="s">
        <v>187</v>
      </c>
      <c r="F1056" s="1" t="s">
        <v>78</v>
      </c>
      <c r="G1056" s="1" t="s">
        <v>4387</v>
      </c>
      <c r="H1056" s="1" t="s">
        <v>657</v>
      </c>
      <c r="I1056" t="b">
        <f>COUNTIF(Estadísticas!I:I,'centraldecomunicacion.es'!H1056)&gt;0</f>
        <v>0</v>
      </c>
    </row>
    <row r="1057" spans="1:9">
      <c r="A1057" s="1" t="s">
        <v>412</v>
      </c>
      <c r="B1057" s="1" t="s">
        <v>10</v>
      </c>
      <c r="C1057" s="1" t="s">
        <v>413</v>
      </c>
      <c r="D1057" s="1" t="s">
        <v>186</v>
      </c>
      <c r="E1057" s="1" t="s">
        <v>414</v>
      </c>
      <c r="F1057" s="1" t="s">
        <v>415</v>
      </c>
      <c r="G1057" s="1" t="s">
        <v>416</v>
      </c>
      <c r="H1057" s="1" t="s">
        <v>417</v>
      </c>
      <c r="I1057" t="b">
        <f>COUNTIF(Estadísticas!I:I,'centraldecomunicacion.es'!H1057)&gt;0</f>
        <v>1</v>
      </c>
    </row>
    <row r="1058" spans="1:9" hidden="1">
      <c r="A1058" s="1" t="s">
        <v>4388</v>
      </c>
      <c r="B1058" s="1" t="s">
        <v>24</v>
      </c>
      <c r="C1058" s="1" t="s">
        <v>78</v>
      </c>
      <c r="D1058" s="1" t="s">
        <v>4389</v>
      </c>
      <c r="E1058" s="1" t="s">
        <v>78</v>
      </c>
      <c r="F1058" s="1" t="s">
        <v>78</v>
      </c>
      <c r="G1058" s="1" t="s">
        <v>4390</v>
      </c>
      <c r="H1058" s="1" t="s">
        <v>657</v>
      </c>
      <c r="I1058" t="b">
        <f>COUNTIF(Estadísticas!I:I,'centraldecomunicacion.es'!H1058)&gt;0</f>
        <v>0</v>
      </c>
    </row>
    <row r="1059" spans="1:9">
      <c r="A1059" s="1" t="s">
        <v>418</v>
      </c>
      <c r="B1059" s="1" t="s">
        <v>10</v>
      </c>
      <c r="C1059" s="1" t="s">
        <v>419</v>
      </c>
      <c r="D1059" s="1" t="s">
        <v>186</v>
      </c>
      <c r="E1059" s="1" t="s">
        <v>414</v>
      </c>
      <c r="F1059" s="1" t="s">
        <v>420</v>
      </c>
      <c r="G1059" s="1" t="s">
        <v>421</v>
      </c>
      <c r="H1059" s="1" t="s">
        <v>422</v>
      </c>
      <c r="I1059" t="b">
        <f>COUNTIF(Estadísticas!I:I,'centraldecomunicacion.es'!H1059)&gt;0</f>
        <v>1</v>
      </c>
    </row>
    <row r="1060" spans="1:9">
      <c r="A1060" s="1" t="s">
        <v>423</v>
      </c>
      <c r="B1060" s="1" t="s">
        <v>24</v>
      </c>
      <c r="C1060" s="1" t="s">
        <v>424</v>
      </c>
      <c r="D1060" s="1" t="s">
        <v>186</v>
      </c>
      <c r="E1060" s="1" t="s">
        <v>187</v>
      </c>
      <c r="F1060" s="1" t="s">
        <v>425</v>
      </c>
      <c r="G1060" s="1" t="s">
        <v>426</v>
      </c>
      <c r="H1060" s="1" t="s">
        <v>427</v>
      </c>
      <c r="I1060" t="b">
        <f>COUNTIF(Estadísticas!I:I,'centraldecomunicacion.es'!H1060)&gt;0</f>
        <v>1</v>
      </c>
    </row>
    <row r="1061" spans="1:9" hidden="1">
      <c r="A1061" s="1" t="s">
        <v>4391</v>
      </c>
      <c r="B1061" s="1" t="s">
        <v>24</v>
      </c>
      <c r="C1061" s="1" t="s">
        <v>4392</v>
      </c>
      <c r="D1061" s="1" t="s">
        <v>186</v>
      </c>
      <c r="E1061" s="1" t="s">
        <v>187</v>
      </c>
      <c r="F1061" s="1" t="s">
        <v>4393</v>
      </c>
      <c r="G1061" s="1" t="s">
        <v>4394</v>
      </c>
      <c r="H1061" s="1" t="s">
        <v>657</v>
      </c>
      <c r="I1061" t="b">
        <f>COUNTIF(Estadísticas!I:I,'centraldecomunicacion.es'!H1061)&gt;0</f>
        <v>0</v>
      </c>
    </row>
    <row r="1062" spans="1:9" hidden="1">
      <c r="A1062" s="1" t="s">
        <v>4395</v>
      </c>
      <c r="B1062" s="1" t="s">
        <v>10</v>
      </c>
      <c r="C1062" s="1" t="s">
        <v>4396</v>
      </c>
      <c r="D1062" s="1" t="s">
        <v>186</v>
      </c>
      <c r="E1062" s="1" t="s">
        <v>187</v>
      </c>
      <c r="F1062" s="1" t="s">
        <v>4397</v>
      </c>
      <c r="G1062" s="1" t="s">
        <v>4398</v>
      </c>
      <c r="H1062" s="1" t="s">
        <v>662</v>
      </c>
      <c r="I1062" t="b">
        <f>COUNTIF(Estadísticas!I:I,'centraldecomunicacion.es'!H1062)&gt;0</f>
        <v>0</v>
      </c>
    </row>
    <row r="1063" spans="1:9" hidden="1">
      <c r="A1063" s="1" t="s">
        <v>4399</v>
      </c>
      <c r="B1063" s="1" t="s">
        <v>24</v>
      </c>
      <c r="C1063" s="1" t="s">
        <v>4400</v>
      </c>
      <c r="D1063" s="1" t="s">
        <v>186</v>
      </c>
      <c r="E1063" s="1" t="s">
        <v>414</v>
      </c>
      <c r="F1063" s="1" t="s">
        <v>78</v>
      </c>
      <c r="G1063" s="1" t="s">
        <v>4401</v>
      </c>
      <c r="H1063" s="1" t="s">
        <v>657</v>
      </c>
      <c r="I1063" t="b">
        <f>COUNTIF(Estadísticas!I:I,'centraldecomunicacion.es'!H1063)&gt;0</f>
        <v>0</v>
      </c>
    </row>
    <row r="1064" spans="1:9" hidden="1">
      <c r="A1064" s="1" t="s">
        <v>1113</v>
      </c>
      <c r="B1064" s="1" t="s">
        <v>10</v>
      </c>
      <c r="C1064" s="1" t="s">
        <v>4402</v>
      </c>
      <c r="D1064" s="1" t="s">
        <v>4403</v>
      </c>
      <c r="E1064" s="1" t="s">
        <v>414</v>
      </c>
      <c r="F1064" s="1" t="s">
        <v>1115</v>
      </c>
      <c r="G1064" s="1" t="s">
        <v>4404</v>
      </c>
      <c r="H1064" s="1" t="s">
        <v>1117</v>
      </c>
      <c r="I1064" t="b">
        <f>COUNTIF(Estadísticas!I:I,'centraldecomunicacion.es'!H1064)&gt;0</f>
        <v>0</v>
      </c>
    </row>
    <row r="1065" spans="1:9" hidden="1">
      <c r="A1065" s="1" t="s">
        <v>4405</v>
      </c>
      <c r="B1065" s="1" t="s">
        <v>24</v>
      </c>
      <c r="C1065" s="1" t="s">
        <v>4392</v>
      </c>
      <c r="D1065" s="1" t="s">
        <v>186</v>
      </c>
      <c r="E1065" s="1" t="s">
        <v>187</v>
      </c>
      <c r="F1065" s="1" t="s">
        <v>78</v>
      </c>
      <c r="G1065" s="1" t="s">
        <v>2271</v>
      </c>
      <c r="H1065" s="1" t="s">
        <v>657</v>
      </c>
      <c r="I1065" t="b">
        <f>COUNTIF(Estadísticas!I:I,'centraldecomunicacion.es'!H1065)&gt;0</f>
        <v>0</v>
      </c>
    </row>
    <row r="1066" spans="1:9">
      <c r="A1066" s="1" t="s">
        <v>428</v>
      </c>
      <c r="B1066" s="1" t="s">
        <v>24</v>
      </c>
      <c r="C1066" s="1" t="s">
        <v>429</v>
      </c>
      <c r="D1066" s="1" t="s">
        <v>430</v>
      </c>
      <c r="E1066" s="1" t="s">
        <v>430</v>
      </c>
      <c r="F1066" s="1" t="s">
        <v>431</v>
      </c>
      <c r="G1066" s="1" t="s">
        <v>432</v>
      </c>
      <c r="H1066" s="1" t="s">
        <v>433</v>
      </c>
      <c r="I1066" t="b">
        <f>COUNTIF(Estadísticas!I:I,'centraldecomunicacion.es'!H1066)&gt;0</f>
        <v>1</v>
      </c>
    </row>
    <row r="1067" spans="1:9" hidden="1">
      <c r="A1067" s="1" t="s">
        <v>4406</v>
      </c>
      <c r="B1067" s="1" t="s">
        <v>24</v>
      </c>
      <c r="C1067" s="1" t="s">
        <v>4407</v>
      </c>
      <c r="D1067" s="1" t="s">
        <v>430</v>
      </c>
      <c r="E1067" s="1" t="s">
        <v>430</v>
      </c>
      <c r="F1067" s="1" t="s">
        <v>4408</v>
      </c>
      <c r="G1067" s="1" t="s">
        <v>4409</v>
      </c>
      <c r="H1067" s="1" t="s">
        <v>4410</v>
      </c>
      <c r="I1067" t="b">
        <f>COUNTIF(Estadísticas!I:I,'centraldecomunicacion.es'!H1067)&gt;0</f>
        <v>0</v>
      </c>
    </row>
    <row r="1068" spans="1:9" hidden="1">
      <c r="A1068" s="1" t="s">
        <v>4411</v>
      </c>
      <c r="B1068" s="1" t="s">
        <v>24</v>
      </c>
      <c r="C1068" s="1" t="s">
        <v>4412</v>
      </c>
      <c r="D1068" s="1" t="s">
        <v>430</v>
      </c>
      <c r="E1068" s="1" t="s">
        <v>430</v>
      </c>
      <c r="F1068" s="1" t="s">
        <v>4413</v>
      </c>
      <c r="G1068" s="1" t="s">
        <v>4414</v>
      </c>
      <c r="H1068" s="1" t="s">
        <v>4415</v>
      </c>
      <c r="I1068" t="b">
        <f>COUNTIF(Estadísticas!I:I,'centraldecomunicacion.es'!H1068)&gt;0</f>
        <v>0</v>
      </c>
    </row>
    <row r="1069" spans="1:9" hidden="1">
      <c r="A1069" s="1" t="s">
        <v>4416</v>
      </c>
      <c r="B1069" s="1" t="s">
        <v>10</v>
      </c>
      <c r="C1069" s="1" t="s">
        <v>4417</v>
      </c>
      <c r="D1069" s="1" t="s">
        <v>430</v>
      </c>
      <c r="E1069" s="1" t="s">
        <v>430</v>
      </c>
      <c r="F1069" s="1" t="s">
        <v>4418</v>
      </c>
      <c r="G1069" s="1" t="s">
        <v>4419</v>
      </c>
      <c r="H1069" s="1" t="s">
        <v>4420</v>
      </c>
      <c r="I1069" t="b">
        <f>COUNTIF(Estadísticas!I:I,'centraldecomunicacion.es'!H1069)&gt;0</f>
        <v>0</v>
      </c>
    </row>
    <row r="1070" spans="1:9" hidden="1">
      <c r="A1070" s="1" t="s">
        <v>1113</v>
      </c>
      <c r="B1070" s="1" t="s">
        <v>10</v>
      </c>
      <c r="C1070" s="1" t="s">
        <v>4421</v>
      </c>
      <c r="D1070" s="1" t="s">
        <v>430</v>
      </c>
      <c r="E1070" s="1" t="s">
        <v>430</v>
      </c>
      <c r="F1070" s="1" t="s">
        <v>1115</v>
      </c>
      <c r="G1070" s="1" t="s">
        <v>4404</v>
      </c>
      <c r="H1070" s="1" t="s">
        <v>1117</v>
      </c>
      <c r="I1070" t="b">
        <f>COUNTIF(Estadísticas!I:I,'centraldecomunicacion.es'!H1070)&gt;0</f>
        <v>0</v>
      </c>
    </row>
    <row r="1071" spans="1:9">
      <c r="A1071" s="1" t="s">
        <v>434</v>
      </c>
      <c r="B1071" s="1" t="s">
        <v>24</v>
      </c>
      <c r="C1071" s="1" t="s">
        <v>435</v>
      </c>
      <c r="D1071" s="1" t="s">
        <v>430</v>
      </c>
      <c r="E1071" s="1" t="s">
        <v>430</v>
      </c>
      <c r="F1071" s="1" t="s">
        <v>436</v>
      </c>
      <c r="G1071" s="1" t="s">
        <v>437</v>
      </c>
      <c r="H1071" s="1" t="s">
        <v>438</v>
      </c>
      <c r="I1071" t="b">
        <f>COUNTIF(Estadísticas!I:I,'centraldecomunicacion.es'!H1071)&gt;0</f>
        <v>1</v>
      </c>
    </row>
    <row r="1072" spans="1:9" hidden="1">
      <c r="A1072" s="1" t="s">
        <v>4380</v>
      </c>
      <c r="B1072" s="1" t="s">
        <v>10</v>
      </c>
      <c r="C1072" s="1" t="s">
        <v>4422</v>
      </c>
      <c r="D1072" s="1" t="s">
        <v>430</v>
      </c>
      <c r="E1072" s="1" t="s">
        <v>430</v>
      </c>
      <c r="F1072" s="1" t="s">
        <v>4423</v>
      </c>
      <c r="G1072" s="1" t="s">
        <v>4384</v>
      </c>
      <c r="H1072" s="1" t="s">
        <v>657</v>
      </c>
      <c r="I1072" t="b">
        <f>COUNTIF(Estadísticas!I:I,'centraldecomunicacion.es'!H1072)&gt;0</f>
        <v>0</v>
      </c>
    </row>
    <row r="1073" spans="1:9">
      <c r="A1073" s="1" t="s">
        <v>439</v>
      </c>
      <c r="B1073" s="1" t="s">
        <v>10</v>
      </c>
      <c r="C1073" s="1" t="s">
        <v>440</v>
      </c>
      <c r="D1073" s="1" t="s">
        <v>441</v>
      </c>
      <c r="E1073" s="1" t="s">
        <v>430</v>
      </c>
      <c r="F1073" s="1" t="s">
        <v>442</v>
      </c>
      <c r="G1073" s="1" t="s">
        <v>443</v>
      </c>
      <c r="H1073" s="1" t="s">
        <v>444</v>
      </c>
      <c r="I1073" t="b">
        <f>COUNTIF(Estadísticas!I:I,'centraldecomunicacion.es'!H1073)&gt;0</f>
        <v>1</v>
      </c>
    </row>
    <row r="1074" spans="1:9" hidden="1">
      <c r="A1074" s="1" t="s">
        <v>4424</v>
      </c>
      <c r="B1074" s="1" t="s">
        <v>10</v>
      </c>
      <c r="C1074" s="1" t="s">
        <v>4425</v>
      </c>
      <c r="D1074" s="1" t="s">
        <v>430</v>
      </c>
      <c r="E1074" s="1" t="s">
        <v>430</v>
      </c>
      <c r="F1074" s="1" t="s">
        <v>78</v>
      </c>
      <c r="G1074" s="1" t="s">
        <v>4426</v>
      </c>
      <c r="H1074" s="1" t="s">
        <v>657</v>
      </c>
      <c r="I1074" t="b">
        <f>COUNTIF(Estadísticas!I:I,'centraldecomunicacion.es'!H1074)&gt;0</f>
        <v>0</v>
      </c>
    </row>
    <row r="1075" spans="1:9" hidden="1">
      <c r="A1075" s="1" t="s">
        <v>4427</v>
      </c>
      <c r="B1075" s="1" t="s">
        <v>10</v>
      </c>
      <c r="C1075" s="1" t="s">
        <v>78</v>
      </c>
      <c r="D1075" s="1" t="s">
        <v>4428</v>
      </c>
      <c r="E1075" s="1" t="s">
        <v>78</v>
      </c>
      <c r="F1075" s="1" t="s">
        <v>4429</v>
      </c>
      <c r="G1075" s="1" t="s">
        <v>4430</v>
      </c>
      <c r="H1075" s="1" t="s">
        <v>4431</v>
      </c>
      <c r="I1075" t="b">
        <f>COUNTIF(Estadísticas!I:I,'centraldecomunicacion.es'!H1075)&gt;0</f>
        <v>0</v>
      </c>
    </row>
    <row r="1076" spans="1:9" hidden="1">
      <c r="A1076" s="1" t="s">
        <v>4432</v>
      </c>
      <c r="B1076" s="1" t="s">
        <v>10</v>
      </c>
      <c r="C1076" s="1" t="s">
        <v>4433</v>
      </c>
      <c r="D1076" s="1" t="s">
        <v>430</v>
      </c>
      <c r="E1076" s="1" t="s">
        <v>430</v>
      </c>
      <c r="F1076" s="1" t="s">
        <v>78</v>
      </c>
      <c r="G1076" s="1" t="s">
        <v>4434</v>
      </c>
      <c r="H1076" s="1" t="s">
        <v>657</v>
      </c>
      <c r="I1076" t="b">
        <f>COUNTIF(Estadísticas!I:I,'centraldecomunicacion.es'!H1076)&gt;0</f>
        <v>0</v>
      </c>
    </row>
    <row r="1077" spans="1:9" hidden="1">
      <c r="A1077" s="1" t="s">
        <v>4435</v>
      </c>
      <c r="B1077" s="1" t="s">
        <v>10</v>
      </c>
      <c r="C1077" s="1" t="s">
        <v>4436</v>
      </c>
      <c r="D1077" s="1" t="s">
        <v>4437</v>
      </c>
      <c r="E1077" s="1" t="s">
        <v>430</v>
      </c>
      <c r="F1077" s="1" t="s">
        <v>829</v>
      </c>
      <c r="G1077" s="1" t="s">
        <v>4438</v>
      </c>
      <c r="H1077" s="1" t="s">
        <v>831</v>
      </c>
      <c r="I1077" t="b">
        <f>COUNTIF(Estadísticas!I:I,'centraldecomunicacion.es'!H1077)&gt;0</f>
        <v>0</v>
      </c>
    </row>
    <row r="1078" spans="1:9" hidden="1">
      <c r="A1078" s="1" t="s">
        <v>4439</v>
      </c>
      <c r="B1078" s="1" t="s">
        <v>24</v>
      </c>
      <c r="C1078" s="1" t="s">
        <v>4440</v>
      </c>
      <c r="D1078" s="1" t="s">
        <v>4441</v>
      </c>
      <c r="E1078" s="1" t="s">
        <v>430</v>
      </c>
      <c r="F1078" s="1" t="s">
        <v>4442</v>
      </c>
      <c r="G1078" s="1" t="s">
        <v>4443</v>
      </c>
      <c r="H1078" s="1" t="s">
        <v>657</v>
      </c>
      <c r="I1078" t="b">
        <f>COUNTIF(Estadísticas!I:I,'centraldecomunicacion.es'!H1078)&gt;0</f>
        <v>0</v>
      </c>
    </row>
    <row r="1079" spans="1:9" hidden="1">
      <c r="A1079" s="1" t="s">
        <v>4444</v>
      </c>
      <c r="B1079" s="1" t="s">
        <v>24</v>
      </c>
      <c r="C1079" s="1" t="s">
        <v>4445</v>
      </c>
      <c r="D1079" s="1" t="s">
        <v>4446</v>
      </c>
      <c r="E1079" s="1" t="s">
        <v>430</v>
      </c>
      <c r="F1079" s="1" t="s">
        <v>4447</v>
      </c>
      <c r="G1079" s="1" t="s">
        <v>4448</v>
      </c>
      <c r="H1079" s="1" t="s">
        <v>657</v>
      </c>
      <c r="I1079" t="b">
        <f>COUNTIF(Estadísticas!I:I,'centraldecomunicacion.es'!H1079)&gt;0</f>
        <v>0</v>
      </c>
    </row>
    <row r="1080" spans="1:9" hidden="1">
      <c r="A1080" s="1" t="s">
        <v>4449</v>
      </c>
      <c r="B1080" s="1" t="s">
        <v>24</v>
      </c>
      <c r="C1080" s="1" t="s">
        <v>4450</v>
      </c>
      <c r="D1080" s="1" t="s">
        <v>430</v>
      </c>
      <c r="E1080" s="1" t="s">
        <v>430</v>
      </c>
      <c r="F1080" s="1" t="s">
        <v>2789</v>
      </c>
      <c r="G1080" s="1" t="s">
        <v>4451</v>
      </c>
      <c r="H1080" s="1" t="s">
        <v>657</v>
      </c>
      <c r="I1080" t="b">
        <f>COUNTIF(Estadísticas!I:I,'centraldecomunicacion.es'!H1080)&gt;0</f>
        <v>0</v>
      </c>
    </row>
    <row r="1081" spans="1:9" hidden="1">
      <c r="A1081" s="1" t="s">
        <v>4452</v>
      </c>
      <c r="B1081" s="1" t="s">
        <v>10</v>
      </c>
      <c r="C1081" s="1" t="s">
        <v>4453</v>
      </c>
      <c r="D1081" s="1" t="s">
        <v>458</v>
      </c>
      <c r="E1081" s="1" t="s">
        <v>430</v>
      </c>
      <c r="F1081" s="1" t="s">
        <v>4454</v>
      </c>
      <c r="G1081" s="1" t="s">
        <v>4455</v>
      </c>
      <c r="H1081" s="1" t="s">
        <v>4456</v>
      </c>
      <c r="I1081" t="b">
        <f>COUNTIF(Estadísticas!I:I,'centraldecomunicacion.es'!H1081)&gt;0</f>
        <v>0</v>
      </c>
    </row>
    <row r="1082" spans="1:9" hidden="1">
      <c r="A1082" s="1" t="s">
        <v>4457</v>
      </c>
      <c r="B1082" s="1" t="s">
        <v>24</v>
      </c>
      <c r="C1082" s="1" t="s">
        <v>4458</v>
      </c>
      <c r="D1082" s="1" t="s">
        <v>430</v>
      </c>
      <c r="E1082" s="1" t="s">
        <v>430</v>
      </c>
      <c r="F1082" s="1" t="s">
        <v>78</v>
      </c>
      <c r="G1082" s="1" t="s">
        <v>4459</v>
      </c>
      <c r="H1082" s="1" t="s">
        <v>657</v>
      </c>
      <c r="I1082" t="b">
        <f>COUNTIF(Estadísticas!I:I,'centraldecomunicacion.es'!H1082)&gt;0</f>
        <v>0</v>
      </c>
    </row>
    <row r="1083" spans="1:9" hidden="1">
      <c r="A1083" s="1" t="s">
        <v>4460</v>
      </c>
      <c r="B1083" s="1" t="s">
        <v>24</v>
      </c>
      <c r="C1083" s="1" t="s">
        <v>78</v>
      </c>
      <c r="D1083" s="1" t="s">
        <v>4428</v>
      </c>
      <c r="E1083" s="1" t="s">
        <v>78</v>
      </c>
      <c r="F1083" s="1" t="s">
        <v>4461</v>
      </c>
      <c r="G1083" s="1" t="s">
        <v>4462</v>
      </c>
      <c r="H1083" s="1" t="s">
        <v>657</v>
      </c>
      <c r="I1083" t="b">
        <f>COUNTIF(Estadísticas!I:I,'centraldecomunicacion.es'!H1083)&gt;0</f>
        <v>0</v>
      </c>
    </row>
    <row r="1084" spans="1:9" hidden="1">
      <c r="A1084" s="1" t="s">
        <v>4463</v>
      </c>
      <c r="B1084" s="1" t="s">
        <v>10</v>
      </c>
      <c r="C1084" s="1" t="s">
        <v>4464</v>
      </c>
      <c r="D1084" s="1" t="s">
        <v>430</v>
      </c>
      <c r="E1084" s="1" t="s">
        <v>430</v>
      </c>
      <c r="F1084" s="1" t="s">
        <v>4465</v>
      </c>
      <c r="G1084" s="1" t="s">
        <v>4466</v>
      </c>
      <c r="H1084" s="1" t="s">
        <v>4467</v>
      </c>
      <c r="I1084" t="b">
        <f>COUNTIF(Estadísticas!I:I,'centraldecomunicacion.es'!H1084)&gt;0</f>
        <v>0</v>
      </c>
    </row>
    <row r="1085" spans="1:9" hidden="1">
      <c r="A1085" s="1" t="s">
        <v>4468</v>
      </c>
      <c r="B1085" s="1" t="s">
        <v>10</v>
      </c>
      <c r="C1085" s="1" t="s">
        <v>4469</v>
      </c>
      <c r="D1085" s="1" t="s">
        <v>430</v>
      </c>
      <c r="E1085" s="1" t="s">
        <v>430</v>
      </c>
      <c r="F1085" s="1" t="s">
        <v>4470</v>
      </c>
      <c r="G1085" s="1" t="s">
        <v>4471</v>
      </c>
      <c r="H1085" s="1" t="s">
        <v>657</v>
      </c>
      <c r="I1085" t="b">
        <f>COUNTIF(Estadísticas!I:I,'centraldecomunicacion.es'!H1085)&gt;0</f>
        <v>0</v>
      </c>
    </row>
    <row r="1086" spans="1:9" hidden="1">
      <c r="A1086" s="1" t="s">
        <v>4472</v>
      </c>
      <c r="B1086" s="1" t="s">
        <v>24</v>
      </c>
      <c r="C1086" s="1" t="s">
        <v>4473</v>
      </c>
      <c r="D1086" s="1" t="s">
        <v>4474</v>
      </c>
      <c r="E1086" s="1" t="s">
        <v>430</v>
      </c>
      <c r="F1086" s="1" t="s">
        <v>4475</v>
      </c>
      <c r="G1086" s="1" t="s">
        <v>4476</v>
      </c>
      <c r="H1086" s="1" t="s">
        <v>657</v>
      </c>
      <c r="I1086" t="b">
        <f>COUNTIF(Estadísticas!I:I,'centraldecomunicacion.es'!H1086)&gt;0</f>
        <v>0</v>
      </c>
    </row>
    <row r="1087" spans="1:9" hidden="1">
      <c r="A1087" s="1" t="s">
        <v>4477</v>
      </c>
      <c r="B1087" s="1" t="s">
        <v>24</v>
      </c>
      <c r="C1087" s="1" t="s">
        <v>4478</v>
      </c>
      <c r="D1087" s="1" t="s">
        <v>430</v>
      </c>
      <c r="E1087" s="1" t="s">
        <v>430</v>
      </c>
      <c r="F1087" s="1" t="s">
        <v>4479</v>
      </c>
      <c r="G1087" s="1" t="s">
        <v>4480</v>
      </c>
      <c r="H1087" s="1" t="s">
        <v>657</v>
      </c>
      <c r="I1087" t="b">
        <f>COUNTIF(Estadísticas!I:I,'centraldecomunicacion.es'!H1087)&gt;0</f>
        <v>0</v>
      </c>
    </row>
    <row r="1088" spans="1:9" hidden="1">
      <c r="A1088" s="1" t="s">
        <v>4481</v>
      </c>
      <c r="B1088" s="1" t="s">
        <v>24</v>
      </c>
      <c r="C1088" s="1" t="s">
        <v>4482</v>
      </c>
      <c r="D1088" s="1" t="s">
        <v>4474</v>
      </c>
      <c r="E1088" s="1" t="s">
        <v>430</v>
      </c>
      <c r="F1088" s="1" t="s">
        <v>4483</v>
      </c>
      <c r="G1088" s="1" t="s">
        <v>4484</v>
      </c>
      <c r="H1088" s="1" t="s">
        <v>657</v>
      </c>
      <c r="I1088" t="b">
        <f>COUNTIF(Estadísticas!I:I,'centraldecomunicacion.es'!H1088)&gt;0</f>
        <v>0</v>
      </c>
    </row>
    <row r="1089" spans="1:9" hidden="1">
      <c r="A1089" s="1" t="s">
        <v>4485</v>
      </c>
      <c r="B1089" s="1" t="s">
        <v>24</v>
      </c>
      <c r="C1089" s="1" t="s">
        <v>4486</v>
      </c>
      <c r="D1089" s="1" t="s">
        <v>430</v>
      </c>
      <c r="E1089" s="1" t="s">
        <v>430</v>
      </c>
      <c r="F1089" s="1" t="s">
        <v>78</v>
      </c>
      <c r="G1089" s="1" t="s">
        <v>4487</v>
      </c>
      <c r="H1089" s="1" t="s">
        <v>657</v>
      </c>
      <c r="I1089" t="b">
        <f>COUNTIF(Estadísticas!I:I,'centraldecomunicacion.es'!H1089)&gt;0</f>
        <v>0</v>
      </c>
    </row>
    <row r="1090" spans="1:9" hidden="1">
      <c r="A1090" s="1" t="s">
        <v>4488</v>
      </c>
      <c r="B1090" s="1" t="s">
        <v>10</v>
      </c>
      <c r="C1090" s="1" t="s">
        <v>4489</v>
      </c>
      <c r="D1090" s="1" t="s">
        <v>430</v>
      </c>
      <c r="E1090" s="1" t="s">
        <v>430</v>
      </c>
      <c r="F1090" s="1" t="s">
        <v>78</v>
      </c>
      <c r="G1090" s="1" t="s">
        <v>4490</v>
      </c>
      <c r="H1090" s="1" t="s">
        <v>657</v>
      </c>
      <c r="I1090" t="b">
        <f>COUNTIF(Estadísticas!I:I,'centraldecomunicacion.es'!H1090)&gt;0</f>
        <v>0</v>
      </c>
    </row>
    <row r="1091" spans="1:9" hidden="1">
      <c r="A1091" s="1" t="s">
        <v>4491</v>
      </c>
      <c r="B1091" s="1" t="s">
        <v>24</v>
      </c>
      <c r="C1091" s="1" t="s">
        <v>4492</v>
      </c>
      <c r="D1091" s="1" t="s">
        <v>4446</v>
      </c>
      <c r="E1091" s="1" t="s">
        <v>430</v>
      </c>
      <c r="F1091" s="1" t="s">
        <v>4493</v>
      </c>
      <c r="G1091" s="1" t="s">
        <v>4494</v>
      </c>
      <c r="H1091" s="1" t="s">
        <v>657</v>
      </c>
      <c r="I1091" t="b">
        <f>COUNTIF(Estadísticas!I:I,'centraldecomunicacion.es'!H1091)&gt;0</f>
        <v>0</v>
      </c>
    </row>
    <row r="1092" spans="1:9" hidden="1">
      <c r="A1092" s="1" t="s">
        <v>4495</v>
      </c>
      <c r="B1092" s="1" t="s">
        <v>24</v>
      </c>
      <c r="C1092" s="1" t="s">
        <v>4496</v>
      </c>
      <c r="D1092" s="1" t="s">
        <v>430</v>
      </c>
      <c r="E1092" s="1" t="s">
        <v>430</v>
      </c>
      <c r="F1092" s="1" t="s">
        <v>4497</v>
      </c>
      <c r="G1092" s="1" t="s">
        <v>4498</v>
      </c>
      <c r="H1092" s="1" t="s">
        <v>4499</v>
      </c>
      <c r="I1092" t="b">
        <f>COUNTIF(Estadísticas!I:I,'centraldecomunicacion.es'!H1092)&gt;0</f>
        <v>0</v>
      </c>
    </row>
    <row r="1093" spans="1:9" hidden="1">
      <c r="A1093" s="1" t="s">
        <v>4500</v>
      </c>
      <c r="B1093" s="1" t="s">
        <v>24</v>
      </c>
      <c r="C1093" s="1" t="s">
        <v>4501</v>
      </c>
      <c r="D1093" s="1" t="s">
        <v>430</v>
      </c>
      <c r="E1093" s="1" t="s">
        <v>430</v>
      </c>
      <c r="F1093" s="1" t="s">
        <v>4502</v>
      </c>
      <c r="G1093" s="1" t="s">
        <v>4503</v>
      </c>
      <c r="H1093" s="1" t="s">
        <v>4504</v>
      </c>
      <c r="I1093" t="b">
        <f>COUNTIF(Estadísticas!I:I,'centraldecomunicacion.es'!H1093)&gt;0</f>
        <v>0</v>
      </c>
    </row>
    <row r="1094" spans="1:9" hidden="1">
      <c r="A1094" s="1" t="s">
        <v>4505</v>
      </c>
      <c r="B1094" s="1" t="s">
        <v>10</v>
      </c>
      <c r="C1094" s="1" t="s">
        <v>4506</v>
      </c>
      <c r="D1094" s="1" t="s">
        <v>4446</v>
      </c>
      <c r="E1094" s="1" t="s">
        <v>430</v>
      </c>
      <c r="F1094" s="1" t="s">
        <v>4507</v>
      </c>
      <c r="G1094" s="1" t="s">
        <v>4508</v>
      </c>
      <c r="H1094" s="1" t="s">
        <v>4509</v>
      </c>
      <c r="I1094" t="b">
        <f>COUNTIF(Estadísticas!I:I,'centraldecomunicacion.es'!H1094)&gt;0</f>
        <v>0</v>
      </c>
    </row>
    <row r="1095" spans="1:9">
      <c r="A1095" s="1" t="s">
        <v>445</v>
      </c>
      <c r="B1095" s="1" t="s">
        <v>24</v>
      </c>
      <c r="C1095" s="1" t="s">
        <v>446</v>
      </c>
      <c r="D1095" s="1" t="s">
        <v>430</v>
      </c>
      <c r="E1095" s="1" t="s">
        <v>430</v>
      </c>
      <c r="F1095" s="1" t="s">
        <v>447</v>
      </c>
      <c r="G1095" s="1" t="s">
        <v>448</v>
      </c>
      <c r="H1095" s="1" t="s">
        <v>449</v>
      </c>
      <c r="I1095" t="b">
        <f>COUNTIF(Estadísticas!I:I,'centraldecomunicacion.es'!H1095)&gt;0</f>
        <v>1</v>
      </c>
    </row>
    <row r="1096" spans="1:9" hidden="1">
      <c r="A1096" s="1" t="s">
        <v>4510</v>
      </c>
      <c r="B1096" s="1" t="s">
        <v>24</v>
      </c>
      <c r="C1096" s="1" t="s">
        <v>4511</v>
      </c>
      <c r="D1096" s="1" t="s">
        <v>430</v>
      </c>
      <c r="E1096" s="1" t="s">
        <v>430</v>
      </c>
      <c r="F1096" s="1" t="s">
        <v>4512</v>
      </c>
      <c r="G1096" s="1" t="s">
        <v>4513</v>
      </c>
      <c r="H1096" s="1" t="s">
        <v>657</v>
      </c>
      <c r="I1096" t="b">
        <f>COUNTIF(Estadísticas!I:I,'centraldecomunicacion.es'!H1096)&gt;0</f>
        <v>0</v>
      </c>
    </row>
    <row r="1097" spans="1:9">
      <c r="A1097" s="1" t="s">
        <v>450</v>
      </c>
      <c r="B1097" s="1" t="s">
        <v>10</v>
      </c>
      <c r="C1097" s="1" t="s">
        <v>451</v>
      </c>
      <c r="D1097" s="1" t="s">
        <v>452</v>
      </c>
      <c r="E1097" s="1" t="s">
        <v>430</v>
      </c>
      <c r="F1097" s="1" t="s">
        <v>453</v>
      </c>
      <c r="G1097" s="1" t="s">
        <v>454</v>
      </c>
      <c r="H1097" s="1" t="s">
        <v>455</v>
      </c>
      <c r="I1097" t="b">
        <f>COUNTIF(Estadísticas!I:I,'centraldecomunicacion.es'!H1097)&gt;0</f>
        <v>1</v>
      </c>
    </row>
    <row r="1098" spans="1:9" hidden="1">
      <c r="A1098" s="1" t="s">
        <v>4514</v>
      </c>
      <c r="B1098" s="1" t="s">
        <v>10</v>
      </c>
      <c r="C1098" s="1" t="s">
        <v>78</v>
      </c>
      <c r="D1098" s="1" t="s">
        <v>4428</v>
      </c>
      <c r="E1098" s="1" t="s">
        <v>78</v>
      </c>
      <c r="F1098" s="1" t="s">
        <v>4515</v>
      </c>
      <c r="G1098" s="1" t="s">
        <v>4516</v>
      </c>
      <c r="H1098" s="1" t="s">
        <v>657</v>
      </c>
      <c r="I1098" t="b">
        <f>COUNTIF(Estadísticas!I:I,'centraldecomunicacion.es'!H1098)&gt;0</f>
        <v>0</v>
      </c>
    </row>
    <row r="1099" spans="1:9" hidden="1">
      <c r="A1099" s="1" t="s">
        <v>4517</v>
      </c>
      <c r="B1099" s="1" t="s">
        <v>24</v>
      </c>
      <c r="C1099" s="1" t="s">
        <v>4518</v>
      </c>
      <c r="D1099" s="1" t="s">
        <v>430</v>
      </c>
      <c r="E1099" s="1" t="s">
        <v>430</v>
      </c>
      <c r="F1099" s="1" t="s">
        <v>4519</v>
      </c>
      <c r="G1099" s="1" t="s">
        <v>4520</v>
      </c>
      <c r="H1099" s="1" t="s">
        <v>4521</v>
      </c>
      <c r="I1099" t="b">
        <f>COUNTIF(Estadísticas!I:I,'centraldecomunicacion.es'!H1099)&gt;0</f>
        <v>0</v>
      </c>
    </row>
    <row r="1100" spans="1:9" hidden="1">
      <c r="A1100" s="1" t="s">
        <v>4522</v>
      </c>
      <c r="B1100" s="1" t="s">
        <v>24</v>
      </c>
      <c r="C1100" s="1" t="s">
        <v>4523</v>
      </c>
      <c r="D1100" s="1" t="s">
        <v>430</v>
      </c>
      <c r="E1100" s="1" t="s">
        <v>430</v>
      </c>
      <c r="F1100" s="1" t="s">
        <v>78</v>
      </c>
      <c r="G1100" s="1" t="s">
        <v>4524</v>
      </c>
      <c r="H1100" s="1" t="s">
        <v>657</v>
      </c>
      <c r="I1100" t="b">
        <f>COUNTIF(Estadísticas!I:I,'centraldecomunicacion.es'!H1100)&gt;0</f>
        <v>0</v>
      </c>
    </row>
    <row r="1101" spans="1:9" hidden="1">
      <c r="A1101" s="1" t="s">
        <v>4525</v>
      </c>
      <c r="B1101" s="1" t="s">
        <v>10</v>
      </c>
      <c r="C1101" s="1" t="s">
        <v>4526</v>
      </c>
      <c r="D1101" s="1" t="s">
        <v>430</v>
      </c>
      <c r="E1101" s="1" t="s">
        <v>430</v>
      </c>
      <c r="F1101" s="1" t="s">
        <v>829</v>
      </c>
      <c r="G1101" s="1" t="s">
        <v>4438</v>
      </c>
      <c r="H1101" s="1" t="s">
        <v>831</v>
      </c>
      <c r="I1101" t="b">
        <f>COUNTIF(Estadísticas!I:I,'centraldecomunicacion.es'!H1101)&gt;0</f>
        <v>0</v>
      </c>
    </row>
    <row r="1102" spans="1:9" hidden="1">
      <c r="A1102" s="1" t="s">
        <v>4527</v>
      </c>
      <c r="B1102" s="1" t="s">
        <v>24</v>
      </c>
      <c r="C1102" s="1" t="s">
        <v>4528</v>
      </c>
      <c r="D1102" s="1" t="s">
        <v>430</v>
      </c>
      <c r="E1102" s="1" t="s">
        <v>430</v>
      </c>
      <c r="F1102" s="1" t="s">
        <v>78</v>
      </c>
      <c r="G1102" s="1" t="s">
        <v>4529</v>
      </c>
      <c r="H1102" s="1" t="s">
        <v>657</v>
      </c>
      <c r="I1102" t="b">
        <f>COUNTIF(Estadísticas!I:I,'centraldecomunicacion.es'!H1102)&gt;0</f>
        <v>0</v>
      </c>
    </row>
    <row r="1103" spans="1:9" hidden="1">
      <c r="A1103" s="1" t="s">
        <v>4530</v>
      </c>
      <c r="B1103" s="1" t="s">
        <v>24</v>
      </c>
      <c r="C1103" s="1" t="s">
        <v>4531</v>
      </c>
      <c r="D1103" s="1" t="s">
        <v>430</v>
      </c>
      <c r="E1103" s="1" t="s">
        <v>430</v>
      </c>
      <c r="F1103" s="1" t="s">
        <v>78</v>
      </c>
      <c r="G1103" s="1" t="s">
        <v>4532</v>
      </c>
      <c r="H1103" s="1" t="s">
        <v>657</v>
      </c>
      <c r="I1103" t="b">
        <f>COUNTIF(Estadísticas!I:I,'centraldecomunicacion.es'!H1103)&gt;0</f>
        <v>0</v>
      </c>
    </row>
    <row r="1104" spans="1:9" hidden="1">
      <c r="A1104" s="1" t="s">
        <v>4533</v>
      </c>
      <c r="B1104" s="1" t="s">
        <v>24</v>
      </c>
      <c r="C1104" s="1" t="s">
        <v>4534</v>
      </c>
      <c r="D1104" s="1" t="s">
        <v>4441</v>
      </c>
      <c r="E1104" s="1" t="s">
        <v>430</v>
      </c>
      <c r="F1104" s="1" t="s">
        <v>4442</v>
      </c>
      <c r="G1104" s="1" t="s">
        <v>4443</v>
      </c>
      <c r="H1104" s="1" t="s">
        <v>657</v>
      </c>
      <c r="I1104" t="b">
        <f>COUNTIF(Estadísticas!I:I,'centraldecomunicacion.es'!H1104)&gt;0</f>
        <v>0</v>
      </c>
    </row>
    <row r="1105" spans="1:9" hidden="1">
      <c r="A1105" s="1" t="s">
        <v>4535</v>
      </c>
      <c r="B1105" s="1" t="s">
        <v>10</v>
      </c>
      <c r="C1105" s="1" t="s">
        <v>4536</v>
      </c>
      <c r="D1105" s="1" t="s">
        <v>4537</v>
      </c>
      <c r="E1105" s="1" t="s">
        <v>430</v>
      </c>
      <c r="F1105" s="1" t="s">
        <v>4538</v>
      </c>
      <c r="G1105" s="1" t="s">
        <v>4539</v>
      </c>
      <c r="H1105" s="1" t="s">
        <v>4540</v>
      </c>
      <c r="I1105" t="b">
        <f>COUNTIF(Estadísticas!I:I,'centraldecomunicacion.es'!H1105)&gt;0</f>
        <v>0</v>
      </c>
    </row>
    <row r="1106" spans="1:9" hidden="1">
      <c r="A1106" s="1" t="s">
        <v>4541</v>
      </c>
      <c r="B1106" s="1" t="s">
        <v>24</v>
      </c>
      <c r="C1106" s="1" t="s">
        <v>4542</v>
      </c>
      <c r="D1106" s="1" t="s">
        <v>430</v>
      </c>
      <c r="E1106" s="1" t="s">
        <v>430</v>
      </c>
      <c r="F1106" s="1" t="s">
        <v>4429</v>
      </c>
      <c r="G1106" s="1" t="s">
        <v>4430</v>
      </c>
      <c r="H1106" s="1" t="s">
        <v>4431</v>
      </c>
      <c r="I1106" t="b">
        <f>COUNTIF(Estadísticas!I:I,'centraldecomunicacion.es'!H1106)&gt;0</f>
        <v>0</v>
      </c>
    </row>
    <row r="1107" spans="1:9" hidden="1">
      <c r="A1107" s="1" t="s">
        <v>4543</v>
      </c>
      <c r="B1107" s="1" t="s">
        <v>24</v>
      </c>
      <c r="C1107" s="1" t="s">
        <v>4544</v>
      </c>
      <c r="D1107" s="1" t="s">
        <v>4446</v>
      </c>
      <c r="E1107" s="1" t="s">
        <v>430</v>
      </c>
      <c r="F1107" s="1" t="s">
        <v>4454</v>
      </c>
      <c r="G1107" s="1" t="s">
        <v>4545</v>
      </c>
      <c r="H1107" s="1" t="s">
        <v>4456</v>
      </c>
      <c r="I1107" t="b">
        <f>COUNTIF(Estadísticas!I:I,'centraldecomunicacion.es'!H1107)&gt;0</f>
        <v>0</v>
      </c>
    </row>
    <row r="1108" spans="1:9" hidden="1">
      <c r="A1108" s="1" t="s">
        <v>4546</v>
      </c>
      <c r="B1108" s="1" t="s">
        <v>24</v>
      </c>
      <c r="C1108" s="1" t="s">
        <v>4547</v>
      </c>
      <c r="D1108" s="1" t="s">
        <v>430</v>
      </c>
      <c r="E1108" s="1" t="s">
        <v>430</v>
      </c>
      <c r="F1108" s="1" t="s">
        <v>78</v>
      </c>
      <c r="G1108" s="1" t="s">
        <v>4548</v>
      </c>
      <c r="H1108" s="1" t="s">
        <v>657</v>
      </c>
      <c r="I1108" t="b">
        <f>COUNTIF(Estadísticas!I:I,'centraldecomunicacion.es'!H1108)&gt;0</f>
        <v>0</v>
      </c>
    </row>
    <row r="1109" spans="1:9">
      <c r="A1109" s="1" t="s">
        <v>456</v>
      </c>
      <c r="B1109" s="1" t="s">
        <v>10</v>
      </c>
      <c r="C1109" s="1" t="s">
        <v>457</v>
      </c>
      <c r="D1109" s="1" t="s">
        <v>458</v>
      </c>
      <c r="E1109" s="1" t="s">
        <v>430</v>
      </c>
      <c r="F1109" s="1" t="s">
        <v>459</v>
      </c>
      <c r="G1109" s="1" t="s">
        <v>460</v>
      </c>
      <c r="H1109" s="1" t="s">
        <v>461</v>
      </c>
      <c r="I1109" t="b">
        <f>COUNTIF(Estadísticas!I:I,'centraldecomunicacion.es'!H1109)&gt;0</f>
        <v>1</v>
      </c>
    </row>
    <row r="1110" spans="1:9" hidden="1">
      <c r="A1110" s="1" t="s">
        <v>4549</v>
      </c>
      <c r="B1110" s="1" t="s">
        <v>10</v>
      </c>
      <c r="C1110" s="1" t="s">
        <v>4550</v>
      </c>
      <c r="D1110" s="1" t="s">
        <v>430</v>
      </c>
      <c r="E1110" s="1" t="s">
        <v>430</v>
      </c>
      <c r="F1110" s="1" t="s">
        <v>78</v>
      </c>
      <c r="G1110" s="1" t="s">
        <v>4551</v>
      </c>
      <c r="H1110" s="1" t="s">
        <v>657</v>
      </c>
      <c r="I1110" t="b">
        <f>COUNTIF(Estadísticas!I:I,'centraldecomunicacion.es'!H1110)&gt;0</f>
        <v>0</v>
      </c>
    </row>
    <row r="1111" spans="1:9">
      <c r="A1111" s="1" t="s">
        <v>4552</v>
      </c>
      <c r="B1111" s="1" t="s">
        <v>24</v>
      </c>
      <c r="C1111" s="1" t="s">
        <v>4553</v>
      </c>
      <c r="D1111" s="1" t="s">
        <v>4554</v>
      </c>
      <c r="E1111" s="1" t="s">
        <v>430</v>
      </c>
      <c r="F1111" s="1" t="s">
        <v>4555</v>
      </c>
      <c r="G1111" s="1" t="s">
        <v>432</v>
      </c>
      <c r="H1111" s="1" t="s">
        <v>433</v>
      </c>
      <c r="I1111" t="b">
        <f>COUNTIF(Estadísticas!I:I,'centraldecomunicacion.es'!H1111)&gt;0</f>
        <v>1</v>
      </c>
    </row>
    <row r="1112" spans="1:9" hidden="1">
      <c r="A1112" s="1" t="s">
        <v>4556</v>
      </c>
      <c r="B1112" s="1" t="s">
        <v>24</v>
      </c>
      <c r="C1112" s="1" t="s">
        <v>4557</v>
      </c>
      <c r="D1112" s="1" t="s">
        <v>430</v>
      </c>
      <c r="E1112" s="1" t="s">
        <v>430</v>
      </c>
      <c r="F1112" s="1" t="s">
        <v>78</v>
      </c>
      <c r="G1112" s="1" t="s">
        <v>4558</v>
      </c>
      <c r="H1112" s="1" t="s">
        <v>657</v>
      </c>
      <c r="I1112" t="b">
        <f>COUNTIF(Estadísticas!I:I,'centraldecomunicacion.es'!H1112)&gt;0</f>
        <v>0</v>
      </c>
    </row>
    <row r="1113" spans="1:9" hidden="1">
      <c r="A1113" s="1" t="s">
        <v>4559</v>
      </c>
      <c r="B1113" s="1" t="s">
        <v>24</v>
      </c>
      <c r="C1113" s="1" t="s">
        <v>4560</v>
      </c>
      <c r="D1113" s="1" t="s">
        <v>430</v>
      </c>
      <c r="E1113" s="1" t="s">
        <v>430</v>
      </c>
      <c r="F1113" s="1" t="s">
        <v>78</v>
      </c>
      <c r="G1113" s="1" t="s">
        <v>4561</v>
      </c>
      <c r="H1113" s="1" t="s">
        <v>657</v>
      </c>
      <c r="I1113" t="b">
        <f>COUNTIF(Estadísticas!I:I,'centraldecomunicacion.es'!H1113)&gt;0</f>
        <v>0</v>
      </c>
    </row>
    <row r="1114" spans="1:9" hidden="1">
      <c r="A1114" s="1" t="s">
        <v>4562</v>
      </c>
      <c r="B1114" s="1" t="s">
        <v>10</v>
      </c>
      <c r="C1114" s="1" t="s">
        <v>4563</v>
      </c>
      <c r="D1114" s="1" t="s">
        <v>430</v>
      </c>
      <c r="E1114" s="1" t="s">
        <v>430</v>
      </c>
      <c r="F1114" s="1" t="s">
        <v>829</v>
      </c>
      <c r="G1114" s="1" t="s">
        <v>4438</v>
      </c>
      <c r="H1114" s="1" t="s">
        <v>831</v>
      </c>
      <c r="I1114" t="b">
        <f>COUNTIF(Estadísticas!I:I,'centraldecomunicacion.es'!H1114)&gt;0</f>
        <v>0</v>
      </c>
    </row>
    <row r="1115" spans="1:9" hidden="1">
      <c r="A1115" s="1" t="s">
        <v>4564</v>
      </c>
      <c r="B1115" s="1" t="s">
        <v>10</v>
      </c>
      <c r="C1115" s="1" t="s">
        <v>4565</v>
      </c>
      <c r="D1115" s="1" t="s">
        <v>4566</v>
      </c>
      <c r="E1115" s="1" t="s">
        <v>430</v>
      </c>
      <c r="F1115" s="1" t="s">
        <v>78</v>
      </c>
      <c r="G1115" s="1" t="s">
        <v>4567</v>
      </c>
      <c r="H1115" s="1" t="s">
        <v>657</v>
      </c>
      <c r="I1115" t="b">
        <f>COUNTIF(Estadísticas!I:I,'centraldecomunicacion.es'!H1115)&gt;0</f>
        <v>0</v>
      </c>
    </row>
    <row r="1116" spans="1:9" hidden="1">
      <c r="A1116" s="1" t="s">
        <v>4568</v>
      </c>
      <c r="B1116" s="1" t="s">
        <v>10</v>
      </c>
      <c r="C1116" s="1" t="s">
        <v>4569</v>
      </c>
      <c r="D1116" s="1" t="s">
        <v>4570</v>
      </c>
      <c r="E1116" s="1" t="s">
        <v>430</v>
      </c>
      <c r="F1116" s="1" t="s">
        <v>4571</v>
      </c>
      <c r="G1116" s="1" t="s">
        <v>4572</v>
      </c>
      <c r="H1116" s="1" t="s">
        <v>657</v>
      </c>
      <c r="I1116" t="b">
        <f>COUNTIF(Estadísticas!I:I,'centraldecomunicacion.es'!H1116)&gt;0</f>
        <v>0</v>
      </c>
    </row>
    <row r="1117" spans="1:9">
      <c r="A1117" s="1" t="s">
        <v>462</v>
      </c>
      <c r="B1117" s="1" t="s">
        <v>24</v>
      </c>
      <c r="C1117" s="1" t="s">
        <v>463</v>
      </c>
      <c r="D1117" s="1" t="s">
        <v>464</v>
      </c>
      <c r="E1117" s="1" t="s">
        <v>430</v>
      </c>
      <c r="F1117" s="1" t="s">
        <v>465</v>
      </c>
      <c r="G1117" s="1" t="s">
        <v>466</v>
      </c>
      <c r="H1117" s="1" t="s">
        <v>467</v>
      </c>
      <c r="I1117" t="b">
        <f>COUNTIF(Estadísticas!I:I,'centraldecomunicacion.es'!H1117)&gt;0</f>
        <v>1</v>
      </c>
    </row>
    <row r="1118" spans="1:9" hidden="1">
      <c r="A1118" s="1" t="s">
        <v>4573</v>
      </c>
      <c r="B1118" s="1" t="s">
        <v>10</v>
      </c>
      <c r="C1118" s="1" t="s">
        <v>4574</v>
      </c>
      <c r="D1118" s="1" t="s">
        <v>4575</v>
      </c>
      <c r="E1118" s="1" t="s">
        <v>430</v>
      </c>
      <c r="F1118" s="1" t="s">
        <v>4576</v>
      </c>
      <c r="G1118" s="1" t="s">
        <v>4577</v>
      </c>
      <c r="H1118" s="1" t="s">
        <v>4578</v>
      </c>
      <c r="I1118" t="b">
        <f>COUNTIF(Estadísticas!I:I,'centraldecomunicacion.es'!H1118)&gt;0</f>
        <v>0</v>
      </c>
    </row>
    <row r="1119" spans="1:9" hidden="1">
      <c r="A1119" s="1" t="s">
        <v>4579</v>
      </c>
      <c r="B1119" s="1" t="s">
        <v>24</v>
      </c>
      <c r="C1119" s="1" t="s">
        <v>4580</v>
      </c>
      <c r="D1119" s="1" t="s">
        <v>430</v>
      </c>
      <c r="E1119" s="1" t="s">
        <v>430</v>
      </c>
      <c r="F1119" s="1" t="s">
        <v>78</v>
      </c>
      <c r="G1119" s="1" t="s">
        <v>4581</v>
      </c>
      <c r="H1119" s="1" t="s">
        <v>657</v>
      </c>
      <c r="I1119" t="b">
        <f>COUNTIF(Estadísticas!I:I,'centraldecomunicacion.es'!H1119)&gt;0</f>
        <v>0</v>
      </c>
    </row>
    <row r="1120" spans="1:9" hidden="1">
      <c r="A1120" s="1" t="s">
        <v>4582</v>
      </c>
      <c r="B1120" s="1" t="s">
        <v>24</v>
      </c>
      <c r="C1120" s="1" t="s">
        <v>4583</v>
      </c>
      <c r="D1120" s="1" t="s">
        <v>441</v>
      </c>
      <c r="E1120" s="1" t="s">
        <v>430</v>
      </c>
      <c r="F1120" s="1" t="s">
        <v>4584</v>
      </c>
      <c r="G1120" s="1" t="s">
        <v>4585</v>
      </c>
      <c r="H1120" s="1" t="s">
        <v>657</v>
      </c>
      <c r="I1120" t="b">
        <f>COUNTIF(Estadísticas!I:I,'centraldecomunicacion.es'!H1120)&gt;0</f>
        <v>0</v>
      </c>
    </row>
    <row r="1121" spans="1:9" hidden="1">
      <c r="A1121" s="1" t="s">
        <v>4586</v>
      </c>
      <c r="B1121" s="1" t="s">
        <v>24</v>
      </c>
      <c r="C1121" s="1" t="s">
        <v>4587</v>
      </c>
      <c r="D1121" s="1" t="s">
        <v>4588</v>
      </c>
      <c r="E1121" s="1" t="s">
        <v>430</v>
      </c>
      <c r="F1121" s="1" t="s">
        <v>4589</v>
      </c>
      <c r="G1121" s="1" t="s">
        <v>4590</v>
      </c>
      <c r="H1121" s="1" t="s">
        <v>4591</v>
      </c>
      <c r="I1121" t="b">
        <f>COUNTIF(Estadísticas!I:I,'centraldecomunicacion.es'!H1121)&gt;0</f>
        <v>0</v>
      </c>
    </row>
    <row r="1122" spans="1:9" hidden="1">
      <c r="A1122" s="1" t="s">
        <v>4592</v>
      </c>
      <c r="B1122" s="1" t="s">
        <v>24</v>
      </c>
      <c r="C1122" s="1" t="s">
        <v>4593</v>
      </c>
      <c r="D1122" s="1" t="s">
        <v>1656</v>
      </c>
      <c r="E1122" s="1" t="s">
        <v>430</v>
      </c>
      <c r="F1122" s="1" t="s">
        <v>4594</v>
      </c>
      <c r="G1122" s="1" t="s">
        <v>4595</v>
      </c>
      <c r="H1122" s="1" t="s">
        <v>657</v>
      </c>
      <c r="I1122" t="b">
        <f>COUNTIF(Estadísticas!I:I,'centraldecomunicacion.es'!H1122)&gt;0</f>
        <v>0</v>
      </c>
    </row>
    <row r="1123" spans="1:9" hidden="1">
      <c r="A1123" s="1" t="s">
        <v>4596</v>
      </c>
      <c r="B1123" s="1" t="s">
        <v>10</v>
      </c>
      <c r="C1123" s="1" t="s">
        <v>4597</v>
      </c>
      <c r="D1123" s="1" t="s">
        <v>4598</v>
      </c>
      <c r="E1123" s="1" t="s">
        <v>430</v>
      </c>
      <c r="F1123" s="1" t="s">
        <v>4599</v>
      </c>
      <c r="G1123" s="1" t="s">
        <v>4600</v>
      </c>
      <c r="H1123" s="1" t="s">
        <v>4601</v>
      </c>
      <c r="I1123" t="b">
        <f>COUNTIF(Estadísticas!I:I,'centraldecomunicacion.es'!H1123)&gt;0</f>
        <v>0</v>
      </c>
    </row>
    <row r="1124" spans="1:9" hidden="1">
      <c r="A1124" s="1" t="s">
        <v>4602</v>
      </c>
      <c r="B1124" s="1" t="s">
        <v>10</v>
      </c>
      <c r="C1124" s="1" t="s">
        <v>4603</v>
      </c>
      <c r="D1124" s="1" t="s">
        <v>4604</v>
      </c>
      <c r="E1124" s="1" t="s">
        <v>430</v>
      </c>
      <c r="F1124" s="1" t="s">
        <v>78</v>
      </c>
      <c r="G1124" s="1" t="s">
        <v>4605</v>
      </c>
      <c r="H1124" s="1" t="s">
        <v>657</v>
      </c>
      <c r="I1124" t="b">
        <f>COUNTIF(Estadísticas!I:I,'centraldecomunicacion.es'!H1124)&gt;0</f>
        <v>0</v>
      </c>
    </row>
    <row r="1125" spans="1:9" hidden="1">
      <c r="A1125" s="1" t="s">
        <v>4606</v>
      </c>
      <c r="B1125" s="1" t="s">
        <v>24</v>
      </c>
      <c r="C1125" s="1" t="s">
        <v>4607</v>
      </c>
      <c r="D1125" s="1" t="s">
        <v>430</v>
      </c>
      <c r="E1125" s="1" t="s">
        <v>430</v>
      </c>
      <c r="F1125" s="1" t="s">
        <v>78</v>
      </c>
      <c r="G1125" s="1" t="s">
        <v>4608</v>
      </c>
      <c r="H1125" s="1" t="s">
        <v>657</v>
      </c>
      <c r="I1125" t="b">
        <f>COUNTIF(Estadísticas!I:I,'centraldecomunicacion.es'!H1125)&gt;0</f>
        <v>0</v>
      </c>
    </row>
    <row r="1126" spans="1:9" hidden="1">
      <c r="A1126" s="1" t="s">
        <v>4609</v>
      </c>
      <c r="B1126" s="1" t="s">
        <v>24</v>
      </c>
      <c r="C1126" s="1" t="s">
        <v>4610</v>
      </c>
      <c r="D1126" s="1" t="s">
        <v>4446</v>
      </c>
      <c r="E1126" s="1" t="s">
        <v>430</v>
      </c>
      <c r="F1126" s="1" t="s">
        <v>78</v>
      </c>
      <c r="G1126" s="1" t="s">
        <v>4611</v>
      </c>
      <c r="H1126" s="1" t="s">
        <v>657</v>
      </c>
      <c r="I1126" t="b">
        <f>COUNTIF(Estadísticas!I:I,'centraldecomunicacion.es'!H1126)&gt;0</f>
        <v>0</v>
      </c>
    </row>
    <row r="1127" spans="1:9" hidden="1">
      <c r="A1127" s="1" t="s">
        <v>4612</v>
      </c>
      <c r="B1127" s="1" t="s">
        <v>10</v>
      </c>
      <c r="C1127" s="1" t="s">
        <v>4613</v>
      </c>
      <c r="D1127" s="1" t="s">
        <v>430</v>
      </c>
      <c r="E1127" s="1" t="s">
        <v>430</v>
      </c>
      <c r="F1127" s="1" t="s">
        <v>78</v>
      </c>
      <c r="G1127" s="1" t="s">
        <v>4614</v>
      </c>
      <c r="H1127" s="1" t="s">
        <v>657</v>
      </c>
      <c r="I1127" t="b">
        <f>COUNTIF(Estadísticas!I:I,'centraldecomunicacion.es'!H1127)&gt;0</f>
        <v>0</v>
      </c>
    </row>
    <row r="1128" spans="1:9" hidden="1">
      <c r="A1128" s="1" t="s">
        <v>4615</v>
      </c>
      <c r="B1128" s="1" t="s">
        <v>24</v>
      </c>
      <c r="C1128" s="1" t="s">
        <v>4616</v>
      </c>
      <c r="D1128" s="1" t="s">
        <v>4617</v>
      </c>
      <c r="E1128" s="1" t="s">
        <v>430</v>
      </c>
      <c r="F1128" s="1" t="s">
        <v>78</v>
      </c>
      <c r="G1128" s="1" t="s">
        <v>4618</v>
      </c>
      <c r="H1128" s="1" t="s">
        <v>657</v>
      </c>
      <c r="I1128" t="b">
        <f>COUNTIF(Estadísticas!I:I,'centraldecomunicacion.es'!H1128)&gt;0</f>
        <v>0</v>
      </c>
    </row>
    <row r="1129" spans="1:9" hidden="1">
      <c r="A1129" s="1" t="s">
        <v>4619</v>
      </c>
      <c r="B1129" s="1" t="s">
        <v>24</v>
      </c>
      <c r="C1129" s="1" t="s">
        <v>4620</v>
      </c>
      <c r="D1129" s="1" t="s">
        <v>430</v>
      </c>
      <c r="E1129" s="1" t="s">
        <v>430</v>
      </c>
      <c r="F1129" s="1" t="s">
        <v>78</v>
      </c>
      <c r="G1129" s="1" t="s">
        <v>4621</v>
      </c>
      <c r="H1129" s="1" t="s">
        <v>657</v>
      </c>
      <c r="I1129" t="b">
        <f>COUNTIF(Estadísticas!I:I,'centraldecomunicacion.es'!H1129)&gt;0</f>
        <v>0</v>
      </c>
    </row>
    <row r="1130" spans="1:9" hidden="1">
      <c r="A1130" s="1" t="s">
        <v>4622</v>
      </c>
      <c r="B1130" s="1" t="s">
        <v>24</v>
      </c>
      <c r="C1130" s="1" t="s">
        <v>4623</v>
      </c>
      <c r="D1130" s="1" t="s">
        <v>430</v>
      </c>
      <c r="E1130" s="1" t="s">
        <v>430</v>
      </c>
      <c r="F1130" s="1" t="s">
        <v>78</v>
      </c>
      <c r="G1130" s="1" t="s">
        <v>4624</v>
      </c>
      <c r="H1130" s="1" t="s">
        <v>657</v>
      </c>
      <c r="I1130" t="b">
        <f>COUNTIF(Estadísticas!I:I,'centraldecomunicacion.es'!H1130)&gt;0</f>
        <v>0</v>
      </c>
    </row>
    <row r="1131" spans="1:9" hidden="1">
      <c r="A1131" s="1" t="s">
        <v>4625</v>
      </c>
      <c r="B1131" s="1" t="s">
        <v>10</v>
      </c>
      <c r="C1131" s="1" t="s">
        <v>4626</v>
      </c>
      <c r="D1131" s="1" t="s">
        <v>4474</v>
      </c>
      <c r="E1131" s="1" t="s">
        <v>430</v>
      </c>
      <c r="F1131" s="1" t="s">
        <v>4627</v>
      </c>
      <c r="G1131" s="1" t="s">
        <v>4628</v>
      </c>
      <c r="H1131" s="1" t="s">
        <v>4629</v>
      </c>
      <c r="I1131" t="b">
        <f>COUNTIF(Estadísticas!I:I,'centraldecomunicacion.es'!H1131)&gt;0</f>
        <v>0</v>
      </c>
    </row>
    <row r="1132" spans="1:9" hidden="1">
      <c r="A1132" s="1" t="s">
        <v>4630</v>
      </c>
      <c r="B1132" s="1" t="s">
        <v>24</v>
      </c>
      <c r="C1132" s="1" t="s">
        <v>4631</v>
      </c>
      <c r="D1132" s="1" t="s">
        <v>430</v>
      </c>
      <c r="E1132" s="1" t="s">
        <v>430</v>
      </c>
      <c r="F1132" s="1" t="s">
        <v>4632</v>
      </c>
      <c r="G1132" s="1" t="s">
        <v>4633</v>
      </c>
      <c r="H1132" s="1" t="s">
        <v>657</v>
      </c>
      <c r="I1132" t="b">
        <f>COUNTIF(Estadísticas!I:I,'centraldecomunicacion.es'!H1132)&gt;0</f>
        <v>0</v>
      </c>
    </row>
    <row r="1133" spans="1:9" hidden="1">
      <c r="A1133" s="1" t="s">
        <v>4634</v>
      </c>
      <c r="B1133" s="1" t="s">
        <v>10</v>
      </c>
      <c r="C1133" s="1" t="s">
        <v>4635</v>
      </c>
      <c r="D1133" s="1" t="s">
        <v>430</v>
      </c>
      <c r="E1133" s="1" t="s">
        <v>430</v>
      </c>
      <c r="F1133" s="1" t="s">
        <v>78</v>
      </c>
      <c r="G1133" s="1" t="s">
        <v>4636</v>
      </c>
      <c r="H1133" s="1" t="s">
        <v>657</v>
      </c>
      <c r="I1133" t="b">
        <f>COUNTIF(Estadísticas!I:I,'centraldecomunicacion.es'!H1133)&gt;0</f>
        <v>0</v>
      </c>
    </row>
    <row r="1134" spans="1:9" hidden="1">
      <c r="A1134" s="1" t="s">
        <v>4637</v>
      </c>
      <c r="B1134" s="1" t="s">
        <v>10</v>
      </c>
      <c r="C1134" s="1" t="s">
        <v>4638</v>
      </c>
      <c r="D1134" s="1" t="s">
        <v>4604</v>
      </c>
      <c r="E1134" s="1" t="s">
        <v>430</v>
      </c>
      <c r="F1134" s="1" t="s">
        <v>4639</v>
      </c>
      <c r="G1134" s="1" t="s">
        <v>4640</v>
      </c>
      <c r="H1134" s="1" t="s">
        <v>657</v>
      </c>
      <c r="I1134" t="b">
        <f>COUNTIF(Estadísticas!I:I,'centraldecomunicacion.es'!H1134)&gt;0</f>
        <v>0</v>
      </c>
    </row>
    <row r="1135" spans="1:9" hidden="1">
      <c r="A1135" s="1" t="s">
        <v>4641</v>
      </c>
      <c r="B1135" s="1" t="s">
        <v>24</v>
      </c>
      <c r="C1135" s="1" t="s">
        <v>4642</v>
      </c>
      <c r="D1135" s="1" t="s">
        <v>430</v>
      </c>
      <c r="E1135" s="1" t="s">
        <v>430</v>
      </c>
      <c r="F1135" s="1" t="s">
        <v>78</v>
      </c>
      <c r="G1135" s="1" t="s">
        <v>4643</v>
      </c>
      <c r="H1135" s="1" t="s">
        <v>657</v>
      </c>
      <c r="I1135" t="b">
        <f>COUNTIF(Estadísticas!I:I,'centraldecomunicacion.es'!H1135)&gt;0</f>
        <v>0</v>
      </c>
    </row>
    <row r="1136" spans="1:9" hidden="1">
      <c r="A1136" s="1" t="s">
        <v>4644</v>
      </c>
      <c r="B1136" s="1" t="s">
        <v>24</v>
      </c>
      <c r="C1136" s="1" t="s">
        <v>4645</v>
      </c>
      <c r="D1136" s="1" t="s">
        <v>4441</v>
      </c>
      <c r="E1136" s="1" t="s">
        <v>430</v>
      </c>
      <c r="F1136" s="1" t="s">
        <v>78</v>
      </c>
      <c r="G1136" s="1" t="s">
        <v>4646</v>
      </c>
      <c r="H1136" s="1" t="s">
        <v>657</v>
      </c>
      <c r="I1136" t="b">
        <f>COUNTIF(Estadísticas!I:I,'centraldecomunicacion.es'!H1136)&gt;0</f>
        <v>0</v>
      </c>
    </row>
    <row r="1137" spans="1:9" hidden="1">
      <c r="A1137" s="1" t="s">
        <v>4481</v>
      </c>
      <c r="B1137" s="1" t="s">
        <v>24</v>
      </c>
      <c r="C1137" s="1" t="s">
        <v>4647</v>
      </c>
      <c r="D1137" s="1" t="s">
        <v>4446</v>
      </c>
      <c r="E1137" s="1" t="s">
        <v>430</v>
      </c>
      <c r="F1137" s="1" t="s">
        <v>78</v>
      </c>
      <c r="G1137" s="1" t="s">
        <v>4648</v>
      </c>
      <c r="H1137" s="1" t="s">
        <v>657</v>
      </c>
      <c r="I1137" t="b">
        <f>COUNTIF(Estadísticas!I:I,'centraldecomunicacion.es'!H1137)&gt;0</f>
        <v>0</v>
      </c>
    </row>
    <row r="1138" spans="1:9" hidden="1">
      <c r="A1138" s="1" t="s">
        <v>4649</v>
      </c>
      <c r="B1138" s="1" t="s">
        <v>10</v>
      </c>
      <c r="C1138" s="1" t="s">
        <v>4547</v>
      </c>
      <c r="D1138" s="1" t="s">
        <v>430</v>
      </c>
      <c r="E1138" s="1" t="s">
        <v>430</v>
      </c>
      <c r="F1138" s="1" t="s">
        <v>4650</v>
      </c>
      <c r="G1138" s="1" t="s">
        <v>4651</v>
      </c>
      <c r="H1138" s="1" t="s">
        <v>4652</v>
      </c>
      <c r="I1138" t="b">
        <f>COUNTIF(Estadísticas!I:I,'centraldecomunicacion.es'!H1138)&gt;0</f>
        <v>0</v>
      </c>
    </row>
    <row r="1139" spans="1:9" hidden="1">
      <c r="A1139" s="1" t="s">
        <v>4653</v>
      </c>
      <c r="B1139" s="1" t="s">
        <v>24</v>
      </c>
      <c r="C1139" s="1" t="s">
        <v>4654</v>
      </c>
      <c r="D1139" s="1" t="s">
        <v>430</v>
      </c>
      <c r="E1139" s="1" t="s">
        <v>430</v>
      </c>
      <c r="F1139" s="1" t="s">
        <v>78</v>
      </c>
      <c r="G1139" s="1" t="s">
        <v>4655</v>
      </c>
      <c r="H1139" s="1" t="s">
        <v>657</v>
      </c>
      <c r="I1139" t="b">
        <f>COUNTIF(Estadísticas!I:I,'centraldecomunicacion.es'!H1139)&gt;0</f>
        <v>0</v>
      </c>
    </row>
    <row r="1140" spans="1:9" hidden="1">
      <c r="A1140" s="1" t="s">
        <v>4656</v>
      </c>
      <c r="B1140" s="1" t="s">
        <v>24</v>
      </c>
      <c r="C1140" s="1" t="s">
        <v>4657</v>
      </c>
      <c r="D1140" s="1" t="s">
        <v>458</v>
      </c>
      <c r="E1140" s="1" t="s">
        <v>430</v>
      </c>
      <c r="F1140" s="1" t="s">
        <v>78</v>
      </c>
      <c r="G1140" s="1" t="s">
        <v>4658</v>
      </c>
      <c r="H1140" s="1" t="s">
        <v>657</v>
      </c>
      <c r="I1140" t="b">
        <f>COUNTIF(Estadísticas!I:I,'centraldecomunicacion.es'!H1140)&gt;0</f>
        <v>0</v>
      </c>
    </row>
    <row r="1141" spans="1:9" hidden="1">
      <c r="A1141" s="1" t="s">
        <v>4659</v>
      </c>
      <c r="B1141" s="1" t="s">
        <v>24</v>
      </c>
      <c r="C1141" s="1" t="s">
        <v>4660</v>
      </c>
      <c r="D1141" s="1" t="s">
        <v>4441</v>
      </c>
      <c r="E1141" s="1" t="s">
        <v>430</v>
      </c>
      <c r="F1141" s="1" t="s">
        <v>4661</v>
      </c>
      <c r="G1141" s="1" t="s">
        <v>4508</v>
      </c>
      <c r="H1141" s="1" t="s">
        <v>657</v>
      </c>
      <c r="I1141" t="b">
        <f>COUNTIF(Estadísticas!I:I,'centraldecomunicacion.es'!H1141)&gt;0</f>
        <v>0</v>
      </c>
    </row>
    <row r="1142" spans="1:9" hidden="1">
      <c r="A1142" s="1" t="s">
        <v>4662</v>
      </c>
      <c r="B1142" s="1" t="s">
        <v>24</v>
      </c>
      <c r="C1142" s="1" t="s">
        <v>4663</v>
      </c>
      <c r="D1142" s="1" t="s">
        <v>430</v>
      </c>
      <c r="E1142" s="1" t="s">
        <v>430</v>
      </c>
      <c r="F1142" s="1" t="s">
        <v>78</v>
      </c>
      <c r="G1142" s="1" t="s">
        <v>4664</v>
      </c>
      <c r="H1142" s="1" t="s">
        <v>657</v>
      </c>
      <c r="I1142" t="b">
        <f>COUNTIF(Estadísticas!I:I,'centraldecomunicacion.es'!H1142)&gt;0</f>
        <v>0</v>
      </c>
    </row>
    <row r="1143" spans="1:9" hidden="1">
      <c r="A1143" s="1" t="s">
        <v>4665</v>
      </c>
      <c r="B1143" s="1" t="s">
        <v>10</v>
      </c>
      <c r="C1143" s="1" t="s">
        <v>4666</v>
      </c>
      <c r="D1143" s="1" t="s">
        <v>430</v>
      </c>
      <c r="E1143" s="1" t="s">
        <v>430</v>
      </c>
      <c r="F1143" s="1" t="s">
        <v>78</v>
      </c>
      <c r="G1143" s="1" t="s">
        <v>4667</v>
      </c>
      <c r="H1143" s="1" t="s">
        <v>657</v>
      </c>
      <c r="I1143" t="b">
        <f>COUNTIF(Estadísticas!I:I,'centraldecomunicacion.es'!H1143)&gt;0</f>
        <v>0</v>
      </c>
    </row>
    <row r="1144" spans="1:9" hidden="1">
      <c r="A1144" s="1" t="s">
        <v>4668</v>
      </c>
      <c r="B1144" s="1" t="s">
        <v>24</v>
      </c>
      <c r="C1144" s="1" t="s">
        <v>4669</v>
      </c>
      <c r="D1144" s="1" t="s">
        <v>430</v>
      </c>
      <c r="E1144" s="1" t="s">
        <v>430</v>
      </c>
      <c r="F1144" s="1" t="s">
        <v>4670</v>
      </c>
      <c r="G1144" s="1" t="s">
        <v>4671</v>
      </c>
      <c r="H1144" s="1" t="s">
        <v>657</v>
      </c>
      <c r="I1144" t="b">
        <f>COUNTIF(Estadísticas!I:I,'centraldecomunicacion.es'!H1144)&gt;0</f>
        <v>0</v>
      </c>
    </row>
    <row r="1145" spans="1:9" hidden="1">
      <c r="A1145" s="1" t="s">
        <v>4672</v>
      </c>
      <c r="B1145" s="1" t="s">
        <v>24</v>
      </c>
      <c r="C1145" s="1" t="s">
        <v>4673</v>
      </c>
      <c r="D1145" s="1" t="s">
        <v>4674</v>
      </c>
      <c r="E1145" s="1" t="s">
        <v>430</v>
      </c>
      <c r="F1145" s="1" t="s">
        <v>78</v>
      </c>
      <c r="G1145" s="1" t="s">
        <v>4675</v>
      </c>
      <c r="H1145" s="1" t="s">
        <v>657</v>
      </c>
      <c r="I1145" t="b">
        <f>COUNTIF(Estadísticas!I:I,'centraldecomunicacion.es'!H1145)&gt;0</f>
        <v>0</v>
      </c>
    </row>
    <row r="1146" spans="1:9" hidden="1">
      <c r="A1146" s="1" t="s">
        <v>4676</v>
      </c>
      <c r="B1146" s="1" t="s">
        <v>10</v>
      </c>
      <c r="C1146" s="1" t="s">
        <v>4677</v>
      </c>
      <c r="D1146" s="1" t="s">
        <v>4678</v>
      </c>
      <c r="E1146" s="1" t="s">
        <v>430</v>
      </c>
      <c r="F1146" s="1" t="s">
        <v>795</v>
      </c>
      <c r="G1146" s="1" t="s">
        <v>796</v>
      </c>
      <c r="H1146" s="1" t="s">
        <v>797</v>
      </c>
      <c r="I1146" t="b">
        <f>COUNTIF(Estadísticas!I:I,'centraldecomunicacion.es'!H1146)&gt;0</f>
        <v>0</v>
      </c>
    </row>
    <row r="1147" spans="1:9" hidden="1">
      <c r="A1147" s="1" t="s">
        <v>4679</v>
      </c>
      <c r="B1147" s="1" t="s">
        <v>10</v>
      </c>
      <c r="C1147" s="1" t="s">
        <v>4680</v>
      </c>
      <c r="D1147" s="1" t="s">
        <v>430</v>
      </c>
      <c r="E1147" s="1" t="s">
        <v>430</v>
      </c>
      <c r="F1147" s="1" t="s">
        <v>78</v>
      </c>
      <c r="G1147" s="1" t="s">
        <v>4503</v>
      </c>
      <c r="H1147" s="1" t="s">
        <v>657</v>
      </c>
      <c r="I1147" t="b">
        <f>COUNTIF(Estadísticas!I:I,'centraldecomunicacion.es'!H1147)&gt;0</f>
        <v>0</v>
      </c>
    </row>
    <row r="1148" spans="1:9" hidden="1">
      <c r="A1148" s="1" t="s">
        <v>4463</v>
      </c>
      <c r="B1148" s="1" t="s">
        <v>10</v>
      </c>
      <c r="C1148" s="1" t="s">
        <v>4681</v>
      </c>
      <c r="D1148" s="1" t="s">
        <v>4682</v>
      </c>
      <c r="E1148" s="1" t="s">
        <v>430</v>
      </c>
      <c r="F1148" s="1" t="s">
        <v>4465</v>
      </c>
      <c r="G1148" s="1" t="s">
        <v>4466</v>
      </c>
      <c r="H1148" s="1" t="s">
        <v>4467</v>
      </c>
      <c r="I1148" t="b">
        <f>COUNTIF(Estadísticas!I:I,'centraldecomunicacion.es'!H1148)&gt;0</f>
        <v>0</v>
      </c>
    </row>
    <row r="1149" spans="1:9" hidden="1">
      <c r="A1149" s="1" t="s">
        <v>4683</v>
      </c>
      <c r="B1149" s="1" t="s">
        <v>24</v>
      </c>
      <c r="C1149" s="1" t="s">
        <v>4684</v>
      </c>
      <c r="D1149" s="1" t="s">
        <v>430</v>
      </c>
      <c r="E1149" s="1" t="s">
        <v>430</v>
      </c>
      <c r="F1149" s="1" t="s">
        <v>4685</v>
      </c>
      <c r="G1149" s="1" t="s">
        <v>4686</v>
      </c>
      <c r="H1149" s="1" t="s">
        <v>4687</v>
      </c>
      <c r="I1149" t="b">
        <f>COUNTIF(Estadísticas!I:I,'centraldecomunicacion.es'!H1149)&gt;0</f>
        <v>0</v>
      </c>
    </row>
    <row r="1150" spans="1:9" hidden="1">
      <c r="A1150" s="1" t="s">
        <v>4688</v>
      </c>
      <c r="B1150" s="1" t="s">
        <v>24</v>
      </c>
      <c r="C1150" s="1" t="s">
        <v>4689</v>
      </c>
      <c r="D1150" s="1" t="s">
        <v>4554</v>
      </c>
      <c r="E1150" s="1" t="s">
        <v>430</v>
      </c>
      <c r="F1150" s="1" t="s">
        <v>78</v>
      </c>
      <c r="G1150" s="1" t="s">
        <v>4690</v>
      </c>
      <c r="H1150" s="1" t="s">
        <v>657</v>
      </c>
      <c r="I1150" t="b">
        <f>COUNTIF(Estadísticas!I:I,'centraldecomunicacion.es'!H1150)&gt;0</f>
        <v>0</v>
      </c>
    </row>
    <row r="1151" spans="1:9" hidden="1">
      <c r="A1151" s="1" t="s">
        <v>4691</v>
      </c>
      <c r="B1151" s="1" t="s">
        <v>24</v>
      </c>
      <c r="C1151" s="1" t="s">
        <v>4692</v>
      </c>
      <c r="D1151" s="1" t="s">
        <v>4693</v>
      </c>
      <c r="E1151" s="1" t="s">
        <v>430</v>
      </c>
      <c r="F1151" s="1" t="s">
        <v>78</v>
      </c>
      <c r="G1151" s="1" t="s">
        <v>78</v>
      </c>
      <c r="H1151" s="1" t="s">
        <v>657</v>
      </c>
      <c r="I1151" t="b">
        <f>COUNTIF(Estadísticas!I:I,'centraldecomunicacion.es'!H1151)&gt;0</f>
        <v>0</v>
      </c>
    </row>
    <row r="1152" spans="1:9" hidden="1">
      <c r="A1152" s="1" t="s">
        <v>4694</v>
      </c>
      <c r="B1152" s="1" t="s">
        <v>10</v>
      </c>
      <c r="C1152" s="1" t="s">
        <v>4695</v>
      </c>
      <c r="D1152" s="1" t="s">
        <v>4696</v>
      </c>
      <c r="E1152" s="1" t="s">
        <v>430</v>
      </c>
      <c r="F1152" s="1" t="s">
        <v>4697</v>
      </c>
      <c r="G1152" s="1" t="s">
        <v>78</v>
      </c>
      <c r="H1152" s="1" t="s">
        <v>657</v>
      </c>
      <c r="I1152" t="b">
        <f>COUNTIF(Estadísticas!I:I,'centraldecomunicacion.es'!H1152)&gt;0</f>
        <v>0</v>
      </c>
    </row>
    <row r="1153" spans="1:9" hidden="1">
      <c r="A1153" s="1" t="s">
        <v>4698</v>
      </c>
      <c r="B1153" s="1" t="s">
        <v>24</v>
      </c>
      <c r="C1153" s="1" t="s">
        <v>4699</v>
      </c>
      <c r="D1153" s="1" t="s">
        <v>4441</v>
      </c>
      <c r="E1153" s="1" t="s">
        <v>430</v>
      </c>
      <c r="F1153" s="1" t="s">
        <v>78</v>
      </c>
      <c r="G1153" s="1" t="s">
        <v>4700</v>
      </c>
      <c r="H1153" s="1" t="s">
        <v>657</v>
      </c>
      <c r="I1153" t="b">
        <f>COUNTIF(Estadísticas!I:I,'centraldecomunicacion.es'!H1153)&gt;0</f>
        <v>0</v>
      </c>
    </row>
    <row r="1154" spans="1:9" hidden="1">
      <c r="A1154" s="1" t="s">
        <v>4411</v>
      </c>
      <c r="B1154" s="1" t="s">
        <v>24</v>
      </c>
      <c r="C1154" s="1" t="s">
        <v>4701</v>
      </c>
      <c r="D1154" s="1" t="s">
        <v>4382</v>
      </c>
      <c r="E1154" s="1" t="s">
        <v>430</v>
      </c>
      <c r="F1154" s="1" t="s">
        <v>78</v>
      </c>
      <c r="G1154" s="1" t="s">
        <v>4702</v>
      </c>
      <c r="H1154" s="1" t="s">
        <v>657</v>
      </c>
      <c r="I1154" t="b">
        <f>COUNTIF(Estadísticas!I:I,'centraldecomunicacion.es'!H1154)&gt;0</f>
        <v>0</v>
      </c>
    </row>
    <row r="1155" spans="1:9" hidden="1">
      <c r="A1155" s="1" t="s">
        <v>4703</v>
      </c>
      <c r="B1155" s="1" t="s">
        <v>10</v>
      </c>
      <c r="C1155" s="1" t="s">
        <v>4704</v>
      </c>
      <c r="D1155" s="1" t="s">
        <v>4441</v>
      </c>
      <c r="E1155" s="1" t="s">
        <v>430</v>
      </c>
      <c r="F1155" s="1" t="s">
        <v>78</v>
      </c>
      <c r="G1155" s="1" t="s">
        <v>78</v>
      </c>
      <c r="H1155" s="1" t="s">
        <v>657</v>
      </c>
      <c r="I1155" t="b">
        <f>COUNTIF(Estadísticas!I:I,'centraldecomunicacion.es'!H1155)&gt;0</f>
        <v>0</v>
      </c>
    </row>
    <row r="1156" spans="1:9" hidden="1">
      <c r="A1156" s="1" t="s">
        <v>4705</v>
      </c>
      <c r="B1156" s="1" t="s">
        <v>24</v>
      </c>
      <c r="C1156" s="1" t="s">
        <v>4706</v>
      </c>
      <c r="D1156" s="1" t="s">
        <v>4707</v>
      </c>
      <c r="E1156" s="1" t="s">
        <v>430</v>
      </c>
      <c r="F1156" s="1" t="s">
        <v>78</v>
      </c>
      <c r="G1156" s="1" t="s">
        <v>4708</v>
      </c>
      <c r="H1156" s="1" t="s">
        <v>657</v>
      </c>
      <c r="I1156" t="b">
        <f>COUNTIF(Estadísticas!I:I,'centraldecomunicacion.es'!H1156)&gt;0</f>
        <v>0</v>
      </c>
    </row>
    <row r="1157" spans="1:9" hidden="1">
      <c r="A1157" s="1" t="s">
        <v>4709</v>
      </c>
      <c r="B1157" s="1" t="s">
        <v>24</v>
      </c>
      <c r="C1157" s="1" t="s">
        <v>4710</v>
      </c>
      <c r="D1157" s="1" t="s">
        <v>4428</v>
      </c>
      <c r="E1157" s="1" t="s">
        <v>430</v>
      </c>
      <c r="F1157" s="1" t="s">
        <v>909</v>
      </c>
      <c r="G1157" s="1" t="s">
        <v>740</v>
      </c>
      <c r="H1157" s="1" t="s">
        <v>657</v>
      </c>
      <c r="I1157" t="b">
        <f>COUNTIF(Estadísticas!I:I,'centraldecomunicacion.es'!H1157)&gt;0</f>
        <v>0</v>
      </c>
    </row>
    <row r="1158" spans="1:9" hidden="1">
      <c r="A1158" s="1" t="s">
        <v>4711</v>
      </c>
      <c r="B1158" s="1" t="s">
        <v>10</v>
      </c>
      <c r="C1158" s="1" t="s">
        <v>4712</v>
      </c>
      <c r="D1158" s="1" t="s">
        <v>430</v>
      </c>
      <c r="E1158" s="1" t="s">
        <v>430</v>
      </c>
      <c r="F1158" s="1" t="s">
        <v>78</v>
      </c>
      <c r="G1158" s="1" t="s">
        <v>78</v>
      </c>
      <c r="H1158" s="1" t="s">
        <v>657</v>
      </c>
      <c r="I1158" t="b">
        <f>COUNTIF(Estadísticas!I:I,'centraldecomunicacion.es'!H1158)&gt;0</f>
        <v>0</v>
      </c>
    </row>
    <row r="1159" spans="1:9">
      <c r="A1159" s="1" t="s">
        <v>468</v>
      </c>
      <c r="B1159" s="1" t="s">
        <v>24</v>
      </c>
      <c r="C1159" s="1" t="s">
        <v>469</v>
      </c>
      <c r="D1159" s="1" t="s">
        <v>470</v>
      </c>
      <c r="E1159" s="1" t="s">
        <v>470</v>
      </c>
      <c r="F1159" s="1" t="s">
        <v>471</v>
      </c>
      <c r="G1159" s="1" t="s">
        <v>472</v>
      </c>
      <c r="H1159" s="1" t="s">
        <v>473</v>
      </c>
      <c r="I1159" t="b">
        <f>COUNTIF(Estadísticas!I:I,'centraldecomunicacion.es'!H1159)&gt;0</f>
        <v>1</v>
      </c>
    </row>
    <row r="1160" spans="1:9" hidden="1">
      <c r="A1160" s="1" t="s">
        <v>4713</v>
      </c>
      <c r="B1160" s="1" t="s">
        <v>24</v>
      </c>
      <c r="C1160" s="1" t="s">
        <v>4714</v>
      </c>
      <c r="D1160" s="1" t="s">
        <v>470</v>
      </c>
      <c r="E1160" s="1" t="s">
        <v>470</v>
      </c>
      <c r="F1160" s="1" t="s">
        <v>78</v>
      </c>
      <c r="G1160" s="1" t="s">
        <v>4715</v>
      </c>
      <c r="H1160" s="1" t="s">
        <v>657</v>
      </c>
      <c r="I1160" t="b">
        <f>COUNTIF(Estadísticas!I:I,'centraldecomunicacion.es'!H1160)&gt;0</f>
        <v>0</v>
      </c>
    </row>
    <row r="1161" spans="1:9" hidden="1">
      <c r="A1161" s="1" t="s">
        <v>4716</v>
      </c>
      <c r="B1161" s="1" t="s">
        <v>24</v>
      </c>
      <c r="C1161" s="1" t="s">
        <v>4717</v>
      </c>
      <c r="D1161" s="1" t="s">
        <v>470</v>
      </c>
      <c r="E1161" s="1" t="s">
        <v>470</v>
      </c>
      <c r="F1161" s="1" t="s">
        <v>78</v>
      </c>
      <c r="G1161" s="1" t="s">
        <v>494</v>
      </c>
      <c r="H1161" s="1" t="s">
        <v>657</v>
      </c>
      <c r="I1161" t="b">
        <f>COUNTIF(Estadísticas!I:I,'centraldecomunicacion.es'!H1161)&gt;0</f>
        <v>0</v>
      </c>
    </row>
    <row r="1162" spans="1:9" hidden="1">
      <c r="A1162" s="1" t="s">
        <v>4718</v>
      </c>
      <c r="B1162" s="1" t="s">
        <v>24</v>
      </c>
      <c r="C1162" s="1" t="s">
        <v>4719</v>
      </c>
      <c r="D1162" s="1" t="s">
        <v>470</v>
      </c>
      <c r="E1162" s="1" t="s">
        <v>470</v>
      </c>
      <c r="F1162" s="1" t="s">
        <v>4720</v>
      </c>
      <c r="G1162" s="1" t="s">
        <v>4721</v>
      </c>
      <c r="H1162" s="1" t="s">
        <v>4722</v>
      </c>
      <c r="I1162" t="b">
        <f>COUNTIF(Estadísticas!I:I,'centraldecomunicacion.es'!H1162)&gt;0</f>
        <v>0</v>
      </c>
    </row>
    <row r="1163" spans="1:9" hidden="1">
      <c r="A1163" s="1" t="s">
        <v>4723</v>
      </c>
      <c r="B1163" s="1" t="s">
        <v>24</v>
      </c>
      <c r="C1163" s="1" t="s">
        <v>4724</v>
      </c>
      <c r="D1163" s="1" t="s">
        <v>470</v>
      </c>
      <c r="E1163" s="1" t="s">
        <v>470</v>
      </c>
      <c r="F1163" s="1" t="s">
        <v>4725</v>
      </c>
      <c r="G1163" s="1" t="s">
        <v>4726</v>
      </c>
      <c r="H1163" s="1" t="s">
        <v>4727</v>
      </c>
      <c r="I1163" t="b">
        <f>COUNTIF(Estadísticas!I:I,'centraldecomunicacion.es'!H1163)&gt;0</f>
        <v>0</v>
      </c>
    </row>
    <row r="1164" spans="1:9" hidden="1">
      <c r="A1164" s="1" t="s">
        <v>4728</v>
      </c>
      <c r="B1164" s="1" t="s">
        <v>24</v>
      </c>
      <c r="C1164" s="1" t="s">
        <v>78</v>
      </c>
      <c r="D1164" s="1" t="s">
        <v>4729</v>
      </c>
      <c r="E1164" s="1" t="s">
        <v>78</v>
      </c>
      <c r="F1164" s="1" t="s">
        <v>4730</v>
      </c>
      <c r="G1164" s="1" t="s">
        <v>4731</v>
      </c>
      <c r="H1164" s="1" t="s">
        <v>657</v>
      </c>
      <c r="I1164" t="b">
        <f>COUNTIF(Estadísticas!I:I,'centraldecomunicacion.es'!H1164)&gt;0</f>
        <v>0</v>
      </c>
    </row>
    <row r="1165" spans="1:9" hidden="1">
      <c r="A1165" s="1" t="s">
        <v>4732</v>
      </c>
      <c r="B1165" s="1" t="s">
        <v>24</v>
      </c>
      <c r="C1165" s="1" t="s">
        <v>4733</v>
      </c>
      <c r="D1165" s="1" t="s">
        <v>470</v>
      </c>
      <c r="E1165" s="1" t="s">
        <v>470</v>
      </c>
      <c r="F1165" s="1" t="s">
        <v>78</v>
      </c>
      <c r="G1165" s="1" t="s">
        <v>4734</v>
      </c>
      <c r="H1165" s="1" t="s">
        <v>657</v>
      </c>
      <c r="I1165" t="b">
        <f>COUNTIF(Estadísticas!I:I,'centraldecomunicacion.es'!H1165)&gt;0</f>
        <v>0</v>
      </c>
    </row>
    <row r="1166" spans="1:9" hidden="1">
      <c r="A1166" s="1" t="s">
        <v>4735</v>
      </c>
      <c r="B1166" s="1" t="s">
        <v>24</v>
      </c>
      <c r="C1166" s="1" t="s">
        <v>4736</v>
      </c>
      <c r="D1166" s="1" t="s">
        <v>470</v>
      </c>
      <c r="E1166" s="1" t="s">
        <v>470</v>
      </c>
      <c r="F1166" s="1" t="s">
        <v>78</v>
      </c>
      <c r="G1166" s="1" t="s">
        <v>4737</v>
      </c>
      <c r="H1166" s="1" t="s">
        <v>657</v>
      </c>
      <c r="I1166" t="b">
        <f>COUNTIF(Estadísticas!I:I,'centraldecomunicacion.es'!H1166)&gt;0</f>
        <v>0</v>
      </c>
    </row>
    <row r="1167" spans="1:9" hidden="1">
      <c r="A1167" s="1" t="s">
        <v>4738</v>
      </c>
      <c r="B1167" s="1" t="s">
        <v>24</v>
      </c>
      <c r="C1167" s="1" t="s">
        <v>4739</v>
      </c>
      <c r="D1167" s="1" t="s">
        <v>4740</v>
      </c>
      <c r="E1167" s="1" t="s">
        <v>470</v>
      </c>
      <c r="F1167" s="1" t="s">
        <v>1291</v>
      </c>
      <c r="G1167" s="1" t="s">
        <v>4741</v>
      </c>
      <c r="H1167" s="1" t="s">
        <v>1293</v>
      </c>
      <c r="I1167" t="b">
        <f>COUNTIF(Estadísticas!I:I,'centraldecomunicacion.es'!H1167)&gt;0</f>
        <v>0</v>
      </c>
    </row>
    <row r="1168" spans="1:9" hidden="1">
      <c r="A1168" s="1" t="s">
        <v>1289</v>
      </c>
      <c r="B1168" s="1" t="s">
        <v>10</v>
      </c>
      <c r="C1168" s="1" t="s">
        <v>4742</v>
      </c>
      <c r="D1168" s="1" t="s">
        <v>4743</v>
      </c>
      <c r="E1168" s="1" t="s">
        <v>470</v>
      </c>
      <c r="F1168" s="1" t="s">
        <v>1291</v>
      </c>
      <c r="G1168" s="1" t="s">
        <v>4744</v>
      </c>
      <c r="H1168" s="1" t="s">
        <v>1293</v>
      </c>
      <c r="I1168" t="b">
        <f>COUNTIF(Estadísticas!I:I,'centraldecomunicacion.es'!H1168)&gt;0</f>
        <v>0</v>
      </c>
    </row>
    <row r="1169" spans="1:9" hidden="1">
      <c r="A1169" s="1" t="s">
        <v>4745</v>
      </c>
      <c r="B1169" s="1" t="s">
        <v>10</v>
      </c>
      <c r="C1169" s="1" t="s">
        <v>4746</v>
      </c>
      <c r="D1169" s="1" t="s">
        <v>4747</v>
      </c>
      <c r="E1169" s="1" t="s">
        <v>470</v>
      </c>
      <c r="F1169" s="1" t="s">
        <v>4748</v>
      </c>
      <c r="G1169" s="1" t="s">
        <v>4749</v>
      </c>
      <c r="H1169" s="1" t="s">
        <v>4750</v>
      </c>
      <c r="I1169" t="b">
        <f>COUNTIF(Estadísticas!I:I,'centraldecomunicacion.es'!H1169)&gt;0</f>
        <v>0</v>
      </c>
    </row>
    <row r="1170" spans="1:9">
      <c r="A1170" s="1" t="s">
        <v>474</v>
      </c>
      <c r="B1170" s="1" t="s">
        <v>24</v>
      </c>
      <c r="C1170" s="1" t="s">
        <v>475</v>
      </c>
      <c r="D1170" s="1" t="s">
        <v>476</v>
      </c>
      <c r="E1170" s="1" t="s">
        <v>470</v>
      </c>
      <c r="F1170" s="1" t="s">
        <v>477</v>
      </c>
      <c r="G1170" s="1" t="s">
        <v>478</v>
      </c>
      <c r="H1170" s="1" t="s">
        <v>479</v>
      </c>
      <c r="I1170" t="b">
        <f>COUNTIF(Estadísticas!I:I,'centraldecomunicacion.es'!H1170)&gt;0</f>
        <v>1</v>
      </c>
    </row>
    <row r="1171" spans="1:9" hidden="1">
      <c r="A1171" s="1" t="s">
        <v>4751</v>
      </c>
      <c r="B1171" s="1" t="s">
        <v>24</v>
      </c>
      <c r="C1171" s="1" t="s">
        <v>4752</v>
      </c>
      <c r="D1171" s="1" t="s">
        <v>4740</v>
      </c>
      <c r="E1171" s="1" t="s">
        <v>470</v>
      </c>
      <c r="F1171" s="1" t="s">
        <v>4753</v>
      </c>
      <c r="G1171" s="1" t="s">
        <v>4754</v>
      </c>
      <c r="H1171" s="1" t="s">
        <v>4755</v>
      </c>
      <c r="I1171" t="b">
        <f>COUNTIF(Estadísticas!I:I,'centraldecomunicacion.es'!H1171)&gt;0</f>
        <v>0</v>
      </c>
    </row>
    <row r="1172" spans="1:9" hidden="1">
      <c r="A1172" s="1" t="s">
        <v>4756</v>
      </c>
      <c r="B1172" s="1" t="s">
        <v>10</v>
      </c>
      <c r="C1172" s="1" t="s">
        <v>4757</v>
      </c>
      <c r="D1172" s="1" t="s">
        <v>4758</v>
      </c>
      <c r="E1172" s="1" t="s">
        <v>470</v>
      </c>
      <c r="F1172" s="1" t="s">
        <v>4759</v>
      </c>
      <c r="G1172" s="1" t="s">
        <v>4749</v>
      </c>
      <c r="H1172" s="1" t="s">
        <v>657</v>
      </c>
      <c r="I1172" t="b">
        <f>COUNTIF(Estadísticas!I:I,'centraldecomunicacion.es'!H1172)&gt;0</f>
        <v>0</v>
      </c>
    </row>
    <row r="1173" spans="1:9" hidden="1">
      <c r="A1173" s="1" t="s">
        <v>4760</v>
      </c>
      <c r="B1173" s="1" t="s">
        <v>10</v>
      </c>
      <c r="C1173" s="1" t="s">
        <v>4761</v>
      </c>
      <c r="D1173" s="1" t="s">
        <v>4762</v>
      </c>
      <c r="E1173" s="1" t="s">
        <v>470</v>
      </c>
      <c r="F1173" s="1" t="s">
        <v>78</v>
      </c>
      <c r="G1173" s="1" t="s">
        <v>78</v>
      </c>
      <c r="H1173" s="1" t="s">
        <v>657</v>
      </c>
      <c r="I1173" t="b">
        <f>COUNTIF(Estadísticas!I:I,'centraldecomunicacion.es'!H1173)&gt;0</f>
        <v>0</v>
      </c>
    </row>
    <row r="1174" spans="1:9" hidden="1">
      <c r="A1174" s="1" t="s">
        <v>4763</v>
      </c>
      <c r="B1174" s="1" t="s">
        <v>24</v>
      </c>
      <c r="C1174" s="1" t="s">
        <v>4764</v>
      </c>
      <c r="D1174" s="1" t="s">
        <v>4765</v>
      </c>
      <c r="E1174" s="1" t="s">
        <v>470</v>
      </c>
      <c r="F1174" s="1" t="s">
        <v>4766</v>
      </c>
      <c r="G1174" s="1" t="s">
        <v>4767</v>
      </c>
      <c r="H1174" s="1" t="s">
        <v>657</v>
      </c>
      <c r="I1174" t="b">
        <f>COUNTIF(Estadísticas!I:I,'centraldecomunicacion.es'!H1174)&gt;0</f>
        <v>0</v>
      </c>
    </row>
    <row r="1175" spans="1:9" hidden="1">
      <c r="A1175" s="1" t="s">
        <v>4768</v>
      </c>
      <c r="B1175" s="1" t="s">
        <v>24</v>
      </c>
      <c r="C1175" s="1" t="s">
        <v>4769</v>
      </c>
      <c r="D1175" s="1" t="s">
        <v>4747</v>
      </c>
      <c r="E1175" s="1" t="s">
        <v>470</v>
      </c>
      <c r="F1175" s="1" t="s">
        <v>78</v>
      </c>
      <c r="G1175" s="1" t="s">
        <v>78</v>
      </c>
      <c r="H1175" s="1" t="s">
        <v>657</v>
      </c>
      <c r="I1175" t="b">
        <f>COUNTIF(Estadísticas!I:I,'centraldecomunicacion.es'!H1175)&gt;0</f>
        <v>0</v>
      </c>
    </row>
    <row r="1176" spans="1:9" hidden="1">
      <c r="A1176" s="1" t="s">
        <v>4770</v>
      </c>
      <c r="B1176" s="1" t="s">
        <v>24</v>
      </c>
      <c r="C1176" s="1" t="s">
        <v>4771</v>
      </c>
      <c r="D1176" s="1" t="s">
        <v>4740</v>
      </c>
      <c r="E1176" s="1" t="s">
        <v>470</v>
      </c>
      <c r="F1176" s="1" t="s">
        <v>78</v>
      </c>
      <c r="G1176" s="1" t="s">
        <v>4772</v>
      </c>
      <c r="H1176" s="1" t="s">
        <v>657</v>
      </c>
      <c r="I1176" t="b">
        <f>COUNTIF(Estadísticas!I:I,'centraldecomunicacion.es'!H1176)&gt;0</f>
        <v>0</v>
      </c>
    </row>
    <row r="1177" spans="1:9" hidden="1">
      <c r="A1177" s="1" t="s">
        <v>4773</v>
      </c>
      <c r="B1177" s="1" t="s">
        <v>24</v>
      </c>
      <c r="C1177" s="1" t="s">
        <v>4774</v>
      </c>
      <c r="D1177" s="1" t="s">
        <v>4729</v>
      </c>
      <c r="E1177" s="1" t="s">
        <v>470</v>
      </c>
      <c r="F1177" s="1" t="s">
        <v>78</v>
      </c>
      <c r="G1177" s="1" t="s">
        <v>78</v>
      </c>
      <c r="H1177" s="1" t="s">
        <v>657</v>
      </c>
      <c r="I1177" t="b">
        <f>COUNTIF(Estadísticas!I:I,'centraldecomunicacion.es'!H1177)&gt;0</f>
        <v>0</v>
      </c>
    </row>
    <row r="1178" spans="1:9" hidden="1">
      <c r="A1178" s="1" t="s">
        <v>4775</v>
      </c>
      <c r="B1178" s="1" t="s">
        <v>10</v>
      </c>
      <c r="C1178" s="1" t="s">
        <v>4776</v>
      </c>
      <c r="D1178" s="1" t="s">
        <v>482</v>
      </c>
      <c r="E1178" s="1" t="s">
        <v>482</v>
      </c>
      <c r="F1178" s="1" t="s">
        <v>4777</v>
      </c>
      <c r="G1178" s="1" t="s">
        <v>4778</v>
      </c>
      <c r="H1178" s="1" t="s">
        <v>4779</v>
      </c>
      <c r="I1178" t="b">
        <f>COUNTIF(Estadísticas!I:I,'centraldecomunicacion.es'!H1178)&gt;0</f>
        <v>0</v>
      </c>
    </row>
    <row r="1179" spans="1:9" hidden="1">
      <c r="A1179" s="1" t="s">
        <v>4780</v>
      </c>
      <c r="B1179" s="1" t="s">
        <v>24</v>
      </c>
      <c r="C1179" s="1" t="s">
        <v>4781</v>
      </c>
      <c r="D1179" s="1" t="s">
        <v>4765</v>
      </c>
      <c r="E1179" s="1" t="s">
        <v>470</v>
      </c>
      <c r="F1179" s="1" t="s">
        <v>78</v>
      </c>
      <c r="G1179" s="1" t="s">
        <v>4767</v>
      </c>
      <c r="H1179" s="1" t="s">
        <v>657</v>
      </c>
      <c r="I1179" t="b">
        <f>COUNTIF(Estadísticas!I:I,'centraldecomunicacion.es'!H1179)&gt;0</f>
        <v>0</v>
      </c>
    </row>
    <row r="1180" spans="1:9" hidden="1">
      <c r="A1180" s="1" t="s">
        <v>4775</v>
      </c>
      <c r="B1180" s="1" t="s">
        <v>24</v>
      </c>
      <c r="C1180" s="1" t="s">
        <v>4782</v>
      </c>
      <c r="D1180" s="1" t="s">
        <v>482</v>
      </c>
      <c r="E1180" s="1" t="s">
        <v>482</v>
      </c>
      <c r="F1180" s="1" t="s">
        <v>4777</v>
      </c>
      <c r="G1180" s="1" t="s">
        <v>4783</v>
      </c>
      <c r="H1180" s="1" t="s">
        <v>4779</v>
      </c>
      <c r="I1180" t="b">
        <f>COUNTIF(Estadísticas!I:I,'centraldecomunicacion.es'!H1180)&gt;0</f>
        <v>0</v>
      </c>
    </row>
    <row r="1181" spans="1:9">
      <c r="A1181" s="1" t="s">
        <v>480</v>
      </c>
      <c r="B1181" s="1" t="s">
        <v>10</v>
      </c>
      <c r="C1181" s="1" t="s">
        <v>481</v>
      </c>
      <c r="D1181" s="1" t="s">
        <v>482</v>
      </c>
      <c r="E1181" s="1" t="s">
        <v>482</v>
      </c>
      <c r="F1181" s="1" t="s">
        <v>483</v>
      </c>
      <c r="G1181" s="1" t="s">
        <v>484</v>
      </c>
      <c r="H1181" s="1" t="s">
        <v>485</v>
      </c>
      <c r="I1181" t="b">
        <f>COUNTIF(Estadísticas!I:I,'centraldecomunicacion.es'!H1181)&gt;0</f>
        <v>1</v>
      </c>
    </row>
    <row r="1182" spans="1:9" hidden="1">
      <c r="A1182" s="1" t="s">
        <v>4784</v>
      </c>
      <c r="B1182" s="1" t="s">
        <v>10</v>
      </c>
      <c r="C1182" s="1" t="s">
        <v>4785</v>
      </c>
      <c r="D1182" s="1" t="s">
        <v>482</v>
      </c>
      <c r="E1182" s="1" t="s">
        <v>482</v>
      </c>
      <c r="F1182" s="1" t="s">
        <v>2903</v>
      </c>
      <c r="G1182" s="1" t="s">
        <v>4786</v>
      </c>
      <c r="H1182" s="1" t="s">
        <v>657</v>
      </c>
      <c r="I1182" t="b">
        <f>COUNTIF(Estadísticas!I:I,'centraldecomunicacion.es'!H1182)&gt;0</f>
        <v>0</v>
      </c>
    </row>
    <row r="1183" spans="1:9" hidden="1">
      <c r="A1183" s="1" t="s">
        <v>4787</v>
      </c>
      <c r="B1183" s="1" t="s">
        <v>10</v>
      </c>
      <c r="C1183" s="1" t="s">
        <v>4788</v>
      </c>
      <c r="D1183" s="1" t="s">
        <v>482</v>
      </c>
      <c r="E1183" s="1" t="s">
        <v>482</v>
      </c>
      <c r="F1183" s="1" t="s">
        <v>1291</v>
      </c>
      <c r="G1183" s="1" t="s">
        <v>4789</v>
      </c>
      <c r="H1183" s="1" t="s">
        <v>1293</v>
      </c>
      <c r="I1183" t="b">
        <f>COUNTIF(Estadísticas!I:I,'centraldecomunicacion.es'!H1183)&gt;0</f>
        <v>0</v>
      </c>
    </row>
    <row r="1184" spans="1:9" hidden="1">
      <c r="A1184" s="1" t="s">
        <v>4790</v>
      </c>
      <c r="B1184" s="1" t="s">
        <v>24</v>
      </c>
      <c r="C1184" s="1" t="s">
        <v>4791</v>
      </c>
      <c r="D1184" s="1" t="s">
        <v>4792</v>
      </c>
      <c r="E1184" s="1" t="s">
        <v>482</v>
      </c>
      <c r="F1184" s="1" t="s">
        <v>4793</v>
      </c>
      <c r="G1184" s="1" t="s">
        <v>4794</v>
      </c>
      <c r="H1184" s="1" t="s">
        <v>764</v>
      </c>
      <c r="I1184" t="b">
        <f>COUNTIF(Estadísticas!I:I,'centraldecomunicacion.es'!H1184)&gt;0</f>
        <v>0</v>
      </c>
    </row>
    <row r="1185" spans="1:9" hidden="1">
      <c r="A1185" s="1" t="s">
        <v>4795</v>
      </c>
      <c r="B1185" s="1" t="s">
        <v>24</v>
      </c>
      <c r="C1185" s="1" t="s">
        <v>4796</v>
      </c>
      <c r="D1185" s="1" t="s">
        <v>482</v>
      </c>
      <c r="E1185" s="1" t="s">
        <v>482</v>
      </c>
      <c r="F1185" s="1" t="s">
        <v>78</v>
      </c>
      <c r="G1185" s="1" t="s">
        <v>4797</v>
      </c>
      <c r="H1185" s="1" t="s">
        <v>657</v>
      </c>
      <c r="I1185" t="b">
        <f>COUNTIF(Estadísticas!I:I,'centraldecomunicacion.es'!H1185)&gt;0</f>
        <v>0</v>
      </c>
    </row>
    <row r="1186" spans="1:9" hidden="1">
      <c r="A1186" s="1" t="s">
        <v>4798</v>
      </c>
      <c r="B1186" s="1" t="s">
        <v>24</v>
      </c>
      <c r="C1186" s="1" t="s">
        <v>4799</v>
      </c>
      <c r="D1186" s="1" t="s">
        <v>482</v>
      </c>
      <c r="E1186" s="1" t="s">
        <v>482</v>
      </c>
      <c r="F1186" s="1" t="s">
        <v>78</v>
      </c>
      <c r="G1186" s="1" t="s">
        <v>4800</v>
      </c>
      <c r="H1186" s="1" t="s">
        <v>657</v>
      </c>
      <c r="I1186" t="b">
        <f>COUNTIF(Estadísticas!I:I,'centraldecomunicacion.es'!H1186)&gt;0</f>
        <v>0</v>
      </c>
    </row>
    <row r="1187" spans="1:9" hidden="1">
      <c r="A1187" s="1" t="s">
        <v>4801</v>
      </c>
      <c r="B1187" s="1" t="s">
        <v>24</v>
      </c>
      <c r="C1187" s="1" t="s">
        <v>4802</v>
      </c>
      <c r="D1187" s="1" t="s">
        <v>4803</v>
      </c>
      <c r="E1187" s="1" t="s">
        <v>482</v>
      </c>
      <c r="F1187" s="1" t="s">
        <v>78</v>
      </c>
      <c r="G1187" s="1" t="s">
        <v>4804</v>
      </c>
      <c r="H1187" s="1" t="s">
        <v>657</v>
      </c>
      <c r="I1187" t="b">
        <f>COUNTIF(Estadísticas!I:I,'centraldecomunicacion.es'!H1187)&gt;0</f>
        <v>0</v>
      </c>
    </row>
    <row r="1188" spans="1:9">
      <c r="A1188" s="1" t="s">
        <v>480</v>
      </c>
      <c r="B1188" s="1" t="s">
        <v>24</v>
      </c>
      <c r="C1188" s="1" t="s">
        <v>486</v>
      </c>
      <c r="D1188" s="1" t="s">
        <v>487</v>
      </c>
      <c r="E1188" s="1" t="s">
        <v>482</v>
      </c>
      <c r="F1188" s="1" t="s">
        <v>488</v>
      </c>
      <c r="G1188" s="1" t="s">
        <v>489</v>
      </c>
      <c r="H1188" s="1" t="s">
        <v>490</v>
      </c>
      <c r="I1188" t="b">
        <f>COUNTIF(Estadísticas!I:I,'centraldecomunicacion.es'!H1188)&gt;0</f>
        <v>1</v>
      </c>
    </row>
    <row r="1189" spans="1:9" hidden="1">
      <c r="A1189" s="1" t="s">
        <v>4805</v>
      </c>
      <c r="B1189" s="1" t="s">
        <v>24</v>
      </c>
      <c r="C1189" s="1" t="s">
        <v>4806</v>
      </c>
      <c r="D1189" s="1" t="s">
        <v>4807</v>
      </c>
      <c r="E1189" s="1" t="s">
        <v>482</v>
      </c>
      <c r="F1189" s="1" t="s">
        <v>78</v>
      </c>
      <c r="G1189" s="1" t="s">
        <v>78</v>
      </c>
      <c r="H1189" s="1" t="s">
        <v>657</v>
      </c>
      <c r="I1189" t="b">
        <f>COUNTIF(Estadísticas!I:I,'centraldecomunicacion.es'!H1189)&gt;0</f>
        <v>0</v>
      </c>
    </row>
    <row r="1190" spans="1:9">
      <c r="A1190" s="1" t="s">
        <v>491</v>
      </c>
      <c r="B1190" s="1" t="s">
        <v>24</v>
      </c>
      <c r="C1190" s="1" t="s">
        <v>78</v>
      </c>
      <c r="D1190" s="1" t="s">
        <v>492</v>
      </c>
      <c r="E1190" s="1" t="s">
        <v>78</v>
      </c>
      <c r="F1190" s="1" t="s">
        <v>493</v>
      </c>
      <c r="G1190" s="1" t="s">
        <v>494</v>
      </c>
      <c r="H1190" s="1" t="s">
        <v>495</v>
      </c>
      <c r="I1190" t="b">
        <f>COUNTIF(Estadísticas!I:I,'centraldecomunicacion.es'!H1190)&gt;0</f>
        <v>1</v>
      </c>
    </row>
    <row r="1191" spans="1:9" hidden="1">
      <c r="A1191" s="1" t="s">
        <v>4808</v>
      </c>
      <c r="B1191" s="1" t="s">
        <v>24</v>
      </c>
      <c r="C1191" s="1" t="s">
        <v>4809</v>
      </c>
      <c r="D1191" s="1" t="s">
        <v>4810</v>
      </c>
      <c r="E1191" s="1" t="s">
        <v>4810</v>
      </c>
      <c r="F1191" s="1" t="s">
        <v>78</v>
      </c>
      <c r="G1191" s="1" t="s">
        <v>4811</v>
      </c>
      <c r="H1191" s="1" t="s">
        <v>657</v>
      </c>
      <c r="I1191" t="b">
        <f>COUNTIF(Estadísticas!I:I,'centraldecomunicacion.es'!H1191)&gt;0</f>
        <v>0</v>
      </c>
    </row>
    <row r="1192" spans="1:9" hidden="1">
      <c r="A1192" s="1" t="s">
        <v>4812</v>
      </c>
      <c r="B1192" s="1" t="s">
        <v>10</v>
      </c>
      <c r="C1192" s="1" t="s">
        <v>4813</v>
      </c>
      <c r="D1192" s="1" t="s">
        <v>4810</v>
      </c>
      <c r="E1192" s="1" t="s">
        <v>4810</v>
      </c>
      <c r="F1192" s="1" t="s">
        <v>4814</v>
      </c>
      <c r="G1192" s="1" t="s">
        <v>4815</v>
      </c>
      <c r="H1192" s="1" t="s">
        <v>4816</v>
      </c>
      <c r="I1192" t="b">
        <f>COUNTIF(Estadísticas!I:I,'centraldecomunicacion.es'!H1192)&gt;0</f>
        <v>0</v>
      </c>
    </row>
    <row r="1193" spans="1:9" hidden="1">
      <c r="A1193" s="1" t="s">
        <v>4817</v>
      </c>
      <c r="B1193" s="1" t="s">
        <v>10</v>
      </c>
      <c r="C1193" s="1" t="s">
        <v>4818</v>
      </c>
      <c r="D1193" s="1" t="s">
        <v>4810</v>
      </c>
      <c r="E1193" s="1" t="s">
        <v>4810</v>
      </c>
      <c r="F1193" s="1" t="s">
        <v>78</v>
      </c>
      <c r="G1193" s="1" t="s">
        <v>4819</v>
      </c>
      <c r="H1193" s="1" t="s">
        <v>657</v>
      </c>
      <c r="I1193" t="b">
        <f>COUNTIF(Estadísticas!I:I,'centraldecomunicacion.es'!H1193)&gt;0</f>
        <v>0</v>
      </c>
    </row>
    <row r="1194" spans="1:9" hidden="1">
      <c r="A1194" s="1" t="s">
        <v>4820</v>
      </c>
      <c r="B1194" s="1" t="s">
        <v>10</v>
      </c>
      <c r="C1194" s="1" t="s">
        <v>4821</v>
      </c>
      <c r="D1194" s="1" t="s">
        <v>4810</v>
      </c>
      <c r="E1194" s="1" t="s">
        <v>4810</v>
      </c>
      <c r="F1194" s="1" t="s">
        <v>4822</v>
      </c>
      <c r="G1194" s="1" t="s">
        <v>4823</v>
      </c>
      <c r="H1194" s="1" t="s">
        <v>4824</v>
      </c>
      <c r="I1194" t="b">
        <f>COUNTIF(Estadísticas!I:I,'centraldecomunicacion.es'!H1194)&gt;0</f>
        <v>0</v>
      </c>
    </row>
    <row r="1195" spans="1:9" hidden="1">
      <c r="A1195" s="1" t="s">
        <v>4825</v>
      </c>
      <c r="B1195" s="1" t="s">
        <v>24</v>
      </c>
      <c r="C1195" s="1" t="s">
        <v>4826</v>
      </c>
      <c r="D1195" s="1" t="s">
        <v>4827</v>
      </c>
      <c r="E1195" s="1" t="s">
        <v>4810</v>
      </c>
      <c r="F1195" s="1" t="s">
        <v>4828</v>
      </c>
      <c r="G1195" s="1" t="s">
        <v>4829</v>
      </c>
      <c r="H1195" s="1" t="s">
        <v>657</v>
      </c>
      <c r="I1195" t="b">
        <f>COUNTIF(Estadísticas!I:I,'centraldecomunicacion.es'!H1195)&gt;0</f>
        <v>0</v>
      </c>
    </row>
    <row r="1196" spans="1:9" hidden="1">
      <c r="A1196" s="1" t="s">
        <v>4830</v>
      </c>
      <c r="B1196" s="1" t="s">
        <v>24</v>
      </c>
      <c r="C1196" s="1" t="s">
        <v>4831</v>
      </c>
      <c r="D1196" s="1" t="s">
        <v>4810</v>
      </c>
      <c r="E1196" s="1" t="s">
        <v>4810</v>
      </c>
      <c r="F1196" s="1" t="s">
        <v>78</v>
      </c>
      <c r="G1196" s="1" t="s">
        <v>4832</v>
      </c>
      <c r="H1196" s="1" t="s">
        <v>657</v>
      </c>
      <c r="I1196" t="b">
        <f>COUNTIF(Estadísticas!I:I,'centraldecomunicacion.es'!H1196)&gt;0</f>
        <v>0</v>
      </c>
    </row>
    <row r="1197" spans="1:9" hidden="1">
      <c r="A1197" s="1" t="s">
        <v>4833</v>
      </c>
      <c r="B1197" s="1" t="s">
        <v>24</v>
      </c>
      <c r="C1197" s="1" t="s">
        <v>4834</v>
      </c>
      <c r="D1197" s="1" t="s">
        <v>4810</v>
      </c>
      <c r="E1197" s="1" t="s">
        <v>4810</v>
      </c>
      <c r="F1197" s="1" t="s">
        <v>78</v>
      </c>
      <c r="G1197" s="1" t="s">
        <v>4835</v>
      </c>
      <c r="H1197" s="1" t="s">
        <v>657</v>
      </c>
      <c r="I1197" t="b">
        <f>COUNTIF(Estadísticas!I:I,'centraldecomunicacion.es'!H1197)&gt;0</f>
        <v>0</v>
      </c>
    </row>
    <row r="1198" spans="1:9" hidden="1">
      <c r="A1198" s="1" t="s">
        <v>4836</v>
      </c>
      <c r="B1198" s="1" t="s">
        <v>24</v>
      </c>
      <c r="C1198" s="1" t="s">
        <v>4837</v>
      </c>
      <c r="D1198" s="1" t="s">
        <v>4838</v>
      </c>
      <c r="E1198" s="1" t="s">
        <v>4810</v>
      </c>
      <c r="F1198" s="1" t="s">
        <v>78</v>
      </c>
      <c r="G1198" s="1" t="s">
        <v>4839</v>
      </c>
      <c r="H1198" s="1" t="s">
        <v>657</v>
      </c>
      <c r="I1198" t="b">
        <f>COUNTIF(Estadísticas!I:I,'centraldecomunicacion.es'!H1198)&gt;0</f>
        <v>0</v>
      </c>
    </row>
    <row r="1199" spans="1:9" hidden="1">
      <c r="A1199" s="1" t="s">
        <v>4840</v>
      </c>
      <c r="B1199" s="1" t="s">
        <v>24</v>
      </c>
      <c r="C1199" s="1" t="s">
        <v>4841</v>
      </c>
      <c r="D1199" s="1" t="s">
        <v>4842</v>
      </c>
      <c r="E1199" s="1" t="s">
        <v>4810</v>
      </c>
      <c r="F1199" s="1" t="s">
        <v>78</v>
      </c>
      <c r="G1199" s="1" t="s">
        <v>4843</v>
      </c>
      <c r="H1199" s="1" t="s">
        <v>657</v>
      </c>
      <c r="I1199" t="b">
        <f>COUNTIF(Estadísticas!I:I,'centraldecomunicacion.es'!H1199)&gt;0</f>
        <v>0</v>
      </c>
    </row>
    <row r="1200" spans="1:9" hidden="1">
      <c r="A1200" s="1" t="s">
        <v>4844</v>
      </c>
      <c r="B1200" s="1" t="s">
        <v>10</v>
      </c>
      <c r="C1200" s="1" t="s">
        <v>4845</v>
      </c>
      <c r="D1200" s="1" t="s">
        <v>4846</v>
      </c>
      <c r="E1200" s="1" t="s">
        <v>543</v>
      </c>
      <c r="F1200" s="1" t="s">
        <v>4847</v>
      </c>
      <c r="G1200" s="1" t="s">
        <v>4848</v>
      </c>
      <c r="H1200" s="1" t="s">
        <v>4849</v>
      </c>
      <c r="I1200" t="b">
        <f>COUNTIF(Estadísticas!I:I,'centraldecomunicacion.es'!H1200)&gt;0</f>
        <v>0</v>
      </c>
    </row>
    <row r="1201" spans="1:9" hidden="1">
      <c r="A1201" s="1" t="s">
        <v>4850</v>
      </c>
      <c r="B1201" s="1" t="s">
        <v>24</v>
      </c>
      <c r="C1201" s="1" t="s">
        <v>4851</v>
      </c>
      <c r="D1201" s="1" t="s">
        <v>498</v>
      </c>
      <c r="E1201" s="1" t="s">
        <v>499</v>
      </c>
      <c r="F1201" s="1" t="s">
        <v>4852</v>
      </c>
      <c r="G1201" s="1" t="s">
        <v>4853</v>
      </c>
      <c r="H1201" s="1" t="s">
        <v>657</v>
      </c>
      <c r="I1201" t="b">
        <f>COUNTIF(Estadísticas!I:I,'centraldecomunicacion.es'!H1201)&gt;0</f>
        <v>0</v>
      </c>
    </row>
    <row r="1202" spans="1:9">
      <c r="A1202" s="1" t="s">
        <v>496</v>
      </c>
      <c r="B1202" s="1" t="s">
        <v>24</v>
      </c>
      <c r="C1202" s="1" t="s">
        <v>497</v>
      </c>
      <c r="D1202" s="1" t="s">
        <v>498</v>
      </c>
      <c r="E1202" s="1" t="s">
        <v>499</v>
      </c>
      <c r="F1202" s="1" t="s">
        <v>500</v>
      </c>
      <c r="G1202" s="1" t="s">
        <v>501</v>
      </c>
      <c r="H1202" s="1" t="s">
        <v>502</v>
      </c>
      <c r="I1202" t="b">
        <f>COUNTIF(Estadísticas!I:I,'centraldecomunicacion.es'!H1202)&gt;0</f>
        <v>1</v>
      </c>
    </row>
    <row r="1203" spans="1:9">
      <c r="A1203" s="1" t="s">
        <v>503</v>
      </c>
      <c r="B1203" s="1" t="s">
        <v>10</v>
      </c>
      <c r="C1203" s="1" t="s">
        <v>504</v>
      </c>
      <c r="D1203" s="1" t="s">
        <v>498</v>
      </c>
      <c r="E1203" s="1" t="s">
        <v>499</v>
      </c>
      <c r="F1203" s="1" t="s">
        <v>505</v>
      </c>
      <c r="G1203" s="1" t="s">
        <v>506</v>
      </c>
      <c r="H1203" s="1" t="s">
        <v>507</v>
      </c>
      <c r="I1203" t="b">
        <f>COUNTIF(Estadísticas!I:I,'centraldecomunicacion.es'!H1203)&gt;0</f>
        <v>1</v>
      </c>
    </row>
    <row r="1204" spans="1:9">
      <c r="A1204" s="1" t="s">
        <v>508</v>
      </c>
      <c r="B1204" s="1" t="s">
        <v>10</v>
      </c>
      <c r="C1204" s="1" t="s">
        <v>509</v>
      </c>
      <c r="D1204" s="1" t="s">
        <v>510</v>
      </c>
      <c r="E1204" s="1" t="s">
        <v>511</v>
      </c>
      <c r="F1204" s="1" t="s">
        <v>512</v>
      </c>
      <c r="G1204" s="1" t="s">
        <v>513</v>
      </c>
      <c r="H1204" s="1" t="s">
        <v>514</v>
      </c>
      <c r="I1204" t="b">
        <f>COUNTIF(Estadísticas!I:I,'centraldecomunicacion.es'!H1204)&gt;0</f>
        <v>1</v>
      </c>
    </row>
    <row r="1205" spans="1:9" hidden="1">
      <c r="A1205" s="1" t="s">
        <v>4854</v>
      </c>
      <c r="B1205" s="1" t="s">
        <v>10</v>
      </c>
      <c r="C1205" s="1" t="s">
        <v>4855</v>
      </c>
      <c r="D1205" s="1" t="s">
        <v>4846</v>
      </c>
      <c r="E1205" s="1" t="s">
        <v>543</v>
      </c>
      <c r="F1205" s="1" t="s">
        <v>4856</v>
      </c>
      <c r="G1205" s="1" t="s">
        <v>4857</v>
      </c>
      <c r="H1205" s="1" t="s">
        <v>4858</v>
      </c>
      <c r="I1205" t="b">
        <f>COUNTIF(Estadísticas!I:I,'centraldecomunicacion.es'!H1205)&gt;0</f>
        <v>0</v>
      </c>
    </row>
    <row r="1206" spans="1:9">
      <c r="A1206" s="1" t="s">
        <v>496</v>
      </c>
      <c r="B1206" s="1" t="s">
        <v>24</v>
      </c>
      <c r="C1206" s="1" t="s">
        <v>4859</v>
      </c>
      <c r="D1206" s="1" t="s">
        <v>4846</v>
      </c>
      <c r="E1206" s="1" t="s">
        <v>543</v>
      </c>
      <c r="F1206" s="1" t="s">
        <v>500</v>
      </c>
      <c r="G1206" s="1" t="s">
        <v>4860</v>
      </c>
      <c r="H1206" s="1" t="s">
        <v>502</v>
      </c>
      <c r="I1206" t="b">
        <f>COUNTIF(Estadísticas!I:I,'centraldecomunicacion.es'!H1206)&gt;0</f>
        <v>1</v>
      </c>
    </row>
    <row r="1207" spans="1:9">
      <c r="A1207" s="1" t="s">
        <v>515</v>
      </c>
      <c r="B1207" s="1" t="s">
        <v>24</v>
      </c>
      <c r="C1207" s="1" t="s">
        <v>516</v>
      </c>
      <c r="D1207" s="1" t="s">
        <v>517</v>
      </c>
      <c r="E1207" s="1" t="s">
        <v>518</v>
      </c>
      <c r="F1207" s="1" t="s">
        <v>519</v>
      </c>
      <c r="G1207" s="1" t="s">
        <v>520</v>
      </c>
      <c r="H1207" s="1" t="s">
        <v>521</v>
      </c>
      <c r="I1207" t="b">
        <f>COUNTIF(Estadísticas!I:I,'centraldecomunicacion.es'!H1207)&gt;0</f>
        <v>1</v>
      </c>
    </row>
    <row r="1208" spans="1:9" hidden="1">
      <c r="A1208" s="1" t="s">
        <v>4861</v>
      </c>
      <c r="B1208" s="1" t="s">
        <v>10</v>
      </c>
      <c r="C1208" s="1" t="s">
        <v>4862</v>
      </c>
      <c r="D1208" s="1" t="s">
        <v>524</v>
      </c>
      <c r="E1208" s="1" t="s">
        <v>530</v>
      </c>
      <c r="F1208" s="1" t="s">
        <v>4863</v>
      </c>
      <c r="G1208" s="1" t="s">
        <v>4864</v>
      </c>
      <c r="H1208" s="1" t="s">
        <v>4865</v>
      </c>
      <c r="I1208" t="b">
        <f>COUNTIF(Estadísticas!I:I,'centraldecomunicacion.es'!H1208)&gt;0</f>
        <v>0</v>
      </c>
    </row>
    <row r="1209" spans="1:9">
      <c r="A1209" s="1" t="s">
        <v>522</v>
      </c>
      <c r="B1209" s="1" t="s">
        <v>10</v>
      </c>
      <c r="C1209" s="1" t="s">
        <v>523</v>
      </c>
      <c r="D1209" s="1" t="s">
        <v>524</v>
      </c>
      <c r="E1209" s="1" t="s">
        <v>524</v>
      </c>
      <c r="F1209" s="1" t="s">
        <v>525</v>
      </c>
      <c r="G1209" s="1" t="s">
        <v>526</v>
      </c>
      <c r="H1209" s="1" t="s">
        <v>527</v>
      </c>
      <c r="I1209" t="b">
        <f>COUNTIF(Estadísticas!I:I,'centraldecomunicacion.es'!H1209)&gt;0</f>
        <v>1</v>
      </c>
    </row>
    <row r="1210" spans="1:9" hidden="1">
      <c r="A1210" s="1" t="s">
        <v>4866</v>
      </c>
      <c r="B1210" s="1" t="s">
        <v>10</v>
      </c>
      <c r="C1210" s="1" t="s">
        <v>4867</v>
      </c>
      <c r="D1210" s="1" t="s">
        <v>524</v>
      </c>
      <c r="E1210" s="1" t="s">
        <v>530</v>
      </c>
      <c r="F1210" s="1" t="s">
        <v>78</v>
      </c>
      <c r="G1210" s="1" t="s">
        <v>4868</v>
      </c>
      <c r="H1210" s="1" t="s">
        <v>657</v>
      </c>
      <c r="I1210" t="b">
        <f>COUNTIF(Estadísticas!I:I,'centraldecomunicacion.es'!H1210)&gt;0</f>
        <v>0</v>
      </c>
    </row>
    <row r="1211" spans="1:9" hidden="1">
      <c r="A1211" s="1" t="s">
        <v>4869</v>
      </c>
      <c r="B1211" s="1" t="s">
        <v>10</v>
      </c>
      <c r="C1211" s="1" t="s">
        <v>4870</v>
      </c>
      <c r="D1211" s="1" t="s">
        <v>524</v>
      </c>
      <c r="E1211" s="1" t="s">
        <v>524</v>
      </c>
      <c r="F1211" s="1" t="s">
        <v>78</v>
      </c>
      <c r="G1211" s="1" t="s">
        <v>4868</v>
      </c>
      <c r="H1211" s="1" t="s">
        <v>657</v>
      </c>
      <c r="I1211" t="b">
        <f>COUNTIF(Estadísticas!I:I,'centraldecomunicacion.es'!H1211)&gt;0</f>
        <v>0</v>
      </c>
    </row>
    <row r="1212" spans="1:9" hidden="1">
      <c r="A1212" s="1" t="s">
        <v>4871</v>
      </c>
      <c r="B1212" s="1" t="s">
        <v>10</v>
      </c>
      <c r="C1212" s="1" t="s">
        <v>4872</v>
      </c>
      <c r="D1212" s="1" t="s">
        <v>4873</v>
      </c>
      <c r="E1212" s="1" t="s">
        <v>524</v>
      </c>
      <c r="F1212" s="1" t="s">
        <v>78</v>
      </c>
      <c r="G1212" s="1" t="s">
        <v>4874</v>
      </c>
      <c r="H1212" s="1" t="s">
        <v>657</v>
      </c>
      <c r="I1212" t="b">
        <f>COUNTIF(Estadísticas!I:I,'centraldecomunicacion.es'!H1212)&gt;0</f>
        <v>0</v>
      </c>
    </row>
    <row r="1213" spans="1:9" hidden="1">
      <c r="A1213" s="1" t="s">
        <v>4875</v>
      </c>
      <c r="B1213" s="1" t="s">
        <v>24</v>
      </c>
      <c r="C1213" s="1" t="s">
        <v>4876</v>
      </c>
      <c r="D1213" s="1" t="s">
        <v>524</v>
      </c>
      <c r="E1213" s="1" t="s">
        <v>530</v>
      </c>
      <c r="F1213" s="1" t="s">
        <v>4877</v>
      </c>
      <c r="G1213" s="1" t="s">
        <v>4878</v>
      </c>
      <c r="H1213" s="1" t="s">
        <v>4879</v>
      </c>
      <c r="I1213" t="b">
        <f>COUNTIF(Estadísticas!I:I,'centraldecomunicacion.es'!H1213)&gt;0</f>
        <v>0</v>
      </c>
    </row>
    <row r="1214" spans="1:9">
      <c r="A1214" s="1" t="s">
        <v>528</v>
      </c>
      <c r="B1214" s="1" t="s">
        <v>24</v>
      </c>
      <c r="C1214" s="1" t="s">
        <v>529</v>
      </c>
      <c r="D1214" s="1" t="s">
        <v>524</v>
      </c>
      <c r="E1214" s="1" t="s">
        <v>530</v>
      </c>
      <c r="F1214" s="1" t="s">
        <v>531</v>
      </c>
      <c r="G1214" s="1" t="s">
        <v>532</v>
      </c>
      <c r="H1214" s="1" t="s">
        <v>533</v>
      </c>
      <c r="I1214" t="b">
        <f>COUNTIF(Estadísticas!I:I,'centraldecomunicacion.es'!H1214)&gt;0</f>
        <v>1</v>
      </c>
    </row>
    <row r="1215" spans="1:9" hidden="1">
      <c r="A1215" s="1" t="s">
        <v>4880</v>
      </c>
      <c r="B1215" s="1" t="s">
        <v>24</v>
      </c>
      <c r="C1215" s="1" t="s">
        <v>78</v>
      </c>
      <c r="D1215" s="1" t="s">
        <v>4881</v>
      </c>
      <c r="E1215" s="1" t="s">
        <v>78</v>
      </c>
      <c r="F1215" s="1" t="s">
        <v>4882</v>
      </c>
      <c r="G1215" s="1" t="s">
        <v>4883</v>
      </c>
      <c r="H1215" s="1" t="s">
        <v>4884</v>
      </c>
      <c r="I1215" t="b">
        <f>COUNTIF(Estadísticas!I:I,'centraldecomunicacion.es'!H1215)&gt;0</f>
        <v>0</v>
      </c>
    </row>
    <row r="1216" spans="1:9" hidden="1">
      <c r="A1216" s="1" t="s">
        <v>4885</v>
      </c>
      <c r="B1216" s="1" t="s">
        <v>24</v>
      </c>
      <c r="C1216" s="1" t="s">
        <v>4886</v>
      </c>
      <c r="D1216" s="1" t="s">
        <v>524</v>
      </c>
      <c r="E1216" s="1" t="s">
        <v>524</v>
      </c>
      <c r="F1216" s="1" t="s">
        <v>78</v>
      </c>
      <c r="G1216" s="1" t="s">
        <v>4887</v>
      </c>
      <c r="H1216" s="1" t="s">
        <v>657</v>
      </c>
      <c r="I1216" t="b">
        <f>COUNTIF(Estadísticas!I:I,'centraldecomunicacion.es'!H1216)&gt;0</f>
        <v>0</v>
      </c>
    </row>
    <row r="1217" spans="1:9" hidden="1">
      <c r="A1217" s="1" t="s">
        <v>4888</v>
      </c>
      <c r="B1217" s="1" t="s">
        <v>10</v>
      </c>
      <c r="C1217" s="1" t="s">
        <v>4889</v>
      </c>
      <c r="D1217" s="1" t="s">
        <v>4890</v>
      </c>
      <c r="E1217" s="1" t="s">
        <v>530</v>
      </c>
      <c r="F1217" s="1" t="s">
        <v>4891</v>
      </c>
      <c r="G1217" s="1" t="s">
        <v>4892</v>
      </c>
      <c r="H1217" s="1" t="s">
        <v>4893</v>
      </c>
      <c r="I1217" t="b">
        <f>COUNTIF(Estadísticas!I:I,'centraldecomunicacion.es'!H1217)&gt;0</f>
        <v>0</v>
      </c>
    </row>
    <row r="1218" spans="1:9" hidden="1">
      <c r="A1218" s="1" t="s">
        <v>4894</v>
      </c>
      <c r="B1218" s="1" t="s">
        <v>10</v>
      </c>
      <c r="C1218" s="1" t="s">
        <v>4895</v>
      </c>
      <c r="D1218" s="1" t="s">
        <v>4896</v>
      </c>
      <c r="E1218" s="1" t="s">
        <v>530</v>
      </c>
      <c r="F1218" s="1" t="s">
        <v>4897</v>
      </c>
      <c r="G1218" s="1" t="s">
        <v>4898</v>
      </c>
      <c r="H1218" s="1" t="s">
        <v>657</v>
      </c>
      <c r="I1218" t="b">
        <f>COUNTIF(Estadísticas!I:I,'centraldecomunicacion.es'!H1218)&gt;0</f>
        <v>0</v>
      </c>
    </row>
    <row r="1219" spans="1:9" hidden="1">
      <c r="A1219" s="1" t="s">
        <v>528</v>
      </c>
      <c r="B1219" s="1" t="s">
        <v>24</v>
      </c>
      <c r="C1219" s="1" t="s">
        <v>4899</v>
      </c>
      <c r="D1219" s="1" t="s">
        <v>4900</v>
      </c>
      <c r="E1219" s="1" t="s">
        <v>524</v>
      </c>
      <c r="F1219" s="1" t="s">
        <v>4901</v>
      </c>
      <c r="G1219" s="1" t="s">
        <v>78</v>
      </c>
      <c r="H1219" s="1" t="s">
        <v>657</v>
      </c>
      <c r="I1219" t="b">
        <f>COUNTIF(Estadísticas!I:I,'centraldecomunicacion.es'!H1219)&gt;0</f>
        <v>0</v>
      </c>
    </row>
    <row r="1220" spans="1:9">
      <c r="A1220" s="1" t="s">
        <v>534</v>
      </c>
      <c r="B1220" s="1" t="s">
        <v>24</v>
      </c>
      <c r="C1220" s="1" t="s">
        <v>535</v>
      </c>
      <c r="D1220" s="1" t="s">
        <v>536</v>
      </c>
      <c r="E1220" s="1" t="s">
        <v>524</v>
      </c>
      <c r="F1220" s="1" t="s">
        <v>537</v>
      </c>
      <c r="G1220" s="1" t="s">
        <v>538</v>
      </c>
      <c r="H1220" s="1" t="s">
        <v>539</v>
      </c>
      <c r="I1220" t="b">
        <f>COUNTIF(Estadísticas!I:I,'centraldecomunicacion.es'!H1220)&gt;0</f>
        <v>1</v>
      </c>
    </row>
    <row r="1221" spans="1:9" hidden="1">
      <c r="A1221" s="1" t="s">
        <v>4902</v>
      </c>
      <c r="B1221" s="1" t="s">
        <v>24</v>
      </c>
      <c r="C1221" s="1" t="s">
        <v>4903</v>
      </c>
      <c r="D1221" s="1" t="s">
        <v>4904</v>
      </c>
      <c r="E1221" s="1" t="s">
        <v>530</v>
      </c>
      <c r="F1221" s="1" t="s">
        <v>78</v>
      </c>
      <c r="G1221" s="1" t="s">
        <v>4905</v>
      </c>
      <c r="H1221" s="1" t="s">
        <v>657</v>
      </c>
      <c r="I1221" t="b">
        <f>COUNTIF(Estadísticas!I:I,'centraldecomunicacion.es'!H1221)&gt;0</f>
        <v>0</v>
      </c>
    </row>
    <row r="1222" spans="1:9" hidden="1">
      <c r="A1222" s="1" t="s">
        <v>4906</v>
      </c>
      <c r="B1222" s="1" t="s">
        <v>24</v>
      </c>
      <c r="C1222" s="1" t="s">
        <v>4907</v>
      </c>
      <c r="D1222" s="1" t="s">
        <v>543</v>
      </c>
      <c r="E1222" s="1" t="s">
        <v>543</v>
      </c>
      <c r="F1222" s="1" t="s">
        <v>4908</v>
      </c>
      <c r="G1222" s="1" t="s">
        <v>4909</v>
      </c>
      <c r="H1222" s="1" t="s">
        <v>4910</v>
      </c>
      <c r="I1222" t="b">
        <f>COUNTIF(Estadísticas!I:I,'centraldecomunicacion.es'!H1222)&gt;0</f>
        <v>0</v>
      </c>
    </row>
    <row r="1223" spans="1:9" hidden="1">
      <c r="A1223" s="1" t="s">
        <v>4911</v>
      </c>
      <c r="B1223" s="1" t="s">
        <v>24</v>
      </c>
      <c r="C1223" s="1" t="s">
        <v>4912</v>
      </c>
      <c r="D1223" s="1" t="s">
        <v>543</v>
      </c>
      <c r="E1223" s="1" t="s">
        <v>543</v>
      </c>
      <c r="F1223" s="1" t="s">
        <v>4913</v>
      </c>
      <c r="G1223" s="1" t="s">
        <v>4914</v>
      </c>
      <c r="H1223" s="1" t="s">
        <v>4915</v>
      </c>
      <c r="I1223" t="b">
        <f>COUNTIF(Estadísticas!I:I,'centraldecomunicacion.es'!H1223)&gt;0</f>
        <v>0</v>
      </c>
    </row>
    <row r="1224" spans="1:9" hidden="1">
      <c r="A1224" s="1" t="s">
        <v>4916</v>
      </c>
      <c r="B1224" s="1" t="s">
        <v>24</v>
      </c>
      <c r="C1224" s="1" t="s">
        <v>4917</v>
      </c>
      <c r="D1224" s="1" t="s">
        <v>543</v>
      </c>
      <c r="E1224" s="1" t="s">
        <v>543</v>
      </c>
      <c r="F1224" s="1" t="s">
        <v>4918</v>
      </c>
      <c r="G1224" s="1" t="s">
        <v>78</v>
      </c>
      <c r="H1224" s="1" t="s">
        <v>4919</v>
      </c>
      <c r="I1224" t="b">
        <f>COUNTIF(Estadísticas!I:I,'centraldecomunicacion.es'!H1224)&gt;0</f>
        <v>0</v>
      </c>
    </row>
    <row r="1225" spans="1:9" hidden="1">
      <c r="A1225" s="1" t="s">
        <v>4920</v>
      </c>
      <c r="B1225" s="1" t="s">
        <v>10</v>
      </c>
      <c r="C1225" s="1" t="s">
        <v>4921</v>
      </c>
      <c r="D1225" s="1" t="s">
        <v>4922</v>
      </c>
      <c r="E1225" s="1" t="s">
        <v>543</v>
      </c>
      <c r="F1225" s="1" t="s">
        <v>795</v>
      </c>
      <c r="G1225" s="1" t="s">
        <v>796</v>
      </c>
      <c r="H1225" s="1" t="s">
        <v>797</v>
      </c>
      <c r="I1225" t="b">
        <f>COUNTIF(Estadísticas!I:I,'centraldecomunicacion.es'!H1225)&gt;0</f>
        <v>0</v>
      </c>
    </row>
    <row r="1226" spans="1:9" hidden="1">
      <c r="A1226" s="1" t="s">
        <v>4923</v>
      </c>
      <c r="B1226" s="1" t="s">
        <v>10</v>
      </c>
      <c r="C1226" s="1" t="s">
        <v>4924</v>
      </c>
      <c r="D1226" s="1" t="s">
        <v>543</v>
      </c>
      <c r="E1226" s="1" t="s">
        <v>543</v>
      </c>
      <c r="F1226" s="1" t="s">
        <v>78</v>
      </c>
      <c r="G1226" s="1" t="s">
        <v>4925</v>
      </c>
      <c r="H1226" s="1" t="s">
        <v>657</v>
      </c>
      <c r="I1226" t="b">
        <f>COUNTIF(Estadísticas!I:I,'centraldecomunicacion.es'!H1226)&gt;0</f>
        <v>0</v>
      </c>
    </row>
    <row r="1227" spans="1:9">
      <c r="A1227" s="1" t="s">
        <v>540</v>
      </c>
      <c r="B1227" s="1" t="s">
        <v>24</v>
      </c>
      <c r="C1227" s="1" t="s">
        <v>541</v>
      </c>
      <c r="D1227" s="1" t="s">
        <v>542</v>
      </c>
      <c r="E1227" s="1" t="s">
        <v>543</v>
      </c>
      <c r="F1227" s="1" t="s">
        <v>544</v>
      </c>
      <c r="G1227" s="1" t="s">
        <v>545</v>
      </c>
      <c r="H1227" s="1" t="s">
        <v>546</v>
      </c>
      <c r="I1227" t="b">
        <f>COUNTIF(Estadísticas!I:I,'centraldecomunicacion.es'!H1227)&gt;0</f>
        <v>1</v>
      </c>
    </row>
    <row r="1228" spans="1:9" hidden="1">
      <c r="A1228" s="1" t="s">
        <v>4926</v>
      </c>
      <c r="B1228" s="1" t="s">
        <v>24</v>
      </c>
      <c r="C1228" s="1" t="s">
        <v>4927</v>
      </c>
      <c r="D1228" s="1" t="s">
        <v>4928</v>
      </c>
      <c r="E1228" s="1" t="s">
        <v>543</v>
      </c>
      <c r="F1228" s="1" t="s">
        <v>4929</v>
      </c>
      <c r="G1228" s="1" t="s">
        <v>4848</v>
      </c>
      <c r="H1228" s="1" t="s">
        <v>657</v>
      </c>
      <c r="I1228" t="b">
        <f>COUNTIF(Estadísticas!I:I,'centraldecomunicacion.es'!H1228)&gt;0</f>
        <v>0</v>
      </c>
    </row>
    <row r="1229" spans="1:9" hidden="1">
      <c r="A1229" s="1" t="s">
        <v>4930</v>
      </c>
      <c r="B1229" s="1" t="s">
        <v>24</v>
      </c>
      <c r="C1229" s="1" t="s">
        <v>4931</v>
      </c>
      <c r="D1229" s="1" t="s">
        <v>4932</v>
      </c>
      <c r="E1229" s="1" t="s">
        <v>543</v>
      </c>
      <c r="F1229" s="1" t="s">
        <v>78</v>
      </c>
      <c r="G1229" s="1" t="s">
        <v>4933</v>
      </c>
      <c r="H1229" s="1" t="s">
        <v>657</v>
      </c>
      <c r="I1229" t="b">
        <f>COUNTIF(Estadísticas!I:I,'centraldecomunicacion.es'!H1229)&gt;0</f>
        <v>0</v>
      </c>
    </row>
    <row r="1230" spans="1:9" hidden="1">
      <c r="A1230" s="1" t="s">
        <v>4934</v>
      </c>
      <c r="B1230" s="1" t="s">
        <v>24</v>
      </c>
      <c r="C1230" s="1" t="s">
        <v>4935</v>
      </c>
      <c r="D1230" s="1" t="s">
        <v>4846</v>
      </c>
      <c r="E1230" s="1" t="s">
        <v>543</v>
      </c>
      <c r="F1230" s="1" t="s">
        <v>78</v>
      </c>
      <c r="G1230" s="1" t="s">
        <v>4936</v>
      </c>
      <c r="H1230" s="1" t="s">
        <v>657</v>
      </c>
      <c r="I1230" t="b">
        <f>COUNTIF(Estadísticas!I:I,'centraldecomunicacion.es'!H1230)&gt;0</f>
        <v>0</v>
      </c>
    </row>
    <row r="1231" spans="1:9" hidden="1">
      <c r="A1231" s="1" t="s">
        <v>4937</v>
      </c>
      <c r="B1231" s="1" t="s">
        <v>24</v>
      </c>
      <c r="C1231" s="1" t="s">
        <v>4938</v>
      </c>
      <c r="D1231" s="1" t="s">
        <v>4846</v>
      </c>
      <c r="E1231" s="1" t="s">
        <v>543</v>
      </c>
      <c r="F1231" s="1" t="s">
        <v>78</v>
      </c>
      <c r="G1231" s="1" t="s">
        <v>78</v>
      </c>
      <c r="H1231" s="1" t="s">
        <v>657</v>
      </c>
      <c r="I1231" t="b">
        <f>COUNTIF(Estadísticas!I:I,'centraldecomunicacion.es'!H1231)&gt;0</f>
        <v>0</v>
      </c>
    </row>
    <row r="1232" spans="1:9" hidden="1">
      <c r="A1232" s="1" t="s">
        <v>4939</v>
      </c>
      <c r="B1232" s="1" t="s">
        <v>24</v>
      </c>
      <c r="C1232" s="1" t="s">
        <v>4940</v>
      </c>
      <c r="D1232" s="1" t="s">
        <v>4846</v>
      </c>
      <c r="E1232" s="1" t="s">
        <v>543</v>
      </c>
      <c r="F1232" s="1" t="s">
        <v>4941</v>
      </c>
      <c r="G1232" s="1" t="s">
        <v>4942</v>
      </c>
      <c r="H1232" s="1" t="s">
        <v>657</v>
      </c>
      <c r="I1232" t="b">
        <f>COUNTIF(Estadísticas!I:I,'centraldecomunicacion.es'!H1232)&gt;0</f>
        <v>0</v>
      </c>
    </row>
    <row r="1233" spans="1:9" hidden="1">
      <c r="A1233" s="1" t="s">
        <v>4943</v>
      </c>
      <c r="B1233" s="1" t="s">
        <v>24</v>
      </c>
      <c r="C1233" s="1" t="s">
        <v>4944</v>
      </c>
      <c r="D1233" s="1" t="s">
        <v>4846</v>
      </c>
      <c r="E1233" s="1" t="s">
        <v>543</v>
      </c>
      <c r="F1233" s="1" t="s">
        <v>4945</v>
      </c>
      <c r="G1233" s="1" t="s">
        <v>4946</v>
      </c>
      <c r="H1233" s="1" t="s">
        <v>4947</v>
      </c>
      <c r="I1233" t="b">
        <f>COUNTIF(Estadísticas!I:I,'centraldecomunicacion.es'!H1233)&gt;0</f>
        <v>0</v>
      </c>
    </row>
    <row r="1234" spans="1:9" hidden="1">
      <c r="A1234" s="1" t="s">
        <v>4948</v>
      </c>
      <c r="B1234" s="1" t="s">
        <v>24</v>
      </c>
      <c r="C1234" s="1" t="s">
        <v>4949</v>
      </c>
      <c r="D1234" s="1" t="s">
        <v>4846</v>
      </c>
      <c r="E1234" s="1" t="s">
        <v>543</v>
      </c>
      <c r="F1234" s="1" t="s">
        <v>78</v>
      </c>
      <c r="G1234" s="1" t="s">
        <v>4950</v>
      </c>
      <c r="H1234" s="1" t="s">
        <v>657</v>
      </c>
      <c r="I1234" t="b">
        <f>COUNTIF(Estadísticas!I:I,'centraldecomunicacion.es'!H1234)&gt;0</f>
        <v>0</v>
      </c>
    </row>
    <row r="1235" spans="1:9" hidden="1">
      <c r="A1235" s="1" t="s">
        <v>4951</v>
      </c>
      <c r="B1235" s="1" t="s">
        <v>10</v>
      </c>
      <c r="C1235" s="1" t="s">
        <v>4952</v>
      </c>
      <c r="D1235" s="1" t="s">
        <v>4953</v>
      </c>
      <c r="E1235" s="1" t="s">
        <v>499</v>
      </c>
      <c r="F1235" s="1" t="s">
        <v>4954</v>
      </c>
      <c r="G1235" s="1" t="s">
        <v>4955</v>
      </c>
      <c r="H1235" s="1" t="s">
        <v>4956</v>
      </c>
      <c r="I1235" t="b">
        <f>COUNTIF(Estadísticas!I:I,'centraldecomunicacion.es'!H1235)&gt;0</f>
        <v>0</v>
      </c>
    </row>
    <row r="1236" spans="1:9" hidden="1">
      <c r="A1236" s="1" t="s">
        <v>4957</v>
      </c>
      <c r="B1236" s="1" t="s">
        <v>24</v>
      </c>
      <c r="C1236" s="1" t="s">
        <v>4958</v>
      </c>
      <c r="D1236" s="1" t="s">
        <v>4846</v>
      </c>
      <c r="E1236" s="1" t="s">
        <v>543</v>
      </c>
      <c r="F1236" s="1" t="s">
        <v>4959</v>
      </c>
      <c r="G1236" s="1" t="s">
        <v>4960</v>
      </c>
      <c r="H1236" s="1" t="s">
        <v>657</v>
      </c>
      <c r="I1236" t="b">
        <f>COUNTIF(Estadísticas!I:I,'centraldecomunicacion.es'!H1236)&gt;0</f>
        <v>0</v>
      </c>
    </row>
    <row r="1237" spans="1:9" hidden="1">
      <c r="A1237" s="1" t="s">
        <v>4961</v>
      </c>
      <c r="B1237" s="1" t="s">
        <v>10</v>
      </c>
      <c r="C1237" s="1" t="s">
        <v>4962</v>
      </c>
      <c r="D1237" s="1" t="s">
        <v>4953</v>
      </c>
      <c r="E1237" s="1" t="s">
        <v>499</v>
      </c>
      <c r="F1237" s="1" t="s">
        <v>4963</v>
      </c>
      <c r="G1237" s="1" t="s">
        <v>4964</v>
      </c>
      <c r="H1237" s="1" t="s">
        <v>4965</v>
      </c>
      <c r="I1237" t="b">
        <f>COUNTIF(Estadísticas!I:I,'centraldecomunicacion.es'!H1237)&gt;0</f>
        <v>0</v>
      </c>
    </row>
    <row r="1238" spans="1:9" hidden="1">
      <c r="A1238" s="1" t="s">
        <v>4966</v>
      </c>
      <c r="B1238" s="1" t="s">
        <v>24</v>
      </c>
      <c r="C1238" s="1" t="s">
        <v>4967</v>
      </c>
      <c r="D1238" s="1" t="s">
        <v>4953</v>
      </c>
      <c r="E1238" s="1" t="s">
        <v>499</v>
      </c>
      <c r="F1238" s="1" t="s">
        <v>78</v>
      </c>
      <c r="G1238" s="1" t="s">
        <v>78</v>
      </c>
      <c r="H1238" s="1" t="s">
        <v>657</v>
      </c>
      <c r="I1238" t="b">
        <f>COUNTIF(Estadísticas!I:I,'centraldecomunicacion.es'!H1238)&gt;0</f>
        <v>0</v>
      </c>
    </row>
    <row r="1239" spans="1:9" hidden="1">
      <c r="A1239" s="1" t="s">
        <v>4968</v>
      </c>
      <c r="B1239" s="1" t="s">
        <v>24</v>
      </c>
      <c r="C1239" s="1" t="s">
        <v>4969</v>
      </c>
      <c r="D1239" s="1" t="s">
        <v>4970</v>
      </c>
      <c r="E1239" s="1" t="s">
        <v>499</v>
      </c>
      <c r="F1239" s="1" t="s">
        <v>829</v>
      </c>
      <c r="G1239" s="1" t="s">
        <v>4971</v>
      </c>
      <c r="H1239" s="1" t="s">
        <v>831</v>
      </c>
      <c r="I1239" t="b">
        <f>COUNTIF(Estadísticas!I:I,'centraldecomunicacion.es'!H1239)&gt;0</f>
        <v>0</v>
      </c>
    </row>
    <row r="1240" spans="1:9" hidden="1">
      <c r="A1240" s="1" t="s">
        <v>4972</v>
      </c>
      <c r="B1240" s="1" t="s">
        <v>24</v>
      </c>
      <c r="C1240" s="1" t="s">
        <v>4973</v>
      </c>
      <c r="D1240" s="1" t="s">
        <v>498</v>
      </c>
      <c r="E1240" s="1" t="s">
        <v>499</v>
      </c>
      <c r="F1240" s="1" t="s">
        <v>4974</v>
      </c>
      <c r="G1240" s="1" t="s">
        <v>4975</v>
      </c>
      <c r="H1240" s="1" t="s">
        <v>4976</v>
      </c>
      <c r="I1240" t="b">
        <f>COUNTIF(Estadísticas!I:I,'centraldecomunicacion.es'!H1240)&gt;0</f>
        <v>0</v>
      </c>
    </row>
    <row r="1241" spans="1:9" hidden="1">
      <c r="A1241" s="1" t="s">
        <v>4977</v>
      </c>
      <c r="B1241" s="1" t="s">
        <v>24</v>
      </c>
      <c r="C1241" s="1" t="s">
        <v>4978</v>
      </c>
      <c r="D1241" s="1" t="s">
        <v>38</v>
      </c>
      <c r="E1241" s="1" t="s">
        <v>38</v>
      </c>
      <c r="F1241" s="1" t="s">
        <v>4979</v>
      </c>
      <c r="G1241" s="1" t="s">
        <v>4980</v>
      </c>
      <c r="H1241" s="1" t="s">
        <v>657</v>
      </c>
      <c r="I1241" t="b">
        <f>COUNTIF(Estadísticas!I:I,'centraldecomunicacion.es'!H1241)&gt;0</f>
        <v>0</v>
      </c>
    </row>
    <row r="1242" spans="1:9" hidden="1">
      <c r="A1242" s="1" t="s">
        <v>4966</v>
      </c>
      <c r="B1242" s="1" t="s">
        <v>24</v>
      </c>
      <c r="C1242" s="1" t="s">
        <v>4981</v>
      </c>
      <c r="D1242" s="1" t="s">
        <v>498</v>
      </c>
      <c r="E1242" s="1" t="s">
        <v>498</v>
      </c>
      <c r="F1242" s="1" t="s">
        <v>78</v>
      </c>
      <c r="G1242" s="1" t="s">
        <v>78</v>
      </c>
      <c r="H1242" s="1" t="s">
        <v>657</v>
      </c>
      <c r="I1242" t="b">
        <f>COUNTIF(Estadísticas!I:I,'centraldecomunicacion.es'!H1242)&gt;0</f>
        <v>0</v>
      </c>
    </row>
    <row r="1243" spans="1:9" hidden="1">
      <c r="A1243" s="1" t="s">
        <v>4982</v>
      </c>
      <c r="B1243" s="1" t="s">
        <v>24</v>
      </c>
      <c r="C1243" s="1" t="s">
        <v>4983</v>
      </c>
      <c r="D1243" s="1" t="s">
        <v>4984</v>
      </c>
      <c r="E1243" s="1" t="s">
        <v>135</v>
      </c>
      <c r="F1243" s="1" t="s">
        <v>4985</v>
      </c>
      <c r="G1243" s="1" t="s">
        <v>4986</v>
      </c>
      <c r="H1243" s="1" t="s">
        <v>4987</v>
      </c>
      <c r="I1243" t="b">
        <f>COUNTIF(Estadísticas!I:I,'centraldecomunicacion.es'!H1243)&gt;0</f>
        <v>0</v>
      </c>
    </row>
    <row r="1244" spans="1:9" hidden="1">
      <c r="A1244" s="1" t="s">
        <v>4988</v>
      </c>
      <c r="B1244" s="1" t="s">
        <v>24</v>
      </c>
      <c r="C1244" s="1" t="s">
        <v>78</v>
      </c>
      <c r="D1244" s="1" t="s">
        <v>4989</v>
      </c>
      <c r="E1244" s="1" t="s">
        <v>78</v>
      </c>
      <c r="F1244" s="1" t="s">
        <v>4990</v>
      </c>
      <c r="G1244" s="1" t="s">
        <v>4991</v>
      </c>
      <c r="H1244" s="1" t="s">
        <v>657</v>
      </c>
      <c r="I1244" t="b">
        <f>COUNTIF(Estadísticas!I:I,'centraldecomunicacion.es'!H1244)&gt;0</f>
        <v>0</v>
      </c>
    </row>
    <row r="1245" spans="1:9">
      <c r="A1245" s="1" t="s">
        <v>547</v>
      </c>
      <c r="B1245" s="1" t="s">
        <v>10</v>
      </c>
      <c r="C1245" s="1" t="s">
        <v>548</v>
      </c>
      <c r="D1245" s="1" t="s">
        <v>549</v>
      </c>
      <c r="E1245" s="1" t="s">
        <v>550</v>
      </c>
      <c r="F1245" s="1" t="s">
        <v>551</v>
      </c>
      <c r="G1245" s="1" t="s">
        <v>552</v>
      </c>
      <c r="H1245" s="1" t="s">
        <v>553</v>
      </c>
      <c r="I1245" t="b">
        <f>COUNTIF(Estadísticas!I:I,'centraldecomunicacion.es'!H1245)&gt;0</f>
        <v>1</v>
      </c>
    </row>
    <row r="1246" spans="1:9" hidden="1">
      <c r="A1246" s="1" t="s">
        <v>4992</v>
      </c>
      <c r="B1246" s="1" t="s">
        <v>24</v>
      </c>
      <c r="C1246" s="1" t="s">
        <v>4993</v>
      </c>
      <c r="D1246" s="1" t="s">
        <v>549</v>
      </c>
      <c r="E1246" s="1" t="s">
        <v>550</v>
      </c>
      <c r="F1246" s="1" t="s">
        <v>4994</v>
      </c>
      <c r="G1246" s="1" t="s">
        <v>4995</v>
      </c>
      <c r="H1246" s="1" t="s">
        <v>657</v>
      </c>
      <c r="I1246" t="b">
        <f>COUNTIF(Estadísticas!I:I,'centraldecomunicacion.es'!H1246)&gt;0</f>
        <v>0</v>
      </c>
    </row>
    <row r="1247" spans="1:9" hidden="1">
      <c r="A1247" s="1" t="s">
        <v>4996</v>
      </c>
      <c r="B1247" s="1" t="s">
        <v>24</v>
      </c>
      <c r="C1247" s="1" t="s">
        <v>4997</v>
      </c>
      <c r="D1247" s="1" t="s">
        <v>549</v>
      </c>
      <c r="E1247" s="1" t="s">
        <v>550</v>
      </c>
      <c r="F1247" s="1" t="s">
        <v>4998</v>
      </c>
      <c r="G1247" s="1" t="s">
        <v>4999</v>
      </c>
      <c r="H1247" s="1" t="s">
        <v>657</v>
      </c>
      <c r="I1247" t="b">
        <f>COUNTIF(Estadísticas!I:I,'centraldecomunicacion.es'!H1247)&gt;0</f>
        <v>0</v>
      </c>
    </row>
    <row r="1248" spans="1:9" hidden="1">
      <c r="A1248" s="1" t="s">
        <v>5000</v>
      </c>
      <c r="B1248" s="1" t="s">
        <v>24</v>
      </c>
      <c r="C1248" s="1" t="s">
        <v>5001</v>
      </c>
      <c r="D1248" s="1" t="s">
        <v>549</v>
      </c>
      <c r="E1248" s="1" t="s">
        <v>550</v>
      </c>
      <c r="F1248" s="1" t="s">
        <v>5002</v>
      </c>
      <c r="G1248" s="1" t="s">
        <v>5003</v>
      </c>
      <c r="H1248" s="1" t="s">
        <v>657</v>
      </c>
      <c r="I1248" t="b">
        <f>COUNTIF(Estadísticas!I:I,'centraldecomunicacion.es'!H1248)&gt;0</f>
        <v>0</v>
      </c>
    </row>
    <row r="1249" spans="1:9" hidden="1">
      <c r="A1249" s="1" t="s">
        <v>5004</v>
      </c>
      <c r="B1249" s="1" t="s">
        <v>24</v>
      </c>
      <c r="C1249" s="1" t="s">
        <v>78</v>
      </c>
      <c r="D1249" s="1" t="s">
        <v>4989</v>
      </c>
      <c r="E1249" s="1" t="s">
        <v>78</v>
      </c>
      <c r="F1249" s="1" t="s">
        <v>1778</v>
      </c>
      <c r="G1249" s="1" t="s">
        <v>5005</v>
      </c>
      <c r="H1249" s="1" t="s">
        <v>657</v>
      </c>
      <c r="I1249" t="b">
        <f>COUNTIF(Estadísticas!I:I,'centraldecomunicacion.es'!H1249)&gt;0</f>
        <v>0</v>
      </c>
    </row>
    <row r="1250" spans="1:9" hidden="1">
      <c r="A1250" s="1" t="s">
        <v>5006</v>
      </c>
      <c r="B1250" s="1" t="s">
        <v>24</v>
      </c>
      <c r="C1250" s="1" t="s">
        <v>5007</v>
      </c>
      <c r="D1250" s="1" t="s">
        <v>549</v>
      </c>
      <c r="E1250" s="1" t="s">
        <v>550</v>
      </c>
      <c r="F1250" s="1" t="s">
        <v>78</v>
      </c>
      <c r="G1250" s="1" t="s">
        <v>5008</v>
      </c>
      <c r="H1250" s="1" t="s">
        <v>657</v>
      </c>
      <c r="I1250" t="b">
        <f>COUNTIF(Estadísticas!I:I,'centraldecomunicacion.es'!H1250)&gt;0</f>
        <v>0</v>
      </c>
    </row>
    <row r="1251" spans="1:9" hidden="1">
      <c r="A1251" s="1" t="s">
        <v>5009</v>
      </c>
      <c r="B1251" s="1" t="s">
        <v>24</v>
      </c>
      <c r="C1251" s="1" t="s">
        <v>5010</v>
      </c>
      <c r="D1251" s="1" t="s">
        <v>549</v>
      </c>
      <c r="E1251" s="1" t="s">
        <v>550</v>
      </c>
      <c r="F1251" s="1" t="s">
        <v>78</v>
      </c>
      <c r="G1251" s="1" t="s">
        <v>5011</v>
      </c>
      <c r="H1251" s="1" t="s">
        <v>657</v>
      </c>
      <c r="I1251" t="b">
        <f>COUNTIF(Estadísticas!I:I,'centraldecomunicacion.es'!H1251)&gt;0</f>
        <v>0</v>
      </c>
    </row>
    <row r="1252" spans="1:9" hidden="1">
      <c r="A1252" s="1" t="s">
        <v>5012</v>
      </c>
      <c r="B1252" s="1" t="s">
        <v>24</v>
      </c>
      <c r="C1252" s="1" t="s">
        <v>5013</v>
      </c>
      <c r="D1252" s="1" t="s">
        <v>549</v>
      </c>
      <c r="E1252" s="1" t="s">
        <v>550</v>
      </c>
      <c r="F1252" s="1" t="s">
        <v>78</v>
      </c>
      <c r="G1252" s="1" t="s">
        <v>5014</v>
      </c>
      <c r="H1252" s="1" t="s">
        <v>657</v>
      </c>
      <c r="I1252" t="b">
        <f>COUNTIF(Estadísticas!I:I,'centraldecomunicacion.es'!H1252)&gt;0</f>
        <v>0</v>
      </c>
    </row>
    <row r="1253" spans="1:9" hidden="1">
      <c r="A1253" s="1" t="s">
        <v>5015</v>
      </c>
      <c r="B1253" s="1" t="s">
        <v>24</v>
      </c>
      <c r="C1253" s="1" t="s">
        <v>5016</v>
      </c>
      <c r="D1253" s="1" t="s">
        <v>5017</v>
      </c>
      <c r="E1253" s="1" t="s">
        <v>550</v>
      </c>
      <c r="F1253" s="1" t="s">
        <v>78</v>
      </c>
      <c r="G1253" s="1" t="s">
        <v>5018</v>
      </c>
      <c r="H1253" s="1" t="s">
        <v>657</v>
      </c>
      <c r="I1253" t="b">
        <f>COUNTIF(Estadísticas!I:I,'centraldecomunicacion.es'!H1253)&gt;0</f>
        <v>0</v>
      </c>
    </row>
    <row r="1254" spans="1:9">
      <c r="A1254" s="1" t="s">
        <v>554</v>
      </c>
      <c r="B1254" s="1" t="s">
        <v>24</v>
      </c>
      <c r="C1254" s="1" t="s">
        <v>555</v>
      </c>
      <c r="D1254" s="1" t="s">
        <v>213</v>
      </c>
      <c r="E1254" s="1" t="s">
        <v>556</v>
      </c>
      <c r="F1254" s="1" t="s">
        <v>557</v>
      </c>
      <c r="G1254" s="1" t="s">
        <v>558</v>
      </c>
      <c r="H1254" s="1" t="s">
        <v>559</v>
      </c>
      <c r="I1254" t="b">
        <f>COUNTIF(Estadísticas!I:I,'centraldecomunicacion.es'!H1254)&gt;0</f>
        <v>1</v>
      </c>
    </row>
    <row r="1255" spans="1:9" hidden="1">
      <c r="A1255" s="1" t="s">
        <v>5019</v>
      </c>
      <c r="B1255" s="1" t="s">
        <v>24</v>
      </c>
      <c r="C1255" s="1" t="s">
        <v>5020</v>
      </c>
      <c r="D1255" s="1" t="s">
        <v>213</v>
      </c>
      <c r="E1255" s="1" t="s">
        <v>214</v>
      </c>
      <c r="F1255" s="1" t="s">
        <v>5021</v>
      </c>
      <c r="G1255" s="1" t="s">
        <v>5022</v>
      </c>
      <c r="H1255" s="1" t="s">
        <v>5023</v>
      </c>
      <c r="I1255" t="b">
        <f>COUNTIF(Estadísticas!I:I,'centraldecomunicacion.es'!H1255)&gt;0</f>
        <v>0</v>
      </c>
    </row>
    <row r="1256" spans="1:9" hidden="1">
      <c r="A1256" s="1" t="s">
        <v>5024</v>
      </c>
      <c r="B1256" s="1" t="s">
        <v>24</v>
      </c>
      <c r="C1256" s="1" t="s">
        <v>5025</v>
      </c>
      <c r="D1256" s="1" t="s">
        <v>5026</v>
      </c>
      <c r="E1256" s="1" t="s">
        <v>625</v>
      </c>
      <c r="F1256" s="1" t="s">
        <v>5027</v>
      </c>
      <c r="G1256" s="1" t="s">
        <v>5028</v>
      </c>
      <c r="H1256" s="1" t="s">
        <v>5029</v>
      </c>
      <c r="I1256" t="b">
        <f>COUNTIF(Estadísticas!I:I,'centraldecomunicacion.es'!H1256)&gt;0</f>
        <v>0</v>
      </c>
    </row>
    <row r="1257" spans="1:9" hidden="1">
      <c r="A1257" s="1" t="s">
        <v>5030</v>
      </c>
      <c r="B1257" s="1" t="s">
        <v>10</v>
      </c>
      <c r="C1257" s="1" t="s">
        <v>5031</v>
      </c>
      <c r="D1257" s="1" t="s">
        <v>5032</v>
      </c>
      <c r="E1257" s="1" t="s">
        <v>625</v>
      </c>
      <c r="F1257" s="1" t="s">
        <v>5033</v>
      </c>
      <c r="G1257" s="1" t="s">
        <v>5034</v>
      </c>
      <c r="H1257" s="1" t="s">
        <v>5035</v>
      </c>
      <c r="I1257" t="b">
        <f>COUNTIF(Estadísticas!I:I,'centraldecomunicacion.es'!H1257)&gt;0</f>
        <v>0</v>
      </c>
    </row>
    <row r="1258" spans="1:9" hidden="1">
      <c r="A1258" s="1" t="s">
        <v>5036</v>
      </c>
      <c r="B1258" s="1" t="s">
        <v>24</v>
      </c>
      <c r="C1258" s="1" t="s">
        <v>5037</v>
      </c>
      <c r="D1258" s="1" t="s">
        <v>38</v>
      </c>
      <c r="E1258" s="1" t="s">
        <v>38</v>
      </c>
      <c r="F1258" s="1" t="s">
        <v>5038</v>
      </c>
      <c r="G1258" s="1" t="s">
        <v>5039</v>
      </c>
      <c r="H1258" s="1" t="s">
        <v>5040</v>
      </c>
      <c r="I1258" t="b">
        <f>COUNTIF(Estadísticas!I:I,'centraldecomunicacion.es'!H1258)&gt;0</f>
        <v>0</v>
      </c>
    </row>
    <row r="1259" spans="1:9" hidden="1">
      <c r="A1259" s="1" t="s">
        <v>5041</v>
      </c>
      <c r="B1259" s="1" t="s">
        <v>24</v>
      </c>
      <c r="C1259" s="1" t="s">
        <v>5042</v>
      </c>
      <c r="D1259" s="1" t="s">
        <v>5043</v>
      </c>
      <c r="E1259" s="1" t="s">
        <v>625</v>
      </c>
      <c r="F1259" s="1" t="s">
        <v>78</v>
      </c>
      <c r="G1259" s="1" t="s">
        <v>5044</v>
      </c>
      <c r="H1259" s="1" t="s">
        <v>657</v>
      </c>
      <c r="I1259" t="b">
        <f>COUNTIF(Estadísticas!I:I,'centraldecomunicacion.es'!H1259)&gt;0</f>
        <v>0</v>
      </c>
    </row>
    <row r="1260" spans="1:9" hidden="1">
      <c r="A1260" s="1" t="s">
        <v>5045</v>
      </c>
      <c r="B1260" s="1" t="s">
        <v>24</v>
      </c>
      <c r="C1260" s="1" t="s">
        <v>5046</v>
      </c>
      <c r="D1260" s="1" t="s">
        <v>213</v>
      </c>
      <c r="E1260" s="1" t="s">
        <v>214</v>
      </c>
      <c r="F1260" s="1" t="s">
        <v>78</v>
      </c>
      <c r="G1260" s="1" t="s">
        <v>5022</v>
      </c>
      <c r="H1260" s="1" t="s">
        <v>657</v>
      </c>
      <c r="I1260" t="b">
        <f>COUNTIF(Estadísticas!I:I,'centraldecomunicacion.es'!H1260)&gt;0</f>
        <v>0</v>
      </c>
    </row>
    <row r="1261" spans="1:9" hidden="1">
      <c r="A1261" s="1" t="s">
        <v>5047</v>
      </c>
      <c r="B1261" s="1" t="s">
        <v>10</v>
      </c>
      <c r="C1261" s="1" t="s">
        <v>5048</v>
      </c>
      <c r="D1261" s="1" t="s">
        <v>5049</v>
      </c>
      <c r="E1261" s="1" t="s">
        <v>625</v>
      </c>
      <c r="F1261" s="1" t="s">
        <v>78</v>
      </c>
      <c r="G1261" s="1" t="s">
        <v>5050</v>
      </c>
      <c r="H1261" s="1" t="s">
        <v>657</v>
      </c>
      <c r="I1261" t="b">
        <f>COUNTIF(Estadísticas!I:I,'centraldecomunicacion.es'!H1261)&gt;0</f>
        <v>0</v>
      </c>
    </row>
    <row r="1262" spans="1:9" hidden="1">
      <c r="A1262" s="1" t="s">
        <v>5051</v>
      </c>
      <c r="B1262" s="1" t="s">
        <v>10</v>
      </c>
      <c r="C1262" s="1" t="s">
        <v>5052</v>
      </c>
      <c r="D1262" s="1" t="s">
        <v>5043</v>
      </c>
      <c r="E1262" s="1" t="s">
        <v>625</v>
      </c>
      <c r="F1262" s="1" t="s">
        <v>829</v>
      </c>
      <c r="G1262" s="1" t="s">
        <v>5053</v>
      </c>
      <c r="H1262" s="1" t="s">
        <v>831</v>
      </c>
      <c r="I1262" t="b">
        <f>COUNTIF(Estadísticas!I:I,'centraldecomunicacion.es'!H1262)&gt;0</f>
        <v>0</v>
      </c>
    </row>
    <row r="1263" spans="1:9" hidden="1">
      <c r="A1263" s="1" t="s">
        <v>5054</v>
      </c>
      <c r="B1263" s="1" t="s">
        <v>24</v>
      </c>
      <c r="C1263" s="1" t="s">
        <v>5055</v>
      </c>
      <c r="D1263" s="1" t="s">
        <v>579</v>
      </c>
      <c r="E1263" s="1" t="s">
        <v>38</v>
      </c>
      <c r="F1263" s="1" t="s">
        <v>5056</v>
      </c>
      <c r="G1263" s="1" t="s">
        <v>5057</v>
      </c>
      <c r="H1263" s="1" t="s">
        <v>5058</v>
      </c>
      <c r="I1263" t="b">
        <f>COUNTIF(Estadísticas!I:I,'centraldecomunicacion.es'!H1263)&gt;0</f>
        <v>0</v>
      </c>
    </row>
    <row r="1264" spans="1:9" hidden="1">
      <c r="A1264" s="1" t="s">
        <v>5059</v>
      </c>
      <c r="B1264" s="1" t="s">
        <v>24</v>
      </c>
      <c r="C1264" s="1" t="s">
        <v>5060</v>
      </c>
      <c r="D1264" s="1" t="s">
        <v>38</v>
      </c>
      <c r="E1264" s="1" t="s">
        <v>38</v>
      </c>
      <c r="F1264" s="1" t="s">
        <v>5061</v>
      </c>
      <c r="G1264" s="1" t="s">
        <v>5062</v>
      </c>
      <c r="H1264" s="1" t="s">
        <v>5063</v>
      </c>
      <c r="I1264" t="b">
        <f>COUNTIF(Estadísticas!I:I,'centraldecomunicacion.es'!H1264)&gt;0</f>
        <v>0</v>
      </c>
    </row>
    <row r="1265" spans="1:9" hidden="1">
      <c r="A1265" s="1" t="s">
        <v>5064</v>
      </c>
      <c r="B1265" s="1" t="s">
        <v>24</v>
      </c>
      <c r="C1265" s="1" t="s">
        <v>5065</v>
      </c>
      <c r="D1265" s="1" t="s">
        <v>38</v>
      </c>
      <c r="E1265" s="1" t="s">
        <v>38</v>
      </c>
      <c r="F1265" s="1" t="s">
        <v>5066</v>
      </c>
      <c r="G1265" s="1" t="s">
        <v>5067</v>
      </c>
      <c r="H1265" s="1" t="s">
        <v>5068</v>
      </c>
      <c r="I1265" t="b">
        <f>COUNTIF(Estadísticas!I:I,'centraldecomunicacion.es'!H1265)&gt;0</f>
        <v>0</v>
      </c>
    </row>
    <row r="1266" spans="1:9" hidden="1">
      <c r="A1266" s="1" t="s">
        <v>5069</v>
      </c>
      <c r="B1266" s="1" t="s">
        <v>10</v>
      </c>
      <c r="C1266" s="1" t="s">
        <v>5070</v>
      </c>
      <c r="D1266" s="1" t="s">
        <v>38</v>
      </c>
      <c r="E1266" s="1" t="s">
        <v>38</v>
      </c>
      <c r="F1266" s="1" t="s">
        <v>5071</v>
      </c>
      <c r="G1266" s="1" t="s">
        <v>5072</v>
      </c>
      <c r="H1266" s="1" t="s">
        <v>5073</v>
      </c>
      <c r="I1266" t="b">
        <f>COUNTIF(Estadísticas!I:I,'centraldecomunicacion.es'!H1266)&gt;0</f>
        <v>0</v>
      </c>
    </row>
    <row r="1267" spans="1:9">
      <c r="A1267" s="1" t="s">
        <v>560</v>
      </c>
      <c r="B1267" s="1" t="s">
        <v>10</v>
      </c>
      <c r="C1267" s="1" t="s">
        <v>561</v>
      </c>
      <c r="D1267" s="1" t="s">
        <v>38</v>
      </c>
      <c r="E1267" s="1" t="s">
        <v>38</v>
      </c>
      <c r="F1267" s="1" t="s">
        <v>562</v>
      </c>
      <c r="G1267" s="1" t="s">
        <v>563</v>
      </c>
      <c r="H1267" s="1" t="s">
        <v>564</v>
      </c>
      <c r="I1267" t="b">
        <f>COUNTIF(Estadísticas!I:I,'centraldecomunicacion.es'!H1267)&gt;0</f>
        <v>1</v>
      </c>
    </row>
    <row r="1268" spans="1:9" hidden="1">
      <c r="A1268" s="1" t="s">
        <v>5074</v>
      </c>
      <c r="B1268" s="1" t="s">
        <v>24</v>
      </c>
      <c r="C1268" s="1" t="s">
        <v>5075</v>
      </c>
      <c r="D1268" s="1" t="s">
        <v>38</v>
      </c>
      <c r="E1268" s="1" t="s">
        <v>38</v>
      </c>
      <c r="F1268" s="1" t="s">
        <v>5076</v>
      </c>
      <c r="G1268" s="1" t="s">
        <v>5077</v>
      </c>
      <c r="H1268" s="1" t="s">
        <v>5078</v>
      </c>
      <c r="I1268" t="b">
        <f>COUNTIF(Estadísticas!I:I,'centraldecomunicacion.es'!H1268)&gt;0</f>
        <v>0</v>
      </c>
    </row>
    <row r="1269" spans="1:9" hidden="1">
      <c r="A1269" s="1" t="s">
        <v>5079</v>
      </c>
      <c r="B1269" s="1" t="s">
        <v>24</v>
      </c>
      <c r="C1269" s="1" t="s">
        <v>5080</v>
      </c>
      <c r="D1269" s="1" t="s">
        <v>38</v>
      </c>
      <c r="E1269" s="1" t="s">
        <v>38</v>
      </c>
      <c r="F1269" s="1" t="s">
        <v>5081</v>
      </c>
      <c r="G1269" s="1" t="s">
        <v>5082</v>
      </c>
      <c r="H1269" s="1" t="s">
        <v>657</v>
      </c>
      <c r="I1269" t="b">
        <f>COUNTIF(Estadísticas!I:I,'centraldecomunicacion.es'!H1269)&gt;0</f>
        <v>0</v>
      </c>
    </row>
    <row r="1270" spans="1:9" hidden="1">
      <c r="A1270" s="1" t="s">
        <v>5083</v>
      </c>
      <c r="B1270" s="1" t="s">
        <v>24</v>
      </c>
      <c r="C1270" s="1" t="s">
        <v>5084</v>
      </c>
      <c r="D1270" s="1" t="s">
        <v>38</v>
      </c>
      <c r="E1270" s="1" t="s">
        <v>38</v>
      </c>
      <c r="F1270" s="1" t="s">
        <v>78</v>
      </c>
      <c r="G1270" s="1" t="s">
        <v>78</v>
      </c>
      <c r="H1270" s="1" t="s">
        <v>657</v>
      </c>
      <c r="I1270" t="b">
        <f>COUNTIF(Estadísticas!I:I,'centraldecomunicacion.es'!H1270)&gt;0</f>
        <v>0</v>
      </c>
    </row>
    <row r="1271" spans="1:9" hidden="1">
      <c r="A1271" s="1" t="s">
        <v>5085</v>
      </c>
      <c r="B1271" s="1" t="s">
        <v>10</v>
      </c>
      <c r="C1271" s="1" t="s">
        <v>5086</v>
      </c>
      <c r="D1271" s="1" t="s">
        <v>38</v>
      </c>
      <c r="E1271" s="1" t="s">
        <v>38</v>
      </c>
      <c r="F1271" s="1" t="s">
        <v>78</v>
      </c>
      <c r="G1271" s="1" t="s">
        <v>5087</v>
      </c>
      <c r="H1271" s="1" t="s">
        <v>657</v>
      </c>
      <c r="I1271" t="b">
        <f>COUNTIF(Estadísticas!I:I,'centraldecomunicacion.es'!H1271)&gt;0</f>
        <v>0</v>
      </c>
    </row>
    <row r="1272" spans="1:9" hidden="1">
      <c r="A1272" s="1" t="s">
        <v>5088</v>
      </c>
      <c r="B1272" s="1" t="s">
        <v>24</v>
      </c>
      <c r="C1272" s="1" t="s">
        <v>5089</v>
      </c>
      <c r="D1272" s="1" t="s">
        <v>38</v>
      </c>
      <c r="E1272" s="1" t="s">
        <v>38</v>
      </c>
      <c r="F1272" s="1" t="s">
        <v>78</v>
      </c>
      <c r="G1272" s="1" t="s">
        <v>5090</v>
      </c>
      <c r="H1272" s="1" t="s">
        <v>657</v>
      </c>
      <c r="I1272" t="b">
        <f>COUNTIF(Estadísticas!I:I,'centraldecomunicacion.es'!H1272)&gt;0</f>
        <v>0</v>
      </c>
    </row>
    <row r="1273" spans="1:9">
      <c r="A1273" s="1" t="s">
        <v>565</v>
      </c>
      <c r="B1273" s="1" t="s">
        <v>24</v>
      </c>
      <c r="C1273" s="1" t="s">
        <v>566</v>
      </c>
      <c r="D1273" s="1" t="s">
        <v>567</v>
      </c>
      <c r="E1273" s="1" t="s">
        <v>38</v>
      </c>
      <c r="F1273" s="1" t="s">
        <v>568</v>
      </c>
      <c r="G1273" s="1" t="s">
        <v>569</v>
      </c>
      <c r="H1273" s="1" t="s">
        <v>570</v>
      </c>
      <c r="I1273" t="b">
        <f>COUNTIF(Estadísticas!I:I,'centraldecomunicacion.es'!H1273)&gt;0</f>
        <v>1</v>
      </c>
    </row>
    <row r="1274" spans="1:9">
      <c r="A1274" s="1" t="s">
        <v>571</v>
      </c>
      <c r="B1274" s="1" t="s">
        <v>10</v>
      </c>
      <c r="C1274" s="1" t="s">
        <v>572</v>
      </c>
      <c r="D1274" s="1" t="s">
        <v>573</v>
      </c>
      <c r="E1274" s="1" t="s">
        <v>38</v>
      </c>
      <c r="F1274" s="1" t="s">
        <v>574</v>
      </c>
      <c r="G1274" s="1" t="s">
        <v>575</v>
      </c>
      <c r="H1274" s="1" t="s">
        <v>576</v>
      </c>
      <c r="I1274" t="b">
        <f>COUNTIF(Estadísticas!I:I,'centraldecomunicacion.es'!H1274)&gt;0</f>
        <v>1</v>
      </c>
    </row>
    <row r="1275" spans="1:9">
      <c r="A1275" s="1" t="s">
        <v>577</v>
      </c>
      <c r="B1275" s="1" t="s">
        <v>10</v>
      </c>
      <c r="C1275" s="1" t="s">
        <v>578</v>
      </c>
      <c r="D1275" s="1" t="s">
        <v>579</v>
      </c>
      <c r="E1275" s="1" t="s">
        <v>38</v>
      </c>
      <c r="F1275" s="1" t="s">
        <v>580</v>
      </c>
      <c r="G1275" s="1" t="s">
        <v>581</v>
      </c>
      <c r="H1275" s="1" t="s">
        <v>582</v>
      </c>
      <c r="I1275" t="b">
        <f>COUNTIF(Estadísticas!I:I,'centraldecomunicacion.es'!H1275)&gt;0</f>
        <v>1</v>
      </c>
    </row>
    <row r="1276" spans="1:9" hidden="1">
      <c r="A1276" s="1" t="s">
        <v>5091</v>
      </c>
      <c r="B1276" s="1" t="s">
        <v>24</v>
      </c>
      <c r="C1276" s="1" t="s">
        <v>5092</v>
      </c>
      <c r="D1276" s="1" t="s">
        <v>870</v>
      </c>
      <c r="E1276" s="1" t="s">
        <v>38</v>
      </c>
      <c r="F1276" s="1" t="s">
        <v>5093</v>
      </c>
      <c r="G1276" s="1" t="s">
        <v>5094</v>
      </c>
      <c r="H1276" s="1" t="s">
        <v>5095</v>
      </c>
      <c r="I1276" t="b">
        <f>COUNTIF(Estadísticas!I:I,'centraldecomunicacion.es'!H1276)&gt;0</f>
        <v>0</v>
      </c>
    </row>
    <row r="1277" spans="1:9" hidden="1">
      <c r="A1277" s="1" t="s">
        <v>5096</v>
      </c>
      <c r="B1277" s="1" t="s">
        <v>10</v>
      </c>
      <c r="C1277" s="1" t="s">
        <v>5097</v>
      </c>
      <c r="D1277" s="1" t="s">
        <v>3216</v>
      </c>
      <c r="E1277" s="1" t="s">
        <v>38</v>
      </c>
      <c r="F1277" s="1" t="s">
        <v>5098</v>
      </c>
      <c r="G1277" s="1" t="s">
        <v>5099</v>
      </c>
      <c r="H1277" s="1" t="s">
        <v>1857</v>
      </c>
      <c r="I1277" t="b">
        <f>COUNTIF(Estadísticas!I:I,'centraldecomunicacion.es'!H1277)&gt;0</f>
        <v>0</v>
      </c>
    </row>
    <row r="1278" spans="1:9" hidden="1">
      <c r="A1278" s="1" t="s">
        <v>5100</v>
      </c>
      <c r="B1278" s="1" t="s">
        <v>24</v>
      </c>
      <c r="C1278" s="1" t="s">
        <v>5101</v>
      </c>
      <c r="D1278" s="1" t="s">
        <v>573</v>
      </c>
      <c r="E1278" s="1" t="s">
        <v>38</v>
      </c>
      <c r="F1278" s="1" t="s">
        <v>5102</v>
      </c>
      <c r="G1278" s="1" t="s">
        <v>5103</v>
      </c>
      <c r="H1278" s="1" t="s">
        <v>5104</v>
      </c>
      <c r="I1278" t="b">
        <f>COUNTIF(Estadísticas!I:I,'centraldecomunicacion.es'!H1278)&gt;0</f>
        <v>0</v>
      </c>
    </row>
    <row r="1279" spans="1:9" hidden="1">
      <c r="A1279" s="1" t="s">
        <v>5105</v>
      </c>
      <c r="B1279" s="1" t="s">
        <v>10</v>
      </c>
      <c r="C1279" s="1" t="s">
        <v>5106</v>
      </c>
      <c r="D1279" s="1" t="s">
        <v>3216</v>
      </c>
      <c r="E1279" s="1" t="s">
        <v>38</v>
      </c>
      <c r="F1279" s="1" t="s">
        <v>5107</v>
      </c>
      <c r="G1279" s="1" t="s">
        <v>1516</v>
      </c>
      <c r="H1279" s="1" t="s">
        <v>1517</v>
      </c>
      <c r="I1279" t="b">
        <f>COUNTIF(Estadísticas!I:I,'centraldecomunicacion.es'!H1279)&gt;0</f>
        <v>0</v>
      </c>
    </row>
    <row r="1280" spans="1:9">
      <c r="A1280" s="1" t="s">
        <v>583</v>
      </c>
      <c r="B1280" s="1" t="s">
        <v>24</v>
      </c>
      <c r="C1280" s="1" t="s">
        <v>584</v>
      </c>
      <c r="D1280" s="1" t="s">
        <v>567</v>
      </c>
      <c r="E1280" s="1" t="s">
        <v>38</v>
      </c>
      <c r="F1280" s="1" t="s">
        <v>585</v>
      </c>
      <c r="G1280" s="1" t="s">
        <v>586</v>
      </c>
      <c r="H1280" s="1" t="s">
        <v>587</v>
      </c>
      <c r="I1280" t="b">
        <f>COUNTIF(Estadísticas!I:I,'centraldecomunicacion.es'!H1280)&gt;0</f>
        <v>1</v>
      </c>
    </row>
    <row r="1281" spans="1:9">
      <c r="A1281" s="1" t="s">
        <v>588</v>
      </c>
      <c r="B1281" s="1" t="s">
        <v>24</v>
      </c>
      <c r="C1281" s="1" t="s">
        <v>589</v>
      </c>
      <c r="D1281" s="1" t="s">
        <v>590</v>
      </c>
      <c r="E1281" s="1" t="s">
        <v>38</v>
      </c>
      <c r="F1281" s="1" t="s">
        <v>591</v>
      </c>
      <c r="G1281" s="1" t="s">
        <v>592</v>
      </c>
      <c r="H1281" s="1" t="s">
        <v>593</v>
      </c>
      <c r="I1281" t="b">
        <f>COUNTIF(Estadísticas!I:I,'centraldecomunicacion.es'!H1281)&gt;0</f>
        <v>1</v>
      </c>
    </row>
    <row r="1282" spans="1:9" hidden="1">
      <c r="A1282" s="1" t="s">
        <v>5108</v>
      </c>
      <c r="B1282" s="1" t="s">
        <v>10</v>
      </c>
      <c r="C1282" s="1" t="s">
        <v>5109</v>
      </c>
      <c r="D1282" s="1" t="s">
        <v>38</v>
      </c>
      <c r="E1282" s="1" t="s">
        <v>38</v>
      </c>
      <c r="F1282" s="1" t="s">
        <v>829</v>
      </c>
      <c r="G1282" s="1" t="s">
        <v>5110</v>
      </c>
      <c r="H1282" s="1" t="s">
        <v>831</v>
      </c>
      <c r="I1282" t="b">
        <f>COUNTIF(Estadísticas!I:I,'centraldecomunicacion.es'!H1282)&gt;0</f>
        <v>0</v>
      </c>
    </row>
    <row r="1283" spans="1:9" hidden="1">
      <c r="A1283" s="1" t="s">
        <v>5111</v>
      </c>
      <c r="B1283" s="1" t="s">
        <v>24</v>
      </c>
      <c r="C1283" s="1" t="s">
        <v>5112</v>
      </c>
      <c r="D1283" s="1" t="s">
        <v>5113</v>
      </c>
      <c r="E1283" s="1" t="s">
        <v>38</v>
      </c>
      <c r="F1283" s="1" t="s">
        <v>5114</v>
      </c>
      <c r="G1283" s="1" t="s">
        <v>5115</v>
      </c>
      <c r="H1283" s="1" t="s">
        <v>5116</v>
      </c>
      <c r="I1283" t="b">
        <f>COUNTIF(Estadísticas!I:I,'centraldecomunicacion.es'!H1283)&gt;0</f>
        <v>0</v>
      </c>
    </row>
    <row r="1284" spans="1:9" hidden="1">
      <c r="A1284" s="1" t="s">
        <v>5117</v>
      </c>
      <c r="B1284" s="1" t="s">
        <v>10</v>
      </c>
      <c r="C1284" s="1" t="s">
        <v>5118</v>
      </c>
      <c r="D1284" s="1" t="s">
        <v>596</v>
      </c>
      <c r="E1284" s="1" t="s">
        <v>38</v>
      </c>
      <c r="F1284" s="1" t="s">
        <v>5119</v>
      </c>
      <c r="G1284" s="1" t="s">
        <v>5120</v>
      </c>
      <c r="H1284" s="1" t="s">
        <v>5121</v>
      </c>
      <c r="I1284" t="b">
        <f>COUNTIF(Estadísticas!I:I,'centraldecomunicacion.es'!H1284)&gt;0</f>
        <v>0</v>
      </c>
    </row>
    <row r="1285" spans="1:9" hidden="1">
      <c r="A1285" s="1" t="s">
        <v>5122</v>
      </c>
      <c r="B1285" s="1" t="s">
        <v>10</v>
      </c>
      <c r="C1285" s="1" t="s">
        <v>5123</v>
      </c>
      <c r="D1285" s="1" t="s">
        <v>579</v>
      </c>
      <c r="E1285" s="1" t="s">
        <v>38</v>
      </c>
      <c r="F1285" s="1" t="s">
        <v>78</v>
      </c>
      <c r="G1285" s="1" t="s">
        <v>581</v>
      </c>
      <c r="H1285" s="1" t="s">
        <v>657</v>
      </c>
      <c r="I1285" t="b">
        <f>COUNTIF(Estadísticas!I:I,'centraldecomunicacion.es'!H1285)&gt;0</f>
        <v>0</v>
      </c>
    </row>
    <row r="1286" spans="1:9" hidden="1">
      <c r="A1286" s="1" t="s">
        <v>5124</v>
      </c>
      <c r="B1286" s="1" t="s">
        <v>10</v>
      </c>
      <c r="C1286" s="1" t="s">
        <v>5125</v>
      </c>
      <c r="D1286" s="1" t="s">
        <v>5126</v>
      </c>
      <c r="E1286" s="1" t="s">
        <v>38</v>
      </c>
      <c r="F1286" s="1" t="s">
        <v>5127</v>
      </c>
      <c r="G1286" s="1" t="s">
        <v>5128</v>
      </c>
      <c r="H1286" s="1" t="s">
        <v>5129</v>
      </c>
      <c r="I1286" t="b">
        <f>COUNTIF(Estadísticas!I:I,'centraldecomunicacion.es'!H1286)&gt;0</f>
        <v>0</v>
      </c>
    </row>
    <row r="1287" spans="1:9" hidden="1">
      <c r="A1287" s="1" t="s">
        <v>5130</v>
      </c>
      <c r="B1287" s="1" t="s">
        <v>24</v>
      </c>
      <c r="C1287" s="1" t="s">
        <v>5131</v>
      </c>
      <c r="D1287" s="1" t="s">
        <v>38</v>
      </c>
      <c r="E1287" s="1" t="s">
        <v>38</v>
      </c>
      <c r="F1287" s="1" t="s">
        <v>5132</v>
      </c>
      <c r="G1287" s="1" t="s">
        <v>5133</v>
      </c>
      <c r="H1287" s="1" t="s">
        <v>657</v>
      </c>
      <c r="I1287" t="b">
        <f>COUNTIF(Estadísticas!I:I,'centraldecomunicacion.es'!H1287)&gt;0</f>
        <v>0</v>
      </c>
    </row>
    <row r="1288" spans="1:9" hidden="1">
      <c r="A1288" s="1" t="s">
        <v>5134</v>
      </c>
      <c r="B1288" s="1" t="s">
        <v>24</v>
      </c>
      <c r="C1288" s="1" t="s">
        <v>5135</v>
      </c>
      <c r="D1288" s="1" t="s">
        <v>38</v>
      </c>
      <c r="E1288" s="1" t="s">
        <v>38</v>
      </c>
      <c r="F1288" s="1" t="s">
        <v>5136</v>
      </c>
      <c r="G1288" s="1" t="s">
        <v>5137</v>
      </c>
      <c r="H1288" s="1" t="s">
        <v>5138</v>
      </c>
      <c r="I1288" t="b">
        <f>COUNTIF(Estadísticas!I:I,'centraldecomunicacion.es'!H1288)&gt;0</f>
        <v>0</v>
      </c>
    </row>
    <row r="1289" spans="1:9" hidden="1">
      <c r="A1289" s="1" t="s">
        <v>5139</v>
      </c>
      <c r="B1289" s="1" t="s">
        <v>10</v>
      </c>
      <c r="C1289" s="1" t="s">
        <v>5140</v>
      </c>
      <c r="D1289" s="1" t="s">
        <v>573</v>
      </c>
      <c r="E1289" s="1" t="s">
        <v>38</v>
      </c>
      <c r="F1289" s="1" t="s">
        <v>5141</v>
      </c>
      <c r="G1289" s="1" t="s">
        <v>5142</v>
      </c>
      <c r="H1289" s="1" t="s">
        <v>5143</v>
      </c>
      <c r="I1289" t="b">
        <f>COUNTIF(Estadísticas!I:I,'centraldecomunicacion.es'!H1289)&gt;0</f>
        <v>0</v>
      </c>
    </row>
    <row r="1290" spans="1:9" hidden="1">
      <c r="A1290" s="1" t="s">
        <v>5144</v>
      </c>
      <c r="B1290" s="1" t="s">
        <v>24</v>
      </c>
      <c r="C1290" s="1" t="s">
        <v>78</v>
      </c>
      <c r="D1290" s="1" t="s">
        <v>5145</v>
      </c>
      <c r="E1290" s="1" t="s">
        <v>78</v>
      </c>
      <c r="F1290" s="1" t="s">
        <v>5146</v>
      </c>
      <c r="G1290" s="1" t="s">
        <v>5147</v>
      </c>
      <c r="H1290" s="1" t="s">
        <v>657</v>
      </c>
      <c r="I1290" t="b">
        <f>COUNTIF(Estadísticas!I:I,'centraldecomunicacion.es'!H1290)&gt;0</f>
        <v>0</v>
      </c>
    </row>
    <row r="1291" spans="1:9" hidden="1">
      <c r="A1291" s="1" t="s">
        <v>5148</v>
      </c>
      <c r="B1291" s="1" t="s">
        <v>10</v>
      </c>
      <c r="C1291" s="1" t="s">
        <v>5149</v>
      </c>
      <c r="D1291" s="1" t="s">
        <v>38</v>
      </c>
      <c r="E1291" s="1" t="s">
        <v>38</v>
      </c>
      <c r="F1291" s="1" t="s">
        <v>78</v>
      </c>
      <c r="G1291" s="1" t="s">
        <v>5150</v>
      </c>
      <c r="H1291" s="1" t="s">
        <v>657</v>
      </c>
      <c r="I1291" t="b">
        <f>COUNTIF(Estadísticas!I:I,'centraldecomunicacion.es'!H1291)&gt;0</f>
        <v>0</v>
      </c>
    </row>
    <row r="1292" spans="1:9" hidden="1">
      <c r="A1292" s="1" t="s">
        <v>5151</v>
      </c>
      <c r="B1292" s="1" t="s">
        <v>10</v>
      </c>
      <c r="C1292" s="1" t="s">
        <v>5152</v>
      </c>
      <c r="D1292" s="1" t="s">
        <v>38</v>
      </c>
      <c r="E1292" s="1" t="s">
        <v>38</v>
      </c>
      <c r="F1292" s="1" t="s">
        <v>78</v>
      </c>
      <c r="G1292" s="1" t="s">
        <v>5153</v>
      </c>
      <c r="H1292" s="1" t="s">
        <v>657</v>
      </c>
      <c r="I1292" t="b">
        <f>COUNTIF(Estadísticas!I:I,'centraldecomunicacion.es'!H1292)&gt;0</f>
        <v>0</v>
      </c>
    </row>
    <row r="1293" spans="1:9" hidden="1">
      <c r="A1293" s="1" t="s">
        <v>5154</v>
      </c>
      <c r="B1293" s="1" t="s">
        <v>10</v>
      </c>
      <c r="C1293" s="1" t="s">
        <v>5155</v>
      </c>
      <c r="D1293" s="1" t="s">
        <v>649</v>
      </c>
      <c r="E1293" s="1" t="s">
        <v>38</v>
      </c>
      <c r="F1293" s="1" t="s">
        <v>5156</v>
      </c>
      <c r="G1293" s="1" t="s">
        <v>5157</v>
      </c>
      <c r="H1293" s="1" t="s">
        <v>657</v>
      </c>
      <c r="I1293" t="b">
        <f>COUNTIF(Estadísticas!I:I,'centraldecomunicacion.es'!H1293)&gt;0</f>
        <v>0</v>
      </c>
    </row>
    <row r="1294" spans="1:9" hidden="1">
      <c r="A1294" s="1" t="s">
        <v>5158</v>
      </c>
      <c r="B1294" s="1" t="s">
        <v>24</v>
      </c>
      <c r="C1294" s="1" t="s">
        <v>5159</v>
      </c>
      <c r="D1294" s="1" t="s">
        <v>573</v>
      </c>
      <c r="E1294" s="1" t="s">
        <v>38</v>
      </c>
      <c r="F1294" s="1" t="s">
        <v>78</v>
      </c>
      <c r="G1294" s="1" t="s">
        <v>5160</v>
      </c>
      <c r="H1294" s="1" t="s">
        <v>657</v>
      </c>
      <c r="I1294" t="b">
        <f>COUNTIF(Estadísticas!I:I,'centraldecomunicacion.es'!H1294)&gt;0</f>
        <v>0</v>
      </c>
    </row>
    <row r="1295" spans="1:9">
      <c r="A1295" s="1" t="s">
        <v>594</v>
      </c>
      <c r="B1295" s="1" t="s">
        <v>10</v>
      </c>
      <c r="C1295" s="1" t="s">
        <v>595</v>
      </c>
      <c r="D1295" s="1" t="s">
        <v>596</v>
      </c>
      <c r="E1295" s="1" t="s">
        <v>38</v>
      </c>
      <c r="F1295" s="1" t="s">
        <v>597</v>
      </c>
      <c r="G1295" s="1" t="s">
        <v>598</v>
      </c>
      <c r="H1295" s="1" t="s">
        <v>599</v>
      </c>
      <c r="I1295" t="b">
        <f>COUNTIF(Estadísticas!I:I,'centraldecomunicacion.es'!H1295)&gt;0</f>
        <v>1</v>
      </c>
    </row>
    <row r="1296" spans="1:9" hidden="1">
      <c r="A1296" s="1" t="s">
        <v>5161</v>
      </c>
      <c r="B1296" s="1" t="s">
        <v>10</v>
      </c>
      <c r="C1296" s="1" t="s">
        <v>5162</v>
      </c>
      <c r="D1296" s="1" t="s">
        <v>590</v>
      </c>
      <c r="E1296" s="1" t="s">
        <v>38</v>
      </c>
      <c r="F1296" s="1" t="s">
        <v>5163</v>
      </c>
      <c r="G1296" s="1" t="s">
        <v>5164</v>
      </c>
      <c r="H1296" s="1" t="s">
        <v>5165</v>
      </c>
      <c r="I1296" t="b">
        <f>COUNTIF(Estadísticas!I:I,'centraldecomunicacion.es'!H1296)&gt;0</f>
        <v>0</v>
      </c>
    </row>
    <row r="1297" spans="1:9" hidden="1">
      <c r="A1297" s="1" t="s">
        <v>5166</v>
      </c>
      <c r="B1297" s="1" t="s">
        <v>24</v>
      </c>
      <c r="C1297" s="1" t="s">
        <v>5167</v>
      </c>
      <c r="D1297" s="1" t="s">
        <v>38</v>
      </c>
      <c r="E1297" s="1" t="s">
        <v>38</v>
      </c>
      <c r="F1297" s="1" t="s">
        <v>5168</v>
      </c>
      <c r="G1297" s="1" t="s">
        <v>5169</v>
      </c>
      <c r="H1297" s="1" t="s">
        <v>5170</v>
      </c>
      <c r="I1297" t="b">
        <f>COUNTIF(Estadísticas!I:I,'centraldecomunicacion.es'!H1297)&gt;0</f>
        <v>0</v>
      </c>
    </row>
    <row r="1298" spans="1:9">
      <c r="A1298" s="1" t="s">
        <v>5171</v>
      </c>
      <c r="B1298" s="1" t="s">
        <v>24</v>
      </c>
      <c r="C1298" s="1" t="s">
        <v>5172</v>
      </c>
      <c r="D1298" s="1" t="s">
        <v>38</v>
      </c>
      <c r="E1298" s="1" t="s">
        <v>38</v>
      </c>
      <c r="F1298" s="1" t="s">
        <v>562</v>
      </c>
      <c r="G1298" s="1" t="s">
        <v>78</v>
      </c>
      <c r="H1298" s="1" t="s">
        <v>564</v>
      </c>
      <c r="I1298" t="b">
        <f>COUNTIF(Estadísticas!I:I,'centraldecomunicacion.es'!H1298)&gt;0</f>
        <v>1</v>
      </c>
    </row>
    <row r="1299" spans="1:9" hidden="1">
      <c r="A1299" s="1" t="s">
        <v>5173</v>
      </c>
      <c r="B1299" s="1" t="s">
        <v>24</v>
      </c>
      <c r="C1299" s="1" t="s">
        <v>5174</v>
      </c>
      <c r="D1299" s="1" t="s">
        <v>38</v>
      </c>
      <c r="E1299" s="1" t="s">
        <v>38</v>
      </c>
      <c r="F1299" s="1" t="s">
        <v>5175</v>
      </c>
      <c r="G1299" s="1" t="s">
        <v>5176</v>
      </c>
      <c r="H1299" s="1" t="s">
        <v>657</v>
      </c>
      <c r="I1299" t="b">
        <f>COUNTIF(Estadísticas!I:I,'centraldecomunicacion.es'!H1299)&gt;0</f>
        <v>0</v>
      </c>
    </row>
    <row r="1300" spans="1:9">
      <c r="A1300" s="1" t="s">
        <v>5177</v>
      </c>
      <c r="B1300" s="1" t="s">
        <v>10</v>
      </c>
      <c r="C1300" s="1" t="s">
        <v>5178</v>
      </c>
      <c r="D1300" s="1" t="s">
        <v>38</v>
      </c>
      <c r="E1300" s="1" t="s">
        <v>38</v>
      </c>
      <c r="F1300" s="1" t="s">
        <v>562</v>
      </c>
      <c r="G1300" s="1" t="s">
        <v>563</v>
      </c>
      <c r="H1300" s="1" t="s">
        <v>564</v>
      </c>
      <c r="I1300" t="b">
        <f>COUNTIF(Estadísticas!I:I,'centraldecomunicacion.es'!H1300)&gt;0</f>
        <v>1</v>
      </c>
    </row>
    <row r="1301" spans="1:9" hidden="1">
      <c r="A1301" s="1" t="s">
        <v>5179</v>
      </c>
      <c r="B1301" s="1" t="s">
        <v>24</v>
      </c>
      <c r="C1301" s="1" t="s">
        <v>5180</v>
      </c>
      <c r="D1301" s="1" t="s">
        <v>573</v>
      </c>
      <c r="E1301" s="1" t="s">
        <v>38</v>
      </c>
      <c r="F1301" s="1" t="s">
        <v>78</v>
      </c>
      <c r="G1301" s="1" t="s">
        <v>5181</v>
      </c>
      <c r="H1301" s="1" t="s">
        <v>657</v>
      </c>
      <c r="I1301" t="b">
        <f>COUNTIF(Estadísticas!I:I,'centraldecomunicacion.es'!H1301)&gt;0</f>
        <v>0</v>
      </c>
    </row>
    <row r="1302" spans="1:9" hidden="1">
      <c r="A1302" s="1" t="s">
        <v>5182</v>
      </c>
      <c r="B1302" s="1" t="s">
        <v>24</v>
      </c>
      <c r="C1302" s="1" t="s">
        <v>5183</v>
      </c>
      <c r="D1302" s="1" t="s">
        <v>38</v>
      </c>
      <c r="E1302" s="1" t="s">
        <v>38</v>
      </c>
      <c r="F1302" s="1" t="s">
        <v>5184</v>
      </c>
      <c r="G1302" s="1" t="s">
        <v>5169</v>
      </c>
      <c r="H1302" s="1" t="s">
        <v>657</v>
      </c>
      <c r="I1302" t="b">
        <f>COUNTIF(Estadísticas!I:I,'centraldecomunicacion.es'!H1302)&gt;0</f>
        <v>0</v>
      </c>
    </row>
    <row r="1303" spans="1:9" hidden="1">
      <c r="A1303" s="1" t="s">
        <v>5185</v>
      </c>
      <c r="B1303" s="1" t="s">
        <v>10</v>
      </c>
      <c r="C1303" s="1" t="s">
        <v>5186</v>
      </c>
      <c r="D1303" s="1" t="s">
        <v>38</v>
      </c>
      <c r="E1303" s="1" t="s">
        <v>38</v>
      </c>
      <c r="F1303" s="1" t="s">
        <v>5187</v>
      </c>
      <c r="G1303" s="1" t="s">
        <v>5188</v>
      </c>
      <c r="H1303" s="1" t="s">
        <v>5189</v>
      </c>
      <c r="I1303" t="b">
        <f>COUNTIF(Estadísticas!I:I,'centraldecomunicacion.es'!H1303)&gt;0</f>
        <v>0</v>
      </c>
    </row>
    <row r="1304" spans="1:9" hidden="1">
      <c r="A1304" s="1" t="s">
        <v>600</v>
      </c>
      <c r="B1304" s="1" t="s">
        <v>10</v>
      </c>
      <c r="C1304" s="1" t="s">
        <v>5190</v>
      </c>
      <c r="D1304" s="1" t="s">
        <v>38</v>
      </c>
      <c r="E1304" s="1" t="s">
        <v>38</v>
      </c>
      <c r="F1304" s="1" t="s">
        <v>78</v>
      </c>
      <c r="G1304" s="1" t="s">
        <v>604</v>
      </c>
      <c r="H1304" s="1" t="s">
        <v>657</v>
      </c>
      <c r="I1304" t="b">
        <f>COUNTIF(Estadísticas!I:I,'centraldecomunicacion.es'!H1304)&gt;0</f>
        <v>0</v>
      </c>
    </row>
    <row r="1305" spans="1:9" hidden="1">
      <c r="A1305" s="1" t="s">
        <v>5191</v>
      </c>
      <c r="B1305" s="1" t="s">
        <v>24</v>
      </c>
      <c r="C1305" s="1" t="s">
        <v>5192</v>
      </c>
      <c r="D1305" s="1" t="s">
        <v>38</v>
      </c>
      <c r="E1305" s="1" t="s">
        <v>38</v>
      </c>
      <c r="F1305" s="1" t="s">
        <v>5193</v>
      </c>
      <c r="G1305" s="1" t="s">
        <v>1665</v>
      </c>
      <c r="H1305" s="1" t="s">
        <v>4212</v>
      </c>
      <c r="I1305" t="b">
        <f>COUNTIF(Estadísticas!I:I,'centraldecomunicacion.es'!H1305)&gt;0</f>
        <v>0</v>
      </c>
    </row>
    <row r="1306" spans="1:9" hidden="1">
      <c r="A1306" s="1" t="s">
        <v>5194</v>
      </c>
      <c r="B1306" s="1" t="s">
        <v>10</v>
      </c>
      <c r="C1306" s="1" t="s">
        <v>5195</v>
      </c>
      <c r="D1306" s="1" t="s">
        <v>38</v>
      </c>
      <c r="E1306" s="1" t="s">
        <v>38</v>
      </c>
      <c r="F1306" s="1" t="s">
        <v>78</v>
      </c>
      <c r="G1306" s="1" t="s">
        <v>563</v>
      </c>
      <c r="H1306" s="1" t="s">
        <v>657</v>
      </c>
      <c r="I1306" t="b">
        <f>COUNTIF(Estadísticas!I:I,'centraldecomunicacion.es'!H1306)&gt;0</f>
        <v>0</v>
      </c>
    </row>
    <row r="1307" spans="1:9">
      <c r="A1307" s="1" t="s">
        <v>600</v>
      </c>
      <c r="B1307" s="1" t="s">
        <v>10</v>
      </c>
      <c r="C1307" s="1" t="s">
        <v>601</v>
      </c>
      <c r="D1307" s="1" t="s">
        <v>602</v>
      </c>
      <c r="E1307" s="1" t="s">
        <v>38</v>
      </c>
      <c r="F1307" s="1" t="s">
        <v>603</v>
      </c>
      <c r="G1307" s="1" t="s">
        <v>604</v>
      </c>
      <c r="H1307" s="1" t="s">
        <v>605</v>
      </c>
      <c r="I1307" t="b">
        <f>COUNTIF(Estadísticas!I:I,'centraldecomunicacion.es'!H1307)&gt;0</f>
        <v>1</v>
      </c>
    </row>
    <row r="1308" spans="1:9" hidden="1">
      <c r="A1308" s="1" t="s">
        <v>5196</v>
      </c>
      <c r="B1308" s="1" t="s">
        <v>24</v>
      </c>
      <c r="C1308" s="1" t="s">
        <v>5197</v>
      </c>
      <c r="D1308" s="1" t="s">
        <v>38</v>
      </c>
      <c r="E1308" s="1" t="s">
        <v>38</v>
      </c>
      <c r="F1308" s="1" t="s">
        <v>78</v>
      </c>
      <c r="G1308" s="1" t="s">
        <v>5198</v>
      </c>
      <c r="H1308" s="1" t="s">
        <v>657</v>
      </c>
      <c r="I1308" t="b">
        <f>COUNTIF(Estadísticas!I:I,'centraldecomunicacion.es'!H1308)&gt;0</f>
        <v>0</v>
      </c>
    </row>
    <row r="1309" spans="1:9" hidden="1">
      <c r="A1309" s="1" t="s">
        <v>5199</v>
      </c>
      <c r="B1309" s="1" t="s">
        <v>24</v>
      </c>
      <c r="C1309" s="1" t="s">
        <v>5200</v>
      </c>
      <c r="D1309" s="1" t="s">
        <v>38</v>
      </c>
      <c r="E1309" s="1" t="s">
        <v>38</v>
      </c>
      <c r="F1309" s="1" t="s">
        <v>78</v>
      </c>
      <c r="G1309" s="1" t="s">
        <v>5201</v>
      </c>
      <c r="H1309" s="1" t="s">
        <v>657</v>
      </c>
      <c r="I1309" t="b">
        <f>COUNTIF(Estadísticas!I:I,'centraldecomunicacion.es'!H1309)&gt;0</f>
        <v>0</v>
      </c>
    </row>
    <row r="1310" spans="1:9">
      <c r="A1310" s="1" t="s">
        <v>5202</v>
      </c>
      <c r="B1310" s="1" t="s">
        <v>10</v>
      </c>
      <c r="C1310" s="1" t="s">
        <v>5203</v>
      </c>
      <c r="D1310" s="1" t="s">
        <v>2892</v>
      </c>
      <c r="E1310" s="1" t="s">
        <v>38</v>
      </c>
      <c r="F1310" s="1" t="s">
        <v>603</v>
      </c>
      <c r="G1310" s="1" t="s">
        <v>604</v>
      </c>
      <c r="H1310" s="1" t="s">
        <v>605</v>
      </c>
      <c r="I1310" t="b">
        <f>COUNTIF(Estadísticas!I:I,'centraldecomunicacion.es'!H1310)&gt;0</f>
        <v>1</v>
      </c>
    </row>
    <row r="1311" spans="1:9" hidden="1">
      <c r="A1311" s="1" t="s">
        <v>5204</v>
      </c>
      <c r="B1311" s="1" t="s">
        <v>10</v>
      </c>
      <c r="C1311" s="1" t="s">
        <v>5205</v>
      </c>
      <c r="D1311" s="1" t="s">
        <v>38</v>
      </c>
      <c r="E1311" s="1" t="s">
        <v>38</v>
      </c>
      <c r="F1311" s="1" t="s">
        <v>78</v>
      </c>
      <c r="G1311" s="1" t="s">
        <v>5206</v>
      </c>
      <c r="H1311" s="1" t="s">
        <v>657</v>
      </c>
      <c r="I1311" t="b">
        <f>COUNTIF(Estadísticas!I:I,'centraldecomunicacion.es'!H1311)&gt;0</f>
        <v>0</v>
      </c>
    </row>
    <row r="1312" spans="1:9" hidden="1">
      <c r="A1312" s="1" t="s">
        <v>5207</v>
      </c>
      <c r="B1312" s="1" t="s">
        <v>24</v>
      </c>
      <c r="C1312" s="1" t="s">
        <v>5208</v>
      </c>
      <c r="D1312" s="1" t="s">
        <v>602</v>
      </c>
      <c r="E1312" s="1" t="s">
        <v>38</v>
      </c>
      <c r="F1312" s="1" t="s">
        <v>5209</v>
      </c>
      <c r="G1312" s="1" t="s">
        <v>5210</v>
      </c>
      <c r="H1312" s="1" t="s">
        <v>5211</v>
      </c>
      <c r="I1312" t="b">
        <f>COUNTIF(Estadísticas!I:I,'centraldecomunicacion.es'!H1312)&gt;0</f>
        <v>0</v>
      </c>
    </row>
    <row r="1313" spans="1:9" hidden="1">
      <c r="A1313" s="1" t="s">
        <v>5212</v>
      </c>
      <c r="B1313" s="1" t="s">
        <v>24</v>
      </c>
      <c r="C1313" s="1" t="s">
        <v>5213</v>
      </c>
      <c r="D1313" s="1" t="s">
        <v>579</v>
      </c>
      <c r="E1313" s="1" t="s">
        <v>38</v>
      </c>
      <c r="F1313" s="1" t="s">
        <v>5214</v>
      </c>
      <c r="G1313" s="1" t="s">
        <v>5057</v>
      </c>
      <c r="H1313" s="1" t="s">
        <v>657</v>
      </c>
      <c r="I1313" t="b">
        <f>COUNTIF(Estadísticas!I:I,'centraldecomunicacion.es'!H1313)&gt;0</f>
        <v>0</v>
      </c>
    </row>
    <row r="1314" spans="1:9" hidden="1">
      <c r="A1314" s="1" t="s">
        <v>5215</v>
      </c>
      <c r="B1314" s="1" t="s">
        <v>10</v>
      </c>
      <c r="C1314" s="1" t="s">
        <v>5216</v>
      </c>
      <c r="D1314" s="1" t="s">
        <v>870</v>
      </c>
      <c r="E1314" s="1" t="s">
        <v>38</v>
      </c>
      <c r="F1314" s="1" t="s">
        <v>5217</v>
      </c>
      <c r="G1314" s="1" t="s">
        <v>5218</v>
      </c>
      <c r="H1314" s="1" t="s">
        <v>657</v>
      </c>
      <c r="I1314" t="b">
        <f>COUNTIF(Estadísticas!I:I,'centraldecomunicacion.es'!H1314)&gt;0</f>
        <v>0</v>
      </c>
    </row>
    <row r="1315" spans="1:9" hidden="1">
      <c r="A1315" s="1" t="s">
        <v>5219</v>
      </c>
      <c r="B1315" s="1" t="s">
        <v>24</v>
      </c>
      <c r="C1315" s="1" t="s">
        <v>5220</v>
      </c>
      <c r="D1315" s="1" t="s">
        <v>38</v>
      </c>
      <c r="E1315" s="1" t="s">
        <v>38</v>
      </c>
      <c r="F1315" s="1" t="s">
        <v>5221</v>
      </c>
      <c r="G1315" s="1" t="s">
        <v>78</v>
      </c>
      <c r="H1315" s="1" t="s">
        <v>657</v>
      </c>
      <c r="I1315" t="b">
        <f>COUNTIF(Estadísticas!I:I,'centraldecomunicacion.es'!H1315)&gt;0</f>
        <v>0</v>
      </c>
    </row>
    <row r="1316" spans="1:9" hidden="1">
      <c r="A1316" s="1" t="s">
        <v>5222</v>
      </c>
      <c r="B1316" s="1" t="s">
        <v>10</v>
      </c>
      <c r="C1316" s="1" t="s">
        <v>5223</v>
      </c>
      <c r="D1316" s="1" t="s">
        <v>649</v>
      </c>
      <c r="E1316" s="1" t="s">
        <v>38</v>
      </c>
      <c r="F1316" s="1" t="s">
        <v>78</v>
      </c>
      <c r="G1316" s="1" t="s">
        <v>5224</v>
      </c>
      <c r="H1316" s="1" t="s">
        <v>657</v>
      </c>
      <c r="I1316" t="b">
        <f>COUNTIF(Estadísticas!I:I,'centraldecomunicacion.es'!H1316)&gt;0</f>
        <v>0</v>
      </c>
    </row>
    <row r="1317" spans="1:9" hidden="1">
      <c r="A1317" s="1" t="s">
        <v>5225</v>
      </c>
      <c r="B1317" s="1" t="s">
        <v>24</v>
      </c>
      <c r="C1317" s="1" t="s">
        <v>5226</v>
      </c>
      <c r="D1317" s="1" t="s">
        <v>38</v>
      </c>
      <c r="E1317" s="1" t="s">
        <v>38</v>
      </c>
      <c r="F1317" s="1" t="s">
        <v>78</v>
      </c>
      <c r="G1317" s="1" t="s">
        <v>5227</v>
      </c>
      <c r="H1317" s="1" t="s">
        <v>657</v>
      </c>
      <c r="I1317" t="b">
        <f>COUNTIF(Estadísticas!I:I,'centraldecomunicacion.es'!H1317)&gt;0</f>
        <v>0</v>
      </c>
    </row>
    <row r="1318" spans="1:9" hidden="1">
      <c r="A1318" s="1" t="s">
        <v>5228</v>
      </c>
      <c r="B1318" s="1" t="s">
        <v>10</v>
      </c>
      <c r="C1318" s="1" t="s">
        <v>5229</v>
      </c>
      <c r="D1318" s="1" t="s">
        <v>38</v>
      </c>
      <c r="E1318" s="1" t="s">
        <v>38</v>
      </c>
      <c r="F1318" s="1" t="s">
        <v>78</v>
      </c>
      <c r="G1318" s="1" t="s">
        <v>5150</v>
      </c>
      <c r="H1318" s="1" t="s">
        <v>657</v>
      </c>
      <c r="I1318" t="b">
        <f>COUNTIF(Estadísticas!I:I,'centraldecomunicacion.es'!H1318)&gt;0</f>
        <v>0</v>
      </c>
    </row>
    <row r="1319" spans="1:9" hidden="1">
      <c r="A1319" s="1" t="s">
        <v>5230</v>
      </c>
      <c r="B1319" s="1" t="s">
        <v>24</v>
      </c>
      <c r="C1319" s="1" t="s">
        <v>5231</v>
      </c>
      <c r="D1319" s="1" t="s">
        <v>38</v>
      </c>
      <c r="E1319" s="1" t="s">
        <v>38</v>
      </c>
      <c r="F1319" s="1" t="s">
        <v>5232</v>
      </c>
      <c r="G1319" s="1" t="s">
        <v>5233</v>
      </c>
      <c r="H1319" s="1" t="s">
        <v>657</v>
      </c>
      <c r="I1319" t="b">
        <f>COUNTIF(Estadísticas!I:I,'centraldecomunicacion.es'!H1319)&gt;0</f>
        <v>0</v>
      </c>
    </row>
    <row r="1320" spans="1:9" hidden="1">
      <c r="A1320" s="1" t="s">
        <v>5234</v>
      </c>
      <c r="B1320" s="1" t="s">
        <v>10</v>
      </c>
      <c r="C1320" s="1" t="s">
        <v>5235</v>
      </c>
      <c r="D1320" s="1" t="s">
        <v>38</v>
      </c>
      <c r="E1320" s="1" t="s">
        <v>38</v>
      </c>
      <c r="F1320" s="1" t="s">
        <v>1067</v>
      </c>
      <c r="G1320" s="1" t="s">
        <v>5236</v>
      </c>
      <c r="H1320" s="1" t="s">
        <v>1069</v>
      </c>
      <c r="I1320" t="b">
        <f>COUNTIF(Estadísticas!I:I,'centraldecomunicacion.es'!H1320)&gt;0</f>
        <v>0</v>
      </c>
    </row>
    <row r="1321" spans="1:9" hidden="1">
      <c r="A1321" s="1" t="s">
        <v>5237</v>
      </c>
      <c r="B1321" s="1" t="s">
        <v>24</v>
      </c>
      <c r="C1321" s="1" t="s">
        <v>5238</v>
      </c>
      <c r="D1321" s="1" t="s">
        <v>5239</v>
      </c>
      <c r="E1321" s="1" t="s">
        <v>38</v>
      </c>
      <c r="F1321" s="1" t="s">
        <v>5240</v>
      </c>
      <c r="G1321" s="1" t="s">
        <v>5241</v>
      </c>
      <c r="H1321" s="1" t="s">
        <v>1857</v>
      </c>
      <c r="I1321" t="b">
        <f>COUNTIF(Estadísticas!I:I,'centraldecomunicacion.es'!H1321)&gt;0</f>
        <v>0</v>
      </c>
    </row>
    <row r="1322" spans="1:9" hidden="1">
      <c r="A1322" s="1" t="s">
        <v>5242</v>
      </c>
      <c r="B1322" s="1" t="s">
        <v>10</v>
      </c>
      <c r="C1322" s="1" t="s">
        <v>5243</v>
      </c>
      <c r="D1322" s="1" t="s">
        <v>649</v>
      </c>
      <c r="E1322" s="1" t="s">
        <v>38</v>
      </c>
      <c r="F1322" s="1" t="s">
        <v>744</v>
      </c>
      <c r="G1322" s="1" t="s">
        <v>5244</v>
      </c>
      <c r="H1322" s="1" t="s">
        <v>746</v>
      </c>
      <c r="I1322" t="b">
        <f>COUNTIF(Estadísticas!I:I,'centraldecomunicacion.es'!H1322)&gt;0</f>
        <v>0</v>
      </c>
    </row>
    <row r="1323" spans="1:9" hidden="1">
      <c r="A1323" s="1" t="s">
        <v>5245</v>
      </c>
      <c r="B1323" s="1" t="s">
        <v>10</v>
      </c>
      <c r="C1323" s="1" t="s">
        <v>5246</v>
      </c>
      <c r="D1323" s="1" t="s">
        <v>38</v>
      </c>
      <c r="E1323" s="1" t="s">
        <v>38</v>
      </c>
      <c r="F1323" s="1" t="s">
        <v>5247</v>
      </c>
      <c r="G1323" s="1" t="s">
        <v>5248</v>
      </c>
      <c r="H1323" s="1" t="s">
        <v>657</v>
      </c>
      <c r="I1323" t="b">
        <f>COUNTIF(Estadísticas!I:I,'centraldecomunicacion.es'!H1323)&gt;0</f>
        <v>0</v>
      </c>
    </row>
    <row r="1324" spans="1:9" hidden="1">
      <c r="A1324" s="1" t="s">
        <v>5249</v>
      </c>
      <c r="B1324" s="1" t="s">
        <v>10</v>
      </c>
      <c r="C1324" s="1" t="s">
        <v>5250</v>
      </c>
      <c r="D1324" s="1" t="s">
        <v>38</v>
      </c>
      <c r="E1324" s="1" t="s">
        <v>38</v>
      </c>
      <c r="F1324" s="1" t="s">
        <v>5251</v>
      </c>
      <c r="G1324" s="1" t="s">
        <v>5252</v>
      </c>
      <c r="H1324" s="1" t="s">
        <v>657</v>
      </c>
      <c r="I1324" t="b">
        <f>COUNTIF(Estadísticas!I:I,'centraldecomunicacion.es'!H1324)&gt;0</f>
        <v>0</v>
      </c>
    </row>
    <row r="1325" spans="1:9">
      <c r="A1325" s="1" t="s">
        <v>606</v>
      </c>
      <c r="B1325" s="1" t="s">
        <v>24</v>
      </c>
      <c r="C1325" s="1" t="s">
        <v>607</v>
      </c>
      <c r="D1325" s="1" t="s">
        <v>38</v>
      </c>
      <c r="E1325" s="1" t="s">
        <v>38</v>
      </c>
      <c r="F1325" s="1" t="s">
        <v>608</v>
      </c>
      <c r="G1325" s="1" t="s">
        <v>609</v>
      </c>
      <c r="H1325" s="1" t="s">
        <v>610</v>
      </c>
      <c r="I1325" t="b">
        <f>COUNTIF(Estadísticas!I:I,'centraldecomunicacion.es'!H1325)&gt;0</f>
        <v>1</v>
      </c>
    </row>
    <row r="1326" spans="1:9" hidden="1">
      <c r="A1326" s="1" t="s">
        <v>5253</v>
      </c>
      <c r="B1326" s="1" t="s">
        <v>24</v>
      </c>
      <c r="C1326" s="1" t="s">
        <v>5254</v>
      </c>
      <c r="D1326" s="1" t="s">
        <v>38</v>
      </c>
      <c r="E1326" s="1" t="s">
        <v>38</v>
      </c>
      <c r="F1326" s="1" t="s">
        <v>78</v>
      </c>
      <c r="G1326" s="1" t="s">
        <v>5255</v>
      </c>
      <c r="H1326" s="1" t="s">
        <v>657</v>
      </c>
      <c r="I1326" t="b">
        <f>COUNTIF(Estadísticas!I:I,'centraldecomunicacion.es'!H1326)&gt;0</f>
        <v>0</v>
      </c>
    </row>
    <row r="1327" spans="1:9" hidden="1">
      <c r="A1327" s="1" t="s">
        <v>5256</v>
      </c>
      <c r="B1327" s="1" t="s">
        <v>10</v>
      </c>
      <c r="C1327" s="1" t="s">
        <v>5257</v>
      </c>
      <c r="D1327" s="1" t="s">
        <v>5258</v>
      </c>
      <c r="E1327" s="1" t="s">
        <v>38</v>
      </c>
      <c r="F1327" s="1" t="s">
        <v>5259</v>
      </c>
      <c r="G1327" s="1" t="s">
        <v>5260</v>
      </c>
      <c r="H1327" s="1" t="s">
        <v>5261</v>
      </c>
      <c r="I1327" t="b">
        <f>COUNTIF(Estadísticas!I:I,'centraldecomunicacion.es'!H1327)&gt;0</f>
        <v>0</v>
      </c>
    </row>
    <row r="1328" spans="1:9" hidden="1">
      <c r="A1328" s="1" t="s">
        <v>5262</v>
      </c>
      <c r="B1328" s="1" t="s">
        <v>10</v>
      </c>
      <c r="C1328" s="1" t="s">
        <v>5263</v>
      </c>
      <c r="D1328" s="1" t="s">
        <v>2892</v>
      </c>
      <c r="E1328" s="1" t="s">
        <v>38</v>
      </c>
      <c r="F1328" s="1" t="s">
        <v>78</v>
      </c>
      <c r="G1328" s="1" t="s">
        <v>5264</v>
      </c>
      <c r="H1328" s="1" t="s">
        <v>657</v>
      </c>
      <c r="I1328" t="b">
        <f>COUNTIF(Estadísticas!I:I,'centraldecomunicacion.es'!H1328)&gt;0</f>
        <v>0</v>
      </c>
    </row>
    <row r="1329" spans="1:9" hidden="1">
      <c r="A1329" s="1" t="s">
        <v>5265</v>
      </c>
      <c r="B1329" s="1" t="s">
        <v>24</v>
      </c>
      <c r="C1329" s="1" t="s">
        <v>5266</v>
      </c>
      <c r="D1329" s="1" t="s">
        <v>649</v>
      </c>
      <c r="E1329" s="1" t="s">
        <v>38</v>
      </c>
      <c r="F1329" s="1" t="s">
        <v>1694</v>
      </c>
      <c r="G1329" s="1" t="s">
        <v>1695</v>
      </c>
      <c r="H1329" s="1" t="s">
        <v>1696</v>
      </c>
      <c r="I1329" t="b">
        <f>COUNTIF(Estadísticas!I:I,'centraldecomunicacion.es'!H1329)&gt;0</f>
        <v>0</v>
      </c>
    </row>
    <row r="1330" spans="1:9">
      <c r="A1330" s="1" t="s">
        <v>5267</v>
      </c>
      <c r="B1330" s="1" t="s">
        <v>24</v>
      </c>
      <c r="C1330" s="1" t="s">
        <v>5268</v>
      </c>
      <c r="D1330" s="1" t="s">
        <v>38</v>
      </c>
      <c r="E1330" s="1" t="s">
        <v>38</v>
      </c>
      <c r="F1330" s="1" t="s">
        <v>27</v>
      </c>
      <c r="G1330" s="1" t="s">
        <v>3681</v>
      </c>
      <c r="H1330" s="1" t="s">
        <v>29</v>
      </c>
      <c r="I1330" t="b">
        <f>COUNTIF(Estadísticas!I:I,'centraldecomunicacion.es'!H1330)&gt;0</f>
        <v>1</v>
      </c>
    </row>
    <row r="1331" spans="1:9" hidden="1">
      <c r="A1331" s="1" t="s">
        <v>5269</v>
      </c>
      <c r="B1331" s="1" t="s">
        <v>24</v>
      </c>
      <c r="C1331" s="1" t="s">
        <v>5270</v>
      </c>
      <c r="D1331" s="1" t="s">
        <v>38</v>
      </c>
      <c r="E1331" s="1" t="s">
        <v>38</v>
      </c>
      <c r="F1331" s="1" t="s">
        <v>78</v>
      </c>
      <c r="G1331" s="1" t="s">
        <v>5271</v>
      </c>
      <c r="H1331" s="1" t="s">
        <v>657</v>
      </c>
      <c r="I1331" t="b">
        <f>COUNTIF(Estadísticas!I:I,'centraldecomunicacion.es'!H1331)&gt;0</f>
        <v>0</v>
      </c>
    </row>
    <row r="1332" spans="1:9" hidden="1">
      <c r="A1332" s="1" t="s">
        <v>5272</v>
      </c>
      <c r="B1332" s="1" t="s">
        <v>24</v>
      </c>
      <c r="C1332" s="1" t="s">
        <v>5273</v>
      </c>
      <c r="D1332" s="1" t="s">
        <v>38</v>
      </c>
      <c r="E1332" s="1" t="s">
        <v>38</v>
      </c>
      <c r="F1332" s="1" t="s">
        <v>5274</v>
      </c>
      <c r="G1332" s="1" t="s">
        <v>5275</v>
      </c>
      <c r="H1332" s="1" t="s">
        <v>657</v>
      </c>
      <c r="I1332" t="b">
        <f>COUNTIF(Estadísticas!I:I,'centraldecomunicacion.es'!H1332)&gt;0</f>
        <v>0</v>
      </c>
    </row>
    <row r="1333" spans="1:9" hidden="1">
      <c r="A1333" s="1" t="s">
        <v>5276</v>
      </c>
      <c r="B1333" s="1" t="s">
        <v>24</v>
      </c>
      <c r="C1333" s="1" t="s">
        <v>5277</v>
      </c>
      <c r="D1333" s="1" t="s">
        <v>38</v>
      </c>
      <c r="E1333" s="1" t="s">
        <v>38</v>
      </c>
      <c r="F1333" s="1" t="s">
        <v>78</v>
      </c>
      <c r="G1333" s="1" t="s">
        <v>5278</v>
      </c>
      <c r="H1333" s="1" t="s">
        <v>657</v>
      </c>
      <c r="I1333" t="b">
        <f>COUNTIF(Estadísticas!I:I,'centraldecomunicacion.es'!H1333)&gt;0</f>
        <v>0</v>
      </c>
    </row>
    <row r="1334" spans="1:9" hidden="1">
      <c r="A1334" s="1" t="s">
        <v>5279</v>
      </c>
      <c r="B1334" s="1" t="s">
        <v>10</v>
      </c>
      <c r="C1334" s="1" t="s">
        <v>5280</v>
      </c>
      <c r="D1334" s="1" t="s">
        <v>5281</v>
      </c>
      <c r="E1334" s="1" t="s">
        <v>38</v>
      </c>
      <c r="F1334" s="1" t="s">
        <v>78</v>
      </c>
      <c r="G1334" s="1" t="s">
        <v>5282</v>
      </c>
      <c r="H1334" s="1" t="s">
        <v>657</v>
      </c>
      <c r="I1334" t="b">
        <f>COUNTIF(Estadísticas!I:I,'centraldecomunicacion.es'!H1334)&gt;0</f>
        <v>0</v>
      </c>
    </row>
    <row r="1335" spans="1:9" hidden="1">
      <c r="A1335" s="1" t="s">
        <v>5283</v>
      </c>
      <c r="B1335" s="1" t="s">
        <v>24</v>
      </c>
      <c r="C1335" s="1" t="s">
        <v>5284</v>
      </c>
      <c r="D1335" s="1" t="s">
        <v>38</v>
      </c>
      <c r="E1335" s="1" t="s">
        <v>38</v>
      </c>
      <c r="F1335" s="1" t="s">
        <v>78</v>
      </c>
      <c r="G1335" s="1" t="s">
        <v>5285</v>
      </c>
      <c r="H1335" s="1" t="s">
        <v>657</v>
      </c>
      <c r="I1335" t="b">
        <f>COUNTIF(Estadísticas!I:I,'centraldecomunicacion.es'!H1335)&gt;0</f>
        <v>0</v>
      </c>
    </row>
    <row r="1336" spans="1:9" hidden="1">
      <c r="A1336" s="1" t="s">
        <v>5286</v>
      </c>
      <c r="B1336" s="1" t="s">
        <v>24</v>
      </c>
      <c r="C1336" s="1" t="s">
        <v>5287</v>
      </c>
      <c r="D1336" s="1" t="s">
        <v>38</v>
      </c>
      <c r="E1336" s="1" t="s">
        <v>38</v>
      </c>
      <c r="F1336" s="1" t="s">
        <v>78</v>
      </c>
      <c r="G1336" s="1" t="s">
        <v>5288</v>
      </c>
      <c r="H1336" s="1" t="s">
        <v>657</v>
      </c>
      <c r="I1336" t="b">
        <f>COUNTIF(Estadísticas!I:I,'centraldecomunicacion.es'!H1336)&gt;0</f>
        <v>0</v>
      </c>
    </row>
    <row r="1337" spans="1:9" hidden="1">
      <c r="A1337" s="1" t="s">
        <v>5289</v>
      </c>
      <c r="B1337" s="1" t="s">
        <v>24</v>
      </c>
      <c r="C1337" s="1" t="s">
        <v>5290</v>
      </c>
      <c r="D1337" s="1" t="s">
        <v>2892</v>
      </c>
      <c r="E1337" s="1" t="s">
        <v>38</v>
      </c>
      <c r="F1337" s="1" t="s">
        <v>5291</v>
      </c>
      <c r="G1337" s="1" t="s">
        <v>2686</v>
      </c>
      <c r="H1337" s="1" t="s">
        <v>657</v>
      </c>
      <c r="I1337" t="b">
        <f>COUNTIF(Estadísticas!I:I,'centraldecomunicacion.es'!H1337)&gt;0</f>
        <v>0</v>
      </c>
    </row>
    <row r="1338" spans="1:9" hidden="1">
      <c r="A1338" s="1" t="s">
        <v>5292</v>
      </c>
      <c r="B1338" s="1" t="s">
        <v>10</v>
      </c>
      <c r="C1338" s="1" t="s">
        <v>5293</v>
      </c>
      <c r="D1338" s="1" t="s">
        <v>5294</v>
      </c>
      <c r="E1338" s="1" t="s">
        <v>38</v>
      </c>
      <c r="F1338" s="1" t="s">
        <v>5295</v>
      </c>
      <c r="G1338" s="1" t="s">
        <v>5296</v>
      </c>
      <c r="H1338" s="1" t="s">
        <v>657</v>
      </c>
      <c r="I1338" t="b">
        <f>COUNTIF(Estadísticas!I:I,'centraldecomunicacion.es'!H1338)&gt;0</f>
        <v>0</v>
      </c>
    </row>
    <row r="1339" spans="1:9" hidden="1">
      <c r="A1339" s="1" t="s">
        <v>5297</v>
      </c>
      <c r="B1339" s="1" t="s">
        <v>10</v>
      </c>
      <c r="C1339" s="1" t="s">
        <v>5298</v>
      </c>
      <c r="D1339" s="1" t="s">
        <v>38</v>
      </c>
      <c r="E1339" s="1" t="s">
        <v>38</v>
      </c>
      <c r="F1339" s="1" t="s">
        <v>5299</v>
      </c>
      <c r="G1339" s="1" t="s">
        <v>5300</v>
      </c>
      <c r="H1339" s="1" t="s">
        <v>657</v>
      </c>
      <c r="I1339" t="b">
        <f>COUNTIF(Estadísticas!I:I,'centraldecomunicacion.es'!H1339)&gt;0</f>
        <v>0</v>
      </c>
    </row>
    <row r="1340" spans="1:9" hidden="1">
      <c r="A1340" s="1" t="s">
        <v>5301</v>
      </c>
      <c r="B1340" s="1" t="s">
        <v>24</v>
      </c>
      <c r="C1340" s="1" t="s">
        <v>5302</v>
      </c>
      <c r="D1340" s="1" t="s">
        <v>573</v>
      </c>
      <c r="E1340" s="1" t="s">
        <v>38</v>
      </c>
      <c r="F1340" s="1" t="s">
        <v>78</v>
      </c>
      <c r="G1340" s="1" t="s">
        <v>5303</v>
      </c>
      <c r="H1340" s="1" t="s">
        <v>657</v>
      </c>
      <c r="I1340" t="b">
        <f>COUNTIF(Estadísticas!I:I,'centraldecomunicacion.es'!H1340)&gt;0</f>
        <v>0</v>
      </c>
    </row>
    <row r="1341" spans="1:9" hidden="1">
      <c r="A1341" s="1" t="s">
        <v>5304</v>
      </c>
      <c r="B1341" s="1" t="s">
        <v>10</v>
      </c>
      <c r="C1341" s="1" t="s">
        <v>5305</v>
      </c>
      <c r="D1341" s="1" t="s">
        <v>2892</v>
      </c>
      <c r="E1341" s="1" t="s">
        <v>38</v>
      </c>
      <c r="F1341" s="1" t="s">
        <v>5306</v>
      </c>
      <c r="G1341" s="1" t="s">
        <v>2686</v>
      </c>
      <c r="H1341" s="1" t="s">
        <v>657</v>
      </c>
      <c r="I1341" t="b">
        <f>COUNTIF(Estadísticas!I:I,'centraldecomunicacion.es'!H1341)&gt;0</f>
        <v>0</v>
      </c>
    </row>
    <row r="1342" spans="1:9" hidden="1">
      <c r="A1342" s="1" t="s">
        <v>5307</v>
      </c>
      <c r="B1342" s="1" t="s">
        <v>24</v>
      </c>
      <c r="C1342" s="1" t="s">
        <v>5308</v>
      </c>
      <c r="D1342" s="1" t="s">
        <v>38</v>
      </c>
      <c r="E1342" s="1" t="s">
        <v>38</v>
      </c>
      <c r="F1342" s="1" t="s">
        <v>5309</v>
      </c>
      <c r="G1342" s="1" t="s">
        <v>5310</v>
      </c>
      <c r="H1342" s="1" t="s">
        <v>5311</v>
      </c>
      <c r="I1342" t="b">
        <f>COUNTIF(Estadísticas!I:I,'centraldecomunicacion.es'!H1342)&gt;0</f>
        <v>0</v>
      </c>
    </row>
    <row r="1343" spans="1:9" hidden="1">
      <c r="A1343" s="1" t="s">
        <v>5312</v>
      </c>
      <c r="B1343" s="1" t="s">
        <v>24</v>
      </c>
      <c r="C1343" s="1" t="s">
        <v>5313</v>
      </c>
      <c r="D1343" s="1" t="s">
        <v>38</v>
      </c>
      <c r="E1343" s="1" t="s">
        <v>38</v>
      </c>
      <c r="F1343" s="1" t="s">
        <v>78</v>
      </c>
      <c r="G1343" s="1" t="s">
        <v>5314</v>
      </c>
      <c r="H1343" s="1" t="s">
        <v>657</v>
      </c>
      <c r="I1343" t="b">
        <f>COUNTIF(Estadísticas!I:I,'centraldecomunicacion.es'!H1343)&gt;0</f>
        <v>0</v>
      </c>
    </row>
    <row r="1344" spans="1:9" hidden="1">
      <c r="A1344" s="1" t="s">
        <v>5315</v>
      </c>
      <c r="B1344" s="1" t="s">
        <v>24</v>
      </c>
      <c r="C1344" s="1" t="s">
        <v>5316</v>
      </c>
      <c r="D1344" s="1" t="s">
        <v>38</v>
      </c>
      <c r="E1344" s="1" t="s">
        <v>38</v>
      </c>
      <c r="F1344" s="1" t="s">
        <v>5317</v>
      </c>
      <c r="G1344" s="1" t="s">
        <v>5318</v>
      </c>
      <c r="H1344" s="1" t="s">
        <v>657</v>
      </c>
      <c r="I1344" t="b">
        <f>COUNTIF(Estadísticas!I:I,'centraldecomunicacion.es'!H1344)&gt;0</f>
        <v>0</v>
      </c>
    </row>
    <row r="1345" spans="1:9" hidden="1">
      <c r="A1345" s="1" t="s">
        <v>5319</v>
      </c>
      <c r="B1345" s="1" t="s">
        <v>24</v>
      </c>
      <c r="C1345" s="1" t="s">
        <v>5320</v>
      </c>
      <c r="D1345" s="1" t="s">
        <v>5321</v>
      </c>
      <c r="E1345" s="1" t="s">
        <v>38</v>
      </c>
      <c r="F1345" s="1" t="s">
        <v>5322</v>
      </c>
      <c r="G1345" s="1" t="s">
        <v>5323</v>
      </c>
      <c r="H1345" s="1" t="s">
        <v>5324</v>
      </c>
      <c r="I1345" t="b">
        <f>COUNTIF(Estadísticas!I:I,'centraldecomunicacion.es'!H1345)&gt;0</f>
        <v>0</v>
      </c>
    </row>
    <row r="1346" spans="1:9" hidden="1">
      <c r="A1346" s="1" t="s">
        <v>5325</v>
      </c>
      <c r="B1346" s="1" t="s">
        <v>24</v>
      </c>
      <c r="C1346" s="1" t="s">
        <v>5326</v>
      </c>
      <c r="D1346" s="1" t="s">
        <v>38</v>
      </c>
      <c r="E1346" s="1" t="s">
        <v>38</v>
      </c>
      <c r="F1346" s="1" t="s">
        <v>5327</v>
      </c>
      <c r="G1346" s="1" t="s">
        <v>5328</v>
      </c>
      <c r="H1346" s="1" t="s">
        <v>5329</v>
      </c>
      <c r="I1346" t="b">
        <f>COUNTIF(Estadísticas!I:I,'centraldecomunicacion.es'!H1346)&gt;0</f>
        <v>0</v>
      </c>
    </row>
    <row r="1347" spans="1:9" hidden="1">
      <c r="A1347" s="1" t="s">
        <v>5330</v>
      </c>
      <c r="B1347" s="1" t="s">
        <v>24</v>
      </c>
      <c r="C1347" s="1" t="s">
        <v>5331</v>
      </c>
      <c r="D1347" s="1" t="s">
        <v>38</v>
      </c>
      <c r="E1347" s="1" t="s">
        <v>38</v>
      </c>
      <c r="F1347" s="1" t="s">
        <v>78</v>
      </c>
      <c r="G1347" s="1" t="s">
        <v>5332</v>
      </c>
      <c r="H1347" s="1" t="s">
        <v>657</v>
      </c>
      <c r="I1347" t="b">
        <f>COUNTIF(Estadísticas!I:I,'centraldecomunicacion.es'!H1347)&gt;0</f>
        <v>0</v>
      </c>
    </row>
    <row r="1348" spans="1:9" hidden="1">
      <c r="A1348" s="1" t="s">
        <v>600</v>
      </c>
      <c r="B1348" s="1" t="s">
        <v>10</v>
      </c>
      <c r="C1348" s="1" t="s">
        <v>5333</v>
      </c>
      <c r="D1348" s="1" t="s">
        <v>38</v>
      </c>
      <c r="E1348" s="1" t="s">
        <v>38</v>
      </c>
      <c r="F1348" s="1" t="s">
        <v>78</v>
      </c>
      <c r="G1348" s="1" t="s">
        <v>604</v>
      </c>
      <c r="H1348" s="1" t="s">
        <v>657</v>
      </c>
      <c r="I1348" t="b">
        <f>COUNTIF(Estadísticas!I:I,'centraldecomunicacion.es'!H1348)&gt;0</f>
        <v>0</v>
      </c>
    </row>
    <row r="1349" spans="1:9" hidden="1">
      <c r="A1349" s="1" t="s">
        <v>5334</v>
      </c>
      <c r="B1349" s="1" t="s">
        <v>24</v>
      </c>
      <c r="C1349" s="1" t="s">
        <v>5335</v>
      </c>
      <c r="D1349" s="1" t="s">
        <v>5336</v>
      </c>
      <c r="E1349" s="1" t="s">
        <v>38</v>
      </c>
      <c r="F1349" s="1" t="s">
        <v>5337</v>
      </c>
      <c r="G1349" s="1" t="s">
        <v>5275</v>
      </c>
      <c r="H1349" s="1" t="s">
        <v>657</v>
      </c>
      <c r="I1349" t="b">
        <f>COUNTIF(Estadísticas!I:I,'centraldecomunicacion.es'!H1349)&gt;0</f>
        <v>0</v>
      </c>
    </row>
    <row r="1350" spans="1:9" hidden="1">
      <c r="A1350" s="1" t="s">
        <v>5338</v>
      </c>
      <c r="B1350" s="1" t="s">
        <v>24</v>
      </c>
      <c r="C1350" s="1" t="s">
        <v>5339</v>
      </c>
      <c r="D1350" s="1" t="s">
        <v>5340</v>
      </c>
      <c r="E1350" s="1" t="s">
        <v>38</v>
      </c>
      <c r="F1350" s="1" t="s">
        <v>5341</v>
      </c>
      <c r="G1350" s="1" t="s">
        <v>5342</v>
      </c>
      <c r="H1350" s="1" t="s">
        <v>5343</v>
      </c>
      <c r="I1350" t="b">
        <f>COUNTIF(Estadísticas!I:I,'centraldecomunicacion.es'!H1350)&gt;0</f>
        <v>0</v>
      </c>
    </row>
    <row r="1351" spans="1:9" hidden="1">
      <c r="A1351" s="1" t="s">
        <v>5344</v>
      </c>
      <c r="B1351" s="1" t="s">
        <v>24</v>
      </c>
      <c r="C1351" s="1" t="s">
        <v>5345</v>
      </c>
      <c r="D1351" s="1" t="s">
        <v>38</v>
      </c>
      <c r="E1351" s="1" t="s">
        <v>38</v>
      </c>
      <c r="F1351" s="1" t="s">
        <v>78</v>
      </c>
      <c r="G1351" s="1" t="s">
        <v>5346</v>
      </c>
      <c r="H1351" s="1" t="s">
        <v>657</v>
      </c>
      <c r="I1351" t="b">
        <f>COUNTIF(Estadísticas!I:I,'centraldecomunicacion.es'!H1351)&gt;0</f>
        <v>0</v>
      </c>
    </row>
    <row r="1352" spans="1:9" hidden="1">
      <c r="A1352" s="1" t="s">
        <v>5347</v>
      </c>
      <c r="B1352" s="1" t="s">
        <v>24</v>
      </c>
      <c r="C1352" s="1" t="s">
        <v>5348</v>
      </c>
      <c r="D1352" s="1" t="s">
        <v>38</v>
      </c>
      <c r="E1352" s="1" t="s">
        <v>38</v>
      </c>
      <c r="F1352" s="1" t="s">
        <v>78</v>
      </c>
      <c r="G1352" s="1" t="s">
        <v>78</v>
      </c>
      <c r="H1352" s="1" t="s">
        <v>657</v>
      </c>
      <c r="I1352" t="b">
        <f>COUNTIF(Estadísticas!I:I,'centraldecomunicacion.es'!H1352)&gt;0</f>
        <v>0</v>
      </c>
    </row>
    <row r="1353" spans="1:9" hidden="1">
      <c r="A1353" s="1" t="s">
        <v>5349</v>
      </c>
      <c r="B1353" s="1" t="s">
        <v>10</v>
      </c>
      <c r="C1353" s="1" t="s">
        <v>5350</v>
      </c>
      <c r="D1353" s="1" t="s">
        <v>38</v>
      </c>
      <c r="E1353" s="1" t="s">
        <v>38</v>
      </c>
      <c r="F1353" s="1" t="s">
        <v>5351</v>
      </c>
      <c r="G1353" s="1" t="s">
        <v>5352</v>
      </c>
      <c r="H1353" s="1" t="s">
        <v>5353</v>
      </c>
      <c r="I1353" t="b">
        <f>COUNTIF(Estadísticas!I:I,'centraldecomunicacion.es'!H1353)&gt;0</f>
        <v>0</v>
      </c>
    </row>
    <row r="1354" spans="1:9" hidden="1">
      <c r="A1354" s="1" t="s">
        <v>5354</v>
      </c>
      <c r="B1354" s="1" t="s">
        <v>24</v>
      </c>
      <c r="C1354" s="1" t="s">
        <v>5355</v>
      </c>
      <c r="D1354" s="1" t="s">
        <v>38</v>
      </c>
      <c r="E1354" s="1" t="s">
        <v>38</v>
      </c>
      <c r="F1354" s="1" t="s">
        <v>78</v>
      </c>
      <c r="G1354" s="1" t="s">
        <v>5356</v>
      </c>
      <c r="H1354" s="1" t="s">
        <v>657</v>
      </c>
      <c r="I1354" t="b">
        <f>COUNTIF(Estadísticas!I:I,'centraldecomunicacion.es'!H1354)&gt;0</f>
        <v>0</v>
      </c>
    </row>
    <row r="1355" spans="1:9" hidden="1">
      <c r="A1355" s="1" t="s">
        <v>5357</v>
      </c>
      <c r="B1355" s="1" t="s">
        <v>10</v>
      </c>
      <c r="C1355" s="1" t="s">
        <v>5084</v>
      </c>
      <c r="D1355" s="1" t="s">
        <v>38</v>
      </c>
      <c r="E1355" s="1" t="s">
        <v>38</v>
      </c>
      <c r="F1355" s="1" t="s">
        <v>5358</v>
      </c>
      <c r="G1355" s="1" t="s">
        <v>5359</v>
      </c>
      <c r="H1355" s="1" t="s">
        <v>657</v>
      </c>
      <c r="I1355" t="b">
        <f>COUNTIF(Estadísticas!I:I,'centraldecomunicacion.es'!H1355)&gt;0</f>
        <v>0</v>
      </c>
    </row>
    <row r="1356" spans="1:9" hidden="1">
      <c r="A1356" s="1" t="s">
        <v>5360</v>
      </c>
      <c r="B1356" s="1" t="s">
        <v>10</v>
      </c>
      <c r="C1356" s="1" t="s">
        <v>5361</v>
      </c>
      <c r="D1356" s="1" t="s">
        <v>38</v>
      </c>
      <c r="E1356" s="1" t="s">
        <v>38</v>
      </c>
      <c r="F1356" s="1" t="s">
        <v>5362</v>
      </c>
      <c r="G1356" s="1" t="s">
        <v>5363</v>
      </c>
      <c r="H1356" s="1" t="s">
        <v>657</v>
      </c>
      <c r="I1356" t="b">
        <f>COUNTIF(Estadísticas!I:I,'centraldecomunicacion.es'!H1356)&gt;0</f>
        <v>0</v>
      </c>
    </row>
    <row r="1357" spans="1:9" hidden="1">
      <c r="A1357" s="1" t="s">
        <v>5364</v>
      </c>
      <c r="B1357" s="1" t="s">
        <v>10</v>
      </c>
      <c r="C1357" s="1" t="s">
        <v>5365</v>
      </c>
      <c r="D1357" s="1" t="s">
        <v>5366</v>
      </c>
      <c r="E1357" s="1" t="s">
        <v>38</v>
      </c>
      <c r="F1357" s="1" t="s">
        <v>5367</v>
      </c>
      <c r="G1357" s="1" t="s">
        <v>5368</v>
      </c>
      <c r="H1357" s="1" t="s">
        <v>657</v>
      </c>
      <c r="I1357" t="b">
        <f>COUNTIF(Estadísticas!I:I,'centraldecomunicacion.es'!H1357)&gt;0</f>
        <v>0</v>
      </c>
    </row>
    <row r="1358" spans="1:9" hidden="1">
      <c r="A1358" s="1" t="s">
        <v>5369</v>
      </c>
      <c r="B1358" s="1" t="s">
        <v>24</v>
      </c>
      <c r="C1358" s="1" t="s">
        <v>5370</v>
      </c>
      <c r="D1358" s="1" t="s">
        <v>573</v>
      </c>
      <c r="E1358" s="1" t="s">
        <v>38</v>
      </c>
      <c r="F1358" s="1" t="s">
        <v>78</v>
      </c>
      <c r="G1358" s="1" t="s">
        <v>78</v>
      </c>
      <c r="H1358" s="1" t="s">
        <v>657</v>
      </c>
      <c r="I1358" t="b">
        <f>COUNTIF(Estadísticas!I:I,'centraldecomunicacion.es'!H1358)&gt;0</f>
        <v>0</v>
      </c>
    </row>
    <row r="1359" spans="1:9" hidden="1">
      <c r="A1359" s="1" t="s">
        <v>5371</v>
      </c>
      <c r="B1359" s="1" t="s">
        <v>24</v>
      </c>
      <c r="C1359" s="1" t="s">
        <v>5372</v>
      </c>
      <c r="D1359" s="1" t="s">
        <v>649</v>
      </c>
      <c r="E1359" s="1" t="s">
        <v>38</v>
      </c>
      <c r="F1359" s="1" t="s">
        <v>78</v>
      </c>
      <c r="G1359" s="1" t="s">
        <v>5373</v>
      </c>
      <c r="H1359" s="1" t="s">
        <v>657</v>
      </c>
      <c r="I1359" t="b">
        <f>COUNTIF(Estadísticas!I:I,'centraldecomunicacion.es'!H1359)&gt;0</f>
        <v>0</v>
      </c>
    </row>
    <row r="1360" spans="1:9" hidden="1">
      <c r="A1360" s="1" t="s">
        <v>5374</v>
      </c>
      <c r="B1360" s="1" t="s">
        <v>24</v>
      </c>
      <c r="C1360" s="1" t="s">
        <v>5375</v>
      </c>
      <c r="D1360" s="1" t="s">
        <v>38</v>
      </c>
      <c r="E1360" s="1" t="s">
        <v>38</v>
      </c>
      <c r="F1360" s="1" t="s">
        <v>78</v>
      </c>
      <c r="G1360" s="1" t="s">
        <v>5376</v>
      </c>
      <c r="H1360" s="1" t="s">
        <v>657</v>
      </c>
      <c r="I1360" t="b">
        <f>COUNTIF(Estadísticas!I:I,'centraldecomunicacion.es'!H1360)&gt;0</f>
        <v>0</v>
      </c>
    </row>
    <row r="1361" spans="1:9" hidden="1">
      <c r="A1361" s="1" t="s">
        <v>5377</v>
      </c>
      <c r="B1361" s="1" t="s">
        <v>24</v>
      </c>
      <c r="C1361" s="1" t="s">
        <v>5378</v>
      </c>
      <c r="D1361" s="1" t="s">
        <v>38</v>
      </c>
      <c r="E1361" s="1" t="s">
        <v>38</v>
      </c>
      <c r="F1361" s="1" t="s">
        <v>78</v>
      </c>
      <c r="G1361" s="1" t="s">
        <v>78</v>
      </c>
      <c r="H1361" s="1" t="s">
        <v>657</v>
      </c>
      <c r="I1361" t="b">
        <f>COUNTIF(Estadísticas!I:I,'centraldecomunicacion.es'!H1361)&gt;0</f>
        <v>0</v>
      </c>
    </row>
    <row r="1362" spans="1:9" hidden="1">
      <c r="A1362" s="1" t="s">
        <v>5379</v>
      </c>
      <c r="B1362" s="1" t="s">
        <v>10</v>
      </c>
      <c r="C1362" s="1" t="s">
        <v>5380</v>
      </c>
      <c r="D1362" s="1" t="s">
        <v>3216</v>
      </c>
      <c r="E1362" s="1" t="s">
        <v>38</v>
      </c>
      <c r="F1362" s="1" t="s">
        <v>5119</v>
      </c>
      <c r="G1362" s="1" t="s">
        <v>5120</v>
      </c>
      <c r="H1362" s="1" t="s">
        <v>5121</v>
      </c>
      <c r="I1362" t="b">
        <f>COUNTIF(Estadísticas!I:I,'centraldecomunicacion.es'!H1362)&gt;0</f>
        <v>0</v>
      </c>
    </row>
    <row r="1363" spans="1:9" hidden="1">
      <c r="A1363" s="1" t="s">
        <v>5381</v>
      </c>
      <c r="B1363" s="1" t="s">
        <v>24</v>
      </c>
      <c r="C1363" s="1" t="s">
        <v>5382</v>
      </c>
      <c r="D1363" s="1" t="s">
        <v>5383</v>
      </c>
      <c r="E1363" s="1" t="s">
        <v>38</v>
      </c>
      <c r="F1363" s="1" t="s">
        <v>5384</v>
      </c>
      <c r="G1363" s="1" t="s">
        <v>5385</v>
      </c>
      <c r="H1363" s="1" t="s">
        <v>5386</v>
      </c>
      <c r="I1363" t="b">
        <f>COUNTIF(Estadísticas!I:I,'centraldecomunicacion.es'!H1363)&gt;0</f>
        <v>0</v>
      </c>
    </row>
    <row r="1364" spans="1:9">
      <c r="A1364" s="1" t="s">
        <v>600</v>
      </c>
      <c r="B1364" s="1" t="s">
        <v>10</v>
      </c>
      <c r="C1364" s="1" t="s">
        <v>5387</v>
      </c>
      <c r="D1364" s="1" t="s">
        <v>602</v>
      </c>
      <c r="E1364" s="1" t="s">
        <v>38</v>
      </c>
      <c r="F1364" s="1" t="s">
        <v>603</v>
      </c>
      <c r="G1364" s="1" t="s">
        <v>604</v>
      </c>
      <c r="H1364" s="1" t="s">
        <v>605</v>
      </c>
      <c r="I1364" t="b">
        <f>COUNTIF(Estadísticas!I:I,'centraldecomunicacion.es'!H1364)&gt;0</f>
        <v>1</v>
      </c>
    </row>
    <row r="1365" spans="1:9">
      <c r="A1365" s="1" t="s">
        <v>611</v>
      </c>
      <c r="B1365" s="1" t="s">
        <v>24</v>
      </c>
      <c r="C1365" s="1" t="s">
        <v>612</v>
      </c>
      <c r="D1365" s="1" t="s">
        <v>38</v>
      </c>
      <c r="E1365" s="1" t="s">
        <v>38</v>
      </c>
      <c r="F1365" s="1" t="s">
        <v>613</v>
      </c>
      <c r="G1365" s="1" t="s">
        <v>614</v>
      </c>
      <c r="H1365" s="1" t="s">
        <v>615</v>
      </c>
      <c r="I1365" t="b">
        <f>COUNTIF(Estadísticas!I:I,'centraldecomunicacion.es'!H1365)&gt;0</f>
        <v>1</v>
      </c>
    </row>
    <row r="1366" spans="1:9" hidden="1">
      <c r="A1366" s="1" t="s">
        <v>5388</v>
      </c>
      <c r="B1366" s="1" t="s">
        <v>24</v>
      </c>
      <c r="C1366" s="1" t="s">
        <v>5389</v>
      </c>
      <c r="D1366" s="1" t="s">
        <v>38</v>
      </c>
      <c r="E1366" s="1" t="s">
        <v>38</v>
      </c>
      <c r="F1366" s="1" t="s">
        <v>78</v>
      </c>
      <c r="G1366" s="1" t="s">
        <v>5390</v>
      </c>
      <c r="H1366" s="1" t="s">
        <v>657</v>
      </c>
      <c r="I1366" t="b">
        <f>COUNTIF(Estadísticas!I:I,'centraldecomunicacion.es'!H1366)&gt;0</f>
        <v>0</v>
      </c>
    </row>
    <row r="1367" spans="1:9" hidden="1">
      <c r="A1367" s="1" t="s">
        <v>5391</v>
      </c>
      <c r="B1367" s="1" t="s">
        <v>10</v>
      </c>
      <c r="C1367" s="1" t="s">
        <v>5392</v>
      </c>
      <c r="D1367" s="1" t="s">
        <v>5113</v>
      </c>
      <c r="E1367" s="1" t="s">
        <v>38</v>
      </c>
      <c r="F1367" s="1" t="s">
        <v>5393</v>
      </c>
      <c r="G1367" s="1" t="s">
        <v>604</v>
      </c>
      <c r="H1367" s="1" t="s">
        <v>657</v>
      </c>
      <c r="I1367" t="b">
        <f>COUNTIF(Estadísticas!I:I,'centraldecomunicacion.es'!H1367)&gt;0</f>
        <v>0</v>
      </c>
    </row>
    <row r="1368" spans="1:9" hidden="1">
      <c r="A1368" s="1" t="s">
        <v>5394</v>
      </c>
      <c r="B1368" s="1" t="s">
        <v>24</v>
      </c>
      <c r="C1368" s="1" t="s">
        <v>5395</v>
      </c>
      <c r="D1368" s="1" t="s">
        <v>38</v>
      </c>
      <c r="E1368" s="1" t="s">
        <v>38</v>
      </c>
      <c r="F1368" s="1" t="s">
        <v>5396</v>
      </c>
      <c r="G1368" s="1" t="s">
        <v>5397</v>
      </c>
      <c r="H1368" s="1" t="s">
        <v>5398</v>
      </c>
      <c r="I1368" t="b">
        <f>COUNTIF(Estadísticas!I:I,'centraldecomunicacion.es'!H1368)&gt;0</f>
        <v>0</v>
      </c>
    </row>
    <row r="1369" spans="1:9">
      <c r="A1369" s="1" t="s">
        <v>600</v>
      </c>
      <c r="B1369" s="1" t="s">
        <v>24</v>
      </c>
      <c r="C1369" s="1" t="s">
        <v>5399</v>
      </c>
      <c r="D1369" s="1" t="s">
        <v>2892</v>
      </c>
      <c r="E1369" s="1" t="s">
        <v>38</v>
      </c>
      <c r="F1369" s="1" t="s">
        <v>603</v>
      </c>
      <c r="G1369" s="1" t="s">
        <v>604</v>
      </c>
      <c r="H1369" s="1" t="s">
        <v>605</v>
      </c>
      <c r="I1369" t="b">
        <f>COUNTIF(Estadísticas!I:I,'centraldecomunicacion.es'!H1369)&gt;0</f>
        <v>1</v>
      </c>
    </row>
    <row r="1370" spans="1:9" hidden="1">
      <c r="A1370" s="1" t="s">
        <v>5400</v>
      </c>
      <c r="B1370" s="1" t="s">
        <v>24</v>
      </c>
      <c r="C1370" s="1" t="s">
        <v>5401</v>
      </c>
      <c r="D1370" s="1" t="s">
        <v>5336</v>
      </c>
      <c r="E1370" s="1" t="s">
        <v>38</v>
      </c>
      <c r="F1370" s="1" t="s">
        <v>5402</v>
      </c>
      <c r="G1370" s="1" t="s">
        <v>5403</v>
      </c>
      <c r="H1370" s="1" t="s">
        <v>5404</v>
      </c>
      <c r="I1370" t="b">
        <f>COUNTIF(Estadísticas!I:I,'centraldecomunicacion.es'!H1370)&gt;0</f>
        <v>0</v>
      </c>
    </row>
    <row r="1371" spans="1:9" hidden="1">
      <c r="A1371" s="1" t="s">
        <v>5405</v>
      </c>
      <c r="B1371" s="1" t="s">
        <v>10</v>
      </c>
      <c r="C1371" s="1" t="s">
        <v>5406</v>
      </c>
      <c r="D1371" s="1" t="s">
        <v>2892</v>
      </c>
      <c r="E1371" s="1" t="s">
        <v>38</v>
      </c>
      <c r="F1371" s="1" t="s">
        <v>5407</v>
      </c>
      <c r="G1371" s="1" t="s">
        <v>5408</v>
      </c>
      <c r="H1371" s="1" t="s">
        <v>657</v>
      </c>
      <c r="I1371" t="b">
        <f>COUNTIF(Estadísticas!I:I,'centraldecomunicacion.es'!H1371)&gt;0</f>
        <v>0</v>
      </c>
    </row>
    <row r="1372" spans="1:9" hidden="1">
      <c r="A1372" s="1" t="s">
        <v>5409</v>
      </c>
      <c r="B1372" s="1" t="s">
        <v>24</v>
      </c>
      <c r="C1372" s="1" t="s">
        <v>5410</v>
      </c>
      <c r="D1372" s="1" t="s">
        <v>573</v>
      </c>
      <c r="E1372" s="1" t="s">
        <v>38</v>
      </c>
      <c r="F1372" s="1" t="s">
        <v>5411</v>
      </c>
      <c r="G1372" s="1" t="s">
        <v>2686</v>
      </c>
      <c r="H1372" s="1" t="s">
        <v>657</v>
      </c>
      <c r="I1372" t="b">
        <f>COUNTIF(Estadísticas!I:I,'centraldecomunicacion.es'!H1372)&gt;0</f>
        <v>0</v>
      </c>
    </row>
    <row r="1373" spans="1:9" hidden="1">
      <c r="A1373" s="1" t="s">
        <v>5412</v>
      </c>
      <c r="B1373" s="1" t="s">
        <v>24</v>
      </c>
      <c r="C1373" s="1" t="s">
        <v>5413</v>
      </c>
      <c r="D1373" s="1" t="s">
        <v>38</v>
      </c>
      <c r="E1373" s="1" t="s">
        <v>38</v>
      </c>
      <c r="F1373" s="1" t="s">
        <v>78</v>
      </c>
      <c r="G1373" s="1" t="s">
        <v>5414</v>
      </c>
      <c r="H1373" s="1" t="s">
        <v>657</v>
      </c>
      <c r="I1373" t="b">
        <f>COUNTIF(Estadísticas!I:I,'centraldecomunicacion.es'!H1373)&gt;0</f>
        <v>0</v>
      </c>
    </row>
    <row r="1374" spans="1:9" hidden="1">
      <c r="A1374" s="1" t="s">
        <v>600</v>
      </c>
      <c r="B1374" s="1" t="s">
        <v>10</v>
      </c>
      <c r="C1374" s="1" t="s">
        <v>5415</v>
      </c>
      <c r="D1374" s="1" t="s">
        <v>3216</v>
      </c>
      <c r="E1374" s="1" t="s">
        <v>38</v>
      </c>
      <c r="F1374" s="1" t="s">
        <v>78</v>
      </c>
      <c r="G1374" s="1" t="s">
        <v>604</v>
      </c>
      <c r="H1374" s="1" t="s">
        <v>657</v>
      </c>
      <c r="I1374" t="b">
        <f>COUNTIF(Estadísticas!I:I,'centraldecomunicacion.es'!H1374)&gt;0</f>
        <v>0</v>
      </c>
    </row>
    <row r="1375" spans="1:9" hidden="1">
      <c r="A1375" s="1" t="s">
        <v>5416</v>
      </c>
      <c r="B1375" s="1" t="s">
        <v>24</v>
      </c>
      <c r="C1375" s="1" t="s">
        <v>5417</v>
      </c>
      <c r="D1375" s="1" t="s">
        <v>38</v>
      </c>
      <c r="E1375" s="1" t="s">
        <v>38</v>
      </c>
      <c r="F1375" s="1" t="s">
        <v>78</v>
      </c>
      <c r="G1375" s="1" t="s">
        <v>5418</v>
      </c>
      <c r="H1375" s="1" t="s">
        <v>657</v>
      </c>
      <c r="I1375" t="b">
        <f>COUNTIF(Estadísticas!I:I,'centraldecomunicacion.es'!H1375)&gt;0</f>
        <v>0</v>
      </c>
    </row>
    <row r="1376" spans="1:9" hidden="1">
      <c r="A1376" s="1" t="s">
        <v>5419</v>
      </c>
      <c r="B1376" s="1" t="s">
        <v>24</v>
      </c>
      <c r="C1376" s="1" t="s">
        <v>5420</v>
      </c>
      <c r="D1376" s="1" t="s">
        <v>38</v>
      </c>
      <c r="E1376" s="1" t="s">
        <v>38</v>
      </c>
      <c r="F1376" s="1" t="s">
        <v>5421</v>
      </c>
      <c r="G1376" s="1" t="s">
        <v>78</v>
      </c>
      <c r="H1376" s="1" t="s">
        <v>657</v>
      </c>
      <c r="I1376" t="b">
        <f>COUNTIF(Estadísticas!I:I,'centraldecomunicacion.es'!H1376)&gt;0</f>
        <v>0</v>
      </c>
    </row>
    <row r="1377" spans="1:9" hidden="1">
      <c r="A1377" s="1" t="s">
        <v>5422</v>
      </c>
      <c r="B1377" s="1" t="s">
        <v>10</v>
      </c>
      <c r="C1377" s="1" t="s">
        <v>5423</v>
      </c>
      <c r="D1377" s="1" t="s">
        <v>2892</v>
      </c>
      <c r="E1377" s="1" t="s">
        <v>38</v>
      </c>
      <c r="F1377" s="1" t="s">
        <v>5209</v>
      </c>
      <c r="G1377" s="1" t="s">
        <v>5210</v>
      </c>
      <c r="H1377" s="1" t="s">
        <v>5211</v>
      </c>
      <c r="I1377" t="b">
        <f>COUNTIF(Estadísticas!I:I,'centraldecomunicacion.es'!H1377)&gt;0</f>
        <v>0</v>
      </c>
    </row>
    <row r="1378" spans="1:9" hidden="1">
      <c r="A1378" s="1" t="s">
        <v>5424</v>
      </c>
      <c r="B1378" s="1" t="s">
        <v>24</v>
      </c>
      <c r="C1378" s="1" t="s">
        <v>5425</v>
      </c>
      <c r="D1378" s="1" t="s">
        <v>5336</v>
      </c>
      <c r="E1378" s="1" t="s">
        <v>38</v>
      </c>
      <c r="F1378" s="1" t="s">
        <v>5426</v>
      </c>
      <c r="G1378" s="1" t="s">
        <v>5427</v>
      </c>
      <c r="H1378" s="1" t="s">
        <v>657</v>
      </c>
      <c r="I1378" t="b">
        <f>COUNTIF(Estadísticas!I:I,'centraldecomunicacion.es'!H1378)&gt;0</f>
        <v>0</v>
      </c>
    </row>
    <row r="1379" spans="1:9" hidden="1">
      <c r="A1379" s="1" t="s">
        <v>5428</v>
      </c>
      <c r="B1379" s="1" t="s">
        <v>24</v>
      </c>
      <c r="C1379" s="1" t="s">
        <v>5429</v>
      </c>
      <c r="D1379" s="1" t="s">
        <v>3216</v>
      </c>
      <c r="E1379" s="1" t="s">
        <v>38</v>
      </c>
      <c r="F1379" s="1" t="s">
        <v>5430</v>
      </c>
      <c r="G1379" s="1" t="s">
        <v>5431</v>
      </c>
      <c r="H1379" s="1" t="s">
        <v>5432</v>
      </c>
      <c r="I1379" t="b">
        <f>COUNTIF(Estadísticas!I:I,'centraldecomunicacion.es'!H1379)&gt;0</f>
        <v>0</v>
      </c>
    </row>
    <row r="1380" spans="1:9" hidden="1">
      <c r="A1380" s="1" t="s">
        <v>5433</v>
      </c>
      <c r="B1380" s="1" t="s">
        <v>10</v>
      </c>
      <c r="C1380" s="1" t="s">
        <v>5434</v>
      </c>
      <c r="D1380" s="1" t="s">
        <v>5435</v>
      </c>
      <c r="E1380" s="1" t="s">
        <v>38</v>
      </c>
      <c r="F1380" s="1" t="s">
        <v>78</v>
      </c>
      <c r="G1380" s="1" t="s">
        <v>5436</v>
      </c>
      <c r="H1380" s="1" t="s">
        <v>657</v>
      </c>
      <c r="I1380" t="b">
        <f>COUNTIF(Estadísticas!I:I,'centraldecomunicacion.es'!H1380)&gt;0</f>
        <v>0</v>
      </c>
    </row>
    <row r="1381" spans="1:9" hidden="1">
      <c r="A1381" s="1" t="s">
        <v>5437</v>
      </c>
      <c r="B1381" s="1" t="s">
        <v>10</v>
      </c>
      <c r="C1381" s="1" t="s">
        <v>5438</v>
      </c>
      <c r="D1381" s="1" t="s">
        <v>876</v>
      </c>
      <c r="E1381" s="1" t="s">
        <v>38</v>
      </c>
      <c r="F1381" s="1" t="s">
        <v>78</v>
      </c>
      <c r="G1381" s="1" t="s">
        <v>78</v>
      </c>
      <c r="H1381" s="1" t="s">
        <v>657</v>
      </c>
      <c r="I1381" t="b">
        <f>COUNTIF(Estadísticas!I:I,'centraldecomunicacion.es'!H1381)&gt;0</f>
        <v>0</v>
      </c>
    </row>
    <row r="1382" spans="1:9" hidden="1">
      <c r="A1382" s="1" t="s">
        <v>5439</v>
      </c>
      <c r="B1382" s="1" t="s">
        <v>24</v>
      </c>
      <c r="C1382" s="1" t="s">
        <v>78</v>
      </c>
      <c r="D1382" s="1" t="s">
        <v>5440</v>
      </c>
      <c r="E1382" s="1" t="s">
        <v>78</v>
      </c>
      <c r="F1382" s="1" t="s">
        <v>78</v>
      </c>
      <c r="G1382" s="1" t="s">
        <v>5441</v>
      </c>
      <c r="H1382" s="1" t="s">
        <v>657</v>
      </c>
      <c r="I1382" t="b">
        <f>COUNTIF(Estadísticas!I:I,'centraldecomunicacion.es'!H1382)&gt;0</f>
        <v>0</v>
      </c>
    </row>
    <row r="1383" spans="1:9" hidden="1">
      <c r="A1383" s="1" t="s">
        <v>5442</v>
      </c>
      <c r="B1383" s="1" t="s">
        <v>24</v>
      </c>
      <c r="C1383" s="1" t="s">
        <v>5443</v>
      </c>
      <c r="D1383" s="1" t="s">
        <v>5440</v>
      </c>
      <c r="E1383" s="1" t="s">
        <v>5440</v>
      </c>
      <c r="F1383" s="1" t="s">
        <v>78</v>
      </c>
      <c r="G1383" s="1" t="s">
        <v>5444</v>
      </c>
      <c r="H1383" s="1" t="s">
        <v>657</v>
      </c>
      <c r="I1383" t="b">
        <f>COUNTIF(Estadísticas!I:I,'centraldecomunicacion.es'!H1383)&gt;0</f>
        <v>0</v>
      </c>
    </row>
    <row r="1384" spans="1:9" hidden="1">
      <c r="A1384" s="1" t="s">
        <v>5445</v>
      </c>
      <c r="B1384" s="1" t="s">
        <v>24</v>
      </c>
      <c r="C1384" s="1" t="s">
        <v>5446</v>
      </c>
      <c r="D1384" s="1" t="s">
        <v>91</v>
      </c>
      <c r="E1384" s="1" t="s">
        <v>91</v>
      </c>
      <c r="F1384" s="1" t="s">
        <v>5447</v>
      </c>
      <c r="G1384" s="1" t="s">
        <v>5448</v>
      </c>
      <c r="H1384" s="1" t="s">
        <v>657</v>
      </c>
      <c r="I1384" t="b">
        <f>COUNTIF(Estadísticas!I:I,'centraldecomunicacion.es'!H1384)&gt;0</f>
        <v>0</v>
      </c>
    </row>
    <row r="1385" spans="1:9" hidden="1">
      <c r="A1385" s="1" t="s">
        <v>2800</v>
      </c>
      <c r="B1385" s="1" t="s">
        <v>24</v>
      </c>
      <c r="C1385" s="1" t="s">
        <v>5449</v>
      </c>
      <c r="D1385" s="1" t="s">
        <v>618</v>
      </c>
      <c r="E1385" s="1" t="s">
        <v>618</v>
      </c>
      <c r="F1385" s="1" t="s">
        <v>5450</v>
      </c>
      <c r="G1385" s="1" t="s">
        <v>5451</v>
      </c>
      <c r="H1385" s="1" t="s">
        <v>657</v>
      </c>
      <c r="I1385" t="b">
        <f>COUNTIF(Estadísticas!I:I,'centraldecomunicacion.es'!H1385)&gt;0</f>
        <v>0</v>
      </c>
    </row>
    <row r="1386" spans="1:9" hidden="1">
      <c r="A1386" s="1" t="s">
        <v>5452</v>
      </c>
      <c r="B1386" s="1" t="s">
        <v>24</v>
      </c>
      <c r="C1386" s="1" t="s">
        <v>5453</v>
      </c>
      <c r="D1386" s="1" t="s">
        <v>618</v>
      </c>
      <c r="E1386" s="1" t="s">
        <v>618</v>
      </c>
      <c r="F1386" s="1" t="s">
        <v>5454</v>
      </c>
      <c r="G1386" s="1" t="s">
        <v>5455</v>
      </c>
      <c r="H1386" s="1" t="s">
        <v>5456</v>
      </c>
      <c r="I1386" t="b">
        <f>COUNTIF(Estadísticas!I:I,'centraldecomunicacion.es'!H1386)&gt;0</f>
        <v>0</v>
      </c>
    </row>
    <row r="1387" spans="1:9">
      <c r="A1387" s="1" t="s">
        <v>616</v>
      </c>
      <c r="B1387" s="1" t="s">
        <v>24</v>
      </c>
      <c r="C1387" s="1" t="s">
        <v>617</v>
      </c>
      <c r="D1387" s="1" t="s">
        <v>618</v>
      </c>
      <c r="E1387" s="1" t="s">
        <v>618</v>
      </c>
      <c r="F1387" s="1" t="s">
        <v>619</v>
      </c>
      <c r="G1387" s="1" t="s">
        <v>620</v>
      </c>
      <c r="H1387" s="1" t="s">
        <v>621</v>
      </c>
      <c r="I1387" t="b">
        <f>COUNTIF(Estadísticas!I:I,'centraldecomunicacion.es'!H1387)&gt;0</f>
        <v>1</v>
      </c>
    </row>
    <row r="1388" spans="1:9" hidden="1">
      <c r="A1388" s="1" t="s">
        <v>5457</v>
      </c>
      <c r="B1388" s="1" t="s">
        <v>10</v>
      </c>
      <c r="C1388" s="1" t="s">
        <v>5458</v>
      </c>
      <c r="D1388" s="1" t="s">
        <v>618</v>
      </c>
      <c r="E1388" s="1" t="s">
        <v>618</v>
      </c>
      <c r="F1388" s="1" t="s">
        <v>1699</v>
      </c>
      <c r="G1388" s="1" t="s">
        <v>5459</v>
      </c>
      <c r="H1388" s="1" t="s">
        <v>662</v>
      </c>
      <c r="I1388" t="b">
        <f>COUNTIF(Estadísticas!I:I,'centraldecomunicacion.es'!H1388)&gt;0</f>
        <v>0</v>
      </c>
    </row>
    <row r="1389" spans="1:9">
      <c r="A1389" s="1" t="s">
        <v>5460</v>
      </c>
      <c r="B1389" s="1" t="s">
        <v>10</v>
      </c>
      <c r="C1389" s="1" t="s">
        <v>5461</v>
      </c>
      <c r="D1389" s="1" t="s">
        <v>618</v>
      </c>
      <c r="E1389" s="1" t="s">
        <v>618</v>
      </c>
      <c r="F1389" s="1" t="s">
        <v>619</v>
      </c>
      <c r="G1389" s="1" t="s">
        <v>620</v>
      </c>
      <c r="H1389" s="1" t="s">
        <v>621</v>
      </c>
      <c r="I1389" t="b">
        <f>COUNTIF(Estadísticas!I:I,'centraldecomunicacion.es'!H1389)&gt;0</f>
        <v>1</v>
      </c>
    </row>
    <row r="1390" spans="1:9" hidden="1">
      <c r="A1390" s="1" t="s">
        <v>5462</v>
      </c>
      <c r="B1390" s="1" t="s">
        <v>24</v>
      </c>
      <c r="C1390" s="1" t="s">
        <v>5463</v>
      </c>
      <c r="D1390" s="1" t="s">
        <v>618</v>
      </c>
      <c r="E1390" s="1" t="s">
        <v>618</v>
      </c>
      <c r="F1390" s="1" t="s">
        <v>5464</v>
      </c>
      <c r="G1390" s="1" t="s">
        <v>620</v>
      </c>
      <c r="H1390" s="1" t="s">
        <v>657</v>
      </c>
      <c r="I1390" t="b">
        <f>COUNTIF(Estadísticas!I:I,'centraldecomunicacion.es'!H1390)&gt;0</f>
        <v>0</v>
      </c>
    </row>
    <row r="1391" spans="1:9" hidden="1">
      <c r="A1391" s="1" t="s">
        <v>5465</v>
      </c>
      <c r="B1391" s="1" t="s">
        <v>24</v>
      </c>
      <c r="C1391" s="1" t="s">
        <v>5466</v>
      </c>
      <c r="D1391" s="1" t="s">
        <v>618</v>
      </c>
      <c r="E1391" s="1" t="s">
        <v>618</v>
      </c>
      <c r="F1391" s="1" t="s">
        <v>5467</v>
      </c>
      <c r="G1391" s="1" t="s">
        <v>5468</v>
      </c>
      <c r="H1391" s="1" t="s">
        <v>657</v>
      </c>
      <c r="I1391" t="b">
        <f>COUNTIF(Estadísticas!I:I,'centraldecomunicacion.es'!H1391)&gt;0</f>
        <v>0</v>
      </c>
    </row>
    <row r="1392" spans="1:9" hidden="1">
      <c r="A1392" s="1" t="s">
        <v>5469</v>
      </c>
      <c r="B1392" s="1" t="s">
        <v>24</v>
      </c>
      <c r="C1392" s="1" t="s">
        <v>5470</v>
      </c>
      <c r="D1392" s="1" t="s">
        <v>618</v>
      </c>
      <c r="E1392" s="1" t="s">
        <v>618</v>
      </c>
      <c r="F1392" s="1" t="s">
        <v>5471</v>
      </c>
      <c r="G1392" s="1" t="s">
        <v>5472</v>
      </c>
      <c r="H1392" s="1" t="s">
        <v>657</v>
      </c>
      <c r="I1392" t="b">
        <f>COUNTIF(Estadísticas!I:I,'centraldecomunicacion.es'!H1392)&gt;0</f>
        <v>0</v>
      </c>
    </row>
    <row r="1393" spans="1:9">
      <c r="A1393" s="1" t="s">
        <v>616</v>
      </c>
      <c r="B1393" s="1" t="s">
        <v>24</v>
      </c>
      <c r="C1393" s="1" t="s">
        <v>5473</v>
      </c>
      <c r="D1393" s="1" t="s">
        <v>5474</v>
      </c>
      <c r="E1393" s="1" t="s">
        <v>618</v>
      </c>
      <c r="F1393" s="1" t="s">
        <v>619</v>
      </c>
      <c r="G1393" s="1" t="s">
        <v>620</v>
      </c>
      <c r="H1393" s="1" t="s">
        <v>621</v>
      </c>
      <c r="I1393" t="b">
        <f>COUNTIF(Estadísticas!I:I,'centraldecomunicacion.es'!H1393)&gt;0</f>
        <v>1</v>
      </c>
    </row>
    <row r="1394" spans="1:9" hidden="1">
      <c r="A1394" s="1" t="s">
        <v>5475</v>
      </c>
      <c r="B1394" s="1" t="s">
        <v>10</v>
      </c>
      <c r="C1394" s="1" t="s">
        <v>5476</v>
      </c>
      <c r="D1394" s="1" t="s">
        <v>618</v>
      </c>
      <c r="E1394" s="1" t="s">
        <v>618</v>
      </c>
      <c r="F1394" s="1" t="s">
        <v>5477</v>
      </c>
      <c r="G1394" s="1" t="s">
        <v>5478</v>
      </c>
      <c r="H1394" s="1" t="s">
        <v>5479</v>
      </c>
      <c r="I1394" t="b">
        <f>COUNTIF(Estadísticas!I:I,'centraldecomunicacion.es'!H1394)&gt;0</f>
        <v>0</v>
      </c>
    </row>
    <row r="1395" spans="1:9" hidden="1">
      <c r="A1395" s="1" t="s">
        <v>5480</v>
      </c>
      <c r="B1395" s="1" t="s">
        <v>24</v>
      </c>
      <c r="C1395" s="1" t="s">
        <v>5481</v>
      </c>
      <c r="D1395" s="1" t="s">
        <v>618</v>
      </c>
      <c r="E1395" s="1" t="s">
        <v>618</v>
      </c>
      <c r="F1395" s="1" t="s">
        <v>78</v>
      </c>
      <c r="G1395" s="1" t="s">
        <v>5482</v>
      </c>
      <c r="H1395" s="1" t="s">
        <v>657</v>
      </c>
      <c r="I1395" t="b">
        <f>COUNTIF(Estadísticas!I:I,'centraldecomunicacion.es'!H1395)&gt;0</f>
        <v>0</v>
      </c>
    </row>
    <row r="1396" spans="1:9" hidden="1">
      <c r="A1396" s="1" t="s">
        <v>5483</v>
      </c>
      <c r="B1396" s="1" t="s">
        <v>24</v>
      </c>
      <c r="C1396" s="1" t="s">
        <v>5484</v>
      </c>
      <c r="D1396" s="1" t="s">
        <v>618</v>
      </c>
      <c r="E1396" s="1" t="s">
        <v>618</v>
      </c>
      <c r="F1396" s="1" t="s">
        <v>5471</v>
      </c>
      <c r="G1396" s="1" t="s">
        <v>5485</v>
      </c>
      <c r="H1396" s="1" t="s">
        <v>657</v>
      </c>
      <c r="I1396" t="b">
        <f>COUNTIF(Estadísticas!I:I,'centraldecomunicacion.es'!H1396)&gt;0</f>
        <v>0</v>
      </c>
    </row>
    <row r="1397" spans="1:9" hidden="1">
      <c r="A1397" s="1" t="s">
        <v>5486</v>
      </c>
      <c r="B1397" s="1" t="s">
        <v>10</v>
      </c>
      <c r="C1397" s="1" t="s">
        <v>5487</v>
      </c>
      <c r="D1397" s="1" t="s">
        <v>618</v>
      </c>
      <c r="E1397" s="1" t="s">
        <v>618</v>
      </c>
      <c r="F1397" s="1" t="s">
        <v>78</v>
      </c>
      <c r="G1397" s="1" t="s">
        <v>5488</v>
      </c>
      <c r="H1397" s="1" t="s">
        <v>657</v>
      </c>
      <c r="I1397" t="b">
        <f>COUNTIF(Estadísticas!I:I,'centraldecomunicacion.es'!H1397)&gt;0</f>
        <v>0</v>
      </c>
    </row>
    <row r="1398" spans="1:9" hidden="1">
      <c r="A1398" s="1" t="s">
        <v>5489</v>
      </c>
      <c r="B1398" s="1" t="s">
        <v>24</v>
      </c>
      <c r="C1398" s="1" t="s">
        <v>5490</v>
      </c>
      <c r="D1398" s="1" t="s">
        <v>5491</v>
      </c>
      <c r="E1398" s="1" t="s">
        <v>618</v>
      </c>
      <c r="F1398" s="1" t="s">
        <v>5492</v>
      </c>
      <c r="G1398" s="1" t="s">
        <v>5493</v>
      </c>
      <c r="H1398" s="1" t="s">
        <v>5494</v>
      </c>
      <c r="I1398" t="b">
        <f>COUNTIF(Estadísticas!I:I,'centraldecomunicacion.es'!H1398)&gt;0</f>
        <v>0</v>
      </c>
    </row>
    <row r="1399" spans="1:9" hidden="1">
      <c r="A1399" s="1" t="s">
        <v>5495</v>
      </c>
      <c r="B1399" s="1" t="s">
        <v>24</v>
      </c>
      <c r="C1399" s="1" t="s">
        <v>5496</v>
      </c>
      <c r="D1399" s="1" t="s">
        <v>5497</v>
      </c>
      <c r="E1399" s="1" t="s">
        <v>618</v>
      </c>
      <c r="F1399" s="1" t="s">
        <v>78</v>
      </c>
      <c r="G1399" s="1" t="s">
        <v>5498</v>
      </c>
      <c r="H1399" s="1" t="s">
        <v>657</v>
      </c>
      <c r="I1399" t="b">
        <f>COUNTIF(Estadísticas!I:I,'centraldecomunicacion.es'!H1399)&gt;0</f>
        <v>0</v>
      </c>
    </row>
    <row r="1400" spans="1:9" hidden="1">
      <c r="A1400" s="1" t="s">
        <v>5499</v>
      </c>
      <c r="B1400" s="1" t="s">
        <v>10</v>
      </c>
      <c r="C1400" s="1" t="s">
        <v>5500</v>
      </c>
      <c r="D1400" s="1" t="s">
        <v>5501</v>
      </c>
      <c r="E1400" s="1" t="s">
        <v>618</v>
      </c>
      <c r="F1400" s="1" t="s">
        <v>5502</v>
      </c>
      <c r="G1400" s="1" t="s">
        <v>5503</v>
      </c>
      <c r="H1400" s="1" t="s">
        <v>5504</v>
      </c>
      <c r="I1400" t="b">
        <f>COUNTIF(Estadísticas!I:I,'centraldecomunicacion.es'!H1400)&gt;0</f>
        <v>0</v>
      </c>
    </row>
    <row r="1401" spans="1:9" hidden="1">
      <c r="A1401" s="1" t="s">
        <v>5505</v>
      </c>
      <c r="B1401" s="1" t="s">
        <v>24</v>
      </c>
      <c r="C1401" s="1" t="s">
        <v>5506</v>
      </c>
      <c r="D1401" s="1" t="s">
        <v>5507</v>
      </c>
      <c r="E1401" s="1" t="s">
        <v>618</v>
      </c>
      <c r="F1401" s="1" t="s">
        <v>78</v>
      </c>
      <c r="G1401" s="1" t="s">
        <v>5508</v>
      </c>
      <c r="H1401" s="1" t="s">
        <v>657</v>
      </c>
      <c r="I1401" t="b">
        <f>COUNTIF(Estadísticas!I:I,'centraldecomunicacion.es'!H1401)&gt;0</f>
        <v>0</v>
      </c>
    </row>
    <row r="1402" spans="1:9" hidden="1">
      <c r="A1402" s="1" t="s">
        <v>5509</v>
      </c>
      <c r="B1402" s="1" t="s">
        <v>10</v>
      </c>
      <c r="C1402" s="1" t="s">
        <v>5510</v>
      </c>
      <c r="D1402" s="1" t="s">
        <v>5511</v>
      </c>
      <c r="E1402" s="1" t="s">
        <v>618</v>
      </c>
      <c r="F1402" s="1" t="s">
        <v>829</v>
      </c>
      <c r="G1402" s="1" t="s">
        <v>5512</v>
      </c>
      <c r="H1402" s="1" t="s">
        <v>831</v>
      </c>
      <c r="I1402" t="b">
        <f>COUNTIF(Estadísticas!I:I,'centraldecomunicacion.es'!H1402)&gt;0</f>
        <v>0</v>
      </c>
    </row>
    <row r="1403" spans="1:9" hidden="1">
      <c r="A1403" s="1" t="s">
        <v>5513</v>
      </c>
      <c r="B1403" s="1" t="s">
        <v>24</v>
      </c>
      <c r="C1403" s="1" t="s">
        <v>5514</v>
      </c>
      <c r="D1403" s="1" t="s">
        <v>5497</v>
      </c>
      <c r="E1403" s="1" t="s">
        <v>618</v>
      </c>
      <c r="F1403" s="1" t="s">
        <v>5515</v>
      </c>
      <c r="G1403" s="1" t="s">
        <v>5516</v>
      </c>
      <c r="H1403" s="1" t="s">
        <v>5517</v>
      </c>
      <c r="I1403" t="b">
        <f>COUNTIF(Estadísticas!I:I,'centraldecomunicacion.es'!H1403)&gt;0</f>
        <v>0</v>
      </c>
    </row>
    <row r="1404" spans="1:9" hidden="1">
      <c r="A1404" s="1" t="s">
        <v>5518</v>
      </c>
      <c r="B1404" s="1" t="s">
        <v>10</v>
      </c>
      <c r="C1404" s="1" t="s">
        <v>5519</v>
      </c>
      <c r="D1404" s="1" t="s">
        <v>618</v>
      </c>
      <c r="E1404" s="1" t="s">
        <v>618</v>
      </c>
      <c r="F1404" s="1" t="s">
        <v>78</v>
      </c>
      <c r="G1404" s="1" t="s">
        <v>5520</v>
      </c>
      <c r="H1404" s="1" t="s">
        <v>657</v>
      </c>
      <c r="I1404" t="b">
        <f>COUNTIF(Estadísticas!I:I,'centraldecomunicacion.es'!H1404)&gt;0</f>
        <v>0</v>
      </c>
    </row>
    <row r="1405" spans="1:9" hidden="1">
      <c r="A1405" s="1" t="s">
        <v>4709</v>
      </c>
      <c r="B1405" s="1" t="s">
        <v>24</v>
      </c>
      <c r="C1405" s="1" t="s">
        <v>5521</v>
      </c>
      <c r="D1405" s="1" t="s">
        <v>618</v>
      </c>
      <c r="E1405" s="1" t="s">
        <v>618</v>
      </c>
      <c r="F1405" s="1" t="s">
        <v>909</v>
      </c>
      <c r="G1405" s="1" t="s">
        <v>740</v>
      </c>
      <c r="H1405" s="1" t="s">
        <v>657</v>
      </c>
      <c r="I1405" t="b">
        <f>COUNTIF(Estadísticas!I:I,'centraldecomunicacion.es'!H1405)&gt;0</f>
        <v>0</v>
      </c>
    </row>
    <row r="1406" spans="1:9" hidden="1">
      <c r="A1406" s="1" t="s">
        <v>5522</v>
      </c>
      <c r="B1406" s="1" t="s">
        <v>24</v>
      </c>
      <c r="C1406" s="1" t="s">
        <v>5523</v>
      </c>
      <c r="D1406" s="1" t="s">
        <v>5524</v>
      </c>
      <c r="E1406" s="1" t="s">
        <v>5524</v>
      </c>
      <c r="F1406" s="1" t="s">
        <v>78</v>
      </c>
      <c r="G1406" s="1" t="s">
        <v>5525</v>
      </c>
      <c r="H1406" s="1" t="s">
        <v>657</v>
      </c>
      <c r="I1406" t="b">
        <f>COUNTIF(Estadísticas!I:I,'centraldecomunicacion.es'!H1406)&gt;0</f>
        <v>0</v>
      </c>
    </row>
    <row r="1407" spans="1:9" hidden="1">
      <c r="A1407" s="1" t="s">
        <v>5526</v>
      </c>
      <c r="B1407" s="1" t="s">
        <v>10</v>
      </c>
      <c r="C1407" s="1" t="s">
        <v>5527</v>
      </c>
      <c r="D1407" s="1" t="s">
        <v>618</v>
      </c>
      <c r="E1407" s="1" t="s">
        <v>618</v>
      </c>
      <c r="F1407" s="1" t="s">
        <v>5471</v>
      </c>
      <c r="G1407" s="1" t="s">
        <v>5528</v>
      </c>
      <c r="H1407" s="1" t="s">
        <v>657</v>
      </c>
      <c r="I1407" t="b">
        <f>COUNTIF(Estadísticas!I:I,'centraldecomunicacion.es'!H1407)&gt;0</f>
        <v>0</v>
      </c>
    </row>
    <row r="1408" spans="1:9" hidden="1">
      <c r="A1408" s="1" t="s">
        <v>5529</v>
      </c>
      <c r="B1408" s="1" t="s">
        <v>10</v>
      </c>
      <c r="C1408" s="1" t="s">
        <v>5530</v>
      </c>
      <c r="D1408" s="1" t="s">
        <v>5511</v>
      </c>
      <c r="E1408" s="1" t="s">
        <v>618</v>
      </c>
      <c r="F1408" s="1" t="s">
        <v>5531</v>
      </c>
      <c r="G1408" s="1" t="s">
        <v>5532</v>
      </c>
      <c r="H1408" s="1" t="s">
        <v>5533</v>
      </c>
      <c r="I1408" t="b">
        <f>COUNTIF(Estadísticas!I:I,'centraldecomunicacion.es'!H1408)&gt;0</f>
        <v>0</v>
      </c>
    </row>
    <row r="1409" spans="1:9" hidden="1">
      <c r="A1409" s="1" t="s">
        <v>5534</v>
      </c>
      <c r="B1409" s="1" t="s">
        <v>24</v>
      </c>
      <c r="C1409" s="1" t="s">
        <v>5535</v>
      </c>
      <c r="D1409" s="1" t="s">
        <v>5536</v>
      </c>
      <c r="E1409" s="1" t="s">
        <v>618</v>
      </c>
      <c r="F1409" s="1" t="s">
        <v>78</v>
      </c>
      <c r="G1409" s="1" t="s">
        <v>5537</v>
      </c>
      <c r="H1409" s="1" t="s">
        <v>657</v>
      </c>
      <c r="I1409" t="b">
        <f>COUNTIF(Estadísticas!I:I,'centraldecomunicacion.es'!H1409)&gt;0</f>
        <v>0</v>
      </c>
    </row>
    <row r="1410" spans="1:9" hidden="1">
      <c r="A1410" s="1" t="s">
        <v>5475</v>
      </c>
      <c r="B1410" s="1" t="s">
        <v>10</v>
      </c>
      <c r="C1410" s="1" t="s">
        <v>5538</v>
      </c>
      <c r="D1410" s="1" t="s">
        <v>5536</v>
      </c>
      <c r="E1410" s="1" t="s">
        <v>618</v>
      </c>
      <c r="F1410" s="1" t="s">
        <v>5477</v>
      </c>
      <c r="G1410" s="1" t="s">
        <v>5478</v>
      </c>
      <c r="H1410" s="1" t="s">
        <v>5479</v>
      </c>
      <c r="I1410" t="b">
        <f>COUNTIF(Estadísticas!I:I,'centraldecomunicacion.es'!H1410)&gt;0</f>
        <v>0</v>
      </c>
    </row>
    <row r="1411" spans="1:9" hidden="1">
      <c r="A1411" s="1" t="s">
        <v>5539</v>
      </c>
      <c r="B1411" s="1" t="s">
        <v>10</v>
      </c>
      <c r="C1411" s="1" t="s">
        <v>78</v>
      </c>
      <c r="D1411" s="1" t="s">
        <v>5491</v>
      </c>
      <c r="E1411" s="1" t="s">
        <v>78</v>
      </c>
      <c r="F1411" s="1" t="s">
        <v>5540</v>
      </c>
      <c r="G1411" s="1" t="s">
        <v>5541</v>
      </c>
      <c r="H1411" s="1" t="s">
        <v>657</v>
      </c>
      <c r="I1411" t="b">
        <f>COUNTIF(Estadísticas!I:I,'centraldecomunicacion.es'!H1411)&gt;0</f>
        <v>0</v>
      </c>
    </row>
    <row r="1412" spans="1:9" hidden="1">
      <c r="A1412" s="1" t="s">
        <v>5542</v>
      </c>
      <c r="B1412" s="1" t="s">
        <v>24</v>
      </c>
      <c r="C1412" s="1" t="s">
        <v>5543</v>
      </c>
      <c r="D1412" s="1" t="s">
        <v>5544</v>
      </c>
      <c r="E1412" s="1" t="s">
        <v>618</v>
      </c>
      <c r="F1412" s="1" t="s">
        <v>5545</v>
      </c>
      <c r="G1412" s="1" t="s">
        <v>5546</v>
      </c>
      <c r="H1412" s="1" t="s">
        <v>5547</v>
      </c>
      <c r="I1412" t="b">
        <f>COUNTIF(Estadísticas!I:I,'centraldecomunicacion.es'!H1412)&gt;0</f>
        <v>0</v>
      </c>
    </row>
    <row r="1413" spans="1:9" hidden="1">
      <c r="A1413" s="1" t="s">
        <v>5548</v>
      </c>
      <c r="B1413" s="1" t="s">
        <v>10</v>
      </c>
      <c r="C1413" s="1" t="s">
        <v>5549</v>
      </c>
      <c r="D1413" s="1" t="s">
        <v>5511</v>
      </c>
      <c r="E1413" s="1" t="s">
        <v>618</v>
      </c>
      <c r="F1413" s="1" t="s">
        <v>795</v>
      </c>
      <c r="G1413" s="1" t="s">
        <v>796</v>
      </c>
      <c r="H1413" s="1" t="s">
        <v>797</v>
      </c>
      <c r="I1413" t="b">
        <f>COUNTIF(Estadísticas!I:I,'centraldecomunicacion.es'!H1413)&gt;0</f>
        <v>0</v>
      </c>
    </row>
    <row r="1414" spans="1:9" hidden="1">
      <c r="A1414" s="1" t="s">
        <v>5550</v>
      </c>
      <c r="B1414" s="1" t="s">
        <v>24</v>
      </c>
      <c r="C1414" s="1" t="s">
        <v>5551</v>
      </c>
      <c r="D1414" s="1" t="s">
        <v>5552</v>
      </c>
      <c r="E1414" s="1" t="s">
        <v>618</v>
      </c>
      <c r="F1414" s="1" t="s">
        <v>5553</v>
      </c>
      <c r="G1414" s="1" t="s">
        <v>5554</v>
      </c>
      <c r="H1414" s="1" t="s">
        <v>5555</v>
      </c>
      <c r="I1414" t="b">
        <f>COUNTIF(Estadísticas!I:I,'centraldecomunicacion.es'!H1414)&gt;0</f>
        <v>0</v>
      </c>
    </row>
    <row r="1415" spans="1:9" hidden="1">
      <c r="A1415" s="1" t="s">
        <v>5556</v>
      </c>
      <c r="B1415" s="1" t="s">
        <v>24</v>
      </c>
      <c r="C1415" s="1" t="s">
        <v>5557</v>
      </c>
      <c r="D1415" s="1" t="s">
        <v>5558</v>
      </c>
      <c r="E1415" s="1" t="s">
        <v>618</v>
      </c>
      <c r="F1415" s="1" t="s">
        <v>5467</v>
      </c>
      <c r="G1415" s="1" t="s">
        <v>5468</v>
      </c>
      <c r="H1415" s="1" t="s">
        <v>657</v>
      </c>
      <c r="I1415" t="b">
        <f>COUNTIF(Estadísticas!I:I,'centraldecomunicacion.es'!H1415)&gt;0</f>
        <v>0</v>
      </c>
    </row>
    <row r="1416" spans="1:9" hidden="1">
      <c r="A1416" s="1" t="s">
        <v>5559</v>
      </c>
      <c r="B1416" s="1" t="s">
        <v>10</v>
      </c>
      <c r="C1416" s="1" t="s">
        <v>5560</v>
      </c>
      <c r="D1416" s="1" t="s">
        <v>5561</v>
      </c>
      <c r="E1416" s="1" t="s">
        <v>625</v>
      </c>
      <c r="F1416" s="1" t="s">
        <v>5562</v>
      </c>
      <c r="G1416" s="1" t="s">
        <v>5563</v>
      </c>
      <c r="H1416" s="1" t="s">
        <v>1857</v>
      </c>
      <c r="I1416" t="b">
        <f>COUNTIF(Estadísticas!I:I,'centraldecomunicacion.es'!H1416)&gt;0</f>
        <v>0</v>
      </c>
    </row>
    <row r="1417" spans="1:9">
      <c r="A1417" s="1" t="s">
        <v>622</v>
      </c>
      <c r="B1417" s="1" t="s">
        <v>24</v>
      </c>
      <c r="C1417" s="1" t="s">
        <v>623</v>
      </c>
      <c r="D1417" s="1" t="s">
        <v>624</v>
      </c>
      <c r="E1417" s="1" t="s">
        <v>625</v>
      </c>
      <c r="F1417" s="1" t="s">
        <v>626</v>
      </c>
      <c r="G1417" s="1" t="s">
        <v>627</v>
      </c>
      <c r="H1417" s="1" t="s">
        <v>628</v>
      </c>
      <c r="I1417" t="b">
        <f>COUNTIF(Estadísticas!I:I,'centraldecomunicacion.es'!H1417)&gt;0</f>
        <v>1</v>
      </c>
    </row>
    <row r="1418" spans="1:9">
      <c r="A1418" s="1" t="s">
        <v>629</v>
      </c>
      <c r="B1418" s="1" t="s">
        <v>24</v>
      </c>
      <c r="C1418" s="1" t="s">
        <v>630</v>
      </c>
      <c r="D1418" s="1" t="s">
        <v>631</v>
      </c>
      <c r="E1418" s="1" t="s">
        <v>625</v>
      </c>
      <c r="F1418" s="1" t="s">
        <v>632</v>
      </c>
      <c r="G1418" s="1" t="s">
        <v>633</v>
      </c>
      <c r="H1418" s="1" t="s">
        <v>634</v>
      </c>
      <c r="I1418" t="b">
        <f>COUNTIF(Estadísticas!I:I,'centraldecomunicacion.es'!H1418)&gt;0</f>
        <v>1</v>
      </c>
    </row>
    <row r="1419" spans="1:9" hidden="1">
      <c r="A1419" s="1" t="s">
        <v>5564</v>
      </c>
      <c r="B1419" s="1" t="s">
        <v>10</v>
      </c>
      <c r="C1419" s="1" t="s">
        <v>5565</v>
      </c>
      <c r="D1419" s="1" t="s">
        <v>5566</v>
      </c>
      <c r="E1419" s="1" t="s">
        <v>625</v>
      </c>
      <c r="F1419" s="1" t="s">
        <v>5567</v>
      </c>
      <c r="G1419" s="1" t="s">
        <v>5568</v>
      </c>
      <c r="H1419" s="1" t="s">
        <v>5569</v>
      </c>
      <c r="I1419" t="b">
        <f>COUNTIF(Estadísticas!I:I,'centraldecomunicacion.es'!H1419)&gt;0</f>
        <v>0</v>
      </c>
    </row>
    <row r="1420" spans="1:9" hidden="1">
      <c r="A1420" s="1" t="s">
        <v>5570</v>
      </c>
      <c r="B1420" s="1" t="s">
        <v>24</v>
      </c>
      <c r="C1420" s="1" t="s">
        <v>5571</v>
      </c>
      <c r="D1420" s="1" t="s">
        <v>5043</v>
      </c>
      <c r="E1420" s="1" t="s">
        <v>625</v>
      </c>
      <c r="F1420" s="1" t="s">
        <v>5572</v>
      </c>
      <c r="G1420" s="1" t="s">
        <v>5573</v>
      </c>
      <c r="H1420" s="1" t="s">
        <v>657</v>
      </c>
      <c r="I1420" t="b">
        <f>COUNTIF(Estadísticas!I:I,'centraldecomunicacion.es'!H1420)&gt;0</f>
        <v>0</v>
      </c>
    </row>
    <row r="1421" spans="1:9" hidden="1">
      <c r="A1421" s="1" t="s">
        <v>5574</v>
      </c>
      <c r="B1421" s="1" t="s">
        <v>24</v>
      </c>
      <c r="C1421" s="1" t="s">
        <v>5575</v>
      </c>
      <c r="D1421" s="1" t="s">
        <v>5043</v>
      </c>
      <c r="E1421" s="1" t="s">
        <v>625</v>
      </c>
      <c r="F1421" s="1" t="s">
        <v>78</v>
      </c>
      <c r="G1421" s="1" t="s">
        <v>5576</v>
      </c>
      <c r="H1421" s="1" t="s">
        <v>657</v>
      </c>
      <c r="I1421" t="b">
        <f>COUNTIF(Estadísticas!I:I,'centraldecomunicacion.es'!H1421)&gt;0</f>
        <v>0</v>
      </c>
    </row>
    <row r="1422" spans="1:9" hidden="1">
      <c r="A1422" s="1" t="s">
        <v>5577</v>
      </c>
      <c r="B1422" s="1" t="s">
        <v>24</v>
      </c>
      <c r="C1422" s="1" t="s">
        <v>5578</v>
      </c>
      <c r="D1422" s="1" t="s">
        <v>5043</v>
      </c>
      <c r="E1422" s="1" t="s">
        <v>625</v>
      </c>
      <c r="F1422" s="1" t="s">
        <v>1778</v>
      </c>
      <c r="G1422" s="1" t="s">
        <v>5579</v>
      </c>
      <c r="H1422" s="1" t="s">
        <v>657</v>
      </c>
      <c r="I1422" t="b">
        <f>COUNTIF(Estadísticas!I:I,'centraldecomunicacion.es'!H1422)&gt;0</f>
        <v>0</v>
      </c>
    </row>
    <row r="1423" spans="1:9" hidden="1">
      <c r="A1423" s="1" t="s">
        <v>5580</v>
      </c>
      <c r="B1423" s="1" t="s">
        <v>10</v>
      </c>
      <c r="C1423" s="1" t="s">
        <v>5581</v>
      </c>
      <c r="D1423" s="1" t="s">
        <v>5582</v>
      </c>
      <c r="E1423" s="1" t="s">
        <v>625</v>
      </c>
      <c r="F1423" s="1" t="s">
        <v>78</v>
      </c>
      <c r="G1423" s="1" t="s">
        <v>78</v>
      </c>
      <c r="H1423" s="1" t="s">
        <v>657</v>
      </c>
      <c r="I1423" t="b">
        <f>COUNTIF(Estadísticas!I:I,'centraldecomunicacion.es'!H1423)&gt;0</f>
        <v>0</v>
      </c>
    </row>
    <row r="1424" spans="1:9" hidden="1">
      <c r="A1424" s="1" t="s">
        <v>5583</v>
      </c>
      <c r="B1424" s="1" t="s">
        <v>10</v>
      </c>
      <c r="C1424" s="1" t="s">
        <v>78</v>
      </c>
      <c r="D1424" s="1" t="s">
        <v>636</v>
      </c>
      <c r="E1424" s="1" t="s">
        <v>78</v>
      </c>
      <c r="F1424" s="1" t="s">
        <v>5584</v>
      </c>
      <c r="G1424" s="1" t="s">
        <v>5585</v>
      </c>
      <c r="H1424" s="1" t="s">
        <v>5586</v>
      </c>
      <c r="I1424" t="b">
        <f>COUNTIF(Estadísticas!I:I,'centraldecomunicacion.es'!H1424)&gt;0</f>
        <v>0</v>
      </c>
    </row>
    <row r="1425" spans="1:9">
      <c r="A1425" s="1" t="s">
        <v>635</v>
      </c>
      <c r="B1425" s="1" t="s">
        <v>24</v>
      </c>
      <c r="C1425" s="1" t="s">
        <v>78</v>
      </c>
      <c r="D1425" s="1" t="s">
        <v>636</v>
      </c>
      <c r="E1425" s="1" t="s">
        <v>78</v>
      </c>
      <c r="F1425" s="1" t="s">
        <v>637</v>
      </c>
      <c r="G1425" s="1" t="s">
        <v>638</v>
      </c>
      <c r="H1425" s="1" t="s">
        <v>639</v>
      </c>
      <c r="I1425" t="b">
        <f>COUNTIF(Estadísticas!I:I,'centraldecomunicacion.es'!H1425)&gt;0</f>
        <v>1</v>
      </c>
    </row>
    <row r="1426" spans="1:9" hidden="1">
      <c r="A1426" s="1" t="s">
        <v>5587</v>
      </c>
      <c r="B1426" s="1" t="s">
        <v>10</v>
      </c>
      <c r="C1426" s="1" t="s">
        <v>5588</v>
      </c>
      <c r="D1426" s="1" t="s">
        <v>5589</v>
      </c>
      <c r="E1426" s="1" t="s">
        <v>135</v>
      </c>
      <c r="F1426" s="1" t="s">
        <v>5590</v>
      </c>
      <c r="G1426" s="1" t="s">
        <v>5591</v>
      </c>
      <c r="H1426" s="1" t="s">
        <v>5592</v>
      </c>
      <c r="I1426" t="b">
        <f>COUNTIF(Estadísticas!I:I,'centraldecomunicacion.es'!H1426)&gt;0</f>
        <v>0</v>
      </c>
    </row>
    <row r="1427" spans="1:9" hidden="1">
      <c r="A1427" s="1" t="s">
        <v>5593</v>
      </c>
      <c r="B1427" s="1" t="s">
        <v>24</v>
      </c>
      <c r="C1427" s="1" t="s">
        <v>5594</v>
      </c>
      <c r="D1427" s="1" t="s">
        <v>5595</v>
      </c>
      <c r="E1427" s="1" t="s">
        <v>135</v>
      </c>
      <c r="F1427" s="1" t="s">
        <v>5596</v>
      </c>
      <c r="G1427" s="1" t="s">
        <v>5597</v>
      </c>
      <c r="H1427" s="1" t="s">
        <v>5598</v>
      </c>
      <c r="I1427" t="b">
        <f>COUNTIF(Estadísticas!I:I,'centraldecomunicacion.es'!H1427)&gt;0</f>
        <v>0</v>
      </c>
    </row>
    <row r="1428" spans="1:9" hidden="1">
      <c r="A1428" s="1" t="s">
        <v>5599</v>
      </c>
      <c r="B1428" s="1" t="s">
        <v>24</v>
      </c>
      <c r="C1428" s="1" t="s">
        <v>5600</v>
      </c>
      <c r="D1428" s="1" t="s">
        <v>5595</v>
      </c>
      <c r="E1428" s="1" t="s">
        <v>135</v>
      </c>
      <c r="F1428" s="1" t="s">
        <v>5601</v>
      </c>
      <c r="G1428" s="1" t="s">
        <v>5602</v>
      </c>
      <c r="H1428" s="1" t="s">
        <v>5603</v>
      </c>
      <c r="I1428" t="b">
        <f>COUNTIF(Estadísticas!I:I,'centraldecomunicacion.es'!H1428)&gt;0</f>
        <v>0</v>
      </c>
    </row>
    <row r="1429" spans="1:9" hidden="1">
      <c r="A1429" s="1" t="s">
        <v>5604</v>
      </c>
      <c r="B1429" s="1" t="s">
        <v>24</v>
      </c>
      <c r="C1429" s="1" t="s">
        <v>5605</v>
      </c>
      <c r="D1429" s="1" t="s">
        <v>5606</v>
      </c>
      <c r="E1429" s="1" t="s">
        <v>135</v>
      </c>
      <c r="F1429" s="1" t="s">
        <v>5607</v>
      </c>
      <c r="G1429" s="1" t="s">
        <v>5608</v>
      </c>
      <c r="H1429" s="1" t="s">
        <v>5609</v>
      </c>
      <c r="I1429" t="b">
        <f>COUNTIF(Estadísticas!I:I,'centraldecomunicacion.es'!H1429)&gt;0</f>
        <v>0</v>
      </c>
    </row>
    <row r="1430" spans="1:9" hidden="1">
      <c r="A1430" s="1" t="s">
        <v>5610</v>
      </c>
      <c r="B1430" s="1" t="s">
        <v>24</v>
      </c>
      <c r="C1430" s="1" t="s">
        <v>5611</v>
      </c>
      <c r="D1430" s="1" t="s">
        <v>134</v>
      </c>
      <c r="E1430" s="1" t="s">
        <v>135</v>
      </c>
      <c r="F1430" s="1" t="s">
        <v>5612</v>
      </c>
      <c r="G1430" s="1" t="s">
        <v>5613</v>
      </c>
      <c r="H1430" s="1" t="s">
        <v>5614</v>
      </c>
      <c r="I1430" t="b">
        <f>COUNTIF(Estadísticas!I:I,'centraldecomunicacion.es'!H1430)&gt;0</f>
        <v>0</v>
      </c>
    </row>
    <row r="1431" spans="1:9" hidden="1">
      <c r="A1431" s="1" t="s">
        <v>5615</v>
      </c>
      <c r="B1431" s="1" t="s">
        <v>24</v>
      </c>
      <c r="C1431" s="1" t="s">
        <v>5616</v>
      </c>
      <c r="D1431" s="1" t="s">
        <v>5595</v>
      </c>
      <c r="E1431" s="1" t="s">
        <v>135</v>
      </c>
      <c r="F1431" s="1" t="s">
        <v>5617</v>
      </c>
      <c r="G1431" s="1" t="s">
        <v>5618</v>
      </c>
      <c r="H1431" s="1" t="s">
        <v>5619</v>
      </c>
      <c r="I1431" t="b">
        <f>COUNTIF(Estadísticas!I:I,'centraldecomunicacion.es'!H1431)&gt;0</f>
        <v>0</v>
      </c>
    </row>
    <row r="1432" spans="1:9" hidden="1">
      <c r="A1432" s="1" t="s">
        <v>5620</v>
      </c>
      <c r="B1432" s="1" t="s">
        <v>24</v>
      </c>
      <c r="C1432" s="1" t="s">
        <v>5621</v>
      </c>
      <c r="D1432" s="1" t="s">
        <v>5622</v>
      </c>
      <c r="E1432" s="1" t="s">
        <v>135</v>
      </c>
      <c r="F1432" s="1" t="s">
        <v>78</v>
      </c>
      <c r="G1432" s="1" t="s">
        <v>5623</v>
      </c>
      <c r="H1432" s="1" t="s">
        <v>657</v>
      </c>
      <c r="I1432" t="b">
        <f>COUNTIF(Estadísticas!I:I,'centraldecomunicacion.es'!H1432)&gt;0</f>
        <v>0</v>
      </c>
    </row>
    <row r="1433" spans="1:9" hidden="1">
      <c r="A1433" s="1" t="s">
        <v>5624</v>
      </c>
      <c r="B1433" s="1" t="s">
        <v>24</v>
      </c>
      <c r="C1433" s="1" t="s">
        <v>5625</v>
      </c>
      <c r="D1433" s="1" t="s">
        <v>4984</v>
      </c>
      <c r="E1433" s="1" t="s">
        <v>135</v>
      </c>
      <c r="F1433" s="1" t="s">
        <v>78</v>
      </c>
      <c r="G1433" s="1" t="s">
        <v>5626</v>
      </c>
      <c r="H1433" s="1" t="s">
        <v>657</v>
      </c>
      <c r="I1433" t="b">
        <f>COUNTIF(Estadísticas!I:I,'centraldecomunicacion.es'!H1433)&gt;0</f>
        <v>0</v>
      </c>
    </row>
    <row r="1434" spans="1:9" hidden="1">
      <c r="A1434" s="1" t="s">
        <v>5627</v>
      </c>
      <c r="B1434" s="1" t="s">
        <v>24</v>
      </c>
      <c r="C1434" s="1" t="s">
        <v>5628</v>
      </c>
      <c r="D1434" s="1" t="s">
        <v>2532</v>
      </c>
      <c r="E1434" s="1" t="s">
        <v>643</v>
      </c>
      <c r="F1434" s="1" t="s">
        <v>78</v>
      </c>
      <c r="G1434" s="1" t="s">
        <v>5629</v>
      </c>
      <c r="H1434" s="1" t="s">
        <v>657</v>
      </c>
      <c r="I1434" t="b">
        <f>COUNTIF(Estadísticas!I:I,'centraldecomunicacion.es'!H1434)&gt;0</f>
        <v>0</v>
      </c>
    </row>
    <row r="1435" spans="1:9" hidden="1">
      <c r="A1435" s="1" t="s">
        <v>5630</v>
      </c>
      <c r="B1435" s="1" t="s">
        <v>10</v>
      </c>
      <c r="C1435" s="1" t="s">
        <v>5631</v>
      </c>
      <c r="D1435" s="1" t="s">
        <v>5632</v>
      </c>
      <c r="E1435" s="1" t="s">
        <v>643</v>
      </c>
      <c r="F1435" s="1" t="s">
        <v>5633</v>
      </c>
      <c r="G1435" s="1" t="s">
        <v>5634</v>
      </c>
      <c r="H1435" s="1" t="s">
        <v>5635</v>
      </c>
      <c r="I1435" t="b">
        <f>COUNTIF(Estadísticas!I:I,'centraldecomunicacion.es'!H1435)&gt;0</f>
        <v>0</v>
      </c>
    </row>
    <row r="1436" spans="1:9" hidden="1">
      <c r="A1436" s="1" t="s">
        <v>5636</v>
      </c>
      <c r="B1436" s="1" t="s">
        <v>24</v>
      </c>
      <c r="C1436" s="1" t="s">
        <v>5637</v>
      </c>
      <c r="D1436" s="1" t="s">
        <v>2524</v>
      </c>
      <c r="E1436" s="1" t="s">
        <v>154</v>
      </c>
      <c r="F1436" s="1" t="s">
        <v>5638</v>
      </c>
      <c r="G1436" s="1" t="s">
        <v>5639</v>
      </c>
      <c r="H1436" s="1" t="s">
        <v>5640</v>
      </c>
      <c r="I1436" t="b">
        <f>COUNTIF(Estadísticas!I:I,'centraldecomunicacion.es'!H1436)&gt;0</f>
        <v>0</v>
      </c>
    </row>
    <row r="1437" spans="1:9" hidden="1">
      <c r="A1437" s="1" t="s">
        <v>5641</v>
      </c>
      <c r="B1437" s="1" t="s">
        <v>10</v>
      </c>
      <c r="C1437" s="1" t="s">
        <v>5642</v>
      </c>
      <c r="D1437" s="1" t="s">
        <v>2532</v>
      </c>
      <c r="E1437" s="1" t="s">
        <v>643</v>
      </c>
      <c r="F1437" s="1" t="s">
        <v>5643</v>
      </c>
      <c r="G1437" s="1" t="s">
        <v>5644</v>
      </c>
      <c r="H1437" s="1" t="s">
        <v>764</v>
      </c>
      <c r="I1437" t="b">
        <f>COUNTIF(Estadísticas!I:I,'centraldecomunicacion.es'!H1437)&gt;0</f>
        <v>0</v>
      </c>
    </row>
    <row r="1438" spans="1:9" hidden="1">
      <c r="A1438" s="1" t="s">
        <v>2539</v>
      </c>
      <c r="B1438" s="1" t="s">
        <v>24</v>
      </c>
      <c r="C1438" s="1" t="s">
        <v>5645</v>
      </c>
      <c r="D1438" s="1" t="s">
        <v>2541</v>
      </c>
      <c r="E1438" s="1" t="s">
        <v>643</v>
      </c>
      <c r="F1438" s="1" t="s">
        <v>2542</v>
      </c>
      <c r="G1438" s="1" t="s">
        <v>2543</v>
      </c>
      <c r="H1438" s="1" t="s">
        <v>657</v>
      </c>
      <c r="I1438" t="b">
        <f>COUNTIF(Estadísticas!I:I,'centraldecomunicacion.es'!H1438)&gt;0</f>
        <v>0</v>
      </c>
    </row>
    <row r="1439" spans="1:9" hidden="1">
      <c r="A1439" s="1" t="s">
        <v>5646</v>
      </c>
      <c r="B1439" s="1" t="s">
        <v>24</v>
      </c>
      <c r="C1439" s="1" t="s">
        <v>5647</v>
      </c>
      <c r="D1439" s="1" t="s">
        <v>2532</v>
      </c>
      <c r="E1439" s="1" t="s">
        <v>154</v>
      </c>
      <c r="F1439" s="1" t="s">
        <v>78</v>
      </c>
      <c r="G1439" s="1" t="s">
        <v>5648</v>
      </c>
      <c r="H1439" s="1" t="s">
        <v>657</v>
      </c>
      <c r="I1439" t="b">
        <f>COUNTIF(Estadísticas!I:I,'centraldecomunicacion.es'!H1439)&gt;0</f>
        <v>0</v>
      </c>
    </row>
    <row r="1440" spans="1:9" hidden="1">
      <c r="A1440" s="1" t="s">
        <v>5649</v>
      </c>
      <c r="B1440" s="1" t="s">
        <v>24</v>
      </c>
      <c r="C1440" s="1" t="s">
        <v>5650</v>
      </c>
      <c r="D1440" s="1" t="s">
        <v>2532</v>
      </c>
      <c r="E1440" s="1" t="s">
        <v>643</v>
      </c>
      <c r="F1440" s="1" t="s">
        <v>78</v>
      </c>
      <c r="G1440" s="1" t="s">
        <v>5651</v>
      </c>
      <c r="H1440" s="1" t="s">
        <v>657</v>
      </c>
      <c r="I1440" t="b">
        <f>COUNTIF(Estadísticas!I:I,'centraldecomunicacion.es'!H1440)&gt;0</f>
        <v>0</v>
      </c>
    </row>
    <row r="1441" spans="1:9" hidden="1">
      <c r="A1441" s="1" t="s">
        <v>5652</v>
      </c>
      <c r="B1441" s="1" t="s">
        <v>24</v>
      </c>
      <c r="C1441" s="1" t="s">
        <v>5653</v>
      </c>
      <c r="D1441" s="1" t="s">
        <v>2532</v>
      </c>
      <c r="E1441" s="1" t="s">
        <v>643</v>
      </c>
      <c r="F1441" s="1" t="s">
        <v>5654</v>
      </c>
      <c r="G1441" s="1" t="s">
        <v>5655</v>
      </c>
      <c r="H1441" s="1" t="s">
        <v>657</v>
      </c>
      <c r="I1441" t="b">
        <f>COUNTIF(Estadísticas!I:I,'centraldecomunicacion.es'!H1441)&gt;0</f>
        <v>0</v>
      </c>
    </row>
    <row r="1442" spans="1:9" hidden="1">
      <c r="A1442" s="1" t="s">
        <v>540</v>
      </c>
      <c r="B1442" s="1" t="s">
        <v>24</v>
      </c>
      <c r="C1442" s="1" t="s">
        <v>5656</v>
      </c>
      <c r="D1442" s="1" t="s">
        <v>2532</v>
      </c>
      <c r="E1442" s="1" t="s">
        <v>643</v>
      </c>
      <c r="F1442" s="1" t="s">
        <v>78</v>
      </c>
      <c r="G1442" s="1" t="s">
        <v>5657</v>
      </c>
      <c r="H1442" s="1" t="s">
        <v>657</v>
      </c>
      <c r="I1442" t="b">
        <f>COUNTIF(Estadísticas!I:I,'centraldecomunicacion.es'!H1442)&gt;0</f>
        <v>0</v>
      </c>
    </row>
    <row r="1443" spans="1:9" hidden="1">
      <c r="A1443" s="1" t="s">
        <v>5658</v>
      </c>
      <c r="B1443" s="1" t="s">
        <v>24</v>
      </c>
      <c r="C1443" s="1" t="s">
        <v>5659</v>
      </c>
      <c r="D1443" s="1" t="s">
        <v>2532</v>
      </c>
      <c r="E1443" s="1" t="s">
        <v>643</v>
      </c>
      <c r="F1443" s="1" t="s">
        <v>5660</v>
      </c>
      <c r="G1443" s="1" t="s">
        <v>5661</v>
      </c>
      <c r="H1443" s="1" t="s">
        <v>5662</v>
      </c>
      <c r="I1443" t="b">
        <f>COUNTIF(Estadísticas!I:I,'centraldecomunicacion.es'!H1443)&gt;0</f>
        <v>0</v>
      </c>
    </row>
    <row r="1444" spans="1:9" hidden="1">
      <c r="A1444" s="1" t="s">
        <v>5663</v>
      </c>
      <c r="B1444" s="1" t="s">
        <v>24</v>
      </c>
      <c r="C1444" s="1" t="s">
        <v>5664</v>
      </c>
      <c r="D1444" s="1" t="s">
        <v>2532</v>
      </c>
      <c r="E1444" s="1" t="s">
        <v>643</v>
      </c>
      <c r="F1444" s="1" t="s">
        <v>78</v>
      </c>
      <c r="G1444" s="1" t="s">
        <v>5665</v>
      </c>
      <c r="H1444" s="1" t="s">
        <v>657</v>
      </c>
      <c r="I1444" t="b">
        <f>COUNTIF(Estadísticas!I:I,'centraldecomunicacion.es'!H1444)&gt;0</f>
        <v>0</v>
      </c>
    </row>
    <row r="1445" spans="1:9" hidden="1">
      <c r="A1445" s="1" t="s">
        <v>1607</v>
      </c>
      <c r="B1445" s="1" t="s">
        <v>10</v>
      </c>
      <c r="C1445" s="1" t="s">
        <v>5666</v>
      </c>
      <c r="D1445" s="1" t="s">
        <v>2532</v>
      </c>
      <c r="E1445" s="1" t="s">
        <v>643</v>
      </c>
      <c r="F1445" s="1" t="s">
        <v>1067</v>
      </c>
      <c r="G1445" s="1" t="s">
        <v>5667</v>
      </c>
      <c r="H1445" s="1" t="s">
        <v>1069</v>
      </c>
      <c r="I1445" t="b">
        <f>COUNTIF(Estadísticas!I:I,'centraldecomunicacion.es'!H1445)&gt;0</f>
        <v>0</v>
      </c>
    </row>
    <row r="1446" spans="1:9" hidden="1">
      <c r="A1446" s="1" t="s">
        <v>5668</v>
      </c>
      <c r="B1446" s="1" t="s">
        <v>24</v>
      </c>
      <c r="C1446" s="1" t="s">
        <v>5669</v>
      </c>
      <c r="D1446" s="1" t="s">
        <v>2578</v>
      </c>
      <c r="E1446" s="1" t="s">
        <v>643</v>
      </c>
      <c r="F1446" s="1" t="s">
        <v>4941</v>
      </c>
      <c r="G1446" s="1" t="s">
        <v>5670</v>
      </c>
      <c r="H1446" s="1" t="s">
        <v>657</v>
      </c>
      <c r="I1446" t="b">
        <f>COUNTIF(Estadísticas!I:I,'centraldecomunicacion.es'!H1446)&gt;0</f>
        <v>0</v>
      </c>
    </row>
    <row r="1447" spans="1:9" hidden="1">
      <c r="A1447" s="1" t="s">
        <v>5671</v>
      </c>
      <c r="B1447" s="1" t="s">
        <v>24</v>
      </c>
      <c r="C1447" s="1" t="s">
        <v>5672</v>
      </c>
      <c r="D1447" s="1" t="s">
        <v>2532</v>
      </c>
      <c r="E1447" s="1" t="s">
        <v>643</v>
      </c>
      <c r="F1447" s="1" t="s">
        <v>78</v>
      </c>
      <c r="G1447" s="1" t="s">
        <v>5673</v>
      </c>
      <c r="H1447" s="1" t="s">
        <v>657</v>
      </c>
      <c r="I1447" t="b">
        <f>COUNTIF(Estadísticas!I:I,'centraldecomunicacion.es'!H1447)&gt;0</f>
        <v>0</v>
      </c>
    </row>
    <row r="1448" spans="1:9" hidden="1">
      <c r="A1448" s="1" t="s">
        <v>5674</v>
      </c>
      <c r="B1448" s="1" t="s">
        <v>24</v>
      </c>
      <c r="C1448" s="1" t="s">
        <v>5675</v>
      </c>
      <c r="D1448" s="1" t="s">
        <v>2524</v>
      </c>
      <c r="E1448" s="1" t="s">
        <v>643</v>
      </c>
      <c r="F1448" s="1" t="s">
        <v>5676</v>
      </c>
      <c r="G1448" s="1" t="s">
        <v>5677</v>
      </c>
      <c r="H1448" s="1" t="s">
        <v>657</v>
      </c>
      <c r="I1448" t="b">
        <f>COUNTIF(Estadísticas!I:I,'centraldecomunicacion.es'!H1448)&gt;0</f>
        <v>0</v>
      </c>
    </row>
    <row r="1449" spans="1:9" hidden="1">
      <c r="A1449" s="1" t="s">
        <v>5678</v>
      </c>
      <c r="B1449" s="1" t="s">
        <v>24</v>
      </c>
      <c r="C1449" s="1" t="s">
        <v>5679</v>
      </c>
      <c r="D1449" s="1" t="s">
        <v>2532</v>
      </c>
      <c r="E1449" s="1" t="s">
        <v>154</v>
      </c>
      <c r="F1449" s="1" t="s">
        <v>78</v>
      </c>
      <c r="G1449" s="1" t="s">
        <v>5680</v>
      </c>
      <c r="H1449" s="1" t="s">
        <v>657</v>
      </c>
      <c r="I1449" t="b">
        <f>COUNTIF(Estadísticas!I:I,'centraldecomunicacion.es'!H1449)&gt;0</f>
        <v>0</v>
      </c>
    </row>
    <row r="1450" spans="1:9" hidden="1">
      <c r="A1450" s="1" t="s">
        <v>5681</v>
      </c>
      <c r="B1450" s="1" t="s">
        <v>24</v>
      </c>
      <c r="C1450" s="1" t="s">
        <v>5682</v>
      </c>
      <c r="D1450" s="1" t="s">
        <v>2532</v>
      </c>
      <c r="E1450" s="1" t="s">
        <v>643</v>
      </c>
      <c r="F1450" s="1" t="s">
        <v>78</v>
      </c>
      <c r="G1450" s="1" t="s">
        <v>5683</v>
      </c>
      <c r="H1450" s="1" t="s">
        <v>657</v>
      </c>
      <c r="I1450" t="b">
        <f>COUNTIF(Estadísticas!I:I,'centraldecomunicacion.es'!H1450)&gt;0</f>
        <v>0</v>
      </c>
    </row>
    <row r="1451" spans="1:9" hidden="1">
      <c r="A1451" s="1" t="s">
        <v>5684</v>
      </c>
      <c r="B1451" s="1" t="s">
        <v>24</v>
      </c>
      <c r="C1451" s="1" t="s">
        <v>78</v>
      </c>
      <c r="D1451" s="1" t="s">
        <v>5685</v>
      </c>
      <c r="E1451" s="1" t="s">
        <v>78</v>
      </c>
      <c r="F1451" s="1" t="s">
        <v>78</v>
      </c>
      <c r="G1451" s="1" t="s">
        <v>5686</v>
      </c>
      <c r="H1451" s="1" t="s">
        <v>657</v>
      </c>
      <c r="I1451" t="b">
        <f>COUNTIF(Estadísticas!I:I,'centraldecomunicacion.es'!H1451)&gt;0</f>
        <v>0</v>
      </c>
    </row>
    <row r="1452" spans="1:9" hidden="1">
      <c r="A1452" s="1" t="s">
        <v>5687</v>
      </c>
      <c r="B1452" s="1" t="s">
        <v>24</v>
      </c>
      <c r="C1452" s="1" t="s">
        <v>5688</v>
      </c>
      <c r="D1452" s="1" t="s">
        <v>2532</v>
      </c>
      <c r="E1452" s="1" t="s">
        <v>643</v>
      </c>
      <c r="F1452" s="1" t="s">
        <v>78</v>
      </c>
      <c r="G1452" s="1" t="s">
        <v>5689</v>
      </c>
      <c r="H1452" s="1" t="s">
        <v>657</v>
      </c>
      <c r="I1452" t="b">
        <f>COUNTIF(Estadísticas!I:I,'centraldecomunicacion.es'!H1452)&gt;0</f>
        <v>0</v>
      </c>
    </row>
    <row r="1453" spans="1:9" hidden="1">
      <c r="A1453" s="1" t="s">
        <v>5690</v>
      </c>
      <c r="B1453" s="1" t="s">
        <v>24</v>
      </c>
      <c r="C1453" s="1" t="s">
        <v>5691</v>
      </c>
      <c r="D1453" s="1" t="s">
        <v>2532</v>
      </c>
      <c r="E1453" s="1" t="s">
        <v>643</v>
      </c>
      <c r="F1453" s="1" t="s">
        <v>78</v>
      </c>
      <c r="G1453" s="1" t="s">
        <v>5692</v>
      </c>
      <c r="H1453" s="1" t="s">
        <v>657</v>
      </c>
      <c r="I1453" t="b">
        <f>COUNTIF(Estadísticas!I:I,'centraldecomunicacion.es'!H1453)&gt;0</f>
        <v>0</v>
      </c>
    </row>
    <row r="1454" spans="1:9" hidden="1">
      <c r="A1454" s="1" t="s">
        <v>5693</v>
      </c>
      <c r="B1454" s="1" t="s">
        <v>10</v>
      </c>
      <c r="C1454" s="1" t="s">
        <v>5694</v>
      </c>
      <c r="D1454" s="1" t="s">
        <v>2532</v>
      </c>
      <c r="E1454" s="1" t="s">
        <v>643</v>
      </c>
      <c r="F1454" s="1" t="s">
        <v>5695</v>
      </c>
      <c r="G1454" s="1" t="s">
        <v>5696</v>
      </c>
      <c r="H1454" s="1" t="s">
        <v>5697</v>
      </c>
      <c r="I1454" t="b">
        <f>COUNTIF(Estadísticas!I:I,'centraldecomunicacion.es'!H1454)&gt;0</f>
        <v>0</v>
      </c>
    </row>
    <row r="1455" spans="1:9">
      <c r="A1455" s="1" t="s">
        <v>640</v>
      </c>
      <c r="B1455" s="1" t="s">
        <v>10</v>
      </c>
      <c r="C1455" s="1" t="s">
        <v>641</v>
      </c>
      <c r="D1455" s="1" t="s">
        <v>642</v>
      </c>
      <c r="E1455" s="1" t="s">
        <v>643</v>
      </c>
      <c r="F1455" s="1" t="s">
        <v>644</v>
      </c>
      <c r="G1455" s="1" t="s">
        <v>645</v>
      </c>
      <c r="H1455" s="1" t="s">
        <v>646</v>
      </c>
      <c r="I1455" t="b">
        <f>COUNTIF(Estadísticas!I:I,'centraldecomunicacion.es'!H1455)&gt;0</f>
        <v>1</v>
      </c>
    </row>
    <row r="1456" spans="1:9" hidden="1">
      <c r="A1456" s="1" t="s">
        <v>5698</v>
      </c>
      <c r="B1456" s="1" t="s">
        <v>24</v>
      </c>
      <c r="C1456" s="1" t="s">
        <v>5699</v>
      </c>
      <c r="D1456" s="1" t="s">
        <v>2532</v>
      </c>
      <c r="E1456" s="1" t="s">
        <v>154</v>
      </c>
      <c r="F1456" s="1" t="s">
        <v>78</v>
      </c>
      <c r="G1456" s="1" t="s">
        <v>5700</v>
      </c>
      <c r="H1456" s="1" t="s">
        <v>657</v>
      </c>
      <c r="I1456" t="b">
        <f>COUNTIF(Estadísticas!I:I,'centraldecomunicacion.es'!H1456)&gt;0</f>
        <v>0</v>
      </c>
    </row>
    <row r="1457" spans="1:9" hidden="1">
      <c r="A1457" s="1" t="s">
        <v>5701</v>
      </c>
      <c r="B1457" s="1" t="s">
        <v>10</v>
      </c>
      <c r="C1457" s="1" t="s">
        <v>5702</v>
      </c>
      <c r="D1457" s="1" t="s">
        <v>2536</v>
      </c>
      <c r="E1457" s="1" t="s">
        <v>643</v>
      </c>
      <c r="F1457" s="1" t="s">
        <v>795</v>
      </c>
      <c r="G1457" s="1" t="s">
        <v>796</v>
      </c>
      <c r="H1457" s="1" t="s">
        <v>797</v>
      </c>
      <c r="I1457" t="b">
        <f>COUNTIF(Estadísticas!I:I,'centraldecomunicacion.es'!H1457)&gt;0</f>
        <v>0</v>
      </c>
    </row>
    <row r="1458" spans="1:9" hidden="1">
      <c r="A1458" s="1" t="s">
        <v>5703</v>
      </c>
      <c r="B1458" s="1" t="s">
        <v>24</v>
      </c>
      <c r="C1458" s="1" t="s">
        <v>5704</v>
      </c>
      <c r="D1458" s="1" t="s">
        <v>5685</v>
      </c>
      <c r="E1458" s="1" t="s">
        <v>154</v>
      </c>
      <c r="F1458" s="1" t="s">
        <v>78</v>
      </c>
      <c r="G1458" s="1" t="s">
        <v>78</v>
      </c>
      <c r="H1458" s="1" t="s">
        <v>657</v>
      </c>
      <c r="I1458" t="b">
        <f>COUNTIF(Estadísticas!I:I,'centraldecomunicacion.es'!H1458)&gt;0</f>
        <v>0</v>
      </c>
    </row>
    <row r="1459" spans="1:9" hidden="1">
      <c r="A1459" s="1" t="s">
        <v>5705</v>
      </c>
      <c r="B1459" s="1" t="s">
        <v>24</v>
      </c>
      <c r="C1459" s="1" t="s">
        <v>5706</v>
      </c>
      <c r="D1459" s="1" t="s">
        <v>2532</v>
      </c>
      <c r="E1459" s="1" t="s">
        <v>154</v>
      </c>
      <c r="F1459" s="1" t="s">
        <v>78</v>
      </c>
      <c r="G1459" s="1" t="s">
        <v>5707</v>
      </c>
      <c r="H1459" s="1" t="s">
        <v>657</v>
      </c>
      <c r="I1459" t="b">
        <f>COUNTIF(Estadísticas!I:I,'centraldecomunicacion.es'!H1459)&gt;0</f>
        <v>0</v>
      </c>
    </row>
    <row r="1460" spans="1:9" hidden="1">
      <c r="A1460" s="1" t="s">
        <v>5708</v>
      </c>
      <c r="B1460" s="1" t="s">
        <v>24</v>
      </c>
      <c r="C1460" s="1" t="s">
        <v>5709</v>
      </c>
      <c r="D1460" s="1" t="s">
        <v>2532</v>
      </c>
      <c r="E1460" s="1" t="s">
        <v>643</v>
      </c>
      <c r="F1460" s="1" t="s">
        <v>5638</v>
      </c>
      <c r="G1460" s="1" t="s">
        <v>5710</v>
      </c>
      <c r="H1460" s="1" t="s">
        <v>5640</v>
      </c>
      <c r="I1460" t="b">
        <f>COUNTIF(Estadísticas!I:I,'centraldecomunicacion.es'!H1460)&gt;0</f>
        <v>0</v>
      </c>
    </row>
    <row r="1461" spans="1:9" hidden="1">
      <c r="A1461" s="1" t="s">
        <v>5711</v>
      </c>
      <c r="B1461" s="1" t="s">
        <v>24</v>
      </c>
      <c r="C1461" s="1" t="s">
        <v>5712</v>
      </c>
      <c r="D1461" s="1" t="s">
        <v>2532</v>
      </c>
      <c r="E1461" s="1" t="s">
        <v>154</v>
      </c>
      <c r="F1461" s="1" t="s">
        <v>5713</v>
      </c>
      <c r="G1461" s="1" t="s">
        <v>5714</v>
      </c>
      <c r="H1461" s="1" t="s">
        <v>657</v>
      </c>
      <c r="I1461" t="b">
        <f>COUNTIF(Estadísticas!I:I,'centraldecomunicacion.es'!H1461)&gt;0</f>
        <v>0</v>
      </c>
    </row>
    <row r="1462" spans="1:9" hidden="1">
      <c r="A1462" s="1" t="s">
        <v>2522</v>
      </c>
      <c r="B1462" s="1" t="s">
        <v>24</v>
      </c>
      <c r="C1462" s="1" t="s">
        <v>5715</v>
      </c>
      <c r="D1462" s="1" t="s">
        <v>642</v>
      </c>
      <c r="E1462" s="1" t="s">
        <v>643</v>
      </c>
      <c r="F1462" s="1" t="s">
        <v>78</v>
      </c>
      <c r="G1462" s="1" t="s">
        <v>78</v>
      </c>
      <c r="H1462" s="1" t="s">
        <v>657</v>
      </c>
      <c r="I1462" t="b">
        <f>COUNTIF(Estadísticas!I:I,'centraldecomunicacion.es'!H1462)&gt;0</f>
        <v>0</v>
      </c>
    </row>
    <row r="1463" spans="1:9" hidden="1">
      <c r="A1463" s="1" t="s">
        <v>5716</v>
      </c>
      <c r="B1463" s="1" t="s">
        <v>24</v>
      </c>
      <c r="C1463" s="1" t="s">
        <v>78</v>
      </c>
      <c r="D1463" s="1" t="s">
        <v>5685</v>
      </c>
      <c r="E1463" s="1" t="s">
        <v>78</v>
      </c>
      <c r="F1463" s="1" t="s">
        <v>78</v>
      </c>
      <c r="G1463" s="1" t="s">
        <v>5717</v>
      </c>
      <c r="H1463" s="1" t="s">
        <v>657</v>
      </c>
      <c r="I1463" t="b">
        <f>COUNTIF(Estadísticas!I:I,'centraldecomunicacion.es'!H1463)&gt;0</f>
        <v>0</v>
      </c>
    </row>
    <row r="1464" spans="1:9" hidden="1">
      <c r="A1464" s="1" t="s">
        <v>5718</v>
      </c>
      <c r="B1464" s="1" t="s">
        <v>24</v>
      </c>
      <c r="C1464" s="1" t="s">
        <v>78</v>
      </c>
      <c r="D1464" s="1" t="s">
        <v>5685</v>
      </c>
      <c r="E1464" s="1" t="s">
        <v>78</v>
      </c>
      <c r="F1464" s="1" t="s">
        <v>78</v>
      </c>
      <c r="G1464" s="1" t="s">
        <v>5719</v>
      </c>
      <c r="H1464" s="1" t="s">
        <v>657</v>
      </c>
      <c r="I1464" t="b">
        <f>COUNTIF(Estadísticas!I:I,'centraldecomunicacion.es'!H1464)&gt;0</f>
        <v>0</v>
      </c>
    </row>
    <row r="1465" spans="1:9" hidden="1">
      <c r="A1465" s="1" t="s">
        <v>5720</v>
      </c>
      <c r="B1465" s="1" t="s">
        <v>24</v>
      </c>
      <c r="C1465" s="1" t="s">
        <v>5721</v>
      </c>
      <c r="D1465" s="1" t="s">
        <v>2532</v>
      </c>
      <c r="E1465" s="1" t="s">
        <v>643</v>
      </c>
      <c r="F1465" s="1" t="s">
        <v>78</v>
      </c>
      <c r="G1465" s="1" t="s">
        <v>5722</v>
      </c>
      <c r="H1465" s="1" t="s">
        <v>657</v>
      </c>
      <c r="I1465" t="b">
        <f>COUNTIF(Estadísticas!I:I,'centraldecomunicacion.es'!H1465)&gt;0</f>
        <v>0</v>
      </c>
    </row>
    <row r="1466" spans="1:9" hidden="1">
      <c r="A1466" s="1" t="s">
        <v>5723</v>
      </c>
      <c r="B1466" s="1" t="s">
        <v>10</v>
      </c>
      <c r="C1466" s="1" t="s">
        <v>5724</v>
      </c>
      <c r="D1466" s="1" t="s">
        <v>5725</v>
      </c>
      <c r="E1466" s="1" t="s">
        <v>643</v>
      </c>
      <c r="F1466" s="1" t="s">
        <v>78</v>
      </c>
      <c r="G1466" s="1" t="s">
        <v>5639</v>
      </c>
      <c r="H1466" s="1" t="s">
        <v>657</v>
      </c>
      <c r="I1466" t="b">
        <f>COUNTIF(Estadísticas!I:I,'centraldecomunicacion.es'!H1466)&gt;0</f>
        <v>0</v>
      </c>
    </row>
    <row r="1467" spans="1:9" hidden="1">
      <c r="A1467" s="1" t="s">
        <v>5726</v>
      </c>
      <c r="B1467" s="1" t="s">
        <v>10</v>
      </c>
      <c r="C1467" s="1" t="s">
        <v>5727</v>
      </c>
      <c r="D1467" s="1" t="s">
        <v>2532</v>
      </c>
      <c r="E1467" s="1" t="s">
        <v>643</v>
      </c>
      <c r="F1467" s="1" t="s">
        <v>78</v>
      </c>
      <c r="G1467" s="1" t="s">
        <v>5714</v>
      </c>
      <c r="H1467" s="1" t="s">
        <v>657</v>
      </c>
      <c r="I1467" t="b">
        <f>COUNTIF(Estadísticas!I:I,'centraldecomunicacion.es'!H1467)&gt;0</f>
        <v>0</v>
      </c>
    </row>
    <row r="1468" spans="1:9" hidden="1">
      <c r="A1468" s="1" t="s">
        <v>5728</v>
      </c>
      <c r="B1468" s="1" t="s">
        <v>24</v>
      </c>
      <c r="C1468" s="1" t="s">
        <v>5729</v>
      </c>
      <c r="D1468" s="1" t="s">
        <v>2536</v>
      </c>
      <c r="E1468" s="1" t="s">
        <v>643</v>
      </c>
      <c r="F1468" s="1" t="s">
        <v>5730</v>
      </c>
      <c r="G1468" s="1" t="s">
        <v>5731</v>
      </c>
      <c r="H1468" s="1" t="s">
        <v>657</v>
      </c>
      <c r="I1468" t="b">
        <f>COUNTIF(Estadísticas!I:I,'centraldecomunicacion.es'!H1468)&gt;0</f>
        <v>0</v>
      </c>
    </row>
    <row r="1469" spans="1:9" hidden="1">
      <c r="A1469" s="1" t="s">
        <v>5732</v>
      </c>
      <c r="B1469" s="1" t="s">
        <v>24</v>
      </c>
      <c r="C1469" s="1" t="s">
        <v>5733</v>
      </c>
      <c r="D1469" s="1" t="s">
        <v>2532</v>
      </c>
      <c r="E1469" s="1" t="s">
        <v>643</v>
      </c>
      <c r="F1469" s="1" t="s">
        <v>78</v>
      </c>
      <c r="G1469" s="1" t="s">
        <v>5734</v>
      </c>
      <c r="H1469" s="1" t="s">
        <v>657</v>
      </c>
      <c r="I1469" t="b">
        <f>COUNTIF(Estadísticas!I:I,'centraldecomunicacion.es'!H1469)&gt;0</f>
        <v>0</v>
      </c>
    </row>
    <row r="1470" spans="1:9" hidden="1">
      <c r="A1470" s="1" t="s">
        <v>5735</v>
      </c>
      <c r="B1470" s="1" t="s">
        <v>24</v>
      </c>
      <c r="C1470" s="1" t="s">
        <v>78</v>
      </c>
      <c r="D1470" s="1" t="s">
        <v>5685</v>
      </c>
      <c r="E1470" s="1" t="s">
        <v>78</v>
      </c>
      <c r="F1470" s="1" t="s">
        <v>78</v>
      </c>
      <c r="G1470" s="1" t="s">
        <v>5736</v>
      </c>
      <c r="H1470" s="1" t="s">
        <v>657</v>
      </c>
      <c r="I1470" t="b">
        <f>COUNTIF(Estadísticas!I:I,'centraldecomunicacion.es'!H1470)&gt;0</f>
        <v>0</v>
      </c>
    </row>
    <row r="1471" spans="1:9" hidden="1">
      <c r="A1471" s="1" t="s">
        <v>5737</v>
      </c>
      <c r="B1471" s="1" t="s">
        <v>10</v>
      </c>
      <c r="C1471" s="1" t="s">
        <v>78</v>
      </c>
      <c r="D1471" s="1" t="s">
        <v>5685</v>
      </c>
      <c r="E1471" s="1" t="s">
        <v>78</v>
      </c>
      <c r="F1471" s="1" t="s">
        <v>78</v>
      </c>
      <c r="G1471" s="1" t="s">
        <v>5738</v>
      </c>
      <c r="H1471" s="1" t="s">
        <v>657</v>
      </c>
      <c r="I1471" t="b">
        <f>COUNTIF(Estadísticas!I:I,'centraldecomunicacion.es'!H1471)&gt;0</f>
        <v>0</v>
      </c>
    </row>
    <row r="1472" spans="1:9" hidden="1">
      <c r="A1472" s="1" t="s">
        <v>5739</v>
      </c>
      <c r="B1472" s="1" t="s">
        <v>24</v>
      </c>
      <c r="C1472" s="1" t="s">
        <v>5740</v>
      </c>
      <c r="D1472" s="1" t="s">
        <v>5741</v>
      </c>
      <c r="E1472" s="1" t="s">
        <v>135</v>
      </c>
      <c r="F1472" s="1" t="s">
        <v>78</v>
      </c>
      <c r="G1472" s="1" t="s">
        <v>5742</v>
      </c>
      <c r="H1472" s="1" t="s">
        <v>657</v>
      </c>
      <c r="I1472" t="b">
        <f>COUNTIF(Estadísticas!I:I,'centraldecomunicacion.es'!H1472)&gt;0</f>
        <v>0</v>
      </c>
    </row>
    <row r="1473" spans="1:9" hidden="1">
      <c r="A1473" s="1" t="s">
        <v>5743</v>
      </c>
      <c r="B1473" s="1" t="s">
        <v>24</v>
      </c>
      <c r="C1473" s="1" t="s">
        <v>5744</v>
      </c>
      <c r="D1473" s="1" t="s">
        <v>5745</v>
      </c>
      <c r="E1473" s="1" t="s">
        <v>214</v>
      </c>
      <c r="F1473" s="1" t="s">
        <v>78</v>
      </c>
      <c r="G1473" s="1" t="s">
        <v>5746</v>
      </c>
      <c r="H1473" s="1" t="s">
        <v>657</v>
      </c>
      <c r="I1473" t="b">
        <f>COUNTIF(Estadísticas!I:I,'centraldecomunicacion.es'!H1473)&gt;0</f>
        <v>0</v>
      </c>
    </row>
    <row r="1474" spans="1:9" hidden="1">
      <c r="A1474" s="1" t="s">
        <v>5747</v>
      </c>
      <c r="B1474" s="1" t="s">
        <v>24</v>
      </c>
      <c r="C1474" s="1" t="s">
        <v>5748</v>
      </c>
      <c r="D1474" s="1" t="s">
        <v>5749</v>
      </c>
      <c r="E1474" s="1" t="s">
        <v>207</v>
      </c>
      <c r="F1474" s="1" t="s">
        <v>5750</v>
      </c>
      <c r="G1474" s="1" t="s">
        <v>5751</v>
      </c>
      <c r="H1474" s="1" t="s">
        <v>657</v>
      </c>
      <c r="I1474" t="b">
        <f>COUNTIF(Estadísticas!I:I,'centraldecomunicacion.es'!H1474)&gt;0</f>
        <v>0</v>
      </c>
    </row>
    <row r="1475" spans="1:9" hidden="1">
      <c r="A1475" s="1" t="s">
        <v>5752</v>
      </c>
      <c r="B1475" s="1" t="s">
        <v>24</v>
      </c>
      <c r="C1475" s="1" t="s">
        <v>5753</v>
      </c>
      <c r="D1475" s="1" t="s">
        <v>213</v>
      </c>
      <c r="E1475" s="1" t="s">
        <v>556</v>
      </c>
      <c r="F1475" s="1" t="s">
        <v>78</v>
      </c>
      <c r="G1475" s="1" t="s">
        <v>5754</v>
      </c>
      <c r="H1475" s="1" t="s">
        <v>657</v>
      </c>
      <c r="I1475" t="b">
        <f>COUNTIF(Estadísticas!I:I,'centraldecomunicacion.es'!H1475)&gt;0</f>
        <v>0</v>
      </c>
    </row>
    <row r="1476" spans="1:9" hidden="1">
      <c r="A1476" s="1" t="s">
        <v>5755</v>
      </c>
      <c r="B1476" s="1" t="s">
        <v>24</v>
      </c>
      <c r="C1476" s="1" t="s">
        <v>5756</v>
      </c>
      <c r="D1476" s="1" t="s">
        <v>213</v>
      </c>
      <c r="E1476" s="1" t="s">
        <v>556</v>
      </c>
      <c r="F1476" s="1" t="s">
        <v>78</v>
      </c>
      <c r="G1476" s="1" t="s">
        <v>5757</v>
      </c>
      <c r="H1476" s="1" t="s">
        <v>657</v>
      </c>
      <c r="I1476" t="b">
        <f>COUNTIF(Estadísticas!I:I,'centraldecomunicacion.es'!H1476)&gt;0</f>
        <v>0</v>
      </c>
    </row>
    <row r="1477" spans="1:9" hidden="1">
      <c r="A1477" s="1" t="s">
        <v>5758</v>
      </c>
      <c r="B1477" s="1" t="s">
        <v>24</v>
      </c>
      <c r="C1477" s="1" t="s">
        <v>78</v>
      </c>
      <c r="D1477" s="1" t="s">
        <v>5759</v>
      </c>
      <c r="E1477" s="1" t="s">
        <v>78</v>
      </c>
      <c r="F1477" s="1" t="s">
        <v>78</v>
      </c>
      <c r="G1477" s="1" t="s">
        <v>5760</v>
      </c>
      <c r="H1477" s="1" t="s">
        <v>657</v>
      </c>
      <c r="I1477" t="b">
        <f>COUNTIF(Estadísticas!I:I,'centraldecomunicacion.es'!H1477)&gt;0</f>
        <v>0</v>
      </c>
    </row>
    <row r="1478" spans="1:9" hidden="1">
      <c r="A1478" s="1" t="s">
        <v>5761</v>
      </c>
      <c r="B1478" s="1" t="s">
        <v>24</v>
      </c>
      <c r="C1478" s="1" t="s">
        <v>5762</v>
      </c>
      <c r="D1478" s="1" t="s">
        <v>5741</v>
      </c>
      <c r="E1478" s="1" t="s">
        <v>135</v>
      </c>
      <c r="F1478" s="1" t="s">
        <v>78</v>
      </c>
      <c r="G1478" s="1" t="s">
        <v>5763</v>
      </c>
      <c r="H1478" s="1" t="s">
        <v>657</v>
      </c>
      <c r="I1478" t="b">
        <f>COUNTIF(Estadísticas!I:I,'centraldecomunicacion.es'!H1478)&gt;0</f>
        <v>0</v>
      </c>
    </row>
    <row r="1479" spans="1:9" hidden="1">
      <c r="A1479" s="1" t="s">
        <v>5764</v>
      </c>
      <c r="B1479" s="1" t="s">
        <v>10</v>
      </c>
      <c r="C1479" s="1" t="s">
        <v>5765</v>
      </c>
      <c r="D1479" s="1" t="s">
        <v>5766</v>
      </c>
      <c r="E1479" s="1" t="s">
        <v>643</v>
      </c>
      <c r="F1479" s="1" t="s">
        <v>78</v>
      </c>
      <c r="G1479" s="1" t="s">
        <v>5767</v>
      </c>
      <c r="H1479" s="1" t="s">
        <v>657</v>
      </c>
      <c r="I1479" t="b">
        <f>COUNTIF(Estadísticas!I:I,'centraldecomunicacion.es'!H1479)&gt;0</f>
        <v>0</v>
      </c>
    </row>
    <row r="1480" spans="1:9" hidden="1">
      <c r="A1480" s="1" t="s">
        <v>5768</v>
      </c>
      <c r="B1480" s="1" t="s">
        <v>10</v>
      </c>
      <c r="C1480" s="1" t="s">
        <v>5769</v>
      </c>
      <c r="D1480" s="1" t="s">
        <v>5770</v>
      </c>
      <c r="E1480" s="1" t="s">
        <v>154</v>
      </c>
      <c r="F1480" s="1" t="s">
        <v>78</v>
      </c>
      <c r="G1480" s="1" t="s">
        <v>5771</v>
      </c>
      <c r="H1480" s="1" t="s">
        <v>657</v>
      </c>
      <c r="I1480" t="b">
        <f>COUNTIF(Estadísticas!I:I,'centraldecomunicacion.es'!H1480)&gt;0</f>
        <v>0</v>
      </c>
    </row>
    <row r="1481" spans="1:9">
      <c r="A1481" s="1" t="s">
        <v>647</v>
      </c>
      <c r="B1481" s="1" t="s">
        <v>10</v>
      </c>
      <c r="C1481" s="1" t="s">
        <v>648</v>
      </c>
      <c r="D1481" s="1" t="s">
        <v>649</v>
      </c>
      <c r="E1481" s="1" t="s">
        <v>38</v>
      </c>
      <c r="F1481" s="1" t="s">
        <v>650</v>
      </c>
      <c r="G1481" s="1" t="s">
        <v>651</v>
      </c>
      <c r="H1481" s="1" t="s">
        <v>652</v>
      </c>
      <c r="I1481" t="b">
        <f>COUNTIF(Estadísticas!I:I,'centraldecomunicacion.es'!H1481)&gt;0</f>
        <v>1</v>
      </c>
    </row>
    <row r="1482" spans="1:9" hidden="1">
      <c r="A1482" s="1" t="s">
        <v>5772</v>
      </c>
      <c r="B1482" s="1" t="s">
        <v>24</v>
      </c>
      <c r="C1482" s="1" t="s">
        <v>5773</v>
      </c>
      <c r="D1482" s="1" t="s">
        <v>5774</v>
      </c>
      <c r="E1482" s="1" t="s">
        <v>135</v>
      </c>
      <c r="F1482" s="1" t="s">
        <v>5775</v>
      </c>
      <c r="G1482" s="1" t="s">
        <v>5776</v>
      </c>
      <c r="H1482" s="1" t="s">
        <v>5777</v>
      </c>
      <c r="I1482" t="b">
        <f>COUNTIF(Estadísticas!I:I,'centraldecomunicacion.es'!H1482)&gt;0</f>
        <v>0</v>
      </c>
    </row>
    <row r="1483" spans="1:9" hidden="1">
      <c r="A1483" s="1" t="s">
        <v>5778</v>
      </c>
      <c r="B1483" s="1" t="s">
        <v>10</v>
      </c>
      <c r="C1483" s="1" t="s">
        <v>5779</v>
      </c>
      <c r="D1483" s="1" t="s">
        <v>5780</v>
      </c>
      <c r="E1483" s="1" t="s">
        <v>135</v>
      </c>
      <c r="F1483" s="1" t="s">
        <v>5781</v>
      </c>
      <c r="G1483" s="1" t="s">
        <v>5782</v>
      </c>
      <c r="H1483" s="1" t="s">
        <v>5783</v>
      </c>
      <c r="I1483" t="b">
        <f>COUNTIF(Estadísticas!I:I,'centraldecomunicacion.es'!H1483)&gt;0</f>
        <v>0</v>
      </c>
    </row>
    <row r="1484" spans="1:9" hidden="1">
      <c r="A1484" s="1" t="s">
        <v>5784</v>
      </c>
      <c r="B1484" s="1" t="s">
        <v>24</v>
      </c>
      <c r="C1484" s="1" t="s">
        <v>5785</v>
      </c>
      <c r="D1484" s="1" t="s">
        <v>5595</v>
      </c>
      <c r="E1484" s="1" t="s">
        <v>135</v>
      </c>
      <c r="F1484" s="1" t="s">
        <v>829</v>
      </c>
      <c r="G1484" s="1" t="s">
        <v>5786</v>
      </c>
      <c r="H1484" s="1" t="s">
        <v>831</v>
      </c>
      <c r="I1484" t="b">
        <f>COUNTIF(Estadísticas!I:I,'centraldecomunicacion.es'!H1484)&gt;0</f>
        <v>0</v>
      </c>
    </row>
    <row r="1485" spans="1:9" hidden="1">
      <c r="A1485" s="1" t="s">
        <v>5787</v>
      </c>
      <c r="B1485" s="1" t="s">
        <v>24</v>
      </c>
      <c r="C1485" s="1" t="s">
        <v>5788</v>
      </c>
      <c r="D1485" s="1" t="s">
        <v>4984</v>
      </c>
      <c r="E1485" s="1" t="s">
        <v>135</v>
      </c>
      <c r="F1485" s="1" t="s">
        <v>78</v>
      </c>
      <c r="G1485" s="1" t="s">
        <v>5789</v>
      </c>
      <c r="H1485" s="1" t="s">
        <v>657</v>
      </c>
      <c r="I1485" t="b">
        <f>COUNTIF(Estadísticas!I:I,'centraldecomunicacion.es'!H1485)&gt;0</f>
        <v>0</v>
      </c>
    </row>
    <row r="1486" spans="1:9" hidden="1">
      <c r="A1486" s="1" t="s">
        <v>5790</v>
      </c>
      <c r="B1486" s="1" t="s">
        <v>24</v>
      </c>
      <c r="C1486" s="1" t="s">
        <v>5791</v>
      </c>
      <c r="D1486" s="1" t="s">
        <v>5792</v>
      </c>
      <c r="E1486" s="1" t="s">
        <v>135</v>
      </c>
      <c r="F1486" s="1" t="s">
        <v>5793</v>
      </c>
      <c r="G1486" s="1" t="s">
        <v>5794</v>
      </c>
      <c r="H1486" s="1" t="s">
        <v>657</v>
      </c>
      <c r="I1486" t="b">
        <f>COUNTIF(Estadísticas!I:I,'centraldecomunicacion.es'!H1486)&gt;0</f>
        <v>0</v>
      </c>
    </row>
    <row r="1487" spans="1:9" hidden="1">
      <c r="A1487" s="1" t="s">
        <v>5795</v>
      </c>
      <c r="B1487" s="1" t="s">
        <v>24</v>
      </c>
      <c r="C1487" s="1" t="s">
        <v>5796</v>
      </c>
      <c r="D1487" s="1" t="s">
        <v>5774</v>
      </c>
      <c r="E1487" s="1" t="s">
        <v>135</v>
      </c>
      <c r="F1487" s="1" t="s">
        <v>78</v>
      </c>
      <c r="G1487" s="1" t="s">
        <v>5797</v>
      </c>
      <c r="H1487" s="1" t="s">
        <v>657</v>
      </c>
      <c r="I1487" t="b">
        <f>COUNTIF(Estadísticas!I:I,'centraldecomunicacion.es'!H1487)&gt;0</f>
        <v>0</v>
      </c>
    </row>
    <row r="1488" spans="1:9" hidden="1">
      <c r="A1488" s="1" t="s">
        <v>5798</v>
      </c>
      <c r="B1488" s="1" t="s">
        <v>24</v>
      </c>
      <c r="C1488" s="1" t="s">
        <v>5799</v>
      </c>
      <c r="D1488" s="1" t="s">
        <v>5800</v>
      </c>
      <c r="E1488" s="1" t="s">
        <v>135</v>
      </c>
      <c r="F1488" s="1" t="s">
        <v>78</v>
      </c>
      <c r="G1488" s="1" t="s">
        <v>5801</v>
      </c>
      <c r="H1488" s="1" t="s">
        <v>657</v>
      </c>
      <c r="I1488" t="b">
        <f>COUNTIF(Estadísticas!I:I,'centraldecomunicacion.es'!H1488)&gt;0</f>
        <v>0</v>
      </c>
    </row>
    <row r="1489" spans="1:9" hidden="1">
      <c r="A1489" s="1" t="s">
        <v>5802</v>
      </c>
      <c r="B1489" s="1" t="s">
        <v>24</v>
      </c>
      <c r="C1489" s="1" t="s">
        <v>5803</v>
      </c>
      <c r="D1489" s="1" t="s">
        <v>5595</v>
      </c>
      <c r="E1489" s="1" t="s">
        <v>135</v>
      </c>
      <c r="F1489" s="1" t="s">
        <v>78</v>
      </c>
      <c r="G1489" s="1" t="s">
        <v>5804</v>
      </c>
      <c r="H1489" s="1" t="s">
        <v>657</v>
      </c>
      <c r="I1489" t="b">
        <f>COUNTIF(Estadísticas!I:I,'centraldecomunicacion.es'!H1489)&gt;0</f>
        <v>0</v>
      </c>
    </row>
    <row r="1490" spans="1:9" hidden="1">
      <c r="A1490" s="1" t="s">
        <v>5805</v>
      </c>
      <c r="B1490" s="1" t="s">
        <v>24</v>
      </c>
      <c r="C1490" s="1" t="s">
        <v>5806</v>
      </c>
      <c r="D1490" s="1" t="s">
        <v>5043</v>
      </c>
      <c r="E1490" s="1" t="s">
        <v>625</v>
      </c>
      <c r="F1490" s="1" t="s">
        <v>5807</v>
      </c>
      <c r="G1490" s="1" t="s">
        <v>5576</v>
      </c>
      <c r="H1490" s="1" t="s">
        <v>5808</v>
      </c>
      <c r="I1490" t="b">
        <f>COUNTIF(Estadísticas!I:I,'centraldecomunicacion.es'!H1490)&gt;0</f>
        <v>0</v>
      </c>
    </row>
    <row r="1491" spans="1:9" hidden="1">
      <c r="A1491" s="1" t="s">
        <v>5809</v>
      </c>
      <c r="B1491" s="1" t="s">
        <v>10</v>
      </c>
      <c r="C1491" s="1" t="s">
        <v>5810</v>
      </c>
      <c r="D1491" s="1" t="s">
        <v>5811</v>
      </c>
      <c r="E1491" s="1" t="s">
        <v>625</v>
      </c>
      <c r="F1491" s="1" t="s">
        <v>5812</v>
      </c>
      <c r="G1491" s="1" t="s">
        <v>5813</v>
      </c>
      <c r="H1491" s="1" t="s">
        <v>5814</v>
      </c>
      <c r="I1491" t="b">
        <f>COUNTIF(Estadísticas!I:I,'centraldecomunicacion.es'!H1491)&gt;0</f>
        <v>0</v>
      </c>
    </row>
  </sheetData>
  <autoFilter ref="A1:I1491" xr:uid="{8B6DFC6E-8C1B-4C8E-870E-98F7D5F4B5CF}">
    <filterColumn colId="8">
      <filters>
        <filter val="VERDADER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0814-9F4B-4B9D-9F7A-D2F23F6FFDD5}">
  <dimension ref="A1:I503"/>
  <sheetViews>
    <sheetView workbookViewId="0">
      <selection activeCell="I2" sqref="I2"/>
    </sheetView>
  </sheetViews>
  <sheetFormatPr defaultColWidth="11.42578125" defaultRowHeight="14.45"/>
  <cols>
    <col min="1" max="1" width="21.5703125" customWidth="1"/>
    <col min="2" max="2" width="27.85546875" customWidth="1"/>
    <col min="3" max="3" width="16.85546875" customWidth="1"/>
    <col min="4" max="4" width="18.28515625" customWidth="1"/>
    <col min="5" max="5" width="24.7109375" customWidth="1"/>
    <col min="6" max="6" width="41.5703125" customWidth="1"/>
    <col min="7" max="7" width="35.42578125" customWidth="1"/>
    <col min="8" max="8" width="78.5703125" customWidth="1"/>
    <col min="9" max="9" width="16.28515625" bestFit="1" customWidth="1"/>
  </cols>
  <sheetData>
    <row r="1" spans="1:9" s="3" customFormat="1">
      <c r="A1" s="3" t="s">
        <v>5815</v>
      </c>
      <c r="B1" s="3" t="s">
        <v>5816</v>
      </c>
      <c r="C1" s="3" t="s">
        <v>5817</v>
      </c>
      <c r="D1" s="3" t="s">
        <v>5818</v>
      </c>
      <c r="E1" s="3" t="s">
        <v>5819</v>
      </c>
      <c r="F1" s="3" t="s">
        <v>5820</v>
      </c>
      <c r="G1" s="3" t="s">
        <v>5821</v>
      </c>
      <c r="H1" s="3" t="s">
        <v>5822</v>
      </c>
      <c r="I1" s="3" t="s">
        <v>5823</v>
      </c>
    </row>
    <row r="2" spans="1:9" ht="15">
      <c r="A2">
        <f ca="1">COUNTIF('centraldecomunicacion.es'!A2:'centraldecomunicacion.es'!A19470,"*")</f>
        <v>1490</v>
      </c>
      <c r="B2">
        <f ca="1">COUNTIF('centraldecomunicacion.es'!H2:'centraldecomunicacion.es'!H19470,"*@*")</f>
        <v>667</v>
      </c>
      <c r="C2">
        <f ca="1">COUNTIF('centraldecomunicacion.es'!F2:'centraldecomunicacion.es'!F19470,"*.*")</f>
        <v>952</v>
      </c>
      <c r="D2">
        <f ca="1">COUNTIF('centraldecomunicacion.es'!G2:'centraldecomunicacion.es'!G19470,"6*")+COUNTIF('centraldecomunicacion.es'!G2:'centraldecomunicacion.es'!G19470,"9*")</f>
        <v>1381</v>
      </c>
      <c r="E2">
        <f ca="1">COUNTIF('centraldecomunicacion.es'!G2:'centraldecomunicacion.es'!G19470,"9*")</f>
        <v>555</v>
      </c>
      <c r="F2">
        <f ca="1">COUNTIF('centraldecomunicacion.es'!G2:'centraldecomunicacion.es'!G19470,"6*")</f>
        <v>826</v>
      </c>
      <c r="G2" t="str" cm="1">
        <f t="array" aca="1" ref="G2:G5" ca="1">_xlfn.UNIQUE('centraldecomunicacion.es'!B2:'centraldecomunicacion.es'!B19470)</f>
        <v>Servicio de mudanzas</v>
      </c>
      <c r="H2" t="str" cm="1">
        <f t="array" aca="1" ref="H2:H503" ca="1">_xlfn.UNIQUE('centraldecomunicacion.es'!H2:'centraldecomunicacion.es'!H19470)</f>
        <v>-</v>
      </c>
      <c r="I2" s="5" t="s">
        <v>16</v>
      </c>
    </row>
    <row r="3" spans="1:9" ht="15">
      <c r="G3" t="str">
        <f ca="1"/>
        <v>Servicio de mudanzas y almacenamiento</v>
      </c>
      <c r="H3" t="str">
        <f ca="1"/>
        <v>info@mudanzaslaseda.com</v>
      </c>
      <c r="I3" s="5" t="s">
        <v>22</v>
      </c>
    </row>
    <row r="4" spans="1:9" ht="15">
      <c r="G4" t="str">
        <f ca="1"/>
        <v>Tienda de material para mudanzas</v>
      </c>
      <c r="H4" t="str">
        <f ca="1"/>
        <v>mudanzastijeras@gmail.com</v>
      </c>
      <c r="I4" s="5" t="s">
        <v>29</v>
      </c>
    </row>
    <row r="5" spans="1:9" ht="15">
      <c r="G5">
        <f ca="1"/>
        <v>0</v>
      </c>
      <c r="H5" t="str">
        <f ca="1"/>
        <v>contacto@mudanzasfernandez.com</v>
      </c>
      <c r="I5" s="5" t="s">
        <v>34</v>
      </c>
    </row>
    <row r="6" spans="1:9" ht="15">
      <c r="H6" t="str">
        <f ca="1"/>
        <v>info@mudanzascanadas.es</v>
      </c>
      <c r="I6" s="5" t="s">
        <v>41</v>
      </c>
    </row>
    <row r="7" spans="1:9" ht="15">
      <c r="H7" t="str">
        <f ca="1"/>
        <v>info@mudanzascervantes.es</v>
      </c>
      <c r="I7" s="5" t="s">
        <v>48</v>
      </c>
    </row>
    <row r="8" spans="1:9" ht="15">
      <c r="H8" t="str">
        <f ca="1"/>
        <v>mudanzasalmeriahijo@hotmail.es</v>
      </c>
      <c r="I8" s="5" t="s">
        <v>54</v>
      </c>
    </row>
    <row r="9" spans="1:9" ht="15">
      <c r="H9" t="str">
        <f ca="1"/>
        <v>info@mudanzasenalmeria.com</v>
      </c>
      <c r="I9" s="5" t="s">
        <v>60</v>
      </c>
    </row>
    <row r="10" spans="1:9" ht="15">
      <c r="H10" t="str">
        <f ca="1"/>
        <v>granada@mudanzasgo.es</v>
      </c>
      <c r="I10" s="5" t="s">
        <v>65</v>
      </c>
    </row>
    <row r="11" spans="1:9" ht="15">
      <c r="H11" t="str">
        <f ca="1"/>
        <v>mudanzas@mudanzasantonioycarlos.com</v>
      </c>
      <c r="I11" s="5" t="s">
        <v>70</v>
      </c>
    </row>
    <row r="12" spans="1:9" ht="15">
      <c r="H12" t="str">
        <f ca="1"/>
        <v>javieralbapascual@gmail.com</v>
      </c>
      <c r="I12" s="5" t="s">
        <v>76</v>
      </c>
    </row>
    <row r="13" spans="1:9" ht="15">
      <c r="H13" t="str">
        <f ca="1"/>
        <v>mudanzas@transiv.com</v>
      </c>
      <c r="I13" s="5" t="s">
        <v>82</v>
      </c>
    </row>
    <row r="14" spans="1:9" ht="15">
      <c r="H14" t="str">
        <f ca="1"/>
        <v>info@mudanzassegovia.org</v>
      </c>
      <c r="I14" s="5" t="s">
        <v>88</v>
      </c>
    </row>
    <row r="15" spans="1:9" ht="15">
      <c r="H15" t="str">
        <f ca="1"/>
        <v>sales@mudinmar.com</v>
      </c>
      <c r="I15" s="5" t="s">
        <v>94</v>
      </c>
    </row>
    <row r="16" spans="1:9" ht="15">
      <c r="H16" t="str">
        <f ca="1"/>
        <v>info@mudanzasmadridsierra.es</v>
      </c>
      <c r="I16" s="5" t="s">
        <v>99</v>
      </c>
    </row>
    <row r="17" spans="8:9" ht="15">
      <c r="H17" t="str">
        <f ca="1"/>
        <v>info@mudanzas-baratas-madrid.es</v>
      </c>
      <c r="I17" s="5" t="s">
        <v>104</v>
      </c>
    </row>
    <row r="18" spans="8:9" ht="15">
      <c r="H18" t="str">
        <f ca="1"/>
        <v>aparicio@mudanzasaparicio.es</v>
      </c>
      <c r="I18" s="5" t="s">
        <v>108</v>
      </c>
    </row>
    <row r="19" spans="8:9" ht="15">
      <c r="H19" t="str">
        <f ca="1"/>
        <v>pwacompat@2.0.9</v>
      </c>
      <c r="I19" s="5" t="s">
        <v>113</v>
      </c>
    </row>
    <row r="20" spans="8:9" ht="15">
      <c r="H20" t="str">
        <f ca="1"/>
        <v>info@mudanzaspoli.com</v>
      </c>
      <c r="I20" s="5" t="s">
        <v>120</v>
      </c>
    </row>
    <row r="21" spans="8:9" ht="15">
      <c r="H21" t="str">
        <f ca="1"/>
        <v>info@mudanzasencadiz.com</v>
      </c>
      <c r="I21" s="5" t="s">
        <v>125</v>
      </c>
    </row>
    <row r="22" spans="8:9" ht="15">
      <c r="H22" t="str">
        <f ca="1"/>
        <v>info@grupoamygo.com</v>
      </c>
      <c r="I22" s="5" t="s">
        <v>131</v>
      </c>
    </row>
    <row r="23" spans="8:9" ht="15">
      <c r="H23" t="str">
        <f ca="1"/>
        <v>comercial@transportesatlantis.es</v>
      </c>
      <c r="I23" s="5" t="s">
        <v>138</v>
      </c>
    </row>
    <row r="24" spans="8:9" ht="15">
      <c r="H24" t="str">
        <f ca="1"/>
        <v>elcaminar_asociacion@hotmail.com</v>
      </c>
      <c r="I24" s="5" t="s">
        <v>144</v>
      </c>
    </row>
    <row r="25" spans="8:9" ht="15">
      <c r="H25" t="str">
        <f ca="1"/>
        <v>Alejandro@elcaminar-asociacion.es</v>
      </c>
      <c r="I25" s="5" t="s">
        <v>150</v>
      </c>
    </row>
    <row r="26" spans="8:9" ht="15">
      <c r="H26" t="str">
        <f ca="1"/>
        <v>central@gil-stauffer.com</v>
      </c>
      <c r="I26" s="5" t="s">
        <v>157</v>
      </c>
    </row>
    <row r="27" spans="8:9" ht="15">
      <c r="H27" t="str">
        <f ca="1"/>
        <v>info@mudanzasandalucia.es</v>
      </c>
      <c r="I27" s="5" t="s">
        <v>163</v>
      </c>
    </row>
    <row r="28" spans="8:9" ht="15">
      <c r="H28" t="str">
        <f ca="1"/>
        <v>info@mudanzaslujan.com</v>
      </c>
      <c r="I28" s="5" t="s">
        <v>168</v>
      </c>
    </row>
    <row r="29" spans="8:9" ht="15">
      <c r="H29" t="str">
        <f ca="1"/>
        <v>info@mudanzashispalis.net</v>
      </c>
      <c r="I29" s="5" t="s">
        <v>173</v>
      </c>
    </row>
    <row r="30" spans="8:9" ht="15">
      <c r="H30" t="str">
        <f ca="1"/>
        <v>info@mudanzasfuengirola.com</v>
      </c>
      <c r="I30" s="5" t="s">
        <v>178</v>
      </c>
    </row>
    <row r="31" spans="8:9" ht="15">
      <c r="H31" t="str">
        <f ca="1"/>
        <v>info@sitspain.com</v>
      </c>
      <c r="I31" s="5" t="s">
        <v>183</v>
      </c>
    </row>
    <row r="32" spans="8:9" ht="15">
      <c r="H32" t="str">
        <f ca="1"/>
        <v>info@vascongada.com</v>
      </c>
      <c r="I32" s="5" t="s">
        <v>190</v>
      </c>
    </row>
    <row r="33" spans="8:9" ht="15">
      <c r="H33" t="str">
        <f ca="1"/>
        <v>comercial@jesmatrans.es</v>
      </c>
      <c r="I33" s="5" t="s">
        <v>197</v>
      </c>
    </row>
    <row r="34" spans="8:9" ht="15">
      <c r="H34" t="str">
        <f ca="1"/>
        <v>info@portes.es</v>
      </c>
      <c r="I34" s="5" t="s">
        <v>203</v>
      </c>
    </row>
    <row r="35" spans="8:9" ht="15">
      <c r="H35" t="str">
        <f ca="1"/>
        <v>info@cordobati.com</v>
      </c>
      <c r="I35" s="5" t="s">
        <v>210</v>
      </c>
    </row>
    <row r="36" spans="8:9" ht="15">
      <c r="H36" t="str">
        <f ca="1"/>
        <v>mudanzasteam@gmail.com</v>
      </c>
      <c r="I36" s="5" t="s">
        <v>217</v>
      </c>
    </row>
    <row r="37" spans="8:9" ht="15">
      <c r="H37" t="str">
        <f ca="1"/>
        <v>info@mudanzas-cordoba.com</v>
      </c>
      <c r="I37" s="5" t="s">
        <v>224</v>
      </c>
    </row>
    <row r="38" spans="8:9" ht="15">
      <c r="H38" t="str">
        <f ca="1"/>
        <v>info@mudanzassanchezysobrinos.com</v>
      </c>
      <c r="I38" s="5" t="s">
        <v>230</v>
      </c>
    </row>
    <row r="39" spans="8:9" ht="15">
      <c r="H39" t="str">
        <f ca="1"/>
        <v>mudarte@mudarte.es</v>
      </c>
      <c r="I39" s="5" t="s">
        <v>237</v>
      </c>
    </row>
    <row r="40" spans="8:9" ht="15">
      <c r="H40" t="str">
        <f ca="1"/>
        <v>info@mudanzasprietoehijos.com</v>
      </c>
      <c r="I40" s="5" t="s">
        <v>244</v>
      </c>
    </row>
    <row r="41" spans="8:9" ht="15">
      <c r="H41" t="str">
        <f ca="1"/>
        <v>mudanzasisaaccordoba@gmail.com</v>
      </c>
      <c r="I41" s="5" t="s">
        <v>249</v>
      </c>
    </row>
    <row r="42" spans="8:9" ht="15">
      <c r="H42" t="str">
        <f ca="1"/>
        <v>info@mudanzaslunagranada.com</v>
      </c>
      <c r="I42" s="5" t="s">
        <v>255</v>
      </c>
    </row>
    <row r="43" spans="8:9" ht="15">
      <c r="H43" t="str">
        <f ca="1"/>
        <v>macias@mzmudanzas.com</v>
      </c>
      <c r="I43" s="5" t="s">
        <v>261</v>
      </c>
    </row>
    <row r="44" spans="8:9" ht="15">
      <c r="H44" t="str">
        <f ca="1"/>
        <v>info@mudanzas-guardamuebles-granada.com</v>
      </c>
      <c r="I44" s="5" t="s">
        <v>268</v>
      </c>
    </row>
    <row r="45" spans="8:9" ht="15">
      <c r="H45" t="str">
        <f ca="1"/>
        <v>autogranadina@autogranadina.es</v>
      </c>
      <c r="I45" s="5" t="s">
        <v>274</v>
      </c>
    </row>
    <row r="46" spans="8:9" ht="15">
      <c r="H46" t="str">
        <f ca="1"/>
        <v>info@mudanzasmotril.es</v>
      </c>
      <c r="I46" s="5" t="s">
        <v>280</v>
      </c>
    </row>
    <row r="47" spans="8:9" ht="15">
      <c r="H47" t="str">
        <f ca="1"/>
        <v>info@hakotrans.com</v>
      </c>
      <c r="I47" s="5" t="s">
        <v>287</v>
      </c>
    </row>
    <row r="48" spans="8:9" ht="15">
      <c r="H48" t="str">
        <f ca="1"/>
        <v>cosario.es@gmail.com</v>
      </c>
      <c r="I48" s="5" t="s">
        <v>292</v>
      </c>
    </row>
    <row r="49" spans="8:9" ht="15">
      <c r="H49" t="str">
        <f ca="1"/>
        <v>centroretohuelva@gmail.com</v>
      </c>
      <c r="I49" s="5" t="s">
        <v>298</v>
      </c>
    </row>
    <row r="50" spans="8:9" ht="15">
      <c r="H50" t="str">
        <f ca="1"/>
        <v>lusanjaen@grupolusan.es</v>
      </c>
      <c r="I50" s="5" t="s">
        <v>303</v>
      </c>
    </row>
    <row r="51" spans="8:9" ht="15">
      <c r="H51" t="str">
        <f ca="1"/>
        <v>info@mudanzasmolina.com</v>
      </c>
      <c r="I51" s="5" t="s">
        <v>308</v>
      </c>
    </row>
    <row r="52" spans="8:9" ht="15">
      <c r="H52" t="str">
        <f ca="1"/>
        <v>info@mudanzasamaro.com</v>
      </c>
      <c r="I52" s="5" t="s">
        <v>313</v>
      </c>
    </row>
    <row r="53" spans="8:9" ht="15">
      <c r="H53" t="str">
        <f ca="1"/>
        <v>jehovaplata@gmail.comContacto</v>
      </c>
      <c r="I53" s="5" t="s">
        <v>319</v>
      </c>
    </row>
    <row r="54" spans="8:9" ht="15">
      <c r="H54" t="str">
        <f ca="1"/>
        <v>info@mimudanza.net</v>
      </c>
      <c r="I54" s="5" t="s">
        <v>324</v>
      </c>
    </row>
    <row r="55" spans="8:9" ht="15">
      <c r="H55" t="str">
        <f ca="1"/>
        <v>20mudanzasubeda@gmail.com</v>
      </c>
      <c r="I55" s="5" t="s">
        <v>330</v>
      </c>
    </row>
    <row r="56" spans="8:9" ht="15">
      <c r="H56" t="str">
        <f ca="1"/>
        <v>central@grupolusan.es</v>
      </c>
      <c r="I56" s="5" t="s">
        <v>336</v>
      </c>
    </row>
    <row r="57" spans="8:9" ht="15">
      <c r="H57" t="str">
        <f ca="1"/>
        <v>info@mudanzasdan.com</v>
      </c>
      <c r="I57" s="5" t="s">
        <v>341</v>
      </c>
    </row>
    <row r="58" spans="8:9" ht="15">
      <c r="H58" t="str">
        <f ca="1"/>
        <v>infomytransporte@gmail.com</v>
      </c>
      <c r="I58" s="5" t="s">
        <v>346</v>
      </c>
    </row>
    <row r="59" spans="8:9" ht="15">
      <c r="H59" t="str">
        <f ca="1"/>
        <v>infomudanzasmicasa@gmail.com</v>
      </c>
      <c r="I59" s="5" t="s">
        <v>351</v>
      </c>
    </row>
    <row r="60" spans="8:9" ht="15">
      <c r="H60" t="str">
        <f ca="1"/>
        <v>info@automudanzasmalaga.com</v>
      </c>
      <c r="I60" s="5" t="s">
        <v>356</v>
      </c>
    </row>
    <row r="61" spans="8:9" ht="15">
      <c r="H61" t="str">
        <f ca="1"/>
        <v>terracargo@hotmail.com</v>
      </c>
      <c r="I61" s="5" t="s">
        <v>361</v>
      </c>
    </row>
    <row r="62" spans="8:9" ht="15">
      <c r="H62" t="str">
        <f ca="1"/>
        <v>joselaynez@hotmail.com</v>
      </c>
      <c r="I62" s="5" t="s">
        <v>366</v>
      </c>
    </row>
    <row r="63" spans="8:9" ht="15">
      <c r="H63" t="str">
        <f ca="1"/>
        <v>info@demudanza.es</v>
      </c>
      <c r="I63" s="5" t="s">
        <v>372</v>
      </c>
    </row>
    <row r="64" spans="8:9" ht="15">
      <c r="H64" t="str">
        <f ca="1"/>
        <v>info@mudanzasmalagaexpress.com</v>
      </c>
      <c r="I64" s="5" t="s">
        <v>379</v>
      </c>
    </row>
    <row r="65" spans="8:9" ht="15">
      <c r="H65" t="str">
        <f ca="1"/>
        <v>serviluxtransa@gmail.com</v>
      </c>
      <c r="I65" s="5" t="s">
        <v>386</v>
      </c>
    </row>
    <row r="66" spans="8:9" ht="15">
      <c r="H66" t="str">
        <f ca="1"/>
        <v>tinfo@mudanzasreva.com</v>
      </c>
      <c r="I66" s="5" t="s">
        <v>392</v>
      </c>
    </row>
    <row r="67" spans="8:9" ht="15">
      <c r="H67" t="str">
        <f ca="1"/>
        <v>office@mudanzasdelsol.com</v>
      </c>
      <c r="I67" s="5" t="s">
        <v>399</v>
      </c>
    </row>
    <row r="68" spans="8:9" ht="15">
      <c r="H68" t="str">
        <f ca="1"/>
        <v>info@transferinmalaga.com</v>
      </c>
      <c r="I68" s="5" t="s">
        <v>404</v>
      </c>
    </row>
    <row r="69" spans="8:9" ht="15">
      <c r="H69" t="str">
        <f ca="1"/>
        <v>info@container-storage.com</v>
      </c>
      <c r="I69" s="5" t="s">
        <v>411</v>
      </c>
    </row>
    <row r="70" spans="8:9" ht="15">
      <c r="H70" t="str">
        <f ca="1"/>
        <v>info@mudanzasmedi.es</v>
      </c>
      <c r="I70" s="5" t="s">
        <v>417</v>
      </c>
    </row>
    <row r="71" spans="8:9" ht="15">
      <c r="H71" t="str">
        <f ca="1"/>
        <v>info@mudanzaselroseton.com</v>
      </c>
      <c r="I71" s="5" t="s">
        <v>422</v>
      </c>
    </row>
    <row r="72" spans="8:9" ht="15">
      <c r="H72" t="str">
        <f ca="1"/>
        <v>info@mudanzastucan.com</v>
      </c>
      <c r="I72" s="5" t="s">
        <v>427</v>
      </c>
    </row>
    <row r="73" spans="8:9" ht="15">
      <c r="H73" t="str">
        <f ca="1"/>
        <v>sales@malagaremovals.com</v>
      </c>
      <c r="I73" s="5" t="s">
        <v>433</v>
      </c>
    </row>
    <row r="74" spans="8:9" ht="15">
      <c r="H74" t="str">
        <f ca="1"/>
        <v>info@euromudanzas.es</v>
      </c>
      <c r="I74" s="5" t="s">
        <v>438</v>
      </c>
    </row>
    <row r="75" spans="8:9" ht="15">
      <c r="H75" t="str">
        <f ca="1"/>
        <v>info@mudanzasextremenas.com</v>
      </c>
      <c r="I75" s="5" t="s">
        <v>444</v>
      </c>
    </row>
    <row r="76" spans="8:9" ht="15">
      <c r="H76" t="str">
        <f ca="1"/>
        <v>info@mudanzashermanostapia.com</v>
      </c>
      <c r="I76" s="5" t="s">
        <v>449</v>
      </c>
    </row>
    <row r="77" spans="8:9" ht="15">
      <c r="H77" t="str">
        <f ca="1"/>
        <v>mudanzasmadrid@gmail.com</v>
      </c>
      <c r="I77" s="5" t="s">
        <v>455</v>
      </c>
    </row>
    <row r="78" spans="8:9" ht="15">
      <c r="H78" t="str">
        <f ca="1"/>
        <v>mudanzas@pabloehijos.com</v>
      </c>
      <c r="I78" s="5" t="s">
        <v>461</v>
      </c>
    </row>
    <row r="79" spans="8:9" ht="15">
      <c r="H79" t="str">
        <f ca="1"/>
        <v>mudanzaseurosevilla@gmail.com</v>
      </c>
      <c r="I79" s="5" t="s">
        <v>467</v>
      </c>
    </row>
    <row r="80" spans="8:9" ht="15">
      <c r="H80" t="str">
        <f ca="1"/>
        <v>info@sevimudanzas.com</v>
      </c>
      <c r="I80" s="5" t="s">
        <v>473</v>
      </c>
    </row>
    <row r="81" spans="8:9" ht="15">
      <c r="H81" t="str">
        <f ca="1"/>
        <v>info@mudanzasarsenio.es</v>
      </c>
      <c r="I81" s="5" t="s">
        <v>479</v>
      </c>
    </row>
    <row r="82" spans="8:9" ht="15">
      <c r="H82" t="str">
        <f ca="1"/>
        <v>info@mudanzaexpress.net</v>
      </c>
      <c r="I82" s="5" t="s">
        <v>485</v>
      </c>
    </row>
    <row r="83" spans="8:9" ht="15">
      <c r="H83" t="str">
        <f ca="1"/>
        <v>info@mudanzasvirgendelosreyes.com</v>
      </c>
      <c r="I83" s="5" t="s">
        <v>490</v>
      </c>
    </row>
    <row r="84" spans="8:9" ht="15">
      <c r="H84" t="str">
        <f ca="1"/>
        <v>presupuesto@portesymudanzaslya.es</v>
      </c>
      <c r="I84" s="5" t="s">
        <v>495</v>
      </c>
    </row>
    <row r="85" spans="8:9" ht="15">
      <c r="H85" t="str">
        <f ca="1"/>
        <v>info@lorenzanasevilla.com</v>
      </c>
      <c r="I85" s="5" t="s">
        <v>502</v>
      </c>
    </row>
    <row r="86" spans="8:9" ht="15">
      <c r="H86" t="str">
        <f ca="1"/>
        <v>info@amadomiguel.com</v>
      </c>
      <c r="I86" s="5" t="s">
        <v>507</v>
      </c>
    </row>
    <row r="87" spans="8:9" ht="15">
      <c r="H87" t="str">
        <f ca="1"/>
        <v>info@mudanzas-rocio.com</v>
      </c>
      <c r="I87" s="5" t="s">
        <v>514</v>
      </c>
    </row>
    <row r="88" spans="8:9" ht="15">
      <c r="H88" t="str">
        <f ca="1"/>
        <v>info@mudanzassevilla.pro</v>
      </c>
      <c r="I88" s="5" t="s">
        <v>521</v>
      </c>
    </row>
    <row r="89" spans="8:9" ht="15">
      <c r="H89" t="str">
        <f ca="1"/>
        <v>comercial@mudanzas-macarena.com</v>
      </c>
      <c r="I89" s="5" t="s">
        <v>527</v>
      </c>
    </row>
    <row r="90" spans="8:9" ht="15">
      <c r="H90" t="str">
        <f ca="1"/>
        <v>info@mudanzasthf.com</v>
      </c>
      <c r="I90" s="5" t="s">
        <v>533</v>
      </c>
    </row>
    <row r="91" spans="8:9" ht="15">
      <c r="H91" t="str">
        <f ca="1"/>
        <v>info@mudanzasaljarafe.es</v>
      </c>
      <c r="I91" s="5" t="s">
        <v>539</v>
      </c>
    </row>
    <row r="92" spans="8:9" ht="15">
      <c r="H92" t="str">
        <f ca="1"/>
        <v>mudanzasilipa@gmail.com</v>
      </c>
      <c r="I92" s="5" t="s">
        <v>546</v>
      </c>
    </row>
    <row r="93" spans="8:9" ht="15">
      <c r="H93" t="str">
        <f ca="1"/>
        <v>info@mudanzasruiz.es</v>
      </c>
      <c r="I93" s="5" t="s">
        <v>553</v>
      </c>
    </row>
    <row r="94" spans="8:9" ht="15">
      <c r="H94" t="str">
        <f ca="1"/>
        <v>info@mudanzaseuropa.es</v>
      </c>
      <c r="I94" s="5" t="s">
        <v>559</v>
      </c>
    </row>
    <row r="95" spans="8:9" ht="15">
      <c r="H95" t="str">
        <f ca="1"/>
        <v>info@guardamueblesbaratosmadrid.com</v>
      </c>
      <c r="I95" s="5" t="s">
        <v>564</v>
      </c>
    </row>
    <row r="96" spans="8:9" ht="15">
      <c r="H96" t="str">
        <f ca="1"/>
        <v>administrador@leomudanzas.es</v>
      </c>
      <c r="I96" s="5" t="s">
        <v>570</v>
      </c>
    </row>
    <row r="97" spans="8:9" ht="15">
      <c r="H97" t="str">
        <f ca="1"/>
        <v>webmaster@mudanzasbaratasalicante.es</v>
      </c>
      <c r="I97" s="5" t="s">
        <v>576</v>
      </c>
    </row>
    <row r="98" spans="8:9" ht="15">
      <c r="H98" t="str">
        <f ca="1"/>
        <v>info@mudanzasbenji.com</v>
      </c>
      <c r="I98" s="5" t="s">
        <v>582</v>
      </c>
    </row>
    <row r="99" spans="8:9" ht="15">
      <c r="H99" t="str">
        <f ca="1"/>
        <v>banner-anunciateM@2.0ab2167.webp</v>
      </c>
      <c r="I99" s="5" t="s">
        <v>587</v>
      </c>
    </row>
    <row r="100" spans="8:9" ht="15">
      <c r="H100" t="str">
        <f ca="1"/>
        <v>info@todoportes.com</v>
      </c>
      <c r="I100" s="5" t="s">
        <v>593</v>
      </c>
    </row>
    <row r="101" spans="8:9" ht="15">
      <c r="H101" t="str">
        <f ca="1"/>
        <v>info@mudanzascintimar.com</v>
      </c>
      <c r="I101" s="5" t="s">
        <v>599</v>
      </c>
    </row>
    <row r="102" spans="8:9" ht="15">
      <c r="H102" t="str">
        <f ca="1"/>
        <v>transportesymudanzasjuanbarato@hotmail.com</v>
      </c>
      <c r="I102" s="5" t="s">
        <v>605</v>
      </c>
    </row>
    <row r="103" spans="8:9" ht="15">
      <c r="H103" t="str">
        <f ca="1"/>
        <v>info@mudanzasmartinez.net</v>
      </c>
      <c r="I103" s="5" t="s">
        <v>610</v>
      </c>
    </row>
    <row r="104" spans="8:9" ht="15">
      <c r="H104" t="str">
        <f ca="1"/>
        <v>web@mudanzas-azor.com</v>
      </c>
      <c r="I104" s="5" t="s">
        <v>615</v>
      </c>
    </row>
    <row r="105" spans="8:9" ht="15">
      <c r="H105" t="str">
        <f ca="1"/>
        <v>info@mudanzasjuanjo.es</v>
      </c>
      <c r="I105" s="5" t="s">
        <v>621</v>
      </c>
    </row>
    <row r="106" spans="8:9" ht="15">
      <c r="H106" t="str">
        <f ca="1"/>
        <v>comercial@mudanzaselpato.com</v>
      </c>
      <c r="I106" s="5" t="s">
        <v>628</v>
      </c>
    </row>
    <row r="107" spans="8:9" ht="15">
      <c r="H107" t="str">
        <f ca="1"/>
        <v>info@mudanzasjovi.com</v>
      </c>
      <c r="I107" s="5" t="s">
        <v>634</v>
      </c>
    </row>
    <row r="108" spans="8:9" ht="15">
      <c r="H108" t="str">
        <f ca="1"/>
        <v>comercial@mudanzastarragona.com</v>
      </c>
      <c r="I108" s="5" t="s">
        <v>639</v>
      </c>
    </row>
    <row r="109" spans="8:9" ht="15">
      <c r="H109" t="str">
        <f ca="1"/>
        <v>zazpi@zazpi.com</v>
      </c>
      <c r="I109" s="5" t="s">
        <v>646</v>
      </c>
    </row>
    <row r="110" spans="8:9" ht="15">
      <c r="H110" t="str">
        <f ca="1"/>
        <v>info@mudanzasibericas.com</v>
      </c>
      <c r="I110" s="5" t="s">
        <v>652</v>
      </c>
    </row>
    <row r="111" spans="8:9">
      <c r="H111" t="str">
        <f ca="1"/>
        <v>info@logisticaymudanzasmonllor.com</v>
      </c>
    </row>
    <row r="112" spans="8:9">
      <c r="H112" t="str">
        <f ca="1"/>
        <v>delafuente@dlfspain.com</v>
      </c>
    </row>
    <row r="113" spans="8:8">
      <c r="H113" t="str">
        <f ca="1"/>
        <v>rhernan@rhernan.com</v>
      </c>
    </row>
    <row r="114" spans="8:8">
      <c r="H114" t="str">
        <f ca="1"/>
        <v>cgiadmin@yourhostingaccount.com</v>
      </c>
    </row>
    <row r="115" spans="8:8">
      <c r="H115" t="str">
        <f ca="1"/>
        <v>info@mudanzasandresgonzalez.com</v>
      </c>
    </row>
    <row r="116" spans="8:8">
      <c r="H116" t="str">
        <f ca="1"/>
        <v>info@trallero.com</v>
      </c>
    </row>
    <row r="117" spans="8:8">
      <c r="H117" t="str">
        <f ca="1"/>
        <v>info@hasenkamp.com</v>
      </c>
    </row>
    <row r="118" spans="8:8">
      <c r="H118" t="str">
        <f ca="1"/>
        <v>info@mudanzasbtm.com</v>
      </c>
    </row>
    <row r="119" spans="8:8">
      <c r="H119" t="str">
        <f ca="1"/>
        <v>info@mudanzaslevante.com</v>
      </c>
    </row>
    <row r="120" spans="8:8">
      <c r="H120" t="str">
        <f ca="1"/>
        <v>mudanzas@transmoble.com</v>
      </c>
    </row>
    <row r="121" spans="8:8">
      <c r="H121" t="str">
        <f ca="1"/>
        <v>info@mudanzaswilly.com</v>
      </c>
    </row>
    <row r="122" spans="8:8">
      <c r="H122" t="str">
        <f ca="1"/>
        <v>info@mudanzasbenidorm.com</v>
      </c>
    </row>
    <row r="123" spans="8:8">
      <c r="H123" t="str">
        <f ca="1"/>
        <v>webmaster@mudanzasadolfoyaquilino.es</v>
      </c>
    </row>
    <row r="124" spans="8:8">
      <c r="H124" t="str">
        <f ca="1"/>
        <v>comercial@mudanzas-zaragoza.eu</v>
      </c>
    </row>
    <row r="125" spans="8:8">
      <c r="H125" t="str">
        <f ca="1"/>
        <v>info@mudanzasdelacruz.com</v>
      </c>
    </row>
    <row r="126" spans="8:8">
      <c r="H126" t="str">
        <f ca="1"/>
        <v>info@dehaanmovers.com</v>
      </c>
    </row>
    <row r="127" spans="8:8">
      <c r="H127" t="str">
        <f ca="1"/>
        <v>info@madrimudanzas.com</v>
      </c>
    </row>
    <row r="128" spans="8:8">
      <c r="H128" t="str">
        <f ca="1"/>
        <v>comercial@mudanzasrumbo.com</v>
      </c>
    </row>
    <row r="129" spans="8:8">
      <c r="H129" t="str">
        <f ca="1"/>
        <v>info@mudanzasinternacional.es</v>
      </c>
    </row>
    <row r="130" spans="8:8">
      <c r="H130" t="str">
        <f ca="1"/>
        <v>az@antolaketa.com</v>
      </c>
    </row>
    <row r="131" spans="8:8">
      <c r="H131" t="str">
        <f ca="1"/>
        <v>info@mundivan.com</v>
      </c>
    </row>
    <row r="132" spans="8:8">
      <c r="H132" t="str">
        <f ca="1"/>
        <v>info@traneco.es</v>
      </c>
    </row>
    <row r="133" spans="8:8">
      <c r="H133" t="str">
        <f ca="1"/>
        <v>mudanzascortes@outlook.es</v>
      </c>
    </row>
    <row r="134" spans="8:8">
      <c r="H134" t="str">
        <f ca="1"/>
        <v>sangilmudanzas@hotmail.com</v>
      </c>
    </row>
    <row r="135" spans="8:8">
      <c r="H135" t="str">
        <f ca="1"/>
        <v>info@mudanzasmolinero.com</v>
      </c>
    </row>
    <row r="136" spans="8:8">
      <c r="H136" t="str">
        <f ca="1"/>
        <v>info@mudanzaseuromartinez.com</v>
      </c>
    </row>
    <row r="137" spans="8:8">
      <c r="H137" t="str">
        <f ca="1"/>
        <v>gruponegredo@gmail.com</v>
      </c>
    </row>
    <row r="138" spans="8:8">
      <c r="H138" t="str">
        <f ca="1"/>
        <v>dgb@agentes.catalanaoccidente.com</v>
      </c>
    </row>
    <row r="139" spans="8:8">
      <c r="H139" t="str">
        <f ca="1"/>
        <v>tranviaser@tranviaser.org</v>
      </c>
    </row>
    <row r="140" spans="8:8">
      <c r="H140" t="str">
        <f ca="1"/>
        <v>asxvmprobertest@gmail.com</v>
      </c>
    </row>
    <row r="141" spans="8:8">
      <c r="H141" t="str">
        <f ca="1"/>
        <v>zaragoza@relocationzaragoza.com</v>
      </c>
    </row>
    <row r="142" spans="8:8">
      <c r="H142" t="str">
        <f ca="1"/>
        <v>info@mudanzas24.es</v>
      </c>
    </row>
    <row r="143" spans="8:8">
      <c r="H143" t="str">
        <f ca="1"/>
        <v>a36b86319e6542838a534122c8870e3f@sentry.qdqmedia.com</v>
      </c>
    </row>
    <row r="144" spans="8:8">
      <c r="H144" t="str">
        <f ca="1"/>
        <v>info@transportesymudanzasmario.com</v>
      </c>
    </row>
    <row r="145" spans="8:8">
      <c r="H145" t="str">
        <f ca="1"/>
        <v>name@domain.com</v>
      </c>
    </row>
    <row r="146" spans="8:8">
      <c r="H146" t="str">
        <f ca="1"/>
        <v>info@mudanzasgelsi.es</v>
      </c>
    </row>
    <row r="147" spans="8:8">
      <c r="H147" t="str">
        <f ca="1"/>
        <v>contacto@mudanzasyportesasturianas.es</v>
      </c>
    </row>
    <row r="148" spans="8:8">
      <c r="H148" t="str">
        <f ca="1"/>
        <v>info@mudanzasmuniz.com</v>
      </c>
    </row>
    <row r="149" spans="8:8">
      <c r="H149" t="str">
        <f ca="1"/>
        <v>info@mudanzasmurias.com</v>
      </c>
    </row>
    <row r="150" spans="8:8">
      <c r="H150" t="str">
        <f ca="1"/>
        <v>info@mudanzasyserviciosad.com</v>
      </c>
    </row>
    <row r="151" spans="8:8">
      <c r="H151" t="str">
        <f ca="1"/>
        <v>info@mudanzasestrada.com</v>
      </c>
    </row>
    <row r="152" spans="8:8">
      <c r="H152" t="str">
        <f ca="1"/>
        <v>azuytana19@gmail.com</v>
      </c>
    </row>
    <row r="153" spans="8:8">
      <c r="H153" t="str">
        <f ca="1"/>
        <v>info@mudanzasnavarro.com</v>
      </c>
    </row>
    <row r="154" spans="8:8">
      <c r="H154" t="str">
        <f ca="1"/>
        <v>info@mudanzasalba.es</v>
      </c>
    </row>
    <row r="155" spans="8:8">
      <c r="H155" t="str">
        <f ca="1"/>
        <v>info@mudanzaslidon.com</v>
      </c>
    </row>
    <row r="156" spans="8:8">
      <c r="H156" t="str">
        <f ca="1"/>
        <v>comercial@mudanzassuner.com</v>
      </c>
    </row>
    <row r="157" spans="8:8">
      <c r="H157" t="str">
        <f ca="1"/>
        <v>info@transportesymudanzasilles.com</v>
      </c>
    </row>
    <row r="158" spans="8:8">
      <c r="H158" t="str">
        <f ca="1"/>
        <v>palmademallorcamudanzas@gamil.com</v>
      </c>
    </row>
    <row r="159" spans="8:8">
      <c r="H159" t="str">
        <f ca="1"/>
        <v>info@jtroya.com</v>
      </c>
    </row>
    <row r="160" spans="8:8">
      <c r="H160" t="str">
        <f ca="1"/>
        <v>info@meckel.es</v>
      </c>
    </row>
    <row r="161" spans="8:8">
      <c r="H161" t="str">
        <f ca="1"/>
        <v>info@mudanzasfmibiza.com</v>
      </c>
    </row>
    <row r="162" spans="8:8">
      <c r="H162" t="str">
        <f ca="1"/>
        <v>vasconavas@hotmail.com</v>
      </c>
    </row>
    <row r="163" spans="8:8">
      <c r="H163" t="str">
        <f ca="1"/>
        <v>info@mudanzaspons.com</v>
      </c>
    </row>
    <row r="164" spans="8:8">
      <c r="H164" t="str">
        <f ca="1"/>
        <v>info@transportestransatlantico.com.es</v>
      </c>
    </row>
    <row r="165" spans="8:8">
      <c r="H165" t="str">
        <f ca="1"/>
        <v>oficina@mudanzasibiza.com</v>
      </c>
    </row>
    <row r="166" spans="8:8">
      <c r="H166" t="str">
        <f ca="1"/>
        <v>info@removalclaims.co.uk</v>
      </c>
    </row>
    <row r="167" spans="8:8">
      <c r="H167" t="str">
        <f ca="1"/>
        <v>info@mudanzastechnomoving.com</v>
      </c>
    </row>
    <row r="168" spans="8:8">
      <c r="H168" t="str">
        <f ca="1"/>
        <v>info@ibiza247solutions.com</v>
      </c>
    </row>
    <row r="169" spans="8:8">
      <c r="H169" t="str">
        <f ca="1"/>
        <v>mudanzas@soleuropa.com</v>
      </c>
    </row>
    <row r="170" spans="8:8">
      <c r="H170" t="str">
        <f ca="1"/>
        <v>info@mudanzasrojals.com</v>
      </c>
    </row>
    <row r="171" spans="8:8">
      <c r="H171" t="str">
        <f ca="1"/>
        <v>info@mudanzasxabia.com</v>
      </c>
    </row>
    <row r="172" spans="8:8">
      <c r="H172" t="str">
        <f ca="1"/>
        <v>comercial.laspalmas@encaja.es</v>
      </c>
    </row>
    <row r="173" spans="8:8">
      <c r="H173" t="str">
        <f ca="1"/>
        <v>info@mudanzasduparcq.es</v>
      </c>
    </row>
    <row r="174" spans="8:8">
      <c r="H174" t="str">
        <f ca="1"/>
        <v>info@horizontatlantic.com</v>
      </c>
    </row>
    <row r="175" spans="8:8">
      <c r="H175" t="str">
        <f ca="1"/>
        <v>info@mudanzasodin.com</v>
      </c>
    </row>
    <row r="176" spans="8:8">
      <c r="H176" t="str">
        <f ca="1"/>
        <v>info@mudanzaslanzarote.com</v>
      </c>
    </row>
    <row r="177" spans="8:8">
      <c r="H177" t="str">
        <f ca="1"/>
        <v>info@mudanzascanarias.es</v>
      </c>
    </row>
    <row r="178" spans="8:8">
      <c r="H178" t="str">
        <f ca="1"/>
        <v>info@intermoving.es</v>
      </c>
    </row>
    <row r="179" spans="8:8">
      <c r="H179" t="str">
        <f ca="1"/>
        <v>ecoclearlanzarote@gmail.com</v>
      </c>
    </row>
    <row r="180" spans="8:8">
      <c r="H180" t="str">
        <f ca="1"/>
        <v>magens@amagens.com</v>
      </c>
    </row>
    <row r="181" spans="8:8">
      <c r="H181" t="str">
        <f ca="1"/>
        <v>mudanzas@mudanzastenerife.es</v>
      </c>
    </row>
    <row r="182" spans="8:8">
      <c r="H182" t="str">
        <f ca="1"/>
        <v>logo46x38@2x.png</v>
      </c>
    </row>
    <row r="183" spans="8:8">
      <c r="H183" t="str">
        <f ca="1"/>
        <v>info@mudanzasvicente.com</v>
      </c>
    </row>
    <row r="184" spans="8:8">
      <c r="H184" t="str">
        <f ca="1"/>
        <v>info@thevaultbartenerife.com</v>
      </c>
    </row>
    <row r="185" spans="8:8">
      <c r="H185" t="str">
        <f ca="1"/>
        <v>info@grupomudanzasmoreno.com</v>
      </c>
    </row>
    <row r="186" spans="8:8">
      <c r="H186" t="str">
        <f ca="1"/>
        <v>portes@mudanzasantander.es</v>
      </c>
    </row>
    <row r="187" spans="8:8">
      <c r="H187" t="str">
        <f ca="1"/>
        <v>info@mudanzassito.com</v>
      </c>
    </row>
    <row r="188" spans="8:8">
      <c r="H188" t="str">
        <f ca="1"/>
        <v>info@mudanzasintegralescantabria.com</v>
      </c>
    </row>
    <row r="189" spans="8:8">
      <c r="H189" t="str">
        <f ca="1"/>
        <v>info@mobibox.esDisponemos</v>
      </c>
    </row>
    <row r="190" spans="8:8">
      <c r="H190" t="str">
        <f ca="1"/>
        <v>admon@mudanzasdiazsl.com</v>
      </c>
    </row>
    <row r="191" spans="8:8">
      <c r="H191" t="str">
        <f ca="1"/>
        <v>info@mudanzasalvaro.es</v>
      </c>
    </row>
    <row r="192" spans="8:8">
      <c r="H192" t="str">
        <f ca="1"/>
        <v>info@mudanzasalayo.com</v>
      </c>
    </row>
    <row r="193" spans="8:8">
      <c r="H193" t="str">
        <f ca="1"/>
        <v>mudanzas.londono@gmail.com</v>
      </c>
    </row>
    <row r="194" spans="8:8">
      <c r="H194" t="str">
        <f ca="1"/>
        <v>info@mudanzasalbacete.es</v>
      </c>
    </row>
    <row r="195" spans="8:8">
      <c r="H195" t="str">
        <f ca="1"/>
        <v>clientes@mudanzasmss.com</v>
      </c>
    </row>
    <row r="196" spans="8:8">
      <c r="H196" t="str">
        <f ca="1"/>
        <v>info@mudanzasmonje.es</v>
      </c>
    </row>
    <row r="197" spans="8:8">
      <c r="H197" t="str">
        <f ca="1"/>
        <v>info@mudanzas-agustin.com</v>
      </c>
    </row>
    <row r="198" spans="8:8">
      <c r="H198" t="str">
        <f ca="1"/>
        <v>roma@mudanzasroma.com</v>
      </c>
    </row>
    <row r="199" spans="8:8">
      <c r="H199" t="str">
        <f ca="1"/>
        <v>info@mudanzasangelarias.com</v>
      </c>
    </row>
    <row r="200" spans="8:8">
      <c r="H200" t="str">
        <f ca="1"/>
        <v>info@procoex.com</v>
      </c>
    </row>
    <row r="201" spans="8:8">
      <c r="H201" t="str">
        <f ca="1"/>
        <v>mudanzasvalerocuenca@gmail.com</v>
      </c>
    </row>
    <row r="202" spans="8:8">
      <c r="H202" t="str">
        <f ca="1"/>
        <v>info@mudanzasvesta.com</v>
      </c>
    </row>
    <row r="203" spans="8:8">
      <c r="H203" t="str">
        <f ca="1"/>
        <v>info@mudanzasalcarrenas.es</v>
      </c>
    </row>
    <row r="204" spans="8:8">
      <c r="H204" t="str">
        <f ca="1"/>
        <v>info@mudanzaslasnaciones.com</v>
      </c>
    </row>
    <row r="205" spans="8:8">
      <c r="H205" t="str">
        <f ca="1"/>
        <v>info@mudanzascuidadosas.es</v>
      </c>
    </row>
    <row r="206" spans="8:8">
      <c r="H206" t="str">
        <f ca="1"/>
        <v>core-js-bundle@3.2.1</v>
      </c>
    </row>
    <row r="207" spans="8:8">
      <c r="H207" t="str">
        <f ca="1"/>
        <v>mudanzas.sepulveda@gmail.com</v>
      </c>
    </row>
    <row r="208" spans="8:8">
      <c r="H208" t="str">
        <f ca="1"/>
        <v>info@dyamovers.com</v>
      </c>
    </row>
    <row r="209" spans="8:8">
      <c r="H209" t="str">
        <f ca="1"/>
        <v>info@mudanzasprofi.es</v>
      </c>
    </row>
    <row r="210" spans="8:8">
      <c r="H210" t="str">
        <f ca="1"/>
        <v>info@mudanzas-zamora.com</v>
      </c>
    </row>
    <row r="211" spans="8:8">
      <c r="H211" t="str">
        <f ca="1"/>
        <v>info@mudanzaslujanes.es</v>
      </c>
    </row>
    <row r="212" spans="8:8">
      <c r="H212" t="str">
        <f ca="1"/>
        <v>info@mudanzasgrijalba.com</v>
      </c>
    </row>
    <row r="213" spans="8:8">
      <c r="H213" t="str">
        <f ca="1"/>
        <v>info@mudanzasmadrid2000.es</v>
      </c>
    </row>
    <row r="214" spans="8:8">
      <c r="H214" t="str">
        <f ca="1"/>
        <v>contacto@mudanzascastillo.com.mx</v>
      </c>
    </row>
    <row r="215" spans="8:8">
      <c r="H215" t="str">
        <f ca="1"/>
        <v>info@mudanzasytransportesfelix.com</v>
      </c>
    </row>
    <row r="216" spans="8:8">
      <c r="H216" t="str">
        <f ca="1"/>
        <v>info@mudanzasceymar.es</v>
      </c>
    </row>
    <row r="217" spans="8:8">
      <c r="H217" t="str">
        <f ca="1"/>
        <v>info@mudanzasytransportestoledo.com</v>
      </c>
    </row>
    <row r="218" spans="8:8">
      <c r="H218" t="str">
        <f ca="1"/>
        <v>transportesjoselito@hotmail.com</v>
      </c>
    </row>
    <row r="219" spans="8:8">
      <c r="H219" t="str">
        <f ca="1"/>
        <v>info@mudanzastalavera.es</v>
      </c>
    </row>
    <row r="220" spans="8:8">
      <c r="H220" t="str">
        <f ca="1"/>
        <v>Info@mudanzasmarcos.es</v>
      </c>
    </row>
    <row r="221" spans="8:8">
      <c r="H221" t="str">
        <f ca="1"/>
        <v>mudanzasytransporteseven@gmail.com</v>
      </c>
    </row>
    <row r="222" spans="8:8">
      <c r="H222" t="str">
        <f ca="1"/>
        <v>info@mudanzasavila.es</v>
      </c>
    </row>
    <row r="223" spans="8:8">
      <c r="H223" t="str">
        <f ca="1"/>
        <v>info@mudanzasenmarcha.com</v>
      </c>
    </row>
    <row r="224" spans="8:8">
      <c r="H224" t="str">
        <f ca="1"/>
        <v>info@mudanzastorres.es</v>
      </c>
    </row>
    <row r="225" spans="8:8">
      <c r="H225" t="str">
        <f ca="1"/>
        <v>comercial@mudanzassegoviana.com</v>
      </c>
    </row>
    <row r="226" spans="8:8">
      <c r="H226" t="str">
        <f ca="1"/>
        <v>hola@fastportes.es</v>
      </c>
    </row>
    <row r="227" spans="8:8">
      <c r="H227" t="str">
        <f ca="1"/>
        <v>mudanzasytransportesdany@yahoo.es</v>
      </c>
    </row>
    <row r="228" spans="8:8">
      <c r="H228" t="str">
        <f ca="1"/>
        <v>informacion@mudanzasangelruiz.es</v>
      </c>
    </row>
    <row r="229" spans="8:8">
      <c r="H229" t="str">
        <f ca="1"/>
        <v>info@mudanzasmediavilla.com</v>
      </c>
    </row>
    <row r="230" spans="8:8">
      <c r="H230" t="str">
        <f ca="1"/>
        <v>info@yotelosubo.com</v>
      </c>
    </row>
    <row r="231" spans="8:8">
      <c r="H231" t="str">
        <f ca="1"/>
        <v>eleven11grupo@gmail.com</v>
      </c>
    </row>
    <row r="232" spans="8:8">
      <c r="H232" t="str">
        <f ca="1"/>
        <v>info@transportesbuj.es</v>
      </c>
    </row>
    <row r="233" spans="8:8">
      <c r="H233" t="str">
        <f ca="1"/>
        <v>mudanzascoruna@mudanzascoruna.com</v>
      </c>
    </row>
    <row r="234" spans="8:8">
      <c r="H234" t="str">
        <f ca="1"/>
        <v>webmaster@smonica.com</v>
      </c>
    </row>
    <row r="235" spans="8:8">
      <c r="H235" t="str">
        <f ca="1"/>
        <v>translogisticaleon@gmail.com</v>
      </c>
    </row>
    <row r="236" spans="8:8">
      <c r="H236" t="str">
        <f ca="1"/>
        <v>info@mudanzasylimpiezasleon.com</v>
      </c>
    </row>
    <row r="237" spans="8:8">
      <c r="H237" t="str">
        <f ca="1"/>
        <v>hola@miempresa.es</v>
      </c>
    </row>
    <row r="238" spans="8:8">
      <c r="H238" t="str">
        <f ca="1"/>
        <v>info@mudanzaslara.com</v>
      </c>
    </row>
    <row r="239" spans="8:8">
      <c r="H239" t="str">
        <f ca="1"/>
        <v>peyma@mudanzaspeyma.com</v>
      </c>
    </row>
    <row r="240" spans="8:8">
      <c r="H240" t="str">
        <f ca="1"/>
        <v>nozal@mudanzasnozal.com</v>
      </c>
    </row>
    <row r="241" spans="8:8">
      <c r="H241" t="str">
        <f ca="1"/>
        <v>oficina@mudanzasjsaezehijos.com</v>
      </c>
    </row>
    <row r="242" spans="8:8">
      <c r="H242" t="str">
        <f ca="1"/>
        <v>hola@pongotrasteros.com</v>
      </c>
    </row>
    <row r="243" spans="8:8">
      <c r="H243" t="str">
        <f ca="1"/>
        <v>info@hermanosfeltrero.es</v>
      </c>
    </row>
    <row r="244" spans="8:8">
      <c r="H244" t="str">
        <f ca="1"/>
        <v>info@mudanzasdelgado.es</v>
      </c>
    </row>
    <row r="245" spans="8:8">
      <c r="H245" t="str">
        <f ca="1"/>
        <v>info@mudanzasdominguez.com</v>
      </c>
    </row>
    <row r="246" spans="8:8">
      <c r="H246" t="str">
        <f ca="1"/>
        <v>info@mudanzas-camer.com</v>
      </c>
    </row>
    <row r="247" spans="8:8">
      <c r="H247" t="str">
        <f ca="1"/>
        <v>info@mudanzasjtristan.com</v>
      </c>
    </row>
    <row r="248" spans="8:8">
      <c r="H248" t="str">
        <f ca="1"/>
        <v>info@mudanzasortiz.es</v>
      </c>
    </row>
    <row r="249" spans="8:8">
      <c r="H249" t="str">
        <f ca="1"/>
        <v>mudanzasrmatias@gmail.com</v>
      </c>
    </row>
    <row r="250" spans="8:8">
      <c r="H250" t="str">
        <f ca="1"/>
        <v>mudanzaslazaro@telefonica.net</v>
      </c>
    </row>
    <row r="251" spans="8:8">
      <c r="H251" t="str">
        <f ca="1"/>
        <v>info@mudanzasyportesdb.es</v>
      </c>
    </row>
    <row r="252" spans="8:8">
      <c r="H252" t="str">
        <f ca="1"/>
        <v>info@mudanzascrismark.com</v>
      </c>
    </row>
    <row r="253" spans="8:8">
      <c r="H253" t="str">
        <f ca="1"/>
        <v>informes@ingeniamudanzas.com</v>
      </c>
    </row>
    <row r="254" spans="8:8">
      <c r="H254" t="str">
        <f ca="1"/>
        <v>mudanzasgb@mudanzasgb.com</v>
      </c>
    </row>
    <row r="255" spans="8:8">
      <c r="H255" t="str">
        <f ca="1"/>
        <v>info@mudanzasvalsan.com</v>
      </c>
    </row>
    <row r="256" spans="8:8">
      <c r="H256" t="str">
        <f ca="1"/>
        <v>transcarrera7@hotmail.com</v>
      </c>
    </row>
    <row r="257" spans="8:8">
      <c r="H257" t="str">
        <f ca="1"/>
        <v>info@transportesymudanzaspmb.com</v>
      </c>
    </row>
    <row r="258" spans="8:8">
      <c r="H258" t="str">
        <f ca="1"/>
        <v>fran@mudanzasfran.es</v>
      </c>
    </row>
    <row r="259" spans="8:8">
      <c r="H259" t="str">
        <f ca="1"/>
        <v>info@mudanzasjosval.es</v>
      </c>
    </row>
    <row r="260" spans="8:8">
      <c r="H260" t="str">
        <f ca="1"/>
        <v>info@mudanzasrolinck.com</v>
      </c>
    </row>
    <row r="261" spans="8:8">
      <c r="H261" t="str">
        <f ca="1"/>
        <v>delolmomudanzas@gmail.com</v>
      </c>
    </row>
    <row r="262" spans="8:8">
      <c r="H262" t="str">
        <f ca="1"/>
        <v>euphorbia@euphorbia.es</v>
      </c>
    </row>
    <row r="263" spans="8:8">
      <c r="H263" t="str">
        <f ca="1"/>
        <v>comercial@servimudanzas.com</v>
      </c>
    </row>
    <row r="264" spans="8:8">
      <c r="H264" t="str">
        <f ca="1"/>
        <v>info@mudanzasgonzalez.com</v>
      </c>
    </row>
    <row r="265" spans="8:8">
      <c r="H265" t="str">
        <f ca="1"/>
        <v>mudanzas@mudanzaslopez.net</v>
      </c>
    </row>
    <row r="266" spans="8:8">
      <c r="H266" t="str">
        <f ca="1"/>
        <v>bcnmudanzas@bcnmudanzas.com</v>
      </c>
    </row>
    <row r="267" spans="8:8">
      <c r="H267" t="str">
        <f ca="1"/>
        <v>info@mudanzasmoveit.com</v>
      </c>
    </row>
    <row r="268" spans="8:8">
      <c r="H268" t="str">
        <f ca="1"/>
        <v>info@mudanzascarrera.com</v>
      </c>
    </row>
    <row r="269" spans="8:8">
      <c r="H269" t="str">
        <f ca="1"/>
        <v>info@mudanzasbarcelona-atlas.com</v>
      </c>
    </row>
    <row r="270" spans="8:8">
      <c r="H270" t="str">
        <f ca="1"/>
        <v>info@servimoving.com</v>
      </c>
    </row>
    <row r="271" spans="8:8">
      <c r="H271" t="str">
        <f ca="1"/>
        <v>comercial@mudanzasbarrios.es</v>
      </c>
    </row>
    <row r="272" spans="8:8">
      <c r="H272" t="str">
        <f ca="1"/>
        <v>info@mudanzascristianplus.com</v>
      </c>
    </row>
    <row r="273" spans="8:8">
      <c r="H273" t="str">
        <f ca="1"/>
        <v>info@mudanzasdam.com</v>
      </c>
    </row>
    <row r="274" spans="8:8">
      <c r="H274" t="str">
        <f ca="1"/>
        <v>info@rfmudanzas.com</v>
      </c>
    </row>
    <row r="275" spans="8:8">
      <c r="H275" t="str">
        <f ca="1"/>
        <v>info@tecnimudanzasbarcelona.es</v>
      </c>
    </row>
    <row r="276" spans="8:8">
      <c r="H276" t="str">
        <f ca="1"/>
        <v>tinfo@mudanzasdym.com</v>
      </c>
    </row>
    <row r="277" spans="8:8">
      <c r="H277" t="str">
        <f ca="1"/>
        <v>contacto@mudanzaexpressbcn.com</v>
      </c>
    </row>
    <row r="278" spans="8:8">
      <c r="H278" t="str">
        <f ca="1"/>
        <v>info@mudanzaslaser.com</v>
      </c>
    </row>
    <row r="279" spans="8:8">
      <c r="H279" t="str">
        <f ca="1"/>
        <v>ironmudanzas@gmail.com</v>
      </c>
    </row>
    <row r="280" spans="8:8">
      <c r="H280" t="str">
        <f ca="1"/>
        <v>contacto@mudanzasbarcelonahbc.com</v>
      </c>
    </row>
    <row r="281" spans="8:8">
      <c r="H281" t="str">
        <f ca="1"/>
        <v>todomudanzas24h@gmail.com</v>
      </c>
    </row>
    <row r="282" spans="8:8">
      <c r="H282" t="str">
        <f ca="1"/>
        <v>info@mudanzasneptuno.com</v>
      </c>
    </row>
    <row r="283" spans="8:8">
      <c r="H283" t="str">
        <f ca="1"/>
        <v>comercial@barcelonamultimudanzas.com</v>
      </c>
    </row>
    <row r="284" spans="8:8">
      <c r="H284" t="str">
        <f ca="1"/>
        <v>info@mudanzaslabarcelonesa.com</v>
      </c>
    </row>
    <row r="285" spans="8:8">
      <c r="H285" t="str">
        <f ca="1"/>
        <v>mudancesj.ventos@telefonica.net</v>
      </c>
    </row>
    <row r="286" spans="8:8">
      <c r="H286" t="str">
        <f ca="1"/>
        <v>info@lasmudanzasbarcelona.com</v>
      </c>
    </row>
    <row r="287" spans="8:8">
      <c r="H287" t="str">
        <f ca="1"/>
        <v>info@jackpinto.com</v>
      </c>
    </row>
    <row r="288" spans="8:8">
      <c r="H288" t="str">
        <f ca="1"/>
        <v>info@transportistabarcelona.es</v>
      </c>
    </row>
    <row r="289" spans="8:8">
      <c r="H289" t="str">
        <f ca="1"/>
        <v>info@mudanzasgilfast.com</v>
      </c>
    </row>
    <row r="290" spans="8:8">
      <c r="H290" t="str">
        <f ca="1"/>
        <v>info@mudanzasdiagonal.com</v>
      </c>
    </row>
    <row r="291" spans="8:8">
      <c r="H291" t="str">
        <f ca="1"/>
        <v>info@themeansar.com</v>
      </c>
    </row>
    <row r="292" spans="8:8">
      <c r="H292" t="str">
        <f ca="1"/>
        <v>hola@ejemplo.com</v>
      </c>
    </row>
    <row r="293" spans="8:8">
      <c r="H293" t="str">
        <f ca="1"/>
        <v>info@transjema.com</v>
      </c>
    </row>
    <row r="294" spans="8:8">
      <c r="H294" t="str">
        <f ca="1"/>
        <v>mudanzas@sant-mori.com</v>
      </c>
    </row>
    <row r="295" spans="8:8">
      <c r="H295" t="str">
        <f ca="1"/>
        <v>info@movart-transports.com</v>
      </c>
    </row>
    <row r="296" spans="8:8">
      <c r="H296" t="str">
        <f ca="1"/>
        <v>logistica@mudanzasfgimeno.com</v>
      </c>
    </row>
    <row r="297" spans="8:8">
      <c r="H297" t="str">
        <f ca="1"/>
        <v>hola@euro-sur.com</v>
      </c>
    </row>
    <row r="298" spans="8:8">
      <c r="H298" t="str">
        <f ca="1"/>
        <v>info@empresademudanzasgalera.com</v>
      </c>
    </row>
    <row r="299" spans="8:8">
      <c r="H299" t="str">
        <f ca="1"/>
        <v>mudanzasytransportesenbarcelona@mudanzasytransportesenbarcelona.com</v>
      </c>
    </row>
    <row r="300" spans="8:8">
      <c r="H300" t="str">
        <f ca="1"/>
        <v>mudanzasuperecom@gmail.com</v>
      </c>
    </row>
    <row r="301" spans="8:8">
      <c r="H301" t="str">
        <f ca="1"/>
        <v>info@mudanzasmulero.com</v>
      </c>
    </row>
    <row r="302" spans="8:8">
      <c r="H302" t="str">
        <f ca="1"/>
        <v>mudanzasytransportesfc@gmail.com</v>
      </c>
    </row>
    <row r="303" spans="8:8">
      <c r="H303" t="str">
        <f ca="1"/>
        <v>Mud@nzas.com</v>
      </c>
    </row>
    <row r="304" spans="8:8">
      <c r="H304" t="str">
        <f ca="1"/>
        <v>perfectmudanzas@gmail.com</v>
      </c>
    </row>
    <row r="305" spans="8:8">
      <c r="H305" t="str">
        <f ca="1"/>
        <v>info@mudanzasrapidoyseguro.com</v>
      </c>
    </row>
    <row r="306" spans="8:8">
      <c r="H306" t="str">
        <f ca="1"/>
        <v>info@mudanzascatalunya.com</v>
      </c>
    </row>
    <row r="307" spans="8:8">
      <c r="H307" t="str">
        <f ca="1"/>
        <v>typesetit@att.net</v>
      </c>
    </row>
    <row r="308" spans="8:8">
      <c r="H308" t="str">
        <f ca="1"/>
        <v>usuario@ejemplo.com</v>
      </c>
    </row>
    <row r="309" spans="8:8">
      <c r="H309" t="str">
        <f ca="1"/>
        <v>info@mudanzasbarcelona.pro</v>
      </c>
    </row>
    <row r="310" spans="8:8">
      <c r="H310" t="str">
        <f ca="1"/>
        <v>info@trasladopianos.es</v>
      </c>
    </row>
    <row r="311" spans="8:8">
      <c r="H311" t="str">
        <f ca="1"/>
        <v>comercial@mtex.com.es</v>
      </c>
    </row>
    <row r="312" spans="8:8">
      <c r="H312" t="str">
        <f ca="1"/>
        <v>jose@global-mudanzas.com</v>
      </c>
    </row>
    <row r="313" spans="8:8">
      <c r="H313" t="str">
        <f ca="1"/>
        <v>info@buscatrans.es</v>
      </c>
    </row>
    <row r="314" spans="8:8">
      <c r="H314" t="str">
        <f ca="1"/>
        <v>transportesymudanzascorullon@gmail.com</v>
      </c>
    </row>
    <row r="315" spans="8:8">
      <c r="H315" t="str">
        <f ca="1"/>
        <v>info@mudanzasybarcelona.com</v>
      </c>
    </row>
    <row r="316" spans="8:8">
      <c r="H316" t="str">
        <f ca="1"/>
        <v>info@inters-moving.com</v>
      </c>
    </row>
    <row r="317" spans="8:8">
      <c r="H317" t="str">
        <f ca="1"/>
        <v>img_fcedo_20160108-203248_imagenes_lv_propias_fcedo_mataro_panoramica-k1yF-U463426172953NPB-992x558@LaVanguardia-Web-36x36.jpg</v>
      </c>
    </row>
    <row r="318" spans="8:8">
      <c r="H318" t="str">
        <f ca="1"/>
        <v>info@doctormudanzas.com</v>
      </c>
    </row>
    <row r="319" spans="8:8">
      <c r="H319" t="str">
        <f ca="1"/>
        <v>info@lacatalana.cat</v>
      </c>
    </row>
    <row r="320" spans="8:8">
      <c r="H320" t="str">
        <f ca="1"/>
        <v>info@mudanzaslepanto.com</v>
      </c>
    </row>
    <row r="321" spans="8:8">
      <c r="H321" t="str">
        <f ca="1"/>
        <v>mudanzas@barnatrans.es</v>
      </c>
    </row>
    <row r="322" spans="8:8">
      <c r="H322" t="str">
        <f ca="1"/>
        <v>info@corase.com</v>
      </c>
    </row>
    <row r="323" spans="8:8">
      <c r="H323" t="str">
        <f ca="1"/>
        <v>info@mudanzasojeda.es</v>
      </c>
    </row>
    <row r="324" spans="8:8">
      <c r="H324" t="str">
        <f ca="1"/>
        <v>comercial@mudanza.cat</v>
      </c>
    </row>
    <row r="325" spans="8:8">
      <c r="H325" t="str">
        <f ca="1"/>
        <v>info@mudanzascarrera.net</v>
      </c>
    </row>
    <row r="326" spans="8:8">
      <c r="H326" t="str">
        <f ca="1"/>
        <v>oficina@citymudanzas.es</v>
      </c>
    </row>
    <row r="327" spans="8:8">
      <c r="H327" t="str">
        <f ca="1"/>
        <v>admin@alcebcn.com</v>
      </c>
    </row>
    <row r="328" spans="8:8">
      <c r="H328" t="str">
        <f ca="1"/>
        <v>info@flippers.es</v>
      </c>
    </row>
    <row r="329" spans="8:8">
      <c r="H329" t="str">
        <f ca="1"/>
        <v>info@mudanzasbarna.es</v>
      </c>
    </row>
    <row r="330" spans="8:8">
      <c r="H330" t="str">
        <f ca="1"/>
        <v>info@mudanzasbaratasbcn.es</v>
      </c>
    </row>
    <row r="331" spans="8:8">
      <c r="H331" t="str">
        <f ca="1"/>
        <v>info@mudanzasbarcelonaburgos.es</v>
      </c>
    </row>
    <row r="332" spans="8:8">
      <c r="H332" t="str">
        <f ca="1"/>
        <v>info@ecomudanzas.com</v>
      </c>
    </row>
    <row r="333" spans="8:8">
      <c r="H333" t="str">
        <f ca="1"/>
        <v>mudanzarapidbcn2007@gmail.com</v>
      </c>
    </row>
    <row r="334" spans="8:8">
      <c r="H334" t="str">
        <f ca="1"/>
        <v>barcelona@ubermovers.es</v>
      </c>
    </row>
    <row r="335" spans="8:8">
      <c r="H335" t="str">
        <f ca="1"/>
        <v>mudanzasexpress365@gmail.com</v>
      </c>
    </row>
    <row r="336" spans="8:8">
      <c r="H336" t="str">
        <f ca="1"/>
        <v>info@mudanzasjrios.net</v>
      </c>
    </row>
    <row r="337" spans="8:8">
      <c r="H337" t="str">
        <f ca="1"/>
        <v>info@mudanzasantboi.es</v>
      </c>
    </row>
    <row r="338" spans="8:8">
      <c r="H338" t="str">
        <f ca="1"/>
        <v>info@mudancesgirona.com</v>
      </c>
    </row>
    <row r="339" spans="8:8">
      <c r="H339" t="str">
        <f ca="1"/>
        <v>hola@mudanzascano.com</v>
      </c>
    </row>
    <row r="340" spans="8:8">
      <c r="H340" t="str">
        <f ca="1"/>
        <v>info@euro-cat.com</v>
      </c>
    </row>
    <row r="341" spans="8:8">
      <c r="H341" t="str">
        <f ca="1"/>
        <v>info@mudanceslaselva.com</v>
      </c>
    </row>
    <row r="342" spans="8:8">
      <c r="H342" t="str">
        <f ca="1"/>
        <v>info@mudanzaslabella.com</v>
      </c>
    </row>
    <row r="343" spans="8:8">
      <c r="H343" t="str">
        <f ca="1"/>
        <v>INFO@TRASLLATGIRONA.CAT</v>
      </c>
    </row>
    <row r="344" spans="8:8">
      <c r="H344" t="str">
        <f ca="1"/>
        <v>adm.transportsmd@gmail.com</v>
      </c>
    </row>
    <row r="345" spans="8:8">
      <c r="H345" t="str">
        <f ca="1"/>
        <v>info@mudanzasfigueres.com</v>
      </c>
    </row>
    <row r="346" spans="8:8">
      <c r="H346" t="str">
        <f ca="1"/>
        <v>info@transportes-mudanzas.com</v>
      </c>
    </row>
    <row r="347" spans="8:8">
      <c r="H347" t="str">
        <f ca="1"/>
        <v>francescdolcet@hotmail.com</v>
      </c>
    </row>
    <row r="348" spans="8:8">
      <c r="H348" t="str">
        <f ca="1"/>
        <v>transportgabriel@yahoo.com</v>
      </c>
    </row>
    <row r="349" spans="8:8">
      <c r="H349" t="str">
        <f ca="1"/>
        <v>mudanzasllambrich@gmail.com</v>
      </c>
    </row>
    <row r="350" spans="8:8">
      <c r="H350" t="str">
        <f ca="1"/>
        <v>contact@example.com</v>
      </c>
    </row>
    <row r="351" spans="8:8">
      <c r="H351" t="str">
        <f ca="1"/>
        <v>//info@transportescatalunya.com</v>
      </c>
    </row>
    <row r="352" spans="8:8">
      <c r="H352" t="str">
        <f ca="1"/>
        <v>bootstrap@5.1.3</v>
      </c>
    </row>
    <row r="353" spans="8:8">
      <c r="H353" t="str">
        <f ca="1"/>
        <v>info@servieco.com</v>
      </c>
    </row>
    <row r="354" spans="8:8">
      <c r="H354" t="str">
        <f ca="1"/>
        <v>info@smarttransporteu.com</v>
      </c>
    </row>
    <row r="355" spans="8:8">
      <c r="H355" t="str">
        <f ca="1"/>
        <v>nfo@guarda-muebles.com</v>
      </c>
    </row>
    <row r="356" spans="8:8">
      <c r="H356" t="str">
        <f ca="1"/>
        <v>mudanzas@marbellamoving.com</v>
      </c>
    </row>
    <row r="357" spans="8:8">
      <c r="H357" t="str">
        <f ca="1"/>
        <v>info@GibraltarMoving.com</v>
      </c>
    </row>
    <row r="358" spans="8:8">
      <c r="H358" t="str">
        <f ca="1"/>
        <v>info@delbox.es</v>
      </c>
    </row>
    <row r="359" spans="8:8">
      <c r="H359" t="str">
        <f ca="1"/>
        <v>info@ecoportes.es</v>
      </c>
    </row>
    <row r="360" spans="8:8">
      <c r="H360" t="str">
        <f ca="1"/>
        <v>webmaster@mudanzasmba.es</v>
      </c>
    </row>
    <row r="361" spans="8:8">
      <c r="H361" t="str">
        <f ca="1"/>
        <v>info@mudanzasagustrans.com</v>
      </c>
    </row>
    <row r="362" spans="8:8">
      <c r="H362" t="str">
        <f ca="1"/>
        <v>mudanzas@elmudancero.com</v>
      </c>
    </row>
    <row r="363" spans="8:8">
      <c r="H363" t="str">
        <f ca="1"/>
        <v>correo@enrytrans.com</v>
      </c>
    </row>
    <row r="364" spans="8:8">
      <c r="H364" t="str">
        <f ca="1"/>
        <v>info@mudanzasgonatrans.com</v>
      </c>
    </row>
    <row r="365" spans="8:8">
      <c r="H365" t="str">
        <f ca="1"/>
        <v>info@alicantemudanzas.es</v>
      </c>
    </row>
    <row r="366" spans="8:8">
      <c r="H366" t="str">
        <f ca="1"/>
        <v>mudanzasguirao@gmail.com</v>
      </c>
    </row>
    <row r="367" spans="8:8">
      <c r="H367" t="str">
        <f ca="1"/>
        <v>enquiries@bishopsmove.com</v>
      </c>
    </row>
    <row r="368" spans="8:8">
      <c r="H368" t="str">
        <f ca="1"/>
        <v>info@beniportes.com</v>
      </c>
    </row>
    <row r="369" spans="8:8">
      <c r="H369" t="str">
        <f ca="1"/>
        <v>info@mudanzaslatorre.com</v>
      </c>
    </row>
    <row r="370" spans="8:8">
      <c r="H370" t="str">
        <f ca="1"/>
        <v>mudanzaslaplana@gmail.com</v>
      </c>
    </row>
    <row r="371" spans="8:8">
      <c r="H371" t="str">
        <f ca="1"/>
        <v>mudanzasmariocas@gmail.com</v>
      </c>
    </row>
    <row r="372" spans="8:8">
      <c r="H372" t="str">
        <f ca="1"/>
        <v>mudanzaspacovalls@hotmail.com</v>
      </c>
    </row>
    <row r="373" spans="8:8">
      <c r="H373" t="str">
        <f ca="1"/>
        <v>mudanzasjg@gmail.com</v>
      </c>
    </row>
    <row r="374" spans="8:8">
      <c r="H374" t="str">
        <f ca="1"/>
        <v>mudanzas@mudanzastortosa.com</v>
      </c>
    </row>
    <row r="375" spans="8:8">
      <c r="H375" t="str">
        <f ca="1"/>
        <v>info@mudanval.com</v>
      </c>
    </row>
    <row r="376" spans="8:8">
      <c r="H376" t="str">
        <f ca="1"/>
        <v>info@mudanzasjosevidal.com</v>
      </c>
    </row>
    <row r="377" spans="8:8">
      <c r="H377" t="str">
        <f ca="1"/>
        <v>mudanzasmartin75@gmail.com</v>
      </c>
    </row>
    <row r="378" spans="8:8">
      <c r="H378" t="str">
        <f ca="1"/>
        <v>vlv@valerosl.com</v>
      </c>
    </row>
    <row r="379" spans="8:8">
      <c r="H379" t="str">
        <f ca="1"/>
        <v>clientes@mudanzasdavidvalencia.es</v>
      </c>
    </row>
    <row r="380" spans="8:8">
      <c r="H380" t="str">
        <f ca="1"/>
        <v>admin@contmar.com</v>
      </c>
    </row>
    <row r="381" spans="8:8">
      <c r="H381" t="str">
        <f ca="1"/>
        <v>info@mudanzasjbmvalencia.es</v>
      </c>
    </row>
    <row r="382" spans="8:8">
      <c r="H382" t="str">
        <f ca="1"/>
        <v>info@euromondemoving.com</v>
      </c>
    </row>
    <row r="383" spans="8:8">
      <c r="H383" t="str">
        <f ca="1"/>
        <v>info@mudanzasvalencia.net</v>
      </c>
    </row>
    <row r="384" spans="8:8">
      <c r="H384" t="str">
        <f ca="1"/>
        <v>comercial@mudanzasrussafa.com</v>
      </c>
    </row>
    <row r="385" spans="8:8">
      <c r="H385" t="str">
        <f ca="1"/>
        <v>plataformaslevante@gmail.com</v>
      </c>
    </row>
    <row r="386" spans="8:8">
      <c r="H386" t="str">
        <f ca="1"/>
        <v>mudanzasyserviciosmontroy@gmail.com</v>
      </c>
    </row>
    <row r="387" spans="8:8">
      <c r="H387" t="str">
        <f ca="1"/>
        <v>info@mudanzasbenicalap.com</v>
      </c>
    </row>
    <row r="388" spans="8:8">
      <c r="H388" t="str">
        <f ca="1"/>
        <v>leaflet@1.5.1</v>
      </c>
    </row>
    <row r="389" spans="8:8">
      <c r="H389" t="str">
        <f ca="1"/>
        <v>rates@mudinmar.com</v>
      </c>
    </row>
    <row r="390" spans="8:8">
      <c r="H390" t="str">
        <f ca="1"/>
        <v>mudanzasvalencia2015@gmail.com</v>
      </c>
    </row>
    <row r="391" spans="8:8">
      <c r="H391" t="str">
        <f ca="1"/>
        <v>info@mariansignesmudanzas.com</v>
      </c>
    </row>
    <row r="392" spans="8:8">
      <c r="H392" t="str">
        <f ca="1"/>
        <v>info@muvitrans.com</v>
      </c>
    </row>
    <row r="393" spans="8:8">
      <c r="H393" t="str">
        <f ca="1"/>
        <v>info@mudanzasturia.com</v>
      </c>
    </row>
    <row r="394" spans="8:8">
      <c r="H394" t="str">
        <f ca="1"/>
        <v>info@mudanzasmediterranea.es</v>
      </c>
    </row>
    <row r="395" spans="8:8">
      <c r="H395" t="str">
        <f ca="1"/>
        <v>press@google.com</v>
      </c>
    </row>
    <row r="396" spans="8:8">
      <c r="H396" t="str">
        <f ca="1"/>
        <v>info@mudanzasmultiservice.com</v>
      </c>
    </row>
    <row r="397" spans="8:8">
      <c r="H397" t="str">
        <f ca="1"/>
        <v>mudanzasnaniehijo@hotmail.com</v>
      </c>
    </row>
    <row r="398" spans="8:8">
      <c r="H398" t="str">
        <f ca="1"/>
        <v>info@badajoz.pro</v>
      </c>
    </row>
    <row r="399" spans="8:8">
      <c r="H399" t="str">
        <f ca="1"/>
        <v>info@mudanzasmarroquin.com</v>
      </c>
    </row>
    <row r="400" spans="8:8">
      <c r="H400" t="str">
        <f ca="1"/>
        <v>info@mudanzasborayta.com</v>
      </c>
    </row>
    <row r="401" spans="8:8">
      <c r="H401" t="str">
        <f ca="1"/>
        <v>mudanzasmorenomartinez@gmail.com</v>
      </c>
    </row>
    <row r="402" spans="8:8">
      <c r="H402" t="str">
        <f ca="1"/>
        <v>info@hidalgomanero.com</v>
      </c>
    </row>
    <row r="403" spans="8:8">
      <c r="H403" t="str">
        <f ca="1"/>
        <v>info@mudanzasgomez.com</v>
      </c>
    </row>
    <row r="404" spans="8:8">
      <c r="H404" t="str">
        <f ca="1"/>
        <v>mudanzasmarcelo@mudanzasmarcelo.com</v>
      </c>
    </row>
    <row r="405" spans="8:8">
      <c r="H405" t="str">
        <f ca="1"/>
        <v>mudanzasmarcelo_sl@msn.com</v>
      </c>
    </row>
    <row r="406" spans="8:8">
      <c r="H406" t="str">
        <f ca="1"/>
        <v>angelpianos@hotmail.com</v>
      </c>
    </row>
    <row r="407" spans="8:8">
      <c r="H407" t="str">
        <f ca="1"/>
        <v>mini-medi@hotmail.com</v>
      </c>
    </row>
    <row r="408" spans="8:8">
      <c r="H408" t="str">
        <f ca="1"/>
        <v>info@transportespablocastro.com</v>
      </c>
    </row>
    <row r="409" spans="8:8">
      <c r="H409" t="str">
        <f ca="1"/>
        <v>ejemplo@ejemplo.com</v>
      </c>
    </row>
    <row r="410" spans="8:8">
      <c r="H410" t="str">
        <f ca="1"/>
        <v>mudanzashercules@gmail.com</v>
      </c>
    </row>
    <row r="411" spans="8:8">
      <c r="H411" t="str">
        <f ca="1"/>
        <v>presupuestos@mudanzaslion.es</v>
      </c>
    </row>
    <row r="412" spans="8:8">
      <c r="H412" t="str">
        <f ca="1"/>
        <v>asur@asurglobal.com</v>
      </c>
    </row>
    <row r="413" spans="8:8">
      <c r="H413" t="str">
        <f ca="1"/>
        <v>info@mudanzasorganero.com</v>
      </c>
    </row>
    <row r="414" spans="8:8">
      <c r="H414" t="str">
        <f ca="1"/>
        <v>mudanzaslugo@hotmail.com</v>
      </c>
    </row>
    <row r="415" spans="8:8">
      <c r="H415" t="str">
        <f ca="1"/>
        <v>info@transportesantonio.com</v>
      </c>
    </row>
    <row r="416" spans="8:8">
      <c r="H416" t="str">
        <f ca="1"/>
        <v>transportes_ourenseexpress@hotmail.com</v>
      </c>
    </row>
    <row r="417" spans="8:8">
      <c r="H417" t="str">
        <f ca="1"/>
        <v>info@nosolomudanzas.com</v>
      </c>
    </row>
    <row r="418" spans="8:8">
      <c r="H418" t="str">
        <f ca="1"/>
        <v>juratrans@mudanzasjuratrans.com</v>
      </c>
    </row>
    <row r="419" spans="8:8">
      <c r="H419" t="str">
        <f ca="1"/>
        <v>raulgibert_s@yahoo.es</v>
      </c>
    </row>
    <row r="420" spans="8:8">
      <c r="H420" t="str">
        <f ca="1"/>
        <v>info@transportespozo.com</v>
      </c>
    </row>
    <row r="421" spans="8:8">
      <c r="H421" t="str">
        <f ca="1"/>
        <v>ivandelafuente1978@hotmail.com</v>
      </c>
    </row>
    <row r="422" spans="8:8">
      <c r="H422" t="str">
        <f ca="1"/>
        <v>info@mudantia.es</v>
      </c>
    </row>
    <row r="423" spans="8:8">
      <c r="H423" t="str">
        <f ca="1"/>
        <v>comercial@mudanzascresponte.com</v>
      </c>
    </row>
    <row r="424" spans="8:8">
      <c r="H424" t="str">
        <f ca="1"/>
        <v>info@muda-t.es</v>
      </c>
    </row>
    <row r="425" spans="8:8">
      <c r="H425" t="str">
        <f ca="1"/>
        <v>francacabelosgarcia@gmail.com</v>
      </c>
    </row>
    <row r="426" spans="8:8">
      <c r="H426" t="str">
        <f ca="1"/>
        <v>nombre@ejemplo.com</v>
      </c>
    </row>
    <row r="427" spans="8:8">
      <c r="H427" t="str">
        <f ca="1"/>
        <v>contacto@mudanzasdavid.es</v>
      </c>
    </row>
    <row r="428" spans="8:8">
      <c r="H428" t="str">
        <f ca="1"/>
        <v>info@mudanzascamilo.es</v>
      </c>
    </row>
    <row r="429" spans="8:8">
      <c r="H429" t="str">
        <f ca="1"/>
        <v>info@mudanzasgalicia.com</v>
      </c>
    </row>
    <row r="430" spans="8:8">
      <c r="H430" t="str">
        <f ca="1"/>
        <v>info@mudanzasirun.com</v>
      </c>
    </row>
    <row r="431" spans="8:8">
      <c r="H431" t="str">
        <f ca="1"/>
        <v>tmvicente@hotmail.es</v>
      </c>
    </row>
    <row r="432" spans="8:8">
      <c r="H432" t="str">
        <f ca="1"/>
        <v>mudanzasdelbarco@gmail.com</v>
      </c>
    </row>
    <row r="433" spans="8:8">
      <c r="H433" t="str">
        <f ca="1"/>
        <v>info@vitoriamudanzas.com</v>
      </c>
    </row>
    <row r="434" spans="8:8">
      <c r="H434" t="str">
        <f ca="1"/>
        <v>comercial@mudanzasiruna.com</v>
      </c>
    </row>
    <row r="435" spans="8:8">
      <c r="H435" t="str">
        <f ca="1"/>
        <v>info@mudanzaspamplona.com</v>
      </c>
    </row>
    <row r="436" spans="8:8">
      <c r="H436" t="str">
        <f ca="1"/>
        <v>info@mudanzasmatiexpert.es</v>
      </c>
    </row>
    <row r="437" spans="8:8">
      <c r="H437" t="str">
        <f ca="1"/>
        <v>info@mudanzasmbm.es</v>
      </c>
    </row>
    <row r="438" spans="8:8">
      <c r="H438" t="str">
        <f ca="1"/>
        <v>info@anyvan.es</v>
      </c>
    </row>
    <row r="439" spans="8:8">
      <c r="H439" t="str">
        <f ca="1"/>
        <v>elcid@mudanzaselcid.com</v>
      </c>
    </row>
    <row r="440" spans="8:8">
      <c r="H440" t="str">
        <f ca="1"/>
        <v>%20info@mudanzascalleja.com</v>
      </c>
    </row>
    <row r="441" spans="8:8">
      <c r="H441" t="str">
        <f ca="1"/>
        <v>adolfoespinosa62@gmail.com</v>
      </c>
    </row>
    <row r="442" spans="8:8">
      <c r="H442" t="str">
        <f ca="1"/>
        <v>info@mudanzasroy.es</v>
      </c>
    </row>
    <row r="443" spans="8:8">
      <c r="H443" t="str">
        <f ca="1"/>
        <v>mudanzascorona@mudanzascorona.com</v>
      </c>
    </row>
    <row r="444" spans="8:8">
      <c r="H444" t="str">
        <f ca="1"/>
        <v>mudanzas.armel@gmail.com</v>
      </c>
    </row>
    <row r="445" spans="8:8">
      <c r="H445" t="str">
        <f ca="1"/>
        <v>mudanzas1euroxkm@gmail.com</v>
      </c>
    </row>
    <row r="446" spans="8:8">
      <c r="H446" t="str">
        <f ca="1"/>
        <v>info@mudanzaelmundo.es</v>
      </c>
    </row>
    <row r="447" spans="8:8">
      <c r="H447" t="str">
        <f ca="1"/>
        <v>info@mudanzasadel.com</v>
      </c>
    </row>
    <row r="448" spans="8:8">
      <c r="H448" t="str">
        <f ca="1"/>
        <v>info.mudanzasluna@gmail.com</v>
      </c>
    </row>
    <row r="449" spans="8:8">
      <c r="H449" t="str">
        <f ca="1"/>
        <v>mudanzasedytrans@gmail.com</v>
      </c>
    </row>
    <row r="450" spans="8:8">
      <c r="H450" t="str">
        <f ca="1"/>
        <v>info@mudanzasnieto.es</v>
      </c>
    </row>
    <row r="451" spans="8:8">
      <c r="H451" t="str">
        <f ca="1"/>
        <v>info@mudanzasrecio.com</v>
      </c>
    </row>
    <row r="452" spans="8:8">
      <c r="H452" t="str">
        <f ca="1"/>
        <v>info@presupuestosmudanzasmadrid.com</v>
      </c>
    </row>
    <row r="453" spans="8:8">
      <c r="H453" t="str">
        <f ca="1"/>
        <v>info@wissemoving.com</v>
      </c>
    </row>
    <row r="454" spans="8:8">
      <c r="H454" t="str">
        <f ca="1"/>
        <v>info@mudanzasniro.com</v>
      </c>
    </row>
    <row r="455" spans="8:8">
      <c r="H455" t="str">
        <f ca="1"/>
        <v>transcambia@gmail.com</v>
      </c>
    </row>
    <row r="456" spans="8:8">
      <c r="H456" t="str">
        <f ca="1"/>
        <v>info@claradelrey.es</v>
      </c>
    </row>
    <row r="457" spans="8:8">
      <c r="H457" t="str">
        <f ca="1"/>
        <v>info@mudanzasmadridcastillo.com</v>
      </c>
    </row>
    <row r="458" spans="8:8">
      <c r="H458" t="str">
        <f ca="1"/>
        <v>info@romerosoluciones.com</v>
      </c>
    </row>
    <row r="459" spans="8:8">
      <c r="H459" t="str">
        <f ca="1"/>
        <v>mudanzasdirecto@gmail.com</v>
      </c>
    </row>
    <row r="460" spans="8:8">
      <c r="H460" t="str">
        <f ca="1"/>
        <v>info@mudanzasabarca.es</v>
      </c>
    </row>
    <row r="461" spans="8:8">
      <c r="H461" t="str">
        <f ca="1"/>
        <v>bacilio-jbg33@hotmail.com</v>
      </c>
    </row>
    <row r="462" spans="8:8">
      <c r="H462" t="str">
        <f ca="1"/>
        <v>n@mudanzana.es</v>
      </c>
    </row>
    <row r="463" spans="8:8">
      <c r="H463" t="str">
        <f ca="1"/>
        <v>info@mudanzasmadridghdl.com</v>
      </c>
    </row>
    <row r="464" spans="8:8">
      <c r="H464" t="str">
        <f ca="1"/>
        <v>info@relocationspain.com</v>
      </c>
    </row>
    <row r="465" spans="8:8">
      <c r="H465" t="str">
        <f ca="1"/>
        <v>info@mudanzasadir.com</v>
      </c>
    </row>
    <row r="466" spans="8:8">
      <c r="H466" t="str">
        <f ca="1"/>
        <v>comercial@mudanzaslaextremena.com</v>
      </c>
    </row>
    <row r="467" spans="8:8">
      <c r="H467" t="str">
        <f ca="1"/>
        <v>info@mudanzasmadridelder.es</v>
      </c>
    </row>
    <row r="468" spans="8:8">
      <c r="H468" t="str">
        <f ca="1"/>
        <v>info@mudanzasglobalexpress.com</v>
      </c>
    </row>
    <row r="469" spans="8:8">
      <c r="H469" t="str">
        <f ca="1"/>
        <v>paulcostache90@gmail.com</v>
      </c>
    </row>
    <row r="470" spans="8:8">
      <c r="H470" t="str">
        <f ca="1"/>
        <v>info@mudanzasstar.com</v>
      </c>
    </row>
    <row r="471" spans="8:8">
      <c r="H471" t="str">
        <f ca="1"/>
        <v>comercial@gestiserelevacion.com</v>
      </c>
    </row>
    <row r="472" spans="8:8">
      <c r="H472" t="str">
        <f ca="1"/>
        <v>abel@mudanzasmove.com</v>
      </c>
    </row>
    <row r="473" spans="8:8">
      <c r="H473" t="str">
        <f ca="1"/>
        <v>info@mudanzaslaflota.com</v>
      </c>
    </row>
    <row r="474" spans="8:8">
      <c r="H474" t="str">
        <f ca="1"/>
        <v>correo@mudanzasfcarceles.es</v>
      </c>
    </row>
    <row r="475" spans="8:8">
      <c r="H475" t="str">
        <f ca="1"/>
        <v>info@mudanzasvictorcastillo.com</v>
      </c>
    </row>
    <row r="476" spans="8:8">
      <c r="H476" t="str">
        <f ca="1"/>
        <v>info@mudanzasmtm.com</v>
      </c>
    </row>
    <row r="477" spans="8:8">
      <c r="H477" t="str">
        <f ca="1"/>
        <v>vproyecta@mudanzasvproyecta.com</v>
      </c>
    </row>
    <row r="478" spans="8:8">
      <c r="H478" t="str">
        <f ca="1"/>
        <v>info@verzonalaguia.es</v>
      </c>
    </row>
    <row r="479" spans="8:8">
      <c r="H479" t="str">
        <f ca="1"/>
        <v>info@mudanzasbarbero.es</v>
      </c>
    </row>
    <row r="480" spans="8:8">
      <c r="H480" t="str">
        <f ca="1"/>
        <v>xxxx@xxx.xx</v>
      </c>
    </row>
    <row r="481" spans="8:8">
      <c r="H481" t="str">
        <f ca="1"/>
        <v>info@mudanzascaravaca.es</v>
      </c>
    </row>
    <row r="482" spans="8:8">
      <c r="H482" t="str">
        <f ca="1"/>
        <v>carjusan@msn.com</v>
      </c>
    </row>
    <row r="483" spans="8:8">
      <c r="H483" t="str">
        <f ca="1"/>
        <v>mutudelanas@hotmail.com</v>
      </c>
    </row>
    <row r="484" spans="8:8">
      <c r="H484" t="str">
        <f ca="1"/>
        <v>info@mudanzasexpressenpamplona.com</v>
      </c>
    </row>
    <row r="485" spans="8:8">
      <c r="H485" t="str">
        <f ca="1"/>
        <v>info@mudanzasytransportesasg.es</v>
      </c>
    </row>
    <row r="486" spans="8:8">
      <c r="H486" t="str">
        <f ca="1"/>
        <v>transportesinfom@gmail.com</v>
      </c>
    </row>
    <row r="487" spans="8:8">
      <c r="H487" t="str">
        <f ca="1"/>
        <v>info@mudanzasoliva.com</v>
      </c>
    </row>
    <row r="488" spans="8:8">
      <c r="H488" t="str">
        <f ca="1"/>
        <v>info@mudanzasjose.com</v>
      </c>
    </row>
    <row r="489" spans="8:8">
      <c r="H489" t="str">
        <f ca="1"/>
        <v>info@mudanzasrafa.com</v>
      </c>
    </row>
    <row r="490" spans="8:8">
      <c r="H490" t="str">
        <f ca="1"/>
        <v>info@mudanzasrio.com</v>
      </c>
    </row>
    <row r="491" spans="8:8">
      <c r="H491" t="str">
        <f ca="1"/>
        <v>baskotaxi@baskotaxi.es</v>
      </c>
    </row>
    <row r="492" spans="8:8">
      <c r="H492" t="str">
        <f ca="1"/>
        <v>logo@2x.png</v>
      </c>
    </row>
    <row r="493" spans="8:8">
      <c r="H493" t="str">
        <f ca="1"/>
        <v>legal@mudanzascarlosrodriguez.com</v>
      </c>
    </row>
    <row r="494" spans="8:8">
      <c r="H494" t="str">
        <f ca="1"/>
        <v>william@mudanzasekuafran.es</v>
      </c>
    </row>
    <row r="495" spans="8:8">
      <c r="H495" t="str">
        <f ca="1"/>
        <v>webmaster@gulammudanzasyportes.com</v>
      </c>
    </row>
    <row r="496" spans="8:8">
      <c r="H496" t="str">
        <f ca="1"/>
        <v>central@bizidem.com</v>
      </c>
    </row>
    <row r="497" spans="8:8">
      <c r="H497" t="str">
        <f ca="1"/>
        <v>mudanzas@pmsinstalaciones.com</v>
      </c>
    </row>
    <row r="498" spans="8:8">
      <c r="H498" t="str">
        <f ca="1"/>
        <v>ciprianciprian523@gmail.com</v>
      </c>
    </row>
    <row r="499" spans="8:8">
      <c r="H499" t="str">
        <f ca="1"/>
        <v>carlos@carlostransport.com</v>
      </c>
    </row>
    <row r="500" spans="8:8">
      <c r="H500" t="str">
        <f ca="1"/>
        <v>informacion@mudanzasnorte.com</v>
      </c>
    </row>
    <row r="501" spans="8:8">
      <c r="H501" t="str">
        <f ca="1"/>
        <v>info@mudanzasnavarra.me</v>
      </c>
    </row>
    <row r="502" spans="8:8">
      <c r="H502" t="str">
        <f ca="1"/>
        <v>info@mudanzanavarra.com</v>
      </c>
    </row>
    <row r="503" spans="8:8">
      <c r="H50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0CB6-F34F-4A95-B1D4-8E46CD969C56}">
  <dimension ref="A1"/>
  <sheetViews>
    <sheetView workbookViewId="0">
      <selection activeCell="C6" sqref="C6"/>
    </sheetView>
  </sheetViews>
  <sheetFormatPr defaultColWidth="11.42578125" defaultRowHeight="14.45"/>
  <cols>
    <col min="1" max="1" width="76" customWidth="1"/>
  </cols>
  <sheetData>
    <row r="1" spans="1:1" ht="87">
      <c r="A1" s="2" t="s">
        <v>5824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D88F5-89E6-48F9-B1B5-70D96EF6D647}"/>
</file>

<file path=customXml/itemProps2.xml><?xml version="1.0" encoding="utf-8"?>
<ds:datastoreItem xmlns:ds="http://schemas.openxmlformats.org/officeDocument/2006/customXml" ds:itemID="{0BD7CE34-8686-4F9A-8437-71B6CC64564A}"/>
</file>

<file path=customXml/itemProps3.xml><?xml version="1.0" encoding="utf-8"?>
<ds:datastoreItem xmlns:ds="http://schemas.openxmlformats.org/officeDocument/2006/customXml" ds:itemID="{4937E8E1-305F-44C2-8569-D64753D1F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2022-06-07T10:40:30Z</dcterms:created>
  <dcterms:modified xsi:type="dcterms:W3CDTF">2023-11-12T18:36:31Z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