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lle\Dropbox\2023\2023 Sectores Maps DEFINITIVOS\"/>
    </mc:Choice>
  </mc:AlternateContent>
  <xr:revisionPtr revIDLastSave="42" documentId="13_ncr:1_{A7506C6E-6AC4-4F2B-BB81-61AC0E137E9B}" xr6:coauthVersionLast="47" xr6:coauthVersionMax="47" xr10:uidLastSave="{2EF1FE19-22D9-4A52-A896-799610FA749A}"/>
  <bookViews>
    <workbookView xWindow="-110" yWindow="-110" windowWidth="19420" windowHeight="10300" xr2:uid="{5ECECBB6-7637-416C-99F4-9C9A6A905358}"/>
  </bookViews>
  <sheets>
    <sheet name="centraldecomunicacion.es" sheetId="1" r:id="rId1"/>
    <sheet name="Estadísticas" sheetId="2" r:id="rId2"/>
    <sheet name="Copyright" sheetId="3" r:id="rId3"/>
    <sheet name="Leads verificados" sheetId="4" r:id="rId4"/>
  </sheets>
  <definedNames>
    <definedName name="_xlnm._FilterDatabase" localSheetId="0" hidden="1">'centraldecomunicacion.es'!$A$1:$I$4564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H2" i="2" a="1"/>
  <c r="H2" i="2"/>
  <c r="G2" i="2" a="1"/>
  <c r="G2" i="2"/>
  <c r="F2" i="2"/>
  <c r="D2" i="2"/>
  <c r="E2" i="2"/>
  <c r="C2" i="2"/>
  <c r="B2" i="2"/>
  <c r="A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<sst xmlns="http://schemas.openxmlformats.org/spreadsheetml/2006/main" count="39817" uniqueCount="16994">
  <si>
    <t>﻿Nombre</t>
  </si>
  <si>
    <t>Categoría</t>
  </si>
  <si>
    <t>Dirección</t>
  </si>
  <si>
    <t>Ciudad</t>
  </si>
  <si>
    <t>Provincia</t>
  </si>
  <si>
    <t>website</t>
  </si>
  <si>
    <t>Telefóno</t>
  </si>
  <si>
    <t>email</t>
  </si>
  <si>
    <t>email verificado</t>
  </si>
  <si>
    <t>Floristería Toñi : Floristeria Almeria</t>
  </si>
  <si>
    <t>Floristería</t>
  </si>
  <si>
    <t>Av. de Cabo de Gata, 98, 04007 Almería</t>
  </si>
  <si>
    <t>Almería</t>
  </si>
  <si>
    <t>floristeriaenalmeria.com</t>
  </si>
  <si>
    <t>950 25 17 25</t>
  </si>
  <si>
    <t>info@floristeriaenalmeria.com</t>
  </si>
  <si>
    <t>Floristeria Carmona Calzada</t>
  </si>
  <si>
    <t>Calle Calz. de Castro, 77, 950240207, 04006 Almería</t>
  </si>
  <si>
    <t>floristeriacarmona.com</t>
  </si>
  <si>
    <t>950 24 02 07</t>
  </si>
  <si>
    <t>info@floristeriacarmona.com</t>
  </si>
  <si>
    <t>Azabache Floristería</t>
  </si>
  <si>
    <t>Calle de las Tiendas, 18, 04001 Almería</t>
  </si>
  <si>
    <t>floristeriaazabache.com</t>
  </si>
  <si>
    <t>950 25 77 04</t>
  </si>
  <si>
    <t>info@floristeriaazabache.com</t>
  </si>
  <si>
    <t>Floristerias Grupo Disenverd</t>
  </si>
  <si>
    <t>Avenida Mediterráneo, 0, 04001 Almería</t>
  </si>
  <si>
    <t/>
  </si>
  <si>
    <t>950 14 00 97</t>
  </si>
  <si>
    <t>-</t>
  </si>
  <si>
    <t>Floristería en Almería Madreselva</t>
  </si>
  <si>
    <t>Calle Felipe Rinaldi, 15, 04009 Almería</t>
  </si>
  <si>
    <t>floristeria-madreselva.com</t>
  </si>
  <si>
    <t>950 25 72 23</t>
  </si>
  <si>
    <t>mar@floristeria-madreselva.com</t>
  </si>
  <si>
    <t>Floristeria Floresdeboda</t>
  </si>
  <si>
    <t>Av. del Mediterráneo, 410, 04009 Almería</t>
  </si>
  <si>
    <t>negocio.site</t>
  </si>
  <si>
    <t>670 81 02 02</t>
  </si>
  <si>
    <t>Floristería La Rambla</t>
  </si>
  <si>
    <t>Abla</t>
  </si>
  <si>
    <t>laramblaflores.com</t>
  </si>
  <si>
    <t>950 27 60 59</t>
  </si>
  <si>
    <t>Floristeria Montseflor</t>
  </si>
  <si>
    <t>Carr. el Mami a Viator, 8, 04120 La Cañada, Almería</t>
  </si>
  <si>
    <t>La Cañada</t>
  </si>
  <si>
    <t>609 75 84 08</t>
  </si>
  <si>
    <t>Floristería Astrid</t>
  </si>
  <si>
    <t>Calle Altamira, 42, 04005 Almería</t>
  </si>
  <si>
    <t>facebook.com</t>
  </si>
  <si>
    <t>950 24 34 29</t>
  </si>
  <si>
    <t>Floristeria</t>
  </si>
  <si>
    <t>Calle Maestría, 37, 04008 Almería</t>
  </si>
  <si>
    <t>Floristería Morales</t>
  </si>
  <si>
    <t>Calle Mercurio, 30, 04005 Almería</t>
  </si>
  <si>
    <t>950 22 33 85</t>
  </si>
  <si>
    <t>Floristería - La Fleur - Almeria, Dia de Todos los Santos, Centro, Centros, Entrega el mismo día, servicio de calidad</t>
  </si>
  <si>
    <t>Av. de Santa Isabel, 39, 04009 Almería</t>
  </si>
  <si>
    <t>lafleur.es</t>
  </si>
  <si>
    <t>631 07 18 86</t>
  </si>
  <si>
    <t>Floristería Cañamo</t>
  </si>
  <si>
    <t>Centro Comercial Mediterraneo, Av. del Mediterráneo, 369, Local 106, 04009 Almería</t>
  </si>
  <si>
    <t>950 14 09 71</t>
  </si>
  <si>
    <t>Floristeria Cañamo</t>
  </si>
  <si>
    <t>Av. del Mediterráneo, s/n, 04009 Almería</t>
  </si>
  <si>
    <t>floristeriacanamo.es</t>
  </si>
  <si>
    <t>info@floristeriacanamo.es</t>
  </si>
  <si>
    <t>Flowers</t>
  </si>
  <si>
    <t>Calle Rueda López, 21, 04004 Almería</t>
  </si>
  <si>
    <t>950 17 44 76</t>
  </si>
  <si>
    <t>FLORISTERIA ANEMONA</t>
  </si>
  <si>
    <t>Calle Hermanos Machado, 18, 04004 Almería</t>
  </si>
  <si>
    <t>667 52 85 27</t>
  </si>
  <si>
    <t>Detalles Arte Floral</t>
  </si>
  <si>
    <t>04007, Av. del Mediterráneo, 89, 04009 Almería</t>
  </si>
  <si>
    <t>684 32 29 58</t>
  </si>
  <si>
    <t>Jardymar</t>
  </si>
  <si>
    <t>Calle Dr. Barraquer, 12, 04005 Almería</t>
  </si>
  <si>
    <t>950 27 40 21</t>
  </si>
  <si>
    <t>Lales Martínez. Bodas y Eventos</t>
  </si>
  <si>
    <t>Calle el Límite, 23, 04230 Huércal de Almería, Almería</t>
  </si>
  <si>
    <t>Huércal de Almería</t>
  </si>
  <si>
    <t>lalesmartinez.com</t>
  </si>
  <si>
    <t>950 25 96 96</t>
  </si>
  <si>
    <t>info@lalesmartinez.com</t>
  </si>
  <si>
    <t>Floristeria Carmona Bonsai</t>
  </si>
  <si>
    <t>business.site</t>
  </si>
  <si>
    <t>Floristería Las Orquídeas</t>
  </si>
  <si>
    <t>Calle Profesor Mulian, Barrio San Luis, 21, 04009 Almería</t>
  </si>
  <si>
    <t>697 44 73 57</t>
  </si>
  <si>
    <t>Floristeria Gracia y La Penca Almeria</t>
  </si>
  <si>
    <t>Calle Benizalón, S/N, Local 6, 04007 Almería</t>
  </si>
  <si>
    <t>graciaylapenca.com</t>
  </si>
  <si>
    <t>676 83 42 09</t>
  </si>
  <si>
    <t>Floristería Azabache</t>
  </si>
  <si>
    <t>Calle de las Tiendas, 18, 04003 Almería</t>
  </si>
  <si>
    <t>Agrupplant</t>
  </si>
  <si>
    <t>Calle Lerma, 0, 04007 Almería</t>
  </si>
  <si>
    <t>950 48 70 06</t>
  </si>
  <si>
    <t>Detalles Arte Floral C.b.</t>
  </si>
  <si>
    <t>Calle la Vega, 36, 04007 Almería</t>
  </si>
  <si>
    <t>Suministros Tripiana S.L.U.</t>
  </si>
  <si>
    <t>Calle Javier Sanz, 7A, 04004 Almería</t>
  </si>
  <si>
    <t>950 23 84 88</t>
  </si>
  <si>
    <t>Sauco</t>
  </si>
  <si>
    <t>Plaza de Urrutia, 9, 04001 Almería</t>
  </si>
  <si>
    <t>950 27 58 47</t>
  </si>
  <si>
    <t>Floristería Divina Pastora La Rambla</t>
  </si>
  <si>
    <t>Av. Federico García Lorca, número 8, 04004 Almería</t>
  </si>
  <si>
    <t>Artemisa Variedades</t>
  </si>
  <si>
    <t>Calle Manuel Azaña, 04006 Almería</t>
  </si>
  <si>
    <t>Loto Verde Grow Shop Almeria</t>
  </si>
  <si>
    <t>Calle Rubí, número 38, 04007 Almería</t>
  </si>
  <si>
    <t>950 30 88 28</t>
  </si>
  <si>
    <t>ILUNION - HOSPITAL BOLA AZUL</t>
  </si>
  <si>
    <t>Ctra. de Ronda, 226, 04009 Almería</t>
  </si>
  <si>
    <t>950 10 77 15</t>
  </si>
  <si>
    <t>Isabel Carrique Roba</t>
  </si>
  <si>
    <t>Calle del General Álvarez de Sotomayor, 24, 04240 Viator, Almería</t>
  </si>
  <si>
    <t>Viator</t>
  </si>
  <si>
    <t>950 30 43 45</t>
  </si>
  <si>
    <t>Floristería Iris La Cañada Almeria</t>
  </si>
  <si>
    <t>Carretera Níjar - la Cañada, 306, 04120 La Cañada, Almería</t>
  </si>
  <si>
    <t>floristeriairisalmeria.com</t>
  </si>
  <si>
    <t>600 74 81 33</t>
  </si>
  <si>
    <t>info@floristeriairisalmeria.com</t>
  </si>
  <si>
    <t>Floristería Kali</t>
  </si>
  <si>
    <t>Bulevar Manuel Del Águila Ortega, 61, 04130 El Alquián, Almería</t>
  </si>
  <si>
    <t>El Alquián</t>
  </si>
  <si>
    <t>950 29 77 91</t>
  </si>
  <si>
    <t>Agrinature Indalica S A</t>
  </si>
  <si>
    <t>Calle Sierra de Almijara, 16, 04240 Viator, Almería</t>
  </si>
  <si>
    <t>agri-nature.com</t>
  </si>
  <si>
    <t>950 30 63 34</t>
  </si>
  <si>
    <t>R R FLORISTA</t>
  </si>
  <si>
    <t>Av. de Carlos III, s/n, 04006 Aguadulce, Almería</t>
  </si>
  <si>
    <t>Aguadulce</t>
  </si>
  <si>
    <t>rrflorista.es.tl</t>
  </si>
  <si>
    <t>611 16 61 83</t>
  </si>
  <si>
    <t>FLORISTERIA AGUADULCE</t>
  </si>
  <si>
    <t>Av. de Carlos III, 286, 04720 Aguadulce, Almería</t>
  </si>
  <si>
    <t>950 34 41 69</t>
  </si>
  <si>
    <t>Floristería san josé</t>
  </si>
  <si>
    <t>Calle Ricardo Rueda, 30, 04410 Benahadux, Almería</t>
  </si>
  <si>
    <t>Benahadux</t>
  </si>
  <si>
    <t>Tortosa Floristas</t>
  </si>
  <si>
    <t>Calle Sierra de Castril SN, 04721, 04721 El Parador de las Hortichuelas, Almería</t>
  </si>
  <si>
    <t>El Parador de las Hortichuelas</t>
  </si>
  <si>
    <t>tortosafloristas.es</t>
  </si>
  <si>
    <t>950 34 85 47</t>
  </si>
  <si>
    <t>S A T Rayma</t>
  </si>
  <si>
    <t>Callejón Torres, 19, 04720 El Campillo del Moro, Almería</t>
  </si>
  <si>
    <t>El Campillo del Moro</t>
  </si>
  <si>
    <t>950 34 33 71</t>
  </si>
  <si>
    <t>Floristería Anita</t>
  </si>
  <si>
    <t>Calle Infanta Cristina, 8, 04740 Roquetas de Mar, Almería</t>
  </si>
  <si>
    <t>Roquetas de Mar</t>
  </si>
  <si>
    <t>950 32 08 28</t>
  </si>
  <si>
    <t>Todo Jardín Floristas</t>
  </si>
  <si>
    <t>Av. Roquetas de Mar, 293, 04740 Roquetas de Mar, Almería</t>
  </si>
  <si>
    <t>todojardinfloristas.com</t>
  </si>
  <si>
    <t>950 32 13 70</t>
  </si>
  <si>
    <t>La Mansión de la flor</t>
  </si>
  <si>
    <t>Calle Sierra de Castril, SN, 04720 El Parador de las Hortichuelas, Almería</t>
  </si>
  <si>
    <t>tortosafloristas.com</t>
  </si>
  <si>
    <t>tortosafloristas@gmail.com</t>
  </si>
  <si>
    <t>Floristería Laura</t>
  </si>
  <si>
    <t>Calle de los Medicos, 04400 Alhama de Almería, Almería</t>
  </si>
  <si>
    <t>Alhama de Almería</t>
  </si>
  <si>
    <t>626 74 94 12</t>
  </si>
  <si>
    <t>Juan Diego Martínez Tortosa</t>
  </si>
  <si>
    <t>Calle Jaspe, 22, 04738 La Gangosa, Almería</t>
  </si>
  <si>
    <t>La Gangosa</t>
  </si>
  <si>
    <t>950 55 36 07</t>
  </si>
  <si>
    <t>Balaguer Arte Floral</t>
  </si>
  <si>
    <t>Bulevar Cdad. de Vicar, 1376, 04738 Puebla de Vícar, Almería</t>
  </si>
  <si>
    <t>Puebla de Vícar</t>
  </si>
  <si>
    <t>659 13 99 99</t>
  </si>
  <si>
    <t>La Mansion de la Flor</t>
  </si>
  <si>
    <t>Av. de Juan Bonachera, 34, 04740 Roquetas de Mar, Almería</t>
  </si>
  <si>
    <t>lamansiondelaflorroquetas.com</t>
  </si>
  <si>
    <t>640 16 41 54</t>
  </si>
  <si>
    <t>Plantas Y Flores Maria ( Floristeria)</t>
  </si>
  <si>
    <t>Av. de Carlos III, 50, 04720 Aguadulce, Almería</t>
  </si>
  <si>
    <t>619 12 78 13</t>
  </si>
  <si>
    <t>José Egea Rodríguez</t>
  </si>
  <si>
    <t>Av. Juan Carlos I, 95, 04740 Roquetas de Mar, Almería</t>
  </si>
  <si>
    <t>950 32 29 74</t>
  </si>
  <si>
    <t>Dos Gardenias Centro de Jardinería</t>
  </si>
  <si>
    <t>Carretera A, 348, 04400 Alhama de Almería, Almería</t>
  </si>
  <si>
    <t>floristeriadosgardenias.com</t>
  </si>
  <si>
    <t>606 01 75 70</t>
  </si>
  <si>
    <t>Floristería Divina Pastora</t>
  </si>
  <si>
    <t>Calle Pintor Rosales, 04740 Roquetas de Mar, Almería</t>
  </si>
  <si>
    <t>633 41 65 59</t>
  </si>
  <si>
    <t>Explotaciones Geme Sl</t>
  </si>
  <si>
    <t>Paseo los Baños, 109, 04740 Roquetas de Mar, Almería</t>
  </si>
  <si>
    <t>950 32 11 48</t>
  </si>
  <si>
    <t>Vargas Iglesias S Coop And</t>
  </si>
  <si>
    <t>Calle Alameda, 95, 04740 Roquetas de Mar, Almería</t>
  </si>
  <si>
    <t>950 33 33 59</t>
  </si>
  <si>
    <t>Jr Flores y Plantas</t>
  </si>
  <si>
    <t>Paraje El Jabonero, 0 S/N, 04100 Níjar, Almería</t>
  </si>
  <si>
    <t>Níjar</t>
  </si>
  <si>
    <t>950 36 02 55</t>
  </si>
  <si>
    <t>Floristería Roquetas, Las Marinas, Crea Jardín</t>
  </si>
  <si>
    <t>Av. de las Marinas, 220, 04740 Roquetas de Mar, Almería</t>
  </si>
  <si>
    <t>floristeriacreajardin.es</t>
  </si>
  <si>
    <t>950 62 72 45</t>
  </si>
  <si>
    <t>Escánez Morales S A</t>
  </si>
  <si>
    <t>Calle Iguazú, 175, 04740 Roquetas de Mar, Almería</t>
  </si>
  <si>
    <t>950 33 33 32</t>
  </si>
  <si>
    <t>TodoJardin Mercado</t>
  </si>
  <si>
    <t>Carretera de Alicún SN, 04740 Roquetas de Mar, Almería</t>
  </si>
  <si>
    <t>679 14 41 46</t>
  </si>
  <si>
    <t>04200 Tabernas, Almería</t>
  </si>
  <si>
    <t>Tabernas</t>
  </si>
  <si>
    <t>Flores Torrecillas, S.L.</t>
  </si>
  <si>
    <t>Floristería mayorista</t>
  </si>
  <si>
    <t>Calle Júpiter, 15, 04230 Huércal de Almería, Almería</t>
  </si>
  <si>
    <t>florestorrecillas.com</t>
  </si>
  <si>
    <t>950 14 07 11</t>
  </si>
  <si>
    <t>Comercial Ferretería Hergo Vicar</t>
  </si>
  <si>
    <t>Avenida Bulevar Ciudad de Vicar, 750, 04738 La Gangosa, Almería</t>
  </si>
  <si>
    <t>950 34 05 19</t>
  </si>
  <si>
    <t>Diseño y Arte Floral Sergio Berenguel</t>
  </si>
  <si>
    <t>Calle Cervantes, 79, 04700 El Ejido, Almería</t>
  </si>
  <si>
    <t>El Ejido</t>
  </si>
  <si>
    <t>672 79 97 49</t>
  </si>
  <si>
    <t>Nenúfar Floristas</t>
  </si>
  <si>
    <t>El Corte Ingles, Paseo Pedro Ponce, s/n, 04700 El Ejido, Almería</t>
  </si>
  <si>
    <t>nenufarfloristerias.com</t>
  </si>
  <si>
    <t>950 54 20 31</t>
  </si>
  <si>
    <t>info@nenufarfloristerias.com</t>
  </si>
  <si>
    <t>Floristería Cattleya</t>
  </si>
  <si>
    <t>Calle Donato Bramante, 33, 04700 Ejido (El), Almería</t>
  </si>
  <si>
    <t>950 48 63 51</t>
  </si>
  <si>
    <t>Dolores Rodríguez Escobar</t>
  </si>
  <si>
    <t>Calle Valencia, 59, 04710 Santa María del Águila, Almería</t>
  </si>
  <si>
    <t>Santa María del Águila</t>
  </si>
  <si>
    <t>950 58 03 26</t>
  </si>
  <si>
    <t>Floristería Claudia</t>
  </si>
  <si>
    <t>Calle Camino Torrendana, 8, 04100 Campohermoso, Almería</t>
  </si>
  <si>
    <t>Campohermoso</t>
  </si>
  <si>
    <t>Flor de Agua Floristas</t>
  </si>
  <si>
    <t>Calle del Cmno Barrio, 22, 04745 La Mojonera, Almería</t>
  </si>
  <si>
    <t>La Mojonera</t>
  </si>
  <si>
    <t>flordeaguafloristas.com</t>
  </si>
  <si>
    <t>677 46 25 82</t>
  </si>
  <si>
    <t>mariaflordeagua71@gmail.com</t>
  </si>
  <si>
    <t>Javiflor</t>
  </si>
  <si>
    <t>Bulevar de el Ejido, 134, 04700 El Ejido, Almería</t>
  </si>
  <si>
    <t>950 48 33 12</t>
  </si>
  <si>
    <t>Calle Limón, 9, 04700 El Ejido, Almería</t>
  </si>
  <si>
    <t>Calle Calderón de la Barca, 30, 04700 El Ejido, Almería</t>
  </si>
  <si>
    <t>J J Floristas</t>
  </si>
  <si>
    <t>Calle Álvaro de Bazán, 31, 04700 El Ejido, Almería</t>
  </si>
  <si>
    <t>jjfloristas.com</t>
  </si>
  <si>
    <t>646 55 02 63</t>
  </si>
  <si>
    <t>Inma Floristería</t>
  </si>
  <si>
    <t>Carrera de Granada, 52, 04760 Berja, Almería</t>
  </si>
  <si>
    <t>Berja</t>
  </si>
  <si>
    <t>inmafloristeria.com</t>
  </si>
  <si>
    <t>950 49 13 88</t>
  </si>
  <si>
    <t>inma_floristeria@hotmail.com</t>
  </si>
  <si>
    <t>Rubiagro, S.Ccop. And.</t>
  </si>
  <si>
    <t>Calle Aragón, 34, 04710 Santa María del Águila, Almería</t>
  </si>
  <si>
    <t>950 58 05 27</t>
  </si>
  <si>
    <t>Floristería A&amp;amp;J Eventos</t>
  </si>
  <si>
    <t>Av. José Barrionuevo Peña, 58, 04760 Berja, Almería</t>
  </si>
  <si>
    <t>aj-eventos.ueniweb.com</t>
  </si>
  <si>
    <t>667 65 86 34</t>
  </si>
  <si>
    <t>cristinaxandreea@gmail.com</t>
  </si>
  <si>
    <t>Plantarte</t>
  </si>
  <si>
    <t>Calle del Puerto, 8, 04118 San José, Almería</t>
  </si>
  <si>
    <t>San José</t>
  </si>
  <si>
    <t>609 61 61 51</t>
  </si>
  <si>
    <t>Sánchez Moreno Inversiones S L</t>
  </si>
  <si>
    <t>Paraje Cumbre, 0, 04717 San Agustín, Almería</t>
  </si>
  <si>
    <t>San Agustín</t>
  </si>
  <si>
    <t>950 06 00 71</t>
  </si>
  <si>
    <t>Floristería Merche</t>
  </si>
  <si>
    <t>Av. Príncipe de Asturias, 23, 04110 Campohermoso, Almería</t>
  </si>
  <si>
    <t>merchefloristeria.es</t>
  </si>
  <si>
    <t>950 38 51 38</t>
  </si>
  <si>
    <t>Floristeria Cuadrado</t>
  </si>
  <si>
    <t>Calle Guadalajara, 26, BAJO, 04700 El Ejido, Almería</t>
  </si>
  <si>
    <t>cuadradoflores.com</t>
  </si>
  <si>
    <t>950 48 31 88</t>
  </si>
  <si>
    <t>contacto@hernandezmiguel.es</t>
  </si>
  <si>
    <t>Flores y Plantas Nerea</t>
  </si>
  <si>
    <t>Calle Murgis, 206, nave 6, 04700 El Ejido, Almería</t>
  </si>
  <si>
    <t>950 48 95 34</t>
  </si>
  <si>
    <t>Susana Taller floral</t>
  </si>
  <si>
    <t>Calle San Joaquin, 48, 04280 Los Gallardos, Almería</t>
  </si>
  <si>
    <t>Los Gallardos</t>
  </si>
  <si>
    <t>687 21 47 59</t>
  </si>
  <si>
    <t>Floristeria J.G</t>
  </si>
  <si>
    <t>Calle Carrera Virgen del Socorro, 57, 04880 Tíjola, Almería</t>
  </si>
  <si>
    <t>Tíjola</t>
  </si>
  <si>
    <t>617 96 81 75</t>
  </si>
  <si>
    <t>Floristería Cuadrado Copo</t>
  </si>
  <si>
    <t>04715 El Ejido, Almería</t>
  </si>
  <si>
    <t>floristeriacuadrado.com</t>
  </si>
  <si>
    <t>950 48 44 03</t>
  </si>
  <si>
    <t>floristeriacuadrado@gmail.com</t>
  </si>
  <si>
    <t>María José Florista</t>
  </si>
  <si>
    <t>Calle Obispo Emilio Jiménez, 28, 04860 Olula del Río, Almería</t>
  </si>
  <si>
    <t>Olula del Río</t>
  </si>
  <si>
    <t>654 93 47 12</t>
  </si>
  <si>
    <t>HORTIFLOR FLORISTAS.Arte Floral</t>
  </si>
  <si>
    <t>Playa, Paseo del Mediterráneo, 473, 04638, Almería</t>
  </si>
  <si>
    <t>Vista de los Ángeles-Rumina</t>
  </si>
  <si>
    <t>hortiflorfloristas.es</t>
  </si>
  <si>
    <t>950 47 89 85</t>
  </si>
  <si>
    <t>HORTIFLORFLORISTAS@HOTMAIL.COM</t>
  </si>
  <si>
    <t>Floristeria Sarah&amp;apos;s flores</t>
  </si>
  <si>
    <t>Calle Mayor, 106, Local 10, 04620 Vera, Almería</t>
  </si>
  <si>
    <t>Vera</t>
  </si>
  <si>
    <t>691 68 43 11</t>
  </si>
  <si>
    <t>Hortiflor Floristas.Arte floral</t>
  </si>
  <si>
    <t>Carretera Vera-Cuevas salida vía de servicio, 04620 Vera, Almería</t>
  </si>
  <si>
    <t>950 39 34 80</t>
  </si>
  <si>
    <t>Flores Caparrós Juan</t>
  </si>
  <si>
    <t>Calle Cañada, 4, 04639 Turre, Almería</t>
  </si>
  <si>
    <t>HORTIFLOR FLORISTAS. Arte Floral</t>
  </si>
  <si>
    <t>Avenida Guillermo Reina Edificio Albatros Bajo2, 04600 Huércal-Overa, Almería</t>
  </si>
  <si>
    <t>Huércal-Overa</t>
  </si>
  <si>
    <t>600 35 18 15</t>
  </si>
  <si>
    <t>Floristería Persa</t>
  </si>
  <si>
    <t>Calle Poeta José Antonio Sáez, 2, 04800 Albox, Almería</t>
  </si>
  <si>
    <t>Albox</t>
  </si>
  <si>
    <t>persaflores.com</t>
  </si>
  <si>
    <t>950 12 02 11</t>
  </si>
  <si>
    <t>info@persaflores.com</t>
  </si>
  <si>
    <t>Varela Floristeria</t>
  </si>
  <si>
    <t>Calle Nueva, 23, 04140 Carboneras, Almería</t>
  </si>
  <si>
    <t>Carboneras</t>
  </si>
  <si>
    <t>662 24 01 78</t>
  </si>
  <si>
    <t>Plantas Y Flores</t>
  </si>
  <si>
    <t>Paseo del Mediterráneo, 473, 04638 Vista de los Ángeles-Rumina, Almería</t>
  </si>
  <si>
    <t>Floribel floristas</t>
  </si>
  <si>
    <t>Carr. de Almería, Nº9 Bajo, 04770 Adra, Almería</t>
  </si>
  <si>
    <t>Adra</t>
  </si>
  <si>
    <t>633 03 11 63</t>
  </si>
  <si>
    <t>Garden Marego</t>
  </si>
  <si>
    <t>Camino de Vera, 44, 04110 Campohermoso, Almería</t>
  </si>
  <si>
    <t>950 38 50 86</t>
  </si>
  <si>
    <t>Cooperativa Agrícola 92 Bajo Almanzora Sca</t>
  </si>
  <si>
    <t>Carretera Cuevas Aguilas, s/n, 04610 Cuevas del Almanzora, Almería</t>
  </si>
  <si>
    <t>Cuevas del Almanzora</t>
  </si>
  <si>
    <t>Floristeria Del Bas SLL</t>
  </si>
  <si>
    <t>Calle Hermanos Tapia Nevado, 5, 04860 Olula del Río, Almería</t>
  </si>
  <si>
    <t>950 44 03 28</t>
  </si>
  <si>
    <t>Lis Diseño Floral</t>
  </si>
  <si>
    <t>Paseo del Malecon, 80, 04630 Garrucha, Almería</t>
  </si>
  <si>
    <t>Garrucha</t>
  </si>
  <si>
    <t>lisfloristeria.com</t>
  </si>
  <si>
    <t>950 46 09 01</t>
  </si>
  <si>
    <t>info@lisfloristeria.com</t>
  </si>
  <si>
    <t>Pinocho</t>
  </si>
  <si>
    <t>Calle Mayor, 16, 04600 Huércal-Overa, Almería</t>
  </si>
  <si>
    <t>950 13 44 78</t>
  </si>
  <si>
    <t>Ejiturbas Respuestas naturales</t>
  </si>
  <si>
    <t>04715, Almería</t>
  </si>
  <si>
    <t>Pampanico</t>
  </si>
  <si>
    <t>ejiturbas.com</t>
  </si>
  <si>
    <t>699 48 66 88</t>
  </si>
  <si>
    <t>ejiturbas@ejiturbas.com</t>
  </si>
  <si>
    <t>Blanca Pimienta Floristas</t>
  </si>
  <si>
    <t>Transversal Corredera, 1, 18800 Baza, Granada</t>
  </si>
  <si>
    <t>Baza</t>
  </si>
  <si>
    <t>Granada</t>
  </si>
  <si>
    <t>floristeriaenbaza.com</t>
  </si>
  <si>
    <t>672 38 29 93</t>
  </si>
  <si>
    <t>blancapimientafloristas@outlook.es</t>
  </si>
  <si>
    <t>Floristería en Cádiz El Trébol Servicio Interflora</t>
  </si>
  <si>
    <t>Brunete, 8, 11007 Cádiz</t>
  </si>
  <si>
    <t>Cádiz</t>
  </si>
  <si>
    <t>lafloristeriadelbarrio.com</t>
  </si>
  <si>
    <t>956 28 65 07</t>
  </si>
  <si>
    <t>Av. las Cortes de Cádiz, 1, 11012 Cádiz</t>
  </si>
  <si>
    <t>Floristería ALMA (Flores &amp;amp; Eventos)</t>
  </si>
  <si>
    <t>Calle Pintor Clemente de Torres, 3, 11010 Cádiz</t>
  </si>
  <si>
    <t>610 19 67 82</t>
  </si>
  <si>
    <t>Daleflor</t>
  </si>
  <si>
    <t>Av. Guadalquivir, 23, 11007 Cádiz</t>
  </si>
  <si>
    <t>956 07 69 96</t>
  </si>
  <si>
    <t>Floristería Luisita</t>
  </si>
  <si>
    <t>Plaza Flores, 0 S N Puesto 3 Y 4, 11001 Cádiz</t>
  </si>
  <si>
    <t>956 21 32 09</t>
  </si>
  <si>
    <t>Deflores Carolina</t>
  </si>
  <si>
    <t>Calle Fernández Ballesteros, 7, 11009 Cádiz</t>
  </si>
  <si>
    <t>669 56 47 22</t>
  </si>
  <si>
    <t>Calle Condesa Villafuente Bermeja, 9, 11008 Cádiz</t>
  </si>
  <si>
    <t>902 92 94 26</t>
  </si>
  <si>
    <t>Floristería Jesús Garrido</t>
  </si>
  <si>
    <t>Calle José Cubiles, 38, 11002 Cádiz</t>
  </si>
  <si>
    <t>856 07 42 16</t>
  </si>
  <si>
    <t>Arte Floral Lilas</t>
  </si>
  <si>
    <t>Calle García Carrera, 49, 11009 Cádiz</t>
  </si>
  <si>
    <t>956 28 85 30</t>
  </si>
  <si>
    <t>Lilas</t>
  </si>
  <si>
    <t>Calle Topete, 4, 11001 Cádiz</t>
  </si>
  <si>
    <t>956 22 21 38</t>
  </si>
  <si>
    <t>Ragel</t>
  </si>
  <si>
    <t>Av. Lacave, 4, 11012 Cádiz</t>
  </si>
  <si>
    <t>956 25 86 26</t>
  </si>
  <si>
    <t>Paco Rosety</t>
  </si>
  <si>
    <t>Calle Ejército de África, 11009 Cádiz</t>
  </si>
  <si>
    <t>Hiperflor</t>
  </si>
  <si>
    <t>Lugar Muelle Comercial, 0 S/N, 11006 Cádiz</t>
  </si>
  <si>
    <t>956 67 73 27</t>
  </si>
  <si>
    <t>Acuario y Floristería Gadir</t>
  </si>
  <si>
    <t>Calle San José, 32, 11001 Cádiz</t>
  </si>
  <si>
    <t>es-es.facebook.com</t>
  </si>
  <si>
    <t>956 21 20 83</t>
  </si>
  <si>
    <t>Flores Nicolas</t>
  </si>
  <si>
    <t>Calle Sacramento, 19, 11001 Cádiz</t>
  </si>
  <si>
    <t>Floristeria Cementerio San Fernando</t>
  </si>
  <si>
    <t>11100 San Fernando, Cádiz</t>
  </si>
  <si>
    <t>San Fernando</t>
  </si>
  <si>
    <t>956 94 95 84</t>
  </si>
  <si>
    <t>Floristeria Los claveles</t>
  </si>
  <si>
    <t>Calle Gral. García de la Herrán, 50, 11100 San Fernando, Cádiz</t>
  </si>
  <si>
    <t>Floristeria Las Mimosas</t>
  </si>
  <si>
    <t>Calle San Rafael, 18, 11100 San Fernando, Cádiz</t>
  </si>
  <si>
    <t>956 88 29 07</t>
  </si>
  <si>
    <t>Arte Floral Magnolia</t>
  </si>
  <si>
    <t>Calle de la Pl., 127, 11510 Puerto Real, Cádiz</t>
  </si>
  <si>
    <t>Puerto Real</t>
  </si>
  <si>
    <t>956 47 30 38</t>
  </si>
  <si>
    <t>Decorflor</t>
  </si>
  <si>
    <t>Calle Isaac Peral, 2, 11100 San Fernando, Cádiz</t>
  </si>
  <si>
    <t>956 88 25 58</t>
  </si>
  <si>
    <t>Floristería Azahar</t>
  </si>
  <si>
    <t>c/ La Plaza, 8A, 11510 Puerto Real, Cádiz</t>
  </si>
  <si>
    <t>663 90 28 44</t>
  </si>
  <si>
    <t>Floristería Diego Macías</t>
  </si>
  <si>
    <t>Av. del Ejército, 8, 11500 Puerto de Santa María (El), Cádiz</t>
  </si>
  <si>
    <t>El Puerto de Sta María</t>
  </si>
  <si>
    <t>956 85 78 51</t>
  </si>
  <si>
    <t>Loste Dubois</t>
  </si>
  <si>
    <t>Calle Caldereros, 5, 11100 San Fernando, Cádiz</t>
  </si>
  <si>
    <t>Fabiola Veas Morón</t>
  </si>
  <si>
    <t>Calle Ancha, 16, 11510 Puerto Real, Cádiz</t>
  </si>
  <si>
    <t>956 83 00 21</t>
  </si>
  <si>
    <t>Floristeria Marina</t>
  </si>
  <si>
    <t>Palacios, 2, 11500 El Puerto de Sta María, Cádiz</t>
  </si>
  <si>
    <t>marinafloristeria.es</t>
  </si>
  <si>
    <t>956 54 34 27</t>
  </si>
  <si>
    <t>La Azucena</t>
  </si>
  <si>
    <t>Av. de la Libertad, s/n, 11500 El Puerto de Sta María, Cádiz</t>
  </si>
  <si>
    <t>956 54 12 15</t>
  </si>
  <si>
    <t>ETC BAHÍA Bodas, Deco, Tocados y Flores. Floristería. Ramos de novia, coronas de flores. Flores preservadas. Flores a domicilio. Eventos.</t>
  </si>
  <si>
    <t>Calle Cielos, 85, 11500 El Puerto de Sta María, Cádiz</t>
  </si>
  <si>
    <t>etcbahia.com</t>
  </si>
  <si>
    <t>956 86 46 72</t>
  </si>
  <si>
    <t>hola@etcbahia.com</t>
  </si>
  <si>
    <t>Floristería &amp;quot;El Pinillo&amp;quot;</t>
  </si>
  <si>
    <t>Av. de la Diputación, 39, 11500 El Puerto de Sta María, Cádiz</t>
  </si>
  <si>
    <t>floristeriapuertodesantamaria.com</t>
  </si>
  <si>
    <t>956 54 17 16</t>
  </si>
  <si>
    <t>Floristería Hnos Olmedo</t>
  </si>
  <si>
    <t>Calle Ntra. Sra. del Rosario, 3, 11520 Rota, Cádiz</t>
  </si>
  <si>
    <t>Rota</t>
  </si>
  <si>
    <t>viverosolmedo.es</t>
  </si>
  <si>
    <t>956 81 16 68</t>
  </si>
  <si>
    <t>Enrique</t>
  </si>
  <si>
    <t>Av. América, 11520 Rota, Cádiz</t>
  </si>
  <si>
    <t>enrique-florist.negocio.site</t>
  </si>
  <si>
    <t>956 81 29 34</t>
  </si>
  <si>
    <t>Floristería Macías Flor</t>
  </si>
  <si>
    <t>Av. de la Constitución, 17, 11500 El Puerto de Sta María, Cádiz</t>
  </si>
  <si>
    <t>floristeriamaciasflor.com</t>
  </si>
  <si>
    <t>665 27 11 89</t>
  </si>
  <si>
    <t>Floristería el pinillo-la azucena</t>
  </si>
  <si>
    <t>frente a Supersol, Avenida de la libertad, Av. de la Diputación, 39, 11500, Cádiz</t>
  </si>
  <si>
    <t>floristeriaselpinillolaazucena.es</t>
  </si>
  <si>
    <t>660 98 37 00</t>
  </si>
  <si>
    <t>Floresta: Nueva Ilusion</t>
  </si>
  <si>
    <t>Mercado de flores</t>
  </si>
  <si>
    <t>Calle Francisco García de Sola, 50, 11008 Cádiz</t>
  </si>
  <si>
    <t>florestacadiz.es</t>
  </si>
  <si>
    <t>606 31 71 10</t>
  </si>
  <si>
    <t>contact@florestacadiz.es</t>
  </si>
  <si>
    <t>Floristeria Amparo</t>
  </si>
  <si>
    <t>Calle Francisco García de Sola, 0, 11008 Cádiz</t>
  </si>
  <si>
    <t>956 27 43 16</t>
  </si>
  <si>
    <t>Floristeria Los Carmenes</t>
  </si>
  <si>
    <t>Calle Carmen Picazo, 26, 11130 Chiclana de la Frontera, Cádiz</t>
  </si>
  <si>
    <t>Chiclana de la Frontera</t>
  </si>
  <si>
    <t>Arte Floral Sweet Carolina</t>
  </si>
  <si>
    <t>Calle Corredera Baja, 13, 11130 Chiclana de la Frontera, Cádiz</t>
  </si>
  <si>
    <t>artefloralsweetcarolina.com</t>
  </si>
  <si>
    <t>956 40 03 15</t>
  </si>
  <si>
    <t>Flores Miriam Rota</t>
  </si>
  <si>
    <t>Calle Alcalde García Sánchez, 17, 11520 Rota, Cádiz</t>
  </si>
  <si>
    <t>956 81 21 61</t>
  </si>
  <si>
    <t>Floristeria Juan Antonio</t>
  </si>
  <si>
    <t>Calle Palomar, 3, 11130 Chiclana de la Frontera, Cádiz</t>
  </si>
  <si>
    <t>956 53 69 12</t>
  </si>
  <si>
    <t>Las Mimosas</t>
  </si>
  <si>
    <t>Calle Constitución, 3, 11130 Chiclana de la Frontera, Cádiz</t>
  </si>
  <si>
    <t>956 40 68 44</t>
  </si>
  <si>
    <t>La Orquidea Azul</t>
  </si>
  <si>
    <t>Carr. de Fuente Amarga, 5, 11130 Chiclana de la Frontera, Cádiz</t>
  </si>
  <si>
    <t>677 34 64 08</t>
  </si>
  <si>
    <t>ILUNION Tienda de prensa, regalos y flores (HOSPITAL PUERTO REAL)</t>
  </si>
  <si>
    <t>Carretera Nacional IV, Km. 665 cadiz, 11510, Cádiz</t>
  </si>
  <si>
    <t>retail.ilunion.com</t>
  </si>
  <si>
    <t>956 83 00 26</t>
  </si>
  <si>
    <t>marketing.retail-e360@ilunion.com</t>
  </si>
  <si>
    <t>África del Río Artemisa</t>
  </si>
  <si>
    <t>Calle Corredera Alta, 19, 11130 Chiclana de la Frontera, Cádiz</t>
  </si>
  <si>
    <t>639 04 65 30</t>
  </si>
  <si>
    <t>Jardin</t>
  </si>
  <si>
    <t>Av. Inventor Pedro Cawley, 33A, 11500 El Puerto de Sta María, Cádiz</t>
  </si>
  <si>
    <t>Azucena</t>
  </si>
  <si>
    <t>Alcalá de los Gazules</t>
  </si>
  <si>
    <t>Florbahía S.L.</t>
  </si>
  <si>
    <t>Km 3., Ctra. del Marquesado, 6, 11130 Chiclana de la Frontera, Cádiz</t>
  </si>
  <si>
    <t>florbahia.com</t>
  </si>
  <si>
    <t>956 53 34 43</t>
  </si>
  <si>
    <t>info@florbahia.com</t>
  </si>
  <si>
    <t>Artemisa</t>
  </si>
  <si>
    <t>Calle Ventura Núñez Venturita, 12, 11405 Jerez de la Frontera, Cádiz</t>
  </si>
  <si>
    <t>Jerez de la Frontera</t>
  </si>
  <si>
    <t>artemisaflor.com</t>
  </si>
  <si>
    <t>956 32 63 47</t>
  </si>
  <si>
    <t>Floristería Los Rosales</t>
  </si>
  <si>
    <t>Plaza Plateros, 11403 Jerez de la Frontera, Cádiz</t>
  </si>
  <si>
    <t>956 33 46 44</t>
  </si>
  <si>
    <t>Floristeria Los Claveles -</t>
  </si>
  <si>
    <t>Calle Honda, 7, 11402 Jerez de la Frontera, Cádiz</t>
  </si>
  <si>
    <t>956 33 75 48</t>
  </si>
  <si>
    <t>Floristería MADRE DE DIOS</t>
  </si>
  <si>
    <t>Plaza Madre de Dios, 11401 Jerez de la Frontera, Cádiz</t>
  </si>
  <si>
    <t>956 32 46 11</t>
  </si>
  <si>
    <t>FloristeríaJerez.es</t>
  </si>
  <si>
    <t>Calle de Muleros, 2, 11401 Jerez de la Frontera, Cádiz</t>
  </si>
  <si>
    <t>956 32 15 87</t>
  </si>
  <si>
    <t>Floristería Ciro</t>
  </si>
  <si>
    <t>Centro Comercial Areasur, Ctra. Circunvalación, 639, 11408 Jerez de la Frontera, Cádiz</t>
  </si>
  <si>
    <t>615 65 61 99</t>
  </si>
  <si>
    <t>Barbara arreglos florales</t>
  </si>
  <si>
    <t>Av. del Mediterráneo, 11406 Jerez de la Frontera, Cádiz</t>
  </si>
  <si>
    <t>956 33 64 04</t>
  </si>
  <si>
    <t>Floristería Los Rosales - María Olmedo</t>
  </si>
  <si>
    <t>Calle Doña Blanca, 18, 11402 Jerez de la Frontera, Cádiz</t>
  </si>
  <si>
    <t>956 34 39 73</t>
  </si>
  <si>
    <t>TELEFLORISTERÍA MACHERÍ</t>
  </si>
  <si>
    <t>Calle del Moscatel, 4, 11404 Jerez de la Frontera, Cádiz</t>
  </si>
  <si>
    <t>telefloristeriamacheri.com</t>
  </si>
  <si>
    <t>956 08 36 37</t>
  </si>
  <si>
    <t>clientes@telefloristeriamacheri.com</t>
  </si>
  <si>
    <t>FLOWERING</t>
  </si>
  <si>
    <t>Calle Évora, 15, 11402 Jerez de la Frontera, Cádiz</t>
  </si>
  <si>
    <t>flowering.es</t>
  </si>
  <si>
    <t>856 21 91 39</t>
  </si>
  <si>
    <t>info@flowering.es</t>
  </si>
  <si>
    <t>Floristería Artemisa</t>
  </si>
  <si>
    <t>artemisafloristas.com</t>
  </si>
  <si>
    <t>956 40 26 10</t>
  </si>
  <si>
    <t>Flores Olmedo</t>
  </si>
  <si>
    <t>Calle Porvera, 57, 11402 Jerez de la Frontera, Cádiz</t>
  </si>
  <si>
    <t>956 34 96 46</t>
  </si>
  <si>
    <t>Floristeria La Orquidea</t>
  </si>
  <si>
    <t>Av. Andalucía, 34, 11405 Jerez de la Frontera, Cádiz</t>
  </si>
  <si>
    <t>956 31 11 46</t>
  </si>
  <si>
    <t>Floristería Agustín</t>
  </si>
  <si>
    <t>Urbanización El Pinar Calle Albadalejo, 189-191 bis, 11406 Jerez de la Frontera, Cádiz</t>
  </si>
  <si>
    <t>956 34 14 93</t>
  </si>
  <si>
    <t>Dyragro S.L.</t>
  </si>
  <si>
    <t>Calle Hijuela del Membrillar, 8, 11408 Jerez de la Frontera, Cádiz</t>
  </si>
  <si>
    <t>956 30 13 93</t>
  </si>
  <si>
    <t>Leska</t>
  </si>
  <si>
    <t>Av. Puerta del Sur, Edif, Plaza Puerta Bahía, 7, Local 1-A, 11408 Jerez de la Frontera, Cádiz</t>
  </si>
  <si>
    <t>leska-florist.negocio.site</t>
  </si>
  <si>
    <t>856 13 38 70</t>
  </si>
  <si>
    <t>Arte Floral</t>
  </si>
  <si>
    <t>Calle Porvera, 57, 11403 Jerez de la Frontera, Cádiz</t>
  </si>
  <si>
    <t>Flores Rumex S.L.L</t>
  </si>
  <si>
    <t>Av. Sanlúcar de Barrameda, 4, 11550 Chipiona, Cádiz</t>
  </si>
  <si>
    <t>Chipiona</t>
  </si>
  <si>
    <t>floresrumex.es</t>
  </si>
  <si>
    <t>956 96 50 64</t>
  </si>
  <si>
    <t>floresrumex@gmail.com</t>
  </si>
  <si>
    <t>Florabel</t>
  </si>
  <si>
    <t>Ctra. de Chipiona, km 1,5, 11550 Sanlúcar de Barrameda, Cádiz</t>
  </si>
  <si>
    <t>Sanlúcar de Barrameda</t>
  </si>
  <si>
    <t>florabel.es</t>
  </si>
  <si>
    <t>655 83 72 24</t>
  </si>
  <si>
    <t>info@florabel.es</t>
  </si>
  <si>
    <t>La Casita de las Flores</t>
  </si>
  <si>
    <t>Calle San Juan de Dios, 22, 11170 Medina-Sidonia, Cádiz</t>
  </si>
  <si>
    <t>Medina-Sidonia</t>
  </si>
  <si>
    <t>637 27 32 95</t>
  </si>
  <si>
    <t>Sami Flor S.L.</t>
  </si>
  <si>
    <t>Av. Al.Andalus, 8, 11540 Sanlúcar de Barrameda, Cádiz</t>
  </si>
  <si>
    <t>956 38 18 79</t>
  </si>
  <si>
    <t>Floristería Sueña la margarita</t>
  </si>
  <si>
    <t>Av. Cabo Noval, núm. 23, 11540 Sanlúcar de Barrameda, Cádiz</t>
  </si>
  <si>
    <t>676 11 94 51</t>
  </si>
  <si>
    <t>Antonio Martín Caro</t>
  </si>
  <si>
    <t>Lugar Urbanización Laguna, 0 S/N, 11550 Chipiona, Cádiz</t>
  </si>
  <si>
    <t>609 50 55 56</t>
  </si>
  <si>
    <t>Floristería Cotton Candy</t>
  </si>
  <si>
    <t>Calle Solera, 3, 11140 Conil de la Frontera, Cádiz</t>
  </si>
  <si>
    <t>Conil de la Frontera</t>
  </si>
  <si>
    <t>floristeriacottoncandy.com</t>
  </si>
  <si>
    <t>956 44 01 88</t>
  </si>
  <si>
    <t>hola@floristeriacottoncandy.com</t>
  </si>
  <si>
    <t>floristeria anandres</t>
  </si>
  <si>
    <t>Av Cruz Roja, 9D, 11407 Jerez de la Frontera, Cádiz</t>
  </si>
  <si>
    <t>956 30 48 37</t>
  </si>
  <si>
    <t>Agrícola Pastorino</t>
  </si>
  <si>
    <t>Av. Sanlúcar de Barrameda, 0, 11550 Chipiona, Cádiz</t>
  </si>
  <si>
    <t>956 37 00 49</t>
  </si>
  <si>
    <t>Spanje Flor</t>
  </si>
  <si>
    <t>spanje-flor.ueniweb.com</t>
  </si>
  <si>
    <t>emiliodesoto@icloud.com</t>
  </si>
  <si>
    <t>Floristería Xauen</t>
  </si>
  <si>
    <t>Av. Andalucía, 30, 11150 Vejer de la Frontera, Cádiz</t>
  </si>
  <si>
    <t>Vejer de la Frontera</t>
  </si>
  <si>
    <t>956 44 77 21</t>
  </si>
  <si>
    <t>La Esperanza</t>
  </si>
  <si>
    <t>Plaza las Angustias, 7, 11402 Jerez de la Frontera, Cádiz</t>
  </si>
  <si>
    <t>floristerialaesperanza.com</t>
  </si>
  <si>
    <t>956 32 00 05</t>
  </si>
  <si>
    <t>mateolopezgarcia@hotmail.com</t>
  </si>
  <si>
    <t>CIRO Flor</t>
  </si>
  <si>
    <t>Calle Víctor Pradera, 12, 11550 Chipiona, Cádiz</t>
  </si>
  <si>
    <t>ciroflor.net</t>
  </si>
  <si>
    <t>Floristeria Astorga</t>
  </si>
  <si>
    <t>Calle Albufera, 17, 11160 Barbate, Cádiz</t>
  </si>
  <si>
    <t>Barbate</t>
  </si>
  <si>
    <t>690 15 30 50</t>
  </si>
  <si>
    <t>Floristería Virgen de Palomares</t>
  </si>
  <si>
    <t>Calle Cabildo, 11, 11560 Trebujena, Cádiz</t>
  </si>
  <si>
    <t>Trebujena</t>
  </si>
  <si>
    <t>instagram.com</t>
  </si>
  <si>
    <t>Floristería Centro Flor Padre Caro</t>
  </si>
  <si>
    <t>Calle Padre Caro, 2, 11140 Conil de la Frontera, Cádiz</t>
  </si>
  <si>
    <t>666 72 12 30</t>
  </si>
  <si>
    <t>Plaza Rafael Pérez del Álamo, 4, 11630 Arcos de la Frontera, Cádiz</t>
  </si>
  <si>
    <t>Arcos de la Frontera</t>
  </si>
  <si>
    <t>956 70 18 18</t>
  </si>
  <si>
    <t>Flores Miranda</t>
  </si>
  <si>
    <t>Camino de Jerez, 13, Pago, Camino de los Llanos, 11550 Chipiona, Cádiz</t>
  </si>
  <si>
    <t>956 23 50 01</t>
  </si>
  <si>
    <t>Floristería Las Calas</t>
  </si>
  <si>
    <t>Calle Josefina Aldecoa, 1, 11140 Conil de la Frontera, Cádiz</t>
  </si>
  <si>
    <t>956 45 62 01</t>
  </si>
  <si>
    <t>Floristería La Jara V Quinto Centenario</t>
  </si>
  <si>
    <t>Av. Quinto Centenario, 43, 11540 Sanlúcar de Barrameda, Cádiz</t>
  </si>
  <si>
    <t>956 36 93 50</t>
  </si>
  <si>
    <t>Enea</t>
  </si>
  <si>
    <t>Calle Fernando Viola, 3, 11405 Jerez de la Frontera, Cádiz</t>
  </si>
  <si>
    <t>florenea.es</t>
  </si>
  <si>
    <t>956 31 29 63</t>
  </si>
  <si>
    <t>Floristeria barragan</t>
  </si>
  <si>
    <t>Calle Areniscos, 31, 11650 Villamartin, Cádiz</t>
  </si>
  <si>
    <t>Villamartin</t>
  </si>
  <si>
    <t>webnode.es</t>
  </si>
  <si>
    <t>615 23 70 90</t>
  </si>
  <si>
    <t>support@webnode.es</t>
  </si>
  <si>
    <t>Mas Que Flores</t>
  </si>
  <si>
    <t>Calle Arcos, 14, 11648 Espera, Cádiz</t>
  </si>
  <si>
    <t>Espera</t>
  </si>
  <si>
    <t>691 15 28 71</t>
  </si>
  <si>
    <t>Galacticblum</t>
  </si>
  <si>
    <t>Ctra. de Chipiona, km 3,1, 11550 Sanlúcar de Barrameda, Cádiz</t>
  </si>
  <si>
    <t>galacticblum.com</t>
  </si>
  <si>
    <t>956 37 70 22</t>
  </si>
  <si>
    <t>Flores Hermanos Lazaro</t>
  </si>
  <si>
    <t>Calle Juan Sebastián Elcano, 11.550 22, Cádiz</t>
  </si>
  <si>
    <t>floreshnoslazaro.com</t>
  </si>
  <si>
    <t>956 37 46 03</t>
  </si>
  <si>
    <t>hermanoslazaro@yahoo.es</t>
  </si>
  <si>
    <t>Floristería La Margarita</t>
  </si>
  <si>
    <t>Av. de Cádiz, 1, 11600 Ubrique, Cádiz</t>
  </si>
  <si>
    <t>Ubrique</t>
  </si>
  <si>
    <t>floristerialamargaritaubrique.com</t>
  </si>
  <si>
    <t>956 46 43 55</t>
  </si>
  <si>
    <t>lamargaritafloes@outlook.es</t>
  </si>
  <si>
    <t>Vívero Lola</t>
  </si>
  <si>
    <t>s/n, Camino del Instituto, 11540 Sanlúcar de Barrameda, Cádiz</t>
  </si>
  <si>
    <t>viverolola.com</t>
  </si>
  <si>
    <t>660 70 85 27</t>
  </si>
  <si>
    <t>8b4e078a51d04e0e9efdf470027f0ec1@sentry.wixpress.com</t>
  </si>
  <si>
    <t>Floristeria El Camarin | Bodas y eventos</t>
  </si>
  <si>
    <t>Av. Andalucía, 37, 11370 Palmones, Cádiz</t>
  </si>
  <si>
    <t>Palmones</t>
  </si>
  <si>
    <t>floristeriaelcamarin.com</t>
  </si>
  <si>
    <t>677 79 96 36</t>
  </si>
  <si>
    <t>Floristería Estrechoflor Hnos</t>
  </si>
  <si>
    <t>Plaza España, 2, 11203 Algeciras, Cádiz</t>
  </si>
  <si>
    <t>Algeciras</t>
  </si>
  <si>
    <t>956 60 24 97</t>
  </si>
  <si>
    <t>Floristería Acanto</t>
  </si>
  <si>
    <t>Plaza de Andalucía, 2, 11360 San Roque, Cádiz</t>
  </si>
  <si>
    <t>San Roque</t>
  </si>
  <si>
    <t>685 92 65 66</t>
  </si>
  <si>
    <t>Floristería Las Petunias</t>
  </si>
  <si>
    <t>Av. Fuerzas Armadas, 8, 11202 Algeciras, Cádiz</t>
  </si>
  <si>
    <t>956 66 43 72</t>
  </si>
  <si>
    <t>Hermanos Aguera</t>
  </si>
  <si>
    <t>Calle Maldonado, 20, 11370 Los Barrios, Cádiz</t>
  </si>
  <si>
    <t>ECOAGRI GROW SHOP CADIZ</t>
  </si>
  <si>
    <t>Calle Ducado, 19 y 20, 11591 Guadalcacín, Cádiz</t>
  </si>
  <si>
    <t>Guadalcacín</t>
  </si>
  <si>
    <t>cannamaria.es</t>
  </si>
  <si>
    <t>615 02 91 11</t>
  </si>
  <si>
    <t>webmaster@cannamaria.es</t>
  </si>
  <si>
    <t>Casa Jardín</t>
  </si>
  <si>
    <t>Av. de la Mar, 61, 11160 Barbate, Cádiz</t>
  </si>
  <si>
    <t>956 43 24 10</t>
  </si>
  <si>
    <t>FLORISTERÍA SOL Y FLOR</t>
  </si>
  <si>
    <t>Calle Rafael de Muro, 3, 11201 Algeciras, Cádiz</t>
  </si>
  <si>
    <t>956 65 13 10</t>
  </si>
  <si>
    <t>Alicia Floristería</t>
  </si>
  <si>
    <t>Calle San Sebastián, 21, BAJO, 11600 Ubrique, Cádiz</t>
  </si>
  <si>
    <t>floristerialicia.es</t>
  </si>
  <si>
    <t>956 46 15 30</t>
  </si>
  <si>
    <t>floristeriaalicia@hotmail.com</t>
  </si>
  <si>
    <t>floristeria y pajareria yoni</t>
  </si>
  <si>
    <t>Avda de Las Flores Nª 86 Local 5, 11204 Algeciras, Cádiz</t>
  </si>
  <si>
    <t>663 19 43 47</t>
  </si>
  <si>
    <t>Floristería Cártamo Flores Sevilla Bodas &amp;amp; Eventos</t>
  </si>
  <si>
    <t>Av. de Cádiz, 7, 41004 Sevilla</t>
  </si>
  <si>
    <t>Sevilla</t>
  </si>
  <si>
    <t>cartamoflores.es</t>
  </si>
  <si>
    <t>954 09 98 86</t>
  </si>
  <si>
    <t>Florium</t>
  </si>
  <si>
    <t>Av. los Canos, 34, 11311 Guadiaro, Cádiz</t>
  </si>
  <si>
    <t>Guadiaro</t>
  </si>
  <si>
    <t>floriumsotogrande.com</t>
  </si>
  <si>
    <t>956 79 69 50</t>
  </si>
  <si>
    <t>info@floriumsotogrande.com</t>
  </si>
  <si>
    <t>floristeria ntra sra de los Milagros</t>
  </si>
  <si>
    <t>Ctra. Cementerio, 11204 Algeciras, Cádiz</t>
  </si>
  <si>
    <t>956 66 30 95</t>
  </si>
  <si>
    <t>PIENSOS Y SEMILLAS CAMACHO</t>
  </si>
  <si>
    <t>Calle Cañada Real, 23, 11591 Guadalcacín, Cádiz</t>
  </si>
  <si>
    <t>m.facebook.com</t>
  </si>
  <si>
    <t>956 15 78 37</t>
  </si>
  <si>
    <t>Floristería El Ramo</t>
  </si>
  <si>
    <t>Calle Fray Diego de Cádiz, 57, 41530 Morón de la Frontera, Sevilla</t>
  </si>
  <si>
    <t>Morón de la Frontera</t>
  </si>
  <si>
    <t>floristeriaselramo.es</t>
  </si>
  <si>
    <t>675 90 14 56</t>
  </si>
  <si>
    <t>floristeriaelramo@hotmail.com</t>
  </si>
  <si>
    <t>Floristería Estrechoflor Hnos.</t>
  </si>
  <si>
    <t>Calle Cañada los Tomates, 98, BAJO, 11206 Algeciras, Cádiz</t>
  </si>
  <si>
    <t>floristeriaestrechoflor.es</t>
  </si>
  <si>
    <t>Bambú Floristería</t>
  </si>
  <si>
    <t>Mercado Puerta De La Carne, Av. de Cádiz, 33, 41004 Sevilla</t>
  </si>
  <si>
    <t>656 65 46 79</t>
  </si>
  <si>
    <t>Floristería El Cortinal</t>
  </si>
  <si>
    <t>Calle Obispo Navarro, 7, 41740 Lebrija, Sevilla</t>
  </si>
  <si>
    <t>Lebrija</t>
  </si>
  <si>
    <t>elcortinal.es</t>
  </si>
  <si>
    <t>955 97 12 43</t>
  </si>
  <si>
    <t>floristeria@elcortinal.es</t>
  </si>
  <si>
    <t>Flores Areka</t>
  </si>
  <si>
    <t>Calle Sierra Bermeja, 0, 11311 Guadiaro, Cádiz</t>
  </si>
  <si>
    <t>floresareka.com</t>
  </si>
  <si>
    <t>617 62 81 13</t>
  </si>
  <si>
    <t>Floristeria Ana María Romero</t>
  </si>
  <si>
    <t>Calle Pozo, 36, 11693 Alcalá del Valle, Cádiz</t>
  </si>
  <si>
    <t>Alcalá del Valle</t>
  </si>
  <si>
    <t>956 12 66 48</t>
  </si>
  <si>
    <t>Floristeria Algeflor</t>
  </si>
  <si>
    <t>cementerio, Carretera antiguo, 11204 Algeciras, Cádiz</t>
  </si>
  <si>
    <t>algeflor.business.site</t>
  </si>
  <si>
    <t>615 63 72 06</t>
  </si>
  <si>
    <t>Floristería Telerosa 🌷🌹🌼</t>
  </si>
  <si>
    <t>Av de Europa, 5, 29003 Málaga</t>
  </si>
  <si>
    <t>Málaga</t>
  </si>
  <si>
    <t>telerosa.com</t>
  </si>
  <si>
    <t>900 264 088</t>
  </si>
  <si>
    <t>publi@telerosa.com</t>
  </si>
  <si>
    <t>Florarte Decoración</t>
  </si>
  <si>
    <t>A-480 KM. 3,2, 11550 Chipiona, Cádiz</t>
  </si>
  <si>
    <t>florartedecoracion.es</t>
  </si>
  <si>
    <t>956 37 70 64</t>
  </si>
  <si>
    <t>Floristería Juani</t>
  </si>
  <si>
    <t>Av. Juan Luis Peralta, 11, 29631 Benalmádena, Málaga</t>
  </si>
  <si>
    <t>Benalmádena</t>
  </si>
  <si>
    <t>floristeriabenalmadena.com</t>
  </si>
  <si>
    <t>952 56 84 47</t>
  </si>
  <si>
    <t>info@floristeriabenalmadena.com</t>
  </si>
  <si>
    <t>Floristería Ramón Luque</t>
  </si>
  <si>
    <t>Calle Alcalde Velasco Navarro, 1, Local, 14004 Córdoba</t>
  </si>
  <si>
    <t>Córdoba</t>
  </si>
  <si>
    <t>ramonluque.es</t>
  </si>
  <si>
    <t>957 23 24 61</t>
  </si>
  <si>
    <t>support@elletricity.com</t>
  </si>
  <si>
    <t>Floristería Ángela</t>
  </si>
  <si>
    <t>Calle Isla Mallorca, 14011 Córdoba</t>
  </si>
  <si>
    <t>floristeriasencordoba.com</t>
  </si>
  <si>
    <t>957 46 28 21</t>
  </si>
  <si>
    <t>angelafloristas@hotmail.com</t>
  </si>
  <si>
    <t>MY Floristería</t>
  </si>
  <si>
    <t>Calle Vázquez Aroca, 23, 14005 Córdoba</t>
  </si>
  <si>
    <t>myfloristeria.com</t>
  </si>
  <si>
    <t>957 23 82 62</t>
  </si>
  <si>
    <t>info@myfloristeria.com</t>
  </si>
  <si>
    <t>Floristeria Cordoba | Santa Marta</t>
  </si>
  <si>
    <t>Calle Osario, 20, 14001 Córdoba</t>
  </si>
  <si>
    <t>floressantamarta.com</t>
  </si>
  <si>
    <t>957 47 08 18</t>
  </si>
  <si>
    <t>Jardin de Fatima</t>
  </si>
  <si>
    <t>Av. Virgen de Fátima, 22, 14014 Córdoba</t>
  </si>
  <si>
    <t>floristeriajardindefatima.com</t>
  </si>
  <si>
    <t>957 26 54 51</t>
  </si>
  <si>
    <t>floresjardindefatima@gmail.com</t>
  </si>
  <si>
    <t>Calle Escritora Rosa Chacel, 2, 14004 Córdoba</t>
  </si>
  <si>
    <t>floristeriaazahar.es</t>
  </si>
  <si>
    <t>957 45 46 15</t>
  </si>
  <si>
    <t>Floristería El Puentecillo</t>
  </si>
  <si>
    <t>Calle Poeta Emilio Prados, 14012 Córdoba</t>
  </si>
  <si>
    <t>elpuentecillo.es</t>
  </si>
  <si>
    <t>957 10 77 39</t>
  </si>
  <si>
    <t>Floristería Reina</t>
  </si>
  <si>
    <t>Calle el Avellano, 1, Av. Cruz de Juárez, 14, 14006 Córdoba</t>
  </si>
  <si>
    <t>floristeriareina.es</t>
  </si>
  <si>
    <t>957 27 27 87</t>
  </si>
  <si>
    <t>Floristería Jardín De Fátima</t>
  </si>
  <si>
    <t>Calle Arcos de la Frontera, 21, 14014 Córdoba</t>
  </si>
  <si>
    <t>957 26 06 70</t>
  </si>
  <si>
    <t>Floristería Rosa</t>
  </si>
  <si>
    <t>Calle Priego de Córdoba, 7, 14013 Córdoba</t>
  </si>
  <si>
    <t>floristeriasrosa.com</t>
  </si>
  <si>
    <t>957 29 52 20</t>
  </si>
  <si>
    <t>floristeriarosacordoba@hotmail.es</t>
  </si>
  <si>
    <t>Floristería Miraime</t>
  </si>
  <si>
    <t>Calle José Zorrilla, 1, 14008 Córdoba</t>
  </si>
  <si>
    <t>957 49 20 96</t>
  </si>
  <si>
    <t>Floristería Jardín</t>
  </si>
  <si>
    <t>Av. Guerrita, 22, 14005 Córdoba</t>
  </si>
  <si>
    <t>957 23 68 61</t>
  </si>
  <si>
    <t>Floristería PINSAPO, Córdoba.</t>
  </si>
  <si>
    <t>Calle San Felipe, 11, 14003 Córdoba</t>
  </si>
  <si>
    <t>pinsapodecoracion.com</t>
  </si>
  <si>
    <t>957 49 04 76</t>
  </si>
  <si>
    <t>direccion@pinsapodecoracion.com</t>
  </si>
  <si>
    <t>Asterflor - Flores y Plantas</t>
  </si>
  <si>
    <t>Plaza de Colón, 21, LOCAL, 14001 Córdoba</t>
  </si>
  <si>
    <t>asterflor.es</t>
  </si>
  <si>
    <t>957 66 67 34</t>
  </si>
  <si>
    <t>info@outlook.com</t>
  </si>
  <si>
    <t>Floristería Santa Marina</t>
  </si>
  <si>
    <t>Calle de Sta. Isabel, 12, 14001 Córdoba</t>
  </si>
  <si>
    <t>floristeriaonline.org</t>
  </si>
  <si>
    <t>957 47 44 25</t>
  </si>
  <si>
    <t>Floristería Granada</t>
  </si>
  <si>
    <t>Av. Granada, 18, 14009 Córdoba</t>
  </si>
  <si>
    <t>957 29 33 05</t>
  </si>
  <si>
    <t>Floristería Lolaflowers Córdoba</t>
  </si>
  <si>
    <t>Calle San Pablo, 28, 14002 Córdoba</t>
  </si>
  <si>
    <t>lolaflowers.es</t>
  </si>
  <si>
    <t>957 49 15 59</t>
  </si>
  <si>
    <t>Floristería y Decoración Aurora</t>
  </si>
  <si>
    <t>Calle Dr. Gregorio Marañón, 3, 14004 Córdoba</t>
  </si>
  <si>
    <t>957 20 33 41</t>
  </si>
  <si>
    <t>Floristeria Los Patios</t>
  </si>
  <si>
    <t>Calle Caravaca de la Cruz, 4, 14007 Córdoba</t>
  </si>
  <si>
    <t>floristerialospatios.es</t>
  </si>
  <si>
    <t>957 43 81 15</t>
  </si>
  <si>
    <t>info@floristerialospatios.es</t>
  </si>
  <si>
    <t>Floristería Mónica</t>
  </si>
  <si>
    <t>Av. del Gran Capitán, 19, 14008 Córdoba</t>
  </si>
  <si>
    <t>monicafloristas.blogspot.com.es</t>
  </si>
  <si>
    <t>957 47 99 13</t>
  </si>
  <si>
    <t>Av. de Libia, 56, 14014 Córdoba</t>
  </si>
  <si>
    <t>957 43 59 47</t>
  </si>
  <si>
    <t>Floristería Olga</t>
  </si>
  <si>
    <t>Calle Alcalde Sanz Noguer, n18, 14005 Córdoba</t>
  </si>
  <si>
    <t>957 23 92 67</t>
  </si>
  <si>
    <t>Flores Y Plantas Loli</t>
  </si>
  <si>
    <t>Calle Escritor Jiménez Lora, 15, 14014 Córdoba</t>
  </si>
  <si>
    <t>957 25 14 20</t>
  </si>
  <si>
    <t>Floristería Carpe Diem</t>
  </si>
  <si>
    <t>Calle el Nogal, 10, Local, 14006 Córdoba</t>
  </si>
  <si>
    <t>floristeriacarpediem.com</t>
  </si>
  <si>
    <t>659 28 74 49</t>
  </si>
  <si>
    <t>Floristería Antonia Garcia</t>
  </si>
  <si>
    <t>Calle maestro Eloy vaquero castillo, local 9, 14011 Córdoba</t>
  </si>
  <si>
    <t>957 27 16 64</t>
  </si>
  <si>
    <t>La Viñuela Floristeria</t>
  </si>
  <si>
    <t>Avenida de Libia, Av. de Barcelona, 14010 Córdoba</t>
  </si>
  <si>
    <t>957 25 96 91</t>
  </si>
  <si>
    <t>Floristerias Salcedo</t>
  </si>
  <si>
    <t>Calle Acera Fuente de la Salud, 3, 14006 Córdoba</t>
  </si>
  <si>
    <t>957 32 95 31</t>
  </si>
  <si>
    <t>Flores Encarni</t>
  </si>
  <si>
    <t>Plaza de la Corredera, puesto 47, 14002 Córdoba</t>
  </si>
  <si>
    <t>600 08 03 25</t>
  </si>
  <si>
    <t>Roldan floristas</t>
  </si>
  <si>
    <t>Calle Sta. María de Gracia, 1, 14002 Córdoba</t>
  </si>
  <si>
    <t>957 04 77 40</t>
  </si>
  <si>
    <t>Atelier das flores Cordoba</t>
  </si>
  <si>
    <t>Pje. José Aumente Baena, 7, 14008 Córdoba</t>
  </si>
  <si>
    <t>682 82 98 95</t>
  </si>
  <si>
    <t>Floristería Encarnita Sl</t>
  </si>
  <si>
    <t>Calle Carmen López Román, 10, 14010 Córdoba</t>
  </si>
  <si>
    <t>957 25 22 52</t>
  </si>
  <si>
    <t>Floristería Marí</t>
  </si>
  <si>
    <t>Calle López Amo, 4, 14006 Córdoba</t>
  </si>
  <si>
    <t>957 04 66 14</t>
  </si>
  <si>
    <t>Floristería Puri León</t>
  </si>
  <si>
    <t>Hno Juan Fernández, 14014 Córdoba</t>
  </si>
  <si>
    <t>699 10 31 95</t>
  </si>
  <si>
    <t>DETALLES MAMIS</t>
  </si>
  <si>
    <t>Av. de Cádiz, 56, 14009 Córdoba</t>
  </si>
  <si>
    <t>615 21 22 06</t>
  </si>
  <si>
    <t>Voule Eventos y Floristas</t>
  </si>
  <si>
    <t>edificio.Nilo, local Nº3, Hno Juan Fernández, 14014 Córdoba</t>
  </si>
  <si>
    <t>vouleeventos.com</t>
  </si>
  <si>
    <t>957 10 42 50</t>
  </si>
  <si>
    <t>vouleeventos@gmail.com</t>
  </si>
  <si>
    <t>Flóristería</t>
  </si>
  <si>
    <t>Calle Escritor Fernández Franco, 3, 14007 Córdoba</t>
  </si>
  <si>
    <t>Trébol</t>
  </si>
  <si>
    <t>Calle Maestro Priego López, 10, 14004 Córdoba</t>
  </si>
  <si>
    <t>610 71 49 60</t>
  </si>
  <si>
    <t>Floristería Gitanillas.com</t>
  </si>
  <si>
    <t>14010 Córdoba</t>
  </si>
  <si>
    <t>685 12 05 36</t>
  </si>
  <si>
    <t>Floristeria Las Camelias</t>
  </si>
  <si>
    <t>Calle Historiador Jaén Morente, 34, 14014 Córdoba</t>
  </si>
  <si>
    <t>957 43 52 06</t>
  </si>
  <si>
    <t>Zoa</t>
  </si>
  <si>
    <t>Calle Pintor Cuenca Muñoz, 4, 14008 Córdoba</t>
  </si>
  <si>
    <t>957 48 52 19</t>
  </si>
  <si>
    <t>Los Girasoles</t>
  </si>
  <si>
    <t>Lugar, Calle Arroyo de San Lorenzo, 1, 14002 Córdoba</t>
  </si>
  <si>
    <t>617 79 55 22</t>
  </si>
  <si>
    <t>Antonio Castillo Mayen</t>
  </si>
  <si>
    <t>Fernando Flores Flores</t>
  </si>
  <si>
    <t>Calle Mayor de Sta. Marina, 8, 14001 Córdoba</t>
  </si>
  <si>
    <t>957 47 93 92</t>
  </si>
  <si>
    <t>Josefa López Miranda</t>
  </si>
  <si>
    <t>957 26 00 67</t>
  </si>
  <si>
    <t>Floristería Cordobesa</t>
  </si>
  <si>
    <t>14002 Córdoba</t>
  </si>
  <si>
    <t>floristeriacordobesa.com</t>
  </si>
  <si>
    <t>957 47 96 12</t>
  </si>
  <si>
    <t>correoelectronico@ejemplo.com</t>
  </si>
  <si>
    <t>Diverflora</t>
  </si>
  <si>
    <t>Plaza de la Costa del Sol, 2, 14005 Córdoba</t>
  </si>
  <si>
    <t>675 80 53 73</t>
  </si>
  <si>
    <t>Serena In bloom diseño floral</t>
  </si>
  <si>
    <t>Adamuz</t>
  </si>
  <si>
    <t>657 48 75 88</t>
  </si>
  <si>
    <t>Francisco Sánchez Ibáñez</t>
  </si>
  <si>
    <t>Plaza de Aladreros, 4, 14008 Córdoba</t>
  </si>
  <si>
    <t>Serrano Moreno José</t>
  </si>
  <si>
    <t>Calle Enmedio, 16, 14004 Córdoba</t>
  </si>
  <si>
    <t>creaciones el deseo</t>
  </si>
  <si>
    <t>Pje. Escultor Felipe Rivas, 1, 14014 Córdoba</t>
  </si>
  <si>
    <t>eldeseofloristeria.blogspot.com</t>
  </si>
  <si>
    <t>957 44 09 18</t>
  </si>
  <si>
    <t>floristeriaeldeseo@hotmail.es</t>
  </si>
  <si>
    <t>TIENDA ILUNION - HOSPITAL PROVINCIAL DE CÓRDOBA</t>
  </si>
  <si>
    <t>Av. Menéndez Pidal, s/n, 14004 Córdoba</t>
  </si>
  <si>
    <t>ilunionretail.com</t>
  </si>
  <si>
    <t>957 42 12 56</t>
  </si>
  <si>
    <t>Flores Yordi</t>
  </si>
  <si>
    <t>Carolina León Florista</t>
  </si>
  <si>
    <t>Calle Tallinn, nave 7, 14014, Córdoba</t>
  </si>
  <si>
    <t>carolinaleonflorista.es</t>
  </si>
  <si>
    <t>617 43 83 91</t>
  </si>
  <si>
    <t>info@carolinaleonflorista.es</t>
  </si>
  <si>
    <t>TIENDA ILUNION - HOSPITAL REINA SOFÍA</t>
  </si>
  <si>
    <t>Av. Menéndez Pidal, S/N, 14004 Córdoba</t>
  </si>
  <si>
    <t>957 42 22 05</t>
  </si>
  <si>
    <t>Floristería Andaluflor</t>
  </si>
  <si>
    <t>Calle Llanos del Castillo, número 32, 14005 El Higueron, Córdoba</t>
  </si>
  <si>
    <t>El Higueron</t>
  </si>
  <si>
    <t>andaluflor.es</t>
  </si>
  <si>
    <t>957 32 95 33</t>
  </si>
  <si>
    <t>info@andaluflor.es</t>
  </si>
  <si>
    <t>Floristería VILLAFLOR</t>
  </si>
  <si>
    <t>Ctra. Palma del Río, Km 6, 14193 Córdoba</t>
  </si>
  <si>
    <t>floristeriavillaflor.com</t>
  </si>
  <si>
    <t>957 32 92 29</t>
  </si>
  <si>
    <t>villaflor1@floristeriavillaflor.com</t>
  </si>
  <si>
    <t>Hojas y Plantas de Colección</t>
  </si>
  <si>
    <t>Urbanización Peñatejada, 23, D, 14014 Córdoba</t>
  </si>
  <si>
    <t>ueniweb.com</t>
  </si>
  <si>
    <t>679 26 68 48</t>
  </si>
  <si>
    <t>marketWatch@2x.png</t>
  </si>
  <si>
    <t>Antonia García Navarro</t>
  </si>
  <si>
    <t>Calle Maestro Eloy Vaquero Cantillo, 9, 14011 Córdoba</t>
  </si>
  <si>
    <t>Floristería Layla</t>
  </si>
  <si>
    <t>Travesía Madrid N - IV ( Alcolea ), 78 (Extrarradio), 14610 Alcolea</t>
  </si>
  <si>
    <t>Alcolea</t>
  </si>
  <si>
    <t>957 32 04 72</t>
  </si>
  <si>
    <t>mygestiplanta</t>
  </si>
  <si>
    <t>calle parroquia pisos RENFE numero 1 segunda, izquierda, 14710 Córdoba</t>
  </si>
  <si>
    <t>608 35 63 45</t>
  </si>
  <si>
    <t>Flores Lola</t>
  </si>
  <si>
    <t>Calle Dr. Berral, 1, 14520 Fernán-Núñez, Córdoba</t>
  </si>
  <si>
    <t>Fernán-Núñez</t>
  </si>
  <si>
    <t>flores-lola.negocio.site</t>
  </si>
  <si>
    <t>600 84 00 54</t>
  </si>
  <si>
    <t>Floristeria Artesania Andaluza</t>
  </si>
  <si>
    <t>Av de Andalucia, 29, 14620 El Carpio, Córdoba</t>
  </si>
  <si>
    <t>El Carpio</t>
  </si>
  <si>
    <t>floristeriaartesaniaandaluza.es</t>
  </si>
  <si>
    <t>618 72 68 86</t>
  </si>
  <si>
    <t>Floristería Abril</t>
  </si>
  <si>
    <t>Calle San Sebastián, 122C, 14520 Fernán-Núñez, Córdoba</t>
  </si>
  <si>
    <t>957 38 00 26</t>
  </si>
  <si>
    <t>Buganvilla Floristería &amp;amp; Decoración</t>
  </si>
  <si>
    <t>Calle Barroso, 10, 14420 Villafranca de Córdoba, Córdoba</t>
  </si>
  <si>
    <t>Villafranca de Córdoba</t>
  </si>
  <si>
    <t>buganvilla.negocio.site</t>
  </si>
  <si>
    <t>744 64 10 41</t>
  </si>
  <si>
    <t>Gardenia</t>
  </si>
  <si>
    <t>Av. Alcalde Manuel Alba, 41008 Sevilla, Córdoba</t>
  </si>
  <si>
    <t>954 35 22 36</t>
  </si>
  <si>
    <t>Floristería la Inmaculada</t>
  </si>
  <si>
    <t>Calle Santiago, 8, 14730 Posadas, Córdoba</t>
  </si>
  <si>
    <t>Posadas</t>
  </si>
  <si>
    <t>957 63 15 06</t>
  </si>
  <si>
    <t>Mundo animal y mil flores</t>
  </si>
  <si>
    <t>PLAZA ALBERQUILLAS, 6, 14720 Almodóvar del Río, Córdoba</t>
  </si>
  <si>
    <t>Almodóvar del Río</t>
  </si>
  <si>
    <t>616 09 66 60</t>
  </si>
  <si>
    <t>Floristería González</t>
  </si>
  <si>
    <t>Calle del Pintor Pablo Picasso, 8, 14730 Posadas, Córdoba</t>
  </si>
  <si>
    <t>957 63 16 69</t>
  </si>
  <si>
    <t>Floristería Santa María</t>
  </si>
  <si>
    <t>Calle San José, 17, 14548 Montalbán de Córdoba, Córdoba</t>
  </si>
  <si>
    <t>Montalbán de Córdoba</t>
  </si>
  <si>
    <t>957 31 10 88</t>
  </si>
  <si>
    <t>Floristería Iris</t>
  </si>
  <si>
    <t>Calle Córdoba, 44, 14840 Castro del Río, Córdoba</t>
  </si>
  <si>
    <t>Castro del Río</t>
  </si>
  <si>
    <t>957 37 21 83</t>
  </si>
  <si>
    <t>Flores Eva S.L.</t>
  </si>
  <si>
    <t>Calle Cdad. de Sevilla, 2, 14550 Montilla, Córdoba</t>
  </si>
  <si>
    <t>Montilla</t>
  </si>
  <si>
    <t>floreseva.com</t>
  </si>
  <si>
    <t>957 65 13 73</t>
  </si>
  <si>
    <t>Floristería Inma</t>
  </si>
  <si>
    <t>Calle Concepción, 16, 14120 Fuente Palmera, Córdoba</t>
  </si>
  <si>
    <t>Fuente Palmera</t>
  </si>
  <si>
    <t>Floristería Salvi</t>
  </si>
  <si>
    <t>Calle Monjas, 12, 14650 Bujalance, Córdoba</t>
  </si>
  <si>
    <t>Bujalance</t>
  </si>
  <si>
    <t>957 17 14 21</t>
  </si>
  <si>
    <t>El taller de Dulia (Floryboda)</t>
  </si>
  <si>
    <t>Av. Carlos III, 91, 14100 La Carlota, Córdoba</t>
  </si>
  <si>
    <t>La Carlota</t>
  </si>
  <si>
    <t>608 50 81 63</t>
  </si>
  <si>
    <t>Av. de María Auxiliadora, 18, 14550 Montilla, Córdoba</t>
  </si>
  <si>
    <t>Floristería Lolaflowers Montilla</t>
  </si>
  <si>
    <t>Calle San Francisco Solano, 7, 14550 Montilla, Córdoba</t>
  </si>
  <si>
    <t>957 65 45 11</t>
  </si>
  <si>
    <t>Floristería La Rosa De Lucía</t>
  </si>
  <si>
    <t>Calle Concepción, 9, 14650 Bujalance, Córdoba</t>
  </si>
  <si>
    <t>658 77 61 20</t>
  </si>
  <si>
    <t>Floristeria y Paisajismo Andres Ayllon</t>
  </si>
  <si>
    <t>Calle del Posito, 10, 14430 Adamuz, Córdoba</t>
  </si>
  <si>
    <t>699 79 45 74</t>
  </si>
  <si>
    <t>Floristería Luque Arte Floral</t>
  </si>
  <si>
    <t>Calle Corredera, 32, 14600 Montoro, Córdoba</t>
  </si>
  <si>
    <t>Montoro</t>
  </si>
  <si>
    <t>957 16 17 30</t>
  </si>
  <si>
    <t>Floristería Virgen del Rosario</t>
  </si>
  <si>
    <t>Calle Santos Isasa, 31, 14600 Montoro, Córdoba</t>
  </si>
  <si>
    <t>957 16 03 20</t>
  </si>
  <si>
    <t>Ceraplant S C</t>
  </si>
  <si>
    <t>Calle Marcos González, 2, 14540 Rambla ( La ), Córdoba</t>
  </si>
  <si>
    <t>La Rambla</t>
  </si>
  <si>
    <t>957 68 22 31</t>
  </si>
  <si>
    <t>Floristería San Bartolomé</t>
  </si>
  <si>
    <t>Av. Andalucía, 12, 14600 Montoro, Córdoba</t>
  </si>
  <si>
    <t>639 67 28 45</t>
  </si>
  <si>
    <t>Floristeria Carmen Y Toñi</t>
  </si>
  <si>
    <t>Calle Méndez Núñez, 16, 14120 Fuente Palmera, Córdoba</t>
  </si>
  <si>
    <t>Gabriel Clemente flor</t>
  </si>
  <si>
    <t>Unnamed Road 14010, 14010, Córdoba</t>
  </si>
  <si>
    <t>Floricultura Merino Menor</t>
  </si>
  <si>
    <t>Diseminado Diseminados, 104, 14550 Montilla, Córdoba</t>
  </si>
  <si>
    <t>957 65 47 98</t>
  </si>
  <si>
    <t>Floristería Castell Córdoba</t>
  </si>
  <si>
    <t>Av. Paz, 24, 14700 Palma del Río, Córdoba</t>
  </si>
  <si>
    <t>Palma del Río</t>
  </si>
  <si>
    <t>castell-floristas.es</t>
  </si>
  <si>
    <t>957 71 01 21</t>
  </si>
  <si>
    <t>Floristería Irene</t>
  </si>
  <si>
    <t>Calle Julio Romero, 21, 14660 Cañete de las Torres, Córdoba</t>
  </si>
  <si>
    <t>Entre Petalos</t>
  </si>
  <si>
    <t>Calle Callejones, 13, 14546 Santaella, Córdoba</t>
  </si>
  <si>
    <t>Santaella</t>
  </si>
  <si>
    <t>857 61 03 23</t>
  </si>
  <si>
    <t>Isabelita Floristería</t>
  </si>
  <si>
    <t>Calle Mercaderes, 12, 14920 Aguilar de la Frontera, Córdoba</t>
  </si>
  <si>
    <t>Aguilar de la Frontera</t>
  </si>
  <si>
    <t>615 48 92 22</t>
  </si>
  <si>
    <t>Floristería MAJA</t>
  </si>
  <si>
    <t>Calle Juan Pedro Carmona, 1A, 14530 Montemayor, Córdoba</t>
  </si>
  <si>
    <t>Montemayor</t>
  </si>
  <si>
    <t>floristeria-maja.ueniweb.com</t>
  </si>
  <si>
    <t>957 38 40 80</t>
  </si>
  <si>
    <t>floristeriamaja@gmail.com</t>
  </si>
  <si>
    <t>Flores del Patio. Arte floral. Wedding Planner</t>
  </si>
  <si>
    <t>Calle Andalucía, 9, 14920 Aguilar de la Frontera, Córdoba</t>
  </si>
  <si>
    <t>floresdelpatio.com</t>
  </si>
  <si>
    <t>957 66 09 74</t>
  </si>
  <si>
    <t>Floristería Santa María Interflora</t>
  </si>
  <si>
    <t>Calle Carrera Baja, 3, 14540 La Rambla, Córdoba</t>
  </si>
  <si>
    <t>957 68 21 23</t>
  </si>
  <si>
    <t>Fuenteflor Maria</t>
  </si>
  <si>
    <t>Calle Carlos III, 37, 14120 Fuente Palmera, Córdoba</t>
  </si>
  <si>
    <t>957 63 82 84</t>
  </si>
  <si>
    <t>Floristería Ramos</t>
  </si>
  <si>
    <t>Calle Magistrado Eguilaz, 2, 14850 Baena, Córdoba</t>
  </si>
  <si>
    <t>Baena</t>
  </si>
  <si>
    <t>floristeriaramos.es</t>
  </si>
  <si>
    <t>957 94 52 21</t>
  </si>
  <si>
    <t>floristeriaramosbaena@gmail.com</t>
  </si>
  <si>
    <t>Andaluza Floristerias 2</t>
  </si>
  <si>
    <t>Calle Mayor, 67, 14400 Pozoblanco, Córdoba</t>
  </si>
  <si>
    <t>Pozoblanco</t>
  </si>
  <si>
    <t>andaluzafloristerias.es</t>
  </si>
  <si>
    <t>957 77 32 54</t>
  </si>
  <si>
    <t>Floristeria Paqui</t>
  </si>
  <si>
    <t>Calle Gral. Morales, 14850 Baena, Córdoba</t>
  </si>
  <si>
    <t>Floristería Paqui</t>
  </si>
  <si>
    <t>Calle Gral. Morales, 7, 14850 Baena, Córdoba</t>
  </si>
  <si>
    <t>floristeriapaqui.es</t>
  </si>
  <si>
    <t>609 77 09 71</t>
  </si>
  <si>
    <t>contact@templatesforjoomla.eu</t>
  </si>
  <si>
    <t>Floristería Virgen de la Sierra</t>
  </si>
  <si>
    <t>Av de Andalucía, 18, 14940 Cabra, Córdoba</t>
  </si>
  <si>
    <t>Cabra</t>
  </si>
  <si>
    <t>627 65 43 65</t>
  </si>
  <si>
    <t>Floristería Natura</t>
  </si>
  <si>
    <t>Calle del, Calle Dr. Fleming, 5, LOCAL 2, 14400 Pozoblanco, Córdoba</t>
  </si>
  <si>
    <t>floristeriaspozoblanco.com</t>
  </si>
  <si>
    <t>957 13 02 07</t>
  </si>
  <si>
    <t>correo@floristerianatura.es</t>
  </si>
  <si>
    <t>Pedro Antonio García García</t>
  </si>
  <si>
    <t>Calle Juan Ramón Jiménez, 24, 14440 Villanueva de Córdoba, Córdoba</t>
  </si>
  <si>
    <t>Villanueva de Córdoba</t>
  </si>
  <si>
    <t>957 12 01 90</t>
  </si>
  <si>
    <t>Planelles Mundo Natura</t>
  </si>
  <si>
    <t>Calle Cervantes, 15, 14600 Montoro, Córdoba</t>
  </si>
  <si>
    <t>957 16 03 38</t>
  </si>
  <si>
    <t>La Ribera, floristería y decoración</t>
  </si>
  <si>
    <t>AVENIDA RIBERA DE SAN ISIDRO LABRADOR, 73, 14640 Villa del Río, Córdoba</t>
  </si>
  <si>
    <t>Villa del Río</t>
  </si>
  <si>
    <t>957 17 64 31</t>
  </si>
  <si>
    <t>Floristería Mari Carmen</t>
  </si>
  <si>
    <t>Plaza de la Diputación, 14940 Cabra, Córdoba</t>
  </si>
  <si>
    <t>957 52 20 22</t>
  </si>
  <si>
    <t>Floristería Peña Flor</t>
  </si>
  <si>
    <t>Calle de, Calle Navarro Sáez, 42, 14200 Peñarroya-Pueblonuevo, Córdoba</t>
  </si>
  <si>
    <t>Peñarroya-Pueblonuevo</t>
  </si>
  <si>
    <t>floristeriapenaflor.com</t>
  </si>
  <si>
    <t>957 56 10 61</t>
  </si>
  <si>
    <t>pafernni@hotmail.com</t>
  </si>
  <si>
    <t>Inmaculada</t>
  </si>
  <si>
    <t>Calle Aguilar, 4, 14500 Puente Genil, Córdoba</t>
  </si>
  <si>
    <t>Puente Genil</t>
  </si>
  <si>
    <t>616 64 22 90</t>
  </si>
  <si>
    <t>Floristería Taber</t>
  </si>
  <si>
    <t>Calle Virgen de la Cabeza, 2, 14800 Priego de Córdoba, Córdoba</t>
  </si>
  <si>
    <t>Priego de Córdoba</t>
  </si>
  <si>
    <t>floristeriataber.es</t>
  </si>
  <si>
    <t>957 54 15 24</t>
  </si>
  <si>
    <t>Floristería Mencía</t>
  </si>
  <si>
    <t>Calle federico garcia lorca, 6, 14860 Doña Mencía, Córdoba</t>
  </si>
  <si>
    <t>Doña Mencía</t>
  </si>
  <si>
    <t>957 67 62 05</t>
  </si>
  <si>
    <t>Floristeria El Romero</t>
  </si>
  <si>
    <t>Av. de España, 8, BAJO, 14800 Priego de Córdoba, Córdoba</t>
  </si>
  <si>
    <t>957 54 15 45</t>
  </si>
  <si>
    <t>Floristería Ronchel</t>
  </si>
  <si>
    <t>Calle Isabel la Católica, 17, 14800 Priego de Córdoba, Córdoba</t>
  </si>
  <si>
    <t>957 54 15 14</t>
  </si>
  <si>
    <t>FLORISTERÍA AMELIA</t>
  </si>
  <si>
    <t>Av. Corredera, 25, 14270 Hinojosa del Duque, Córdoba</t>
  </si>
  <si>
    <t>Hinojosa del Duque</t>
  </si>
  <si>
    <t>floristeriaamelia.com</t>
  </si>
  <si>
    <t>957 14 00 27</t>
  </si>
  <si>
    <t>info@floristeriaamelia.com</t>
  </si>
  <si>
    <t>Floristería Mayte en Belmez</t>
  </si>
  <si>
    <t>Real, 21, 14240 Belmez, Córdoba</t>
  </si>
  <si>
    <t>Belmez</t>
  </si>
  <si>
    <t>957 56 01 47</t>
  </si>
  <si>
    <t>Floristería Fiori</t>
  </si>
  <si>
    <t>Calle del Mercado, s/n, 14270 Hinojosa del Duque, Córdoba</t>
  </si>
  <si>
    <t>957 14 00 85</t>
  </si>
  <si>
    <t>Creaciones Torres</t>
  </si>
  <si>
    <t>Calle Casariche, 12, 14500 Puente Genil, Córdoba</t>
  </si>
  <si>
    <t>957 60 77 80</t>
  </si>
  <si>
    <t>DISTRIBUCIONES POLO</t>
  </si>
  <si>
    <t>Av. Boucau, 21, 14550 Montilla, Córdoba</t>
  </si>
  <si>
    <t>distribucionespolo.net</t>
  </si>
  <si>
    <t>669 17 84 87</t>
  </si>
  <si>
    <t>Floristeria Nerine Arte Floral</t>
  </si>
  <si>
    <t>Calle Nueva de la Virgen, 3, local 1, 18005 Granada</t>
  </si>
  <si>
    <t>floristerianerine.com</t>
  </si>
  <si>
    <t>958 25 72 94</t>
  </si>
  <si>
    <t>Floristas Bonsai</t>
  </si>
  <si>
    <t>Camino de Ronda, 34, 18004 Granada</t>
  </si>
  <si>
    <t>floristasbonsai.negocio.site</t>
  </si>
  <si>
    <t>678 43 73 74</t>
  </si>
  <si>
    <t>Floristería Osuna Granada - Envío de flores y rosas a domicilio - Coronas fúnebres</t>
  </si>
  <si>
    <t>Av. de Andalucía, 20, 18014 Granada</t>
  </si>
  <si>
    <t>floresosuna.com</t>
  </si>
  <si>
    <t>958 29 22 08</t>
  </si>
  <si>
    <t>Floristería Paquita</t>
  </si>
  <si>
    <t>Esquina con Recogidas, C. San Antón, 3, 18005 Granada</t>
  </si>
  <si>
    <t>floristeriapaquita.com</t>
  </si>
  <si>
    <t>958 53 63 18</t>
  </si>
  <si>
    <t>Floristerías La Mimosa</t>
  </si>
  <si>
    <t>Calle Sagrada Familia, 8, 18015 Granada</t>
  </si>
  <si>
    <t>floristeriaslamimosa.es</t>
  </si>
  <si>
    <t>958 29 02 96</t>
  </si>
  <si>
    <t>floristeriaslamimosa@gmail.com</t>
  </si>
  <si>
    <t>Floristería Leyva</t>
  </si>
  <si>
    <t>Calle Emperatriz Eugenia, 17, 18002 Granada</t>
  </si>
  <si>
    <t>floristerialeyva.com</t>
  </si>
  <si>
    <t>958 20 32 23</t>
  </si>
  <si>
    <t>floristerialeyva@gmail.com.com</t>
  </si>
  <si>
    <t>Floristería Verdegal</t>
  </si>
  <si>
    <t>Av. de Dílar, 91, 18007 Granada</t>
  </si>
  <si>
    <t>958 07 10 54</t>
  </si>
  <si>
    <t>Floristerías Jerico</t>
  </si>
  <si>
    <t>Agrón</t>
  </si>
  <si>
    <t>floristeriajerico.es</t>
  </si>
  <si>
    <t>958 69 07 34</t>
  </si>
  <si>
    <t>license@prestashop.com</t>
  </si>
  <si>
    <t>Floristería Atrezo Granada</t>
  </si>
  <si>
    <t>Paseo del Emperador Carlos V, 4, 18007 Granada</t>
  </si>
  <si>
    <t>atrezofloristas.com</t>
  </si>
  <si>
    <t>958 09 69 08</t>
  </si>
  <si>
    <t>Floristeria Caladium</t>
  </si>
  <si>
    <t>Calle Tejeiro, 29, 18005 Granada</t>
  </si>
  <si>
    <t>floristeriacaladium.es</t>
  </si>
  <si>
    <t>958 25 90 92</t>
  </si>
  <si>
    <t>contacto@floristeriacaladium.es</t>
  </si>
  <si>
    <t>Floristeria alejandro</t>
  </si>
  <si>
    <t>Calle San Jerónimo, 9, 18001 Granada</t>
  </si>
  <si>
    <t>610 71 46 49</t>
  </si>
  <si>
    <t>AIXA FLORISTERIA</t>
  </si>
  <si>
    <t>Calle Santiago, Número 2, Bajo. Derecha, 18009 Granada</t>
  </si>
  <si>
    <t>958 22 47 30</t>
  </si>
  <si>
    <t>Carmen Reyes Floristas</t>
  </si>
  <si>
    <t>Calle Pérez Galdós, 3, 18003 Granada</t>
  </si>
  <si>
    <t>958 20 06 34</t>
  </si>
  <si>
    <t>Emilio Floristas</t>
  </si>
  <si>
    <t>Calle San José Baja, 37, 18005 Granada</t>
  </si>
  <si>
    <t>958 25 64 21</t>
  </si>
  <si>
    <t>Floristería Araceli</t>
  </si>
  <si>
    <t>Paseo de la Sabika, 4 PUERTA DEL CEMENTERIO San José de, 18009 Granada</t>
  </si>
  <si>
    <t>floristeriaaraceli.com</t>
  </si>
  <si>
    <t>958 22 28 33</t>
  </si>
  <si>
    <t>floristeria-araceli@hotmail.com</t>
  </si>
  <si>
    <t>Floristería Rafael</t>
  </si>
  <si>
    <t>Av. de Cervantes, 12, 18008 Granada</t>
  </si>
  <si>
    <t>floristeriarafael.es</t>
  </si>
  <si>
    <t>958 13 68 82</t>
  </si>
  <si>
    <t>Flores Para Todos</t>
  </si>
  <si>
    <t>Calle Pérez Galdós, 2, 18003 Granada</t>
  </si>
  <si>
    <t>floresparatodos.com</t>
  </si>
  <si>
    <t>958 20 66 96</t>
  </si>
  <si>
    <t>info@floresparatodos.com</t>
  </si>
  <si>
    <t>Floristería Loli</t>
  </si>
  <si>
    <t>Paseo de la Sabica, 70 local 3, 18009 Granada</t>
  </si>
  <si>
    <t>floristerialoli.net</t>
  </si>
  <si>
    <t>958 22 98 53</t>
  </si>
  <si>
    <t>floristerialoli5@hotmail.com</t>
  </si>
  <si>
    <t>Floristería Ana Junior</t>
  </si>
  <si>
    <t>Calle Misericordia, 24, 18002 Granada</t>
  </si>
  <si>
    <t>958 29 65 33</t>
  </si>
  <si>
    <t>C. San Antón, 3, 18005 Granada</t>
  </si>
  <si>
    <t>Calle Minas de San Lázaro, 24, 18012 Granada</t>
  </si>
  <si>
    <t>Floristería Dori</t>
  </si>
  <si>
    <t>Avenida De Cádiz, S/N (Edificio Cádiz, 18007 Granada</t>
  </si>
  <si>
    <t>958 12 50 21</t>
  </si>
  <si>
    <t>Floristería La Buganvilla</t>
  </si>
  <si>
    <t>C. Poeta Manuel Gongora, 5, 18008 Granada</t>
  </si>
  <si>
    <t>958 13 67 45</t>
  </si>
  <si>
    <t>Floristería Almunia</t>
  </si>
  <si>
    <t>Calle Periodista Eugenio Selles, s/n, 18014 Granada</t>
  </si>
  <si>
    <t>floristerialmunia.es</t>
  </si>
  <si>
    <t>958 15 67 55</t>
  </si>
  <si>
    <t>Nerine A. F. - Floristeria Online</t>
  </si>
  <si>
    <t>Calle Pintor Hermenegildo Lanz, Nº10, Local 5, 18007 Granada</t>
  </si>
  <si>
    <t>Floristería Encarni.</t>
  </si>
  <si>
    <t>Plaza Larga, 7, 18010 Granada</t>
  </si>
  <si>
    <t>958 27 71 75</t>
  </si>
  <si>
    <t>Floristería Raysa</t>
  </si>
  <si>
    <t>Plaza Pintor Isidoro Marín, Numero 3, local 7, 18013 Granada</t>
  </si>
  <si>
    <t>958 15 13 82</t>
  </si>
  <si>
    <t>Floristería Nenúfar</t>
  </si>
  <si>
    <t>Plaza del Triunfo, 12, 18010 Granada</t>
  </si>
  <si>
    <t>958 27 64 06</t>
  </si>
  <si>
    <t>Flores Bambú</t>
  </si>
  <si>
    <t>Calle Ribera del Violón, 12, bajo, 18006 Granada</t>
  </si>
  <si>
    <t>floresbambusl.com</t>
  </si>
  <si>
    <t>958 52 23 53</t>
  </si>
  <si>
    <t>Floristería carmen</t>
  </si>
  <si>
    <t>Calle Almenillas, 6, 18003 Granada</t>
  </si>
  <si>
    <t>662 58 81 59</t>
  </si>
  <si>
    <t>Guzmán Floristas</t>
  </si>
  <si>
    <t>Calle Luis Buñuel, s/n, 7, 18197 Pulianas, Granada</t>
  </si>
  <si>
    <t>Pulianas</t>
  </si>
  <si>
    <t>guzmanfloristas.com</t>
  </si>
  <si>
    <t>958 15 50 62</t>
  </si>
  <si>
    <t>Floristería La Campana</t>
  </si>
  <si>
    <t>Calle Dr. Azpitarte, 10, 18012 Granada</t>
  </si>
  <si>
    <t>958 29 02 91</t>
  </si>
  <si>
    <t>Loto floristas</t>
  </si>
  <si>
    <t>Av. de las Fuerzas Armadas, 19, 18014 Granada</t>
  </si>
  <si>
    <t>lotofloristas.com</t>
  </si>
  <si>
    <t>958 27 77 40</t>
  </si>
  <si>
    <t>Flores Y Plantas Alicia</t>
  </si>
  <si>
    <t>Paseo Sabica, 70, 18009 Granada</t>
  </si>
  <si>
    <t>958 22 99 49</t>
  </si>
  <si>
    <t>Carolina Bouquet - Decoración floral bodas y eventos - Ramos de novia y tocados</t>
  </si>
  <si>
    <t>carolinabouquet.com</t>
  </si>
  <si>
    <t>616 97 54 54</t>
  </si>
  <si>
    <t>info@carolinabouquet.com</t>
  </si>
  <si>
    <t>Calle Ruiseñor, 18014 Granada</t>
  </si>
  <si>
    <t>El Rincón De La Flor</t>
  </si>
  <si>
    <t>Calle Poeta Gracián, 16, 18007 Granada</t>
  </si>
  <si>
    <t>958 08 43 49</t>
  </si>
  <si>
    <t>Mayca</t>
  </si>
  <si>
    <t>Av. de Italia, 14, 18007 Granada</t>
  </si>
  <si>
    <t>958 12 47 59</t>
  </si>
  <si>
    <t>Floristeria &amp;quot;La Carrera-Beiro&amp;quot;</t>
  </si>
  <si>
    <t>Calle Ribera del Beiro, 16, 18012 Granada</t>
  </si>
  <si>
    <t>663 85 24 00</t>
  </si>
  <si>
    <t>CACTUS JAYSA</t>
  </si>
  <si>
    <t>Calle Isaac Albéniz, 15, BAJO, 18012 Granada</t>
  </si>
  <si>
    <t>676 79 97 74</t>
  </si>
  <si>
    <t>Floristeria Primavera</t>
  </si>
  <si>
    <t>18200 Maracena, Granada</t>
  </si>
  <si>
    <t>Maracena</t>
  </si>
  <si>
    <t>958 40 40 37</t>
  </si>
  <si>
    <t>Lucía Cuadros, Diseño Floral</t>
  </si>
  <si>
    <t>Calle Margarita Xirgu, 4, 18007 Granada</t>
  </si>
  <si>
    <t>620 23 48 80</t>
  </si>
  <si>
    <t>Floristeria Bonsai Ramos De Novia</t>
  </si>
  <si>
    <t>Camino de los Abencerrajes, 18008 Granada</t>
  </si>
  <si>
    <t>𝐅𝐥𝐨𝐫𝐢𝐬𝐭𝐞𝐫í𝐚 𝐆𝐫𝐚𝐧𝐚𝐝𝐚 ➤ FLOWERING</t>
  </si>
  <si>
    <t>Flores y Plantas Hernández</t>
  </si>
  <si>
    <t>Calle Bruselas, 18008 Granada</t>
  </si>
  <si>
    <t>floristeriahernadez.com</t>
  </si>
  <si>
    <t>652 41 76 95</t>
  </si>
  <si>
    <t>Plantas Especias Cumbres Herdes</t>
  </si>
  <si>
    <t>Calle Capuchinas, 10A, 18001 Granada</t>
  </si>
  <si>
    <t>Plaza del Cementerio de Granada, 3, 18009 Granada</t>
  </si>
  <si>
    <t>Floristería Leyva 2</t>
  </si>
  <si>
    <t>Calle Martínez de la Rosa, 6, 18002 Granada</t>
  </si>
  <si>
    <t>958 88 71 43</t>
  </si>
  <si>
    <t>Floristeria Arabes &amp;quot;Mas Que Flores&amp;quot;</t>
  </si>
  <si>
    <t>Av. de Andalucía, 37, 18197 Pulianillas, Granada</t>
  </si>
  <si>
    <t>Pulianillas</t>
  </si>
  <si>
    <t>Irene Puerto</t>
  </si>
  <si>
    <t>Plaza de la Trinidad, 2, 18001 Granada</t>
  </si>
  <si>
    <t>635 52 63 26</t>
  </si>
  <si>
    <t>Verde que te quiero verde</t>
  </si>
  <si>
    <t>Calle Verónica de la Magdalena, 25, 18002 Granada</t>
  </si>
  <si>
    <t>607 94 53 44</t>
  </si>
  <si>
    <t>Basilia Romero Cañadas</t>
  </si>
  <si>
    <t>Av. de Cervantes, 6, 18008 Granada</t>
  </si>
  <si>
    <t>958 13 23 19</t>
  </si>
  <si>
    <t>Floristeria Hernández</t>
  </si>
  <si>
    <t>Av. de la Sierra Nevada, 27, 18190 Cenes de la Vega, Granada</t>
  </si>
  <si>
    <t>Cenes de la Vega</t>
  </si>
  <si>
    <t>958 48 77 26</t>
  </si>
  <si>
    <t>The Flower Moda&amp;apos;s</t>
  </si>
  <si>
    <t>Calle Ribera del Beiro, 12, 18012 Granada</t>
  </si>
  <si>
    <t>Explotación Agraria Emilio Castro E Hijos S A</t>
  </si>
  <si>
    <t>Calle Recogidas, 24, 18002 Granada</t>
  </si>
  <si>
    <t>958 25 55 25</t>
  </si>
  <si>
    <t>18007 Granada</t>
  </si>
  <si>
    <t>ILUNION Tienda de prensa, regalos y flores (Parque tecnológico de la salud CONSULTAS - GRANADA</t>
  </si>
  <si>
    <t>Av. de la Investigación, s/n, 18016 Granada</t>
  </si>
  <si>
    <t>958 94 20 15</t>
  </si>
  <si>
    <t>Flores con Alma</t>
  </si>
  <si>
    <t>Calle Real, 26, 18198 Huétor Vega, Granada</t>
  </si>
  <si>
    <t>Huétor Vega</t>
  </si>
  <si>
    <t>622 42 42 40</t>
  </si>
  <si>
    <t>Flores Osuna</t>
  </si>
  <si>
    <t>18014 Granada</t>
  </si>
  <si>
    <t>660 17 53 23</t>
  </si>
  <si>
    <t>floresosuna@hotmail.com</t>
  </si>
  <si>
    <t>Armiflor S.l.l.</t>
  </si>
  <si>
    <t>Calle Jueves, 0, 18100 Armilla, Granada</t>
  </si>
  <si>
    <t>Armilla</t>
  </si>
  <si>
    <t>958 55 30 23</t>
  </si>
  <si>
    <t>Floristería Las Margaritas</t>
  </si>
  <si>
    <t>Plaza José Jiménez López Vázquez nº7, 18210 Peligros, Granada</t>
  </si>
  <si>
    <t>Peligros</t>
  </si>
  <si>
    <t>958 40 12 83</t>
  </si>
  <si>
    <t>Floristería Yolanda</t>
  </si>
  <si>
    <t>Calle Real de Motril, 101, 18100 Armilla, Granada</t>
  </si>
  <si>
    <t>958 57 02 09</t>
  </si>
  <si>
    <t>Vedia Martin</t>
  </si>
  <si>
    <t>Maracena Garden</t>
  </si>
  <si>
    <t>Camino Albolote s/n, 18200 Maracena, Granada</t>
  </si>
  <si>
    <t>maracenagarden.es</t>
  </si>
  <si>
    <t>958 94 00 98</t>
  </si>
  <si>
    <t>Flores Yolarda</t>
  </si>
  <si>
    <t>Calle Bubión, 58, 18210 Peligros, Granada</t>
  </si>
  <si>
    <t>Celine Boroli - Academia - Floristería</t>
  </si>
  <si>
    <t>Calle Madrid, 58, local 11, 18193 Barrio de la Vega, Granada</t>
  </si>
  <si>
    <t>Barrio de la Vega</t>
  </si>
  <si>
    <t>celineboroli.com</t>
  </si>
  <si>
    <t>615 81 35 03</t>
  </si>
  <si>
    <t>info@celineboroli.com</t>
  </si>
  <si>
    <t>Floristería Conchi Peligros</t>
  </si>
  <si>
    <t>Calle Camilo José Cela, 2, 18210 Peligros, Granada</t>
  </si>
  <si>
    <t>650 46 89 85</t>
  </si>
  <si>
    <t>Floristería Salvador</t>
  </si>
  <si>
    <t>Calle Cruces, 1, 18194 Churriana de la Vega, Granada</t>
  </si>
  <si>
    <t>Churriana de la Vega</t>
  </si>
  <si>
    <t>958 57 11 71</t>
  </si>
  <si>
    <t>Flor de Lis Churriana de la Vega</t>
  </si>
  <si>
    <t>Calle Sta. Lucía, 24, 18194 Churriana de la Vega, Granada</t>
  </si>
  <si>
    <t>615 23 92 08</t>
  </si>
  <si>
    <t>Floristería online El Vergel</t>
  </si>
  <si>
    <t>Calle Rosal, 4, 18140 La Zubia, Granada</t>
  </si>
  <si>
    <t>La Zubia</t>
  </si>
  <si>
    <t>floristeriaelvergel.com</t>
  </si>
  <si>
    <t>958 43 65 04</t>
  </si>
  <si>
    <t>Floristería Bolívar</t>
  </si>
  <si>
    <t>Calle Real Alta, 19, 18151 Ogíjares, Granada</t>
  </si>
  <si>
    <t>Ogíjares</t>
  </si>
  <si>
    <t>958 50 67 16</t>
  </si>
  <si>
    <t>PEDRO MORENO FLORISTA</t>
  </si>
  <si>
    <t>Plaza Padre Manjón, 10, 18220 Albolote, Granada</t>
  </si>
  <si>
    <t>Albolote</t>
  </si>
  <si>
    <t>pedromorenoflorista.com</t>
  </si>
  <si>
    <t>958 46 62 02</t>
  </si>
  <si>
    <t>floristeria@pedromorenoflorista.com</t>
  </si>
  <si>
    <t>Floristería Santa Ana</t>
  </si>
  <si>
    <t>Frente, mercadona, Calle Dr. Burgos Canals, 13, 18220 Albolote, Granada</t>
  </si>
  <si>
    <t>692 25 99 35</t>
  </si>
  <si>
    <t>Huerta y Jardín Abono Garrido</t>
  </si>
  <si>
    <t>Av. Fonseca, 0, 18210 Peligros, Granada</t>
  </si>
  <si>
    <t>958 40 06 32</t>
  </si>
  <si>
    <t>La Chela Floristeria</t>
  </si>
  <si>
    <t>Calle Pablo Iglesias, 12, 18140 La Zubia, Granada</t>
  </si>
  <si>
    <t>Floristería Isa Garcia</t>
  </si>
  <si>
    <t>Calle Real Alta, n1, local 4, 18151 Ogíjares, Granada</t>
  </si>
  <si>
    <t>611 07 87 57</t>
  </si>
  <si>
    <t>Dolce Fiore</t>
  </si>
  <si>
    <t>Calle Paredillas, 3, 18140 La Zubia, Granada</t>
  </si>
  <si>
    <t>858 98 11 79</t>
  </si>
  <si>
    <t>Space grow Shop Granada</t>
  </si>
  <si>
    <t>Plaza José Zamora, 1, 18200 Maracena, Granada</t>
  </si>
  <si>
    <t>958 07 56 72</t>
  </si>
  <si>
    <t>FLORISTERIA ALFACAR KIKA</t>
  </si>
  <si>
    <t>Calle Blanca, 9, 18170 Alfacar, Granada</t>
  </si>
  <si>
    <t>Alfacar</t>
  </si>
  <si>
    <t>958 54 01 25</t>
  </si>
  <si>
    <t>Barrio de las Flores</t>
  </si>
  <si>
    <t>barrio de las flores, a coruña</t>
  </si>
  <si>
    <t>a coruña</t>
  </si>
  <si>
    <t>FLORISTERIA CARMEN</t>
  </si>
  <si>
    <t>Calle Real, 12, 18620 Alhendín, Granada</t>
  </si>
  <si>
    <t>Alhendín</t>
  </si>
  <si>
    <t>666 10 91 13</t>
  </si>
  <si>
    <t>Flor de las Nieves Floristería</t>
  </si>
  <si>
    <t>Calle Verónica, n° 17, 18110 Las Gabias, Granada</t>
  </si>
  <si>
    <t>Las Gabias</t>
  </si>
  <si>
    <t>684 11 11 55</t>
  </si>
  <si>
    <t>Calle Mejorana, 3, 18230 Atarfe, Granada</t>
  </si>
  <si>
    <t>Atarfe</t>
  </si>
  <si>
    <t>958 43 78 64</t>
  </si>
  <si>
    <t>Mercado de Abastos, Calle Dr. Jiménez Rueda, s/n, 18230 Atarfe, Granada</t>
  </si>
  <si>
    <t>Floristería 3 De Mayo</t>
  </si>
  <si>
    <t>Calle Cañada del Tesorillo, 1, 18230 Atarfe, Granada</t>
  </si>
  <si>
    <t>621 01 68 64</t>
  </si>
  <si>
    <t>Flores Jaldo</t>
  </si>
  <si>
    <t>Calle Real de Málaga, 32, 18110 Gabia Grande, Granada</t>
  </si>
  <si>
    <t>Gabia Grande</t>
  </si>
  <si>
    <t>958 58 40 30</t>
  </si>
  <si>
    <t>París Flor</t>
  </si>
  <si>
    <t>Calle San José, 1, 18230 Atarfe, Granada</t>
  </si>
  <si>
    <t>958 43 55 70</t>
  </si>
  <si>
    <t>Rosa Amarilla</t>
  </si>
  <si>
    <t>Calle Jardines, 9, 18620 Alhendín, Granada</t>
  </si>
  <si>
    <t>672 26 02 70</t>
  </si>
  <si>
    <t>Flower Power Granada</t>
  </si>
  <si>
    <t>18100, Granada</t>
  </si>
  <si>
    <t>mimaTé</t>
  </si>
  <si>
    <t>Calle Paredillas, 18140 La Zubia, Granada</t>
  </si>
  <si>
    <t>Floristeria Victor</t>
  </si>
  <si>
    <t>Calle Isabel la Católica, n1, local 7, 18320 Santa Fe, Granada</t>
  </si>
  <si>
    <t>Santa Fe</t>
  </si>
  <si>
    <t>958 04 38 67</t>
  </si>
  <si>
    <t>Floristerias en santafe</t>
  </si>
  <si>
    <t>Calle Isabel la Católica, 1, local 7, 18320 Santa Fe, Granada</t>
  </si>
  <si>
    <t>Floristería Santa fe</t>
  </si>
  <si>
    <t>Plaza Flores, Nº 1, Bajo 1, 18320 Santa Fe, Granada</t>
  </si>
  <si>
    <t>958 44 09 36</t>
  </si>
  <si>
    <t>Floristería la Flor de Lis</t>
  </si>
  <si>
    <t>Calle Boabdil, Calle Vire, 18320 Santa Fe</t>
  </si>
  <si>
    <t>647 09 36 04</t>
  </si>
  <si>
    <t>D&amp;apos; ROSITAS INTERSPAIN</t>
  </si>
  <si>
    <t>645 24 43 43</t>
  </si>
  <si>
    <t>Eli y un puñado de flores</t>
  </si>
  <si>
    <t>Calle Laurel, SN, 18630 Otura, Granada</t>
  </si>
  <si>
    <t>Otura</t>
  </si>
  <si>
    <t>958 55 91 50</t>
  </si>
  <si>
    <t>Floristería Cano</t>
  </si>
  <si>
    <t>Calle Trinidad, 0 S/N, 18195 Cúllar Vega, Granada</t>
  </si>
  <si>
    <t>Cúllar Vega</t>
  </si>
  <si>
    <t>958 58 61 19</t>
  </si>
  <si>
    <t>Soul Garden</t>
  </si>
  <si>
    <t>Paseo del Río, 13, 1ºB, 18193 Monachil, Granada</t>
  </si>
  <si>
    <t>Monachil</t>
  </si>
  <si>
    <t>soulgarden.es</t>
  </si>
  <si>
    <t>618 23 14 87</t>
  </si>
  <si>
    <t>info@soulgarden.es</t>
  </si>
  <si>
    <t>Hermanos Flores López</t>
  </si>
  <si>
    <t>Calle Bayona la Real, 0, 18320 Santa Fe, Granada</t>
  </si>
  <si>
    <t>958 51 01 06</t>
  </si>
  <si>
    <t>Flores al tanatorio</t>
  </si>
  <si>
    <t>Calle 28 de Febrero, 3, 18320 Santa Fe, Granada</t>
  </si>
  <si>
    <t>Floristería Lidia</t>
  </si>
  <si>
    <t>Calle Caribe, 2, 18240 Pinos Puente, Granada</t>
  </si>
  <si>
    <t>Pinos Puente</t>
  </si>
  <si>
    <t>958 45 15 20</t>
  </si>
  <si>
    <t>Floristería Flor Regalo Puertas</t>
  </si>
  <si>
    <t>Calle Huertos, 10, 18240 Pinos Puente, Granada</t>
  </si>
  <si>
    <t>958 45 21 29</t>
  </si>
  <si>
    <t>Floristería Patricia</t>
  </si>
  <si>
    <t>Calle Islas, 53, 18340 Fuente Vaqueros, Granada</t>
  </si>
  <si>
    <t>Fuente Vaqueros</t>
  </si>
  <si>
    <t>615 43 26 51</t>
  </si>
  <si>
    <t>Iris</t>
  </si>
  <si>
    <t>Calle Pósito, 13, 18640 Padul, Granada</t>
  </si>
  <si>
    <t>Padul</t>
  </si>
  <si>
    <t>958 77 36 76</t>
  </si>
  <si>
    <t>18230 Atarfe, Granada</t>
  </si>
  <si>
    <t>growflowerpower.com</t>
  </si>
  <si>
    <t>958 43 79 35</t>
  </si>
  <si>
    <t>Agrovegas</t>
  </si>
  <si>
    <t>Calle Calvario, 63, 18102 Purchil, Granada</t>
  </si>
  <si>
    <t>Purchil</t>
  </si>
  <si>
    <t>agrovegas.wixsite.com</t>
  </si>
  <si>
    <t>627 31 75 11</t>
  </si>
  <si>
    <t>MariFlowers Grow Shop</t>
  </si>
  <si>
    <t>12 Ramal Corpas, 12P, 18195 Cúllar Vega, Granada</t>
  </si>
  <si>
    <t>mariflowers.com</t>
  </si>
  <si>
    <t>858 12 06 09</t>
  </si>
  <si>
    <t>Mas Que Plantas Grow Shop</t>
  </si>
  <si>
    <t>Calle Montefrio, 329, 18220 Albolote, Granada</t>
  </si>
  <si>
    <t>958 49 09 27</t>
  </si>
  <si>
    <t>Paris Flor</t>
  </si>
  <si>
    <t>Calle Sta. Rosa, 27, 18230 Atarfe, Granada</t>
  </si>
  <si>
    <t>parisflor.es</t>
  </si>
  <si>
    <t>958 43 57 07</t>
  </si>
  <si>
    <t>Floristeria Flor de Luna</t>
  </si>
  <si>
    <t>Calle León Felipe, 23, 18327 Láchar, Granada</t>
  </si>
  <si>
    <t>Láchar</t>
  </si>
  <si>
    <t>615 13 72 20</t>
  </si>
  <si>
    <t>Agrícola Bojares S L</t>
  </si>
  <si>
    <t>Calle Realenga, 12, 18291 Zujaira, Granada</t>
  </si>
  <si>
    <t>Zujaira</t>
  </si>
  <si>
    <t>958 43 44 50</t>
  </si>
  <si>
    <t>Floristeria, decoracion, plantas y arte floral VIOLETA</t>
  </si>
  <si>
    <t>Av. Rodríguez de la Fuente de Íllora, 7, 18260 Íllora, Granada</t>
  </si>
  <si>
    <t>Íllora</t>
  </si>
  <si>
    <t>958 46 33 90</t>
  </si>
  <si>
    <t>Euroflorina Decorplant 2016 S.L</t>
  </si>
  <si>
    <t>Poligono Industrial 2 de octubre, Camino el Jau, 28, 18320 Santa Fe, Granada</t>
  </si>
  <si>
    <t>euroflorina.es</t>
  </si>
  <si>
    <t>958 51 31 35</t>
  </si>
  <si>
    <t>info.decorplant@gmail.com</t>
  </si>
  <si>
    <t>Flores para Todos</t>
  </si>
  <si>
    <t>Calle Loja, 18, 18120 Alhama de Granada, Granada</t>
  </si>
  <si>
    <t>Alhama de Granada</t>
  </si>
  <si>
    <t>958 35 05 93</t>
  </si>
  <si>
    <t>Joaquina Gálvez Montés</t>
  </si>
  <si>
    <t>Calle Real, 1, 18420 Lanjarón, Granada</t>
  </si>
  <si>
    <t>Lanjarón</t>
  </si>
  <si>
    <t>958 77 03 27</t>
  </si>
  <si>
    <t>Vaneflor</t>
  </si>
  <si>
    <t>Calle Ramon y cajal, 6, 18400 Órgiva, Granada</t>
  </si>
  <si>
    <t>Órgiva</t>
  </si>
  <si>
    <t>691 26 84 42</t>
  </si>
  <si>
    <t>Valle Verde Durcal</t>
  </si>
  <si>
    <t>Calle Comandante Lázaro, 3, 18650 Dúrcal, Granada</t>
  </si>
  <si>
    <t>Dúrcal</t>
  </si>
  <si>
    <t>669 11 17 27</t>
  </si>
  <si>
    <t>Proflor Andaluza</t>
  </si>
  <si>
    <t>Camino Bajo, 18100, Granada</t>
  </si>
  <si>
    <t>proflorandaluza.es</t>
  </si>
  <si>
    <t>958 13 64 74</t>
  </si>
  <si>
    <t>Flores Para Huelva</t>
  </si>
  <si>
    <t>Calle Andrés de Huelva, 0, 21004 Huelva</t>
  </si>
  <si>
    <t>Huelva</t>
  </si>
  <si>
    <t>959 40 03 18</t>
  </si>
  <si>
    <t>Floristería &amp;quot;Antonio Rivera&amp;quot; Diseño Floral</t>
  </si>
  <si>
    <t>Calle Berdigón, 32, 21003 Huelva</t>
  </si>
  <si>
    <t>959 81 82 08</t>
  </si>
  <si>
    <t>Floristería El Ciruelo M. Brioso</t>
  </si>
  <si>
    <t>Calle Teniente de Navío Celestino Díaz Hernández, 3, BAJO, 21006 Huelva</t>
  </si>
  <si>
    <t>floristeriaelciruelo.com</t>
  </si>
  <si>
    <t>959 23 57 58</t>
  </si>
  <si>
    <t>floristeriaelciruelo@hotmail.com</t>
  </si>
  <si>
    <t>Floristería Jota Brioso</t>
  </si>
  <si>
    <t>Plaza Houston, 6, 21006 Huelva</t>
  </si>
  <si>
    <t>floristeriajotabrioso.com</t>
  </si>
  <si>
    <t>677 03 53 62</t>
  </si>
  <si>
    <t>Floristería El Bosque</t>
  </si>
  <si>
    <t>Paseo Independencia, 9, 21002 Huelva</t>
  </si>
  <si>
    <t>floristeriaelbosque.com</t>
  </si>
  <si>
    <t>959 28 48 58</t>
  </si>
  <si>
    <t>elbosque_hu@interflora.es</t>
  </si>
  <si>
    <t>Floristería Las Cumbres S.L</t>
  </si>
  <si>
    <t>Calle Artesanos, 15 - Nave, 21005 Huelva</t>
  </si>
  <si>
    <t>floristerialascumbres.es</t>
  </si>
  <si>
    <t>666 29 43 13</t>
  </si>
  <si>
    <t>Rosaleda</t>
  </si>
  <si>
    <t>Calle Béjar, 22, 21001 Huelva</t>
  </si>
  <si>
    <t>959 24 97 29</t>
  </si>
  <si>
    <t>Floristería Virgen del Rocío</t>
  </si>
  <si>
    <t>Urbanización Verdeluz, bloque, 16, 21005 Huelva</t>
  </si>
  <si>
    <t>floristeriavirgendelrocio.com</t>
  </si>
  <si>
    <t>959 15 99 24</t>
  </si>
  <si>
    <t>luisamariaroma@hotmail.com</t>
  </si>
  <si>
    <t>Av. de Cristóbal Colón, 115, 21002 Huelva</t>
  </si>
  <si>
    <t>floreslola.es</t>
  </si>
  <si>
    <t>645 69 61 98</t>
  </si>
  <si>
    <t>hola@miempresa.es</t>
  </si>
  <si>
    <t>Floristería Las Rosas</t>
  </si>
  <si>
    <t>Calle Cortelazor, 5, 21007 Huelva</t>
  </si>
  <si>
    <t>959 22 00 56</t>
  </si>
  <si>
    <t>FLORISTERÍA MABEL BRIOSO</t>
  </si>
  <si>
    <t>Avenida Galaroza, 15, 21006 Huelva</t>
  </si>
  <si>
    <t>959 22 66 69</t>
  </si>
  <si>
    <t>Cera Flor</t>
  </si>
  <si>
    <t>Calle San Jose, 2, 21002 Huelva</t>
  </si>
  <si>
    <t>959 25 54 21</t>
  </si>
  <si>
    <t>Floristería VIOLETAS</t>
  </si>
  <si>
    <t>Calle Pastillo, 13, 21006 Huelva</t>
  </si>
  <si>
    <t>959 23 56 83</t>
  </si>
  <si>
    <t>Floristería Nuestra Señora de la Cinta</t>
  </si>
  <si>
    <t>Av. José Fariña, 41, 21006 Huelva</t>
  </si>
  <si>
    <t>959 22 56 60</t>
  </si>
  <si>
    <t>Floristeria AZAHAR</t>
  </si>
  <si>
    <t>s/n, Av. San Antonio, 21004 Huelva</t>
  </si>
  <si>
    <t>FLORISTERIA LAS MIMOSAS</t>
  </si>
  <si>
    <t>Calle Isla Cristina, 2, 21007 Huelva</t>
  </si>
  <si>
    <t>959 22 47 80</t>
  </si>
  <si>
    <t>Floristería Edelweiss</t>
  </si>
  <si>
    <t>Calle Blas Infante, 8, 21006 Huelva</t>
  </si>
  <si>
    <t>959 23 24 50</t>
  </si>
  <si>
    <t>La Florería - Josechu Llanes-González</t>
  </si>
  <si>
    <t>Pje. Manuel Machado, 6, 21001 Huelva</t>
  </si>
  <si>
    <t>lafloreriahuelva.com</t>
  </si>
  <si>
    <t>959 10 80 65</t>
  </si>
  <si>
    <t>Floristería Hermanas Hidalgo</t>
  </si>
  <si>
    <t>Plaza Soledad, 0 S N, 21005 Huelva</t>
  </si>
  <si>
    <t>Alájar</t>
  </si>
  <si>
    <t>959 15 11 59</t>
  </si>
  <si>
    <t>Calle Alonso de Ercilla, 114, 21005 Huelva</t>
  </si>
  <si>
    <t>959 15 22 13</t>
  </si>
  <si>
    <t>Floristería Cinta Brioso Mojarro Cb</t>
  </si>
  <si>
    <t>959 24 99 72</t>
  </si>
  <si>
    <t>Flores Del Suroeste, S.L.</t>
  </si>
  <si>
    <t>nº3, 3ª planta, Av de la Ría, 21001 Huelva</t>
  </si>
  <si>
    <t>floresdelsuroeste.com</t>
  </si>
  <si>
    <t>959 35 02 12</t>
  </si>
  <si>
    <t>Santiago Pereles Pérez</t>
  </si>
  <si>
    <t>TIENDA ILUNION - HOSPITAL HUELVA</t>
  </si>
  <si>
    <t>RONDA EXTERIOR, Paseo Nte., 21005 Huelva</t>
  </si>
  <si>
    <t>959 15 07 94</t>
  </si>
  <si>
    <t>Grow Shop GrandPoison HUELVA</t>
  </si>
  <si>
    <t>Calle Aragón, 23, 21002 Huelva</t>
  </si>
  <si>
    <t>959 04 44 82</t>
  </si>
  <si>
    <t>Narro&amp;apos;s Decoración Floral</t>
  </si>
  <si>
    <t>Calle Mercado, 15, 21800 Moguer, Huelva</t>
  </si>
  <si>
    <t>Moguer</t>
  </si>
  <si>
    <t>959 73 06 97</t>
  </si>
  <si>
    <t>Floristería Punta Flor</t>
  </si>
  <si>
    <t>Calle Langostino, 30, 21100 Punta Umbría, Huelva</t>
  </si>
  <si>
    <t>Punta Umbría</t>
  </si>
  <si>
    <t>959 31 05 80</t>
  </si>
  <si>
    <t>Rocío Fernández Cabeza</t>
  </si>
  <si>
    <t>Plaza Ntra. Sra. de Montemayor, 7, 21800 Moguer, Huelva</t>
  </si>
  <si>
    <t>959 37 03 36</t>
  </si>
  <si>
    <t>Floristeria Silvia</t>
  </si>
  <si>
    <t>Calle Paraguay, 21800 Moguer, Huelva</t>
  </si>
  <si>
    <t>959 37 33 77</t>
  </si>
  <si>
    <t>Floristería Alhelí</t>
  </si>
  <si>
    <t>Calle Toneleros, 31, 21610 San Juan del Puerto, Huelva</t>
  </si>
  <si>
    <t>San Juan del Puerto</t>
  </si>
  <si>
    <t>616 79 27 77</t>
  </si>
  <si>
    <t>Floristería Benítez</t>
  </si>
  <si>
    <t>Calle José Canalejas, 23, 21110 Aljaraque, Huelva</t>
  </si>
  <si>
    <t>Aljaraque</t>
  </si>
  <si>
    <t>959 31 86 68</t>
  </si>
  <si>
    <t>Floristería María José Huelva</t>
  </si>
  <si>
    <t>Calle la Orden, 21620 Trigueros, Huelva</t>
  </si>
  <si>
    <t>Trigueros</t>
  </si>
  <si>
    <t>655 58 83 48</t>
  </si>
  <si>
    <t>Floristeria Aire Floral</t>
  </si>
  <si>
    <t>Av. Andalucía, 37, 21500 Gibraleón, Huelva</t>
  </si>
  <si>
    <t>Gibraleón</t>
  </si>
  <si>
    <t>airefloral.com</t>
  </si>
  <si>
    <t>621 20 28 07</t>
  </si>
  <si>
    <t>Floristería Francisco García</t>
  </si>
  <si>
    <t>Calle Moguer, 40, 21620 Trigueros, Huelva</t>
  </si>
  <si>
    <t>648 94 79 52</t>
  </si>
  <si>
    <t>Vivero ATLANTICO SUR</t>
  </si>
  <si>
    <t>Cmo de Domingo Negro, 21500 Gibraleón, Huelva</t>
  </si>
  <si>
    <t>FLORISTERIA ROMANI</t>
  </si>
  <si>
    <t>Calle San Juan, 6, 21610 San Juan del Puerto, Huelva</t>
  </si>
  <si>
    <t>666 46 19 70</t>
  </si>
  <si>
    <t>Con Arte Cartaya</t>
  </si>
  <si>
    <t>con-arte-cartaya.negocio.site</t>
  </si>
  <si>
    <t>643 31 77 05</t>
  </si>
  <si>
    <t>Floristeria Anais</t>
  </si>
  <si>
    <t>Calle Misericordia, 21450 Cartaya, Huelva</t>
  </si>
  <si>
    <t>Cartaya</t>
  </si>
  <si>
    <t>658 66 80 97</t>
  </si>
  <si>
    <t>Las Dalias</t>
  </si>
  <si>
    <t>21500 Gibraleón, Huelva</t>
  </si>
  <si>
    <t>lasdaliasartefloral.com</t>
  </si>
  <si>
    <t>670 31 50 96</t>
  </si>
  <si>
    <t>Girasoles Arte Floral</t>
  </si>
  <si>
    <t>Calle Malva, 70, 21820 Lucena del Puerto, Huelva</t>
  </si>
  <si>
    <t>Lucena del Puerto</t>
  </si>
  <si>
    <t>girasolesartefloral.com</t>
  </si>
  <si>
    <t>635 05 89 98</t>
  </si>
  <si>
    <t>info@girasolesartefloral.com</t>
  </si>
  <si>
    <t>Floristería Patrón</t>
  </si>
  <si>
    <t>Calle Portugal, 31, 21440 Lepe, Huelva</t>
  </si>
  <si>
    <t>Lepe</t>
  </si>
  <si>
    <t>959 38 15 00</t>
  </si>
  <si>
    <t>Floristeria bella</t>
  </si>
  <si>
    <t>Calle Juan de Lepe, 1, 21440 Lepe, Huelva</t>
  </si>
  <si>
    <t>619 24 13 94</t>
  </si>
  <si>
    <t>Floristeria Clarines</t>
  </si>
  <si>
    <t>Av. Andalucia, 86, 21630, Huelva</t>
  </si>
  <si>
    <t>Beas</t>
  </si>
  <si>
    <t>959 30 88 16</t>
  </si>
  <si>
    <t>Calle Herreros, 21440 Lepe, Huelva</t>
  </si>
  <si>
    <t>Ramos de Flores para Novia</t>
  </si>
  <si>
    <t>Floristería Silvia Cartaya</t>
  </si>
  <si>
    <t>Calle Convento, 30, 21450 Cartaya, Huelva</t>
  </si>
  <si>
    <t>elmundoentumovil.com</t>
  </si>
  <si>
    <t>617 39 13 94</t>
  </si>
  <si>
    <t>Floristería Iriszul</t>
  </si>
  <si>
    <t>Calle Alcalde José Acosta, 77, 21710 Bollullos Par del Condado, Huelva</t>
  </si>
  <si>
    <t>Bollullos Par del Condado</t>
  </si>
  <si>
    <t>670 06 47 43</t>
  </si>
  <si>
    <t>Calle Andalucía, 4, 21720 Rociana del Condado, Huelva</t>
  </si>
  <si>
    <t>Rociana del Condado</t>
  </si>
  <si>
    <t>floristeria-inma.negocio.site</t>
  </si>
  <si>
    <t>959 41 63 74</t>
  </si>
  <si>
    <t>Floristería Anaflor</t>
  </si>
  <si>
    <t>Plaza Andalucía, 17, 21730 Almonte, Huelva</t>
  </si>
  <si>
    <t>Almonte</t>
  </si>
  <si>
    <t>almonteflores.com</t>
  </si>
  <si>
    <t>642 61 16 31</t>
  </si>
  <si>
    <t>Pétalos, la floristeria de Bollullos</t>
  </si>
  <si>
    <t>Calle Medina Sidonia, 5, 21710 Bollullos Par del Condado, Huelva</t>
  </si>
  <si>
    <t>623 17 73 44</t>
  </si>
  <si>
    <t>Patron Floristas</t>
  </si>
  <si>
    <t>Calle Iglesia, 16, 21440 Lepe, Huelva</t>
  </si>
  <si>
    <t>Floristería Mary</t>
  </si>
  <si>
    <t>Calle Triana, 55, 21730 Almonte, Huelva</t>
  </si>
  <si>
    <t>959 45 04 60</t>
  </si>
  <si>
    <t>Floristeria Detalles Camacho</t>
  </si>
  <si>
    <t>Calle Camacho, 56, 21600 Valverde del Camino, Huelva</t>
  </si>
  <si>
    <t>Valverde del Camino</t>
  </si>
  <si>
    <t>959 55 22 65</t>
  </si>
  <si>
    <t>Floristería Las Lilas</t>
  </si>
  <si>
    <t>Calle Miguel de Cervantes, 52, 21710 Bollullos Par del Condado, Huelva</t>
  </si>
  <si>
    <t>laslilas.es</t>
  </si>
  <si>
    <t>959 41 01 11</t>
  </si>
  <si>
    <t>Floristería &amp;amp; Decoración ISLAFLOR</t>
  </si>
  <si>
    <t>Av. España, 123, 21410 Isla Cristina, Huelva</t>
  </si>
  <si>
    <t>Isla Cristina</t>
  </si>
  <si>
    <t>959 34 33 09</t>
  </si>
  <si>
    <t>Eva Domínguez Floristería</t>
  </si>
  <si>
    <t>Calle Real de Arriba, 92, 21600 Valverde del Camino, Huelva</t>
  </si>
  <si>
    <t>959 55 28 45</t>
  </si>
  <si>
    <t>Las Hadas floristerìa</t>
  </si>
  <si>
    <t>Calle Ramon Ortega Egurrola, 21840 Niebla, Huelva</t>
  </si>
  <si>
    <t>Niebla</t>
  </si>
  <si>
    <t>646 93 77 26</t>
  </si>
  <si>
    <t>Rossán Arte Floral</t>
  </si>
  <si>
    <t>Plaza del Comercio, 4, 21750 El Rocío, Huelva</t>
  </si>
  <si>
    <t>El Rocío</t>
  </si>
  <si>
    <t>649 20 88 07</t>
  </si>
  <si>
    <t>Floristería Jesús Cautivo</t>
  </si>
  <si>
    <t>Calle, Callejón Tahona Fleming, 8, 21300 Calañas, Huelva</t>
  </si>
  <si>
    <t>Calañas</t>
  </si>
  <si>
    <t>657 40 64 10</t>
  </si>
  <si>
    <t>María José Bermejo Vélez</t>
  </si>
  <si>
    <t>Calle del Sol, 7, 21600 Valverde del Camino, Huelva</t>
  </si>
  <si>
    <t>959 55 22 12</t>
  </si>
  <si>
    <t>Ronceflor</t>
  </si>
  <si>
    <t>Calle Rábida, 3, 21670 Nerva, Huelva</t>
  </si>
  <si>
    <t>Nerva</t>
  </si>
  <si>
    <t>floristeriaronceflor.blogspot.com</t>
  </si>
  <si>
    <t>959 58 06 37</t>
  </si>
  <si>
    <t>Floristería Liriope</t>
  </si>
  <si>
    <t>Calle 7 de Agosto, 5, 21670 Nerva, Huelva</t>
  </si>
  <si>
    <t>959 58 09 16</t>
  </si>
  <si>
    <t>Garden Center La Noria S.L.</t>
  </si>
  <si>
    <t>Calle Cuesta de San Diego, 2, 21400 Ayamonte, Huelva</t>
  </si>
  <si>
    <t>Ayamonte</t>
  </si>
  <si>
    <t>959 32 17 90</t>
  </si>
  <si>
    <t>Garden La Morera</t>
  </si>
  <si>
    <t>Calle la Morera, 46, 21730 Almonte, Huelva</t>
  </si>
  <si>
    <t>615 96 42 70</t>
  </si>
  <si>
    <t>FLORISTERIA EL SAUCE</t>
  </si>
  <si>
    <t>Av. de la Esquila, Nº 3, 21660 Minas de Riotinto, Huelva</t>
  </si>
  <si>
    <t>Minas de Riotinto</t>
  </si>
  <si>
    <t>687 54 02 09</t>
  </si>
  <si>
    <t>Las Flores De Eva</t>
  </si>
  <si>
    <t>Calle Cervantes, 51, 21650 El Campillo, Huelva</t>
  </si>
  <si>
    <t>El Campillo</t>
  </si>
  <si>
    <t>683 61 46 36</t>
  </si>
  <si>
    <t>Alma De Flores</t>
  </si>
  <si>
    <t>Av. Veintiocho de Febrero, N56, 21710 Bollullos Par del Condado, Huelva</t>
  </si>
  <si>
    <t>680 74 53 68</t>
  </si>
  <si>
    <t>Floristeria Juan Martinez</t>
  </si>
  <si>
    <t>Pl. León Ortega, 21400 Ayamonte, Huelva</t>
  </si>
  <si>
    <t>681 11 14 93</t>
  </si>
  <si>
    <t>José Antonio de Tovar Sacie</t>
  </si>
  <si>
    <t>Ctra. Circunvalación Sevilla-Huelva, 3, 21200 Aracena, Huelva</t>
  </si>
  <si>
    <t>Aracena</t>
  </si>
  <si>
    <t>959 12 77 26</t>
  </si>
  <si>
    <t>floristeria iris ayamonte</t>
  </si>
  <si>
    <t>Calle Enrique Villegas Vélez, 21400 Ayamonte, Huelva</t>
  </si>
  <si>
    <t>686 02 88 64</t>
  </si>
  <si>
    <t>Floristería Ntra Sra De La Soledad</t>
  </si>
  <si>
    <t>Av. de Andalucia, 246, 41100 Coria del Río, Sevilla</t>
  </si>
  <si>
    <t>Coria del Río</t>
  </si>
  <si>
    <t>944 77 32 32</t>
  </si>
  <si>
    <t>SUR FLOR HISPALENSE</t>
  </si>
  <si>
    <t>Calle Almte. Valdés, 4, 41015 Sevilla</t>
  </si>
  <si>
    <t>surflor.com</t>
  </si>
  <si>
    <t>954 04 61 62</t>
  </si>
  <si>
    <t>FLORISTERÍA &amp;quot;EL ROCÍO&amp;quot;</t>
  </si>
  <si>
    <t>Plaza España, 06110 Villanueva del Fresno, Badajoz</t>
  </si>
  <si>
    <t>Villanueva del Fresno</t>
  </si>
  <si>
    <t>Badajoz</t>
  </si>
  <si>
    <t>645 33 58 31</t>
  </si>
  <si>
    <t>Tenorio Floristería</t>
  </si>
  <si>
    <t>Ctra. Sevilla-Brenes, 0, 41020 Sevilla</t>
  </si>
  <si>
    <t>954 37 66 49</t>
  </si>
  <si>
    <t>Floristería Mayoflor</t>
  </si>
  <si>
    <t>Calle del General Díaz Porlier, 16, 28001 Madrid</t>
  </si>
  <si>
    <t>Madrid</t>
  </si>
  <si>
    <t>mayoflor.com</t>
  </si>
  <si>
    <t>914 31 06 42</t>
  </si>
  <si>
    <t>Mar de Flores Mirasierra</t>
  </si>
  <si>
    <t>Av. del Ventisquero de la Condesa, 20, 28035 Madrid</t>
  </si>
  <si>
    <t>mardeflores.com</t>
  </si>
  <si>
    <t>911 62 25 00</t>
  </si>
  <si>
    <t>info@mardeflores.com</t>
  </si>
  <si>
    <t>FloresNuevas.com L&amp;apos;Eliana - Envío de flores a domicilio Valencia - Floristería</t>
  </si>
  <si>
    <t>Carrer Abadia, 5, 46183 L&amp;apos;Eliana, Valencia</t>
  </si>
  <si>
    <t>La Eliana</t>
  </si>
  <si>
    <t>Valencia</t>
  </si>
  <si>
    <t>floresnuevas.com</t>
  </si>
  <si>
    <t>963 02 21 22</t>
  </si>
  <si>
    <t>Floristeria Bellido</t>
  </si>
  <si>
    <t>Calle Dr. Eduardo Arroyo, 6, 23004 Jaén</t>
  </si>
  <si>
    <t>Jaén</t>
  </si>
  <si>
    <t>floristeriabellido.com</t>
  </si>
  <si>
    <t>953 23 80 17</t>
  </si>
  <si>
    <t>Floristería Aguilera</t>
  </si>
  <si>
    <t>Av. de Andalucía, 32, 23005 Jaén</t>
  </si>
  <si>
    <t>floristeriaaguilera.com</t>
  </si>
  <si>
    <t>953 26 54 35</t>
  </si>
  <si>
    <t>info@floristeriaaguilera.com</t>
  </si>
  <si>
    <t>Floristeria Jauja</t>
  </si>
  <si>
    <t>Calle Dr. Federico del Castillo, 6, 23005 Jaén</t>
  </si>
  <si>
    <t>floristeriajauja.com</t>
  </si>
  <si>
    <t>953 27 50 08</t>
  </si>
  <si>
    <t>Av. Granada, 7, 23003 Jaén</t>
  </si>
  <si>
    <t>953 24 10 18</t>
  </si>
  <si>
    <t>Floristería la Paz en Jaén</t>
  </si>
  <si>
    <t>frente Camarín de Jesús, Calle Cantón de Sta. Ana, 2, 23002 Jaén</t>
  </si>
  <si>
    <t>953 81 18 99</t>
  </si>
  <si>
    <t>Floristería Jaén</t>
  </si>
  <si>
    <t>Calle Millán de Priego, 61, 23007 Jaén</t>
  </si>
  <si>
    <t>floristeriajaen.es</t>
  </si>
  <si>
    <t>953 24 03 47</t>
  </si>
  <si>
    <t>floristeriajaen@hotmail.com</t>
  </si>
  <si>
    <t>Floristería Nieves</t>
  </si>
  <si>
    <t>Av. de Madrid, 25, 23008 Jaén</t>
  </si>
  <si>
    <t>953 25 79 03</t>
  </si>
  <si>
    <t>Floristería Campoverde Jaén</t>
  </si>
  <si>
    <t>Ctra. la Guardia, 23, 23003 Jaén</t>
  </si>
  <si>
    <t>672 19 29 58</t>
  </si>
  <si>
    <t>Calle Ejido de la Alcantarilla, 30, 23002 Jaén</t>
  </si>
  <si>
    <t>953 23 37 52</t>
  </si>
  <si>
    <t>Floristería Villa Rosario</t>
  </si>
  <si>
    <t>Plaza el Pósito, 0, 23001 Jaén</t>
  </si>
  <si>
    <t>953 19 03 47</t>
  </si>
  <si>
    <t>Floristería y decoración Los Montes</t>
  </si>
  <si>
    <t>Calle Dr. Eduardo García-Triviño López, número 13, local 3, 23009 Jaén</t>
  </si>
  <si>
    <t>686 91 26 73</t>
  </si>
  <si>
    <t>Floristeria Pétalos</t>
  </si>
  <si>
    <t>Plaza Sta. María, 7, 23002 Jaén</t>
  </si>
  <si>
    <t>953 23 47 33</t>
  </si>
  <si>
    <t>Floristeria Rinia</t>
  </si>
  <si>
    <t>Calle Alicante, 6, 23006 Jaén</t>
  </si>
  <si>
    <t>La Floristería</t>
  </si>
  <si>
    <t>Calle Berberiscos, 6, 23001 Jaén</t>
  </si>
  <si>
    <t>Duende verde</t>
  </si>
  <si>
    <t>Calle Navas de Tolosa, Nº65, 23003 Jaén</t>
  </si>
  <si>
    <t>duende-verdr.ueniweb.com</t>
  </si>
  <si>
    <t>smorenomm@gmail.com</t>
  </si>
  <si>
    <t>ILUNION Tienda de prensa, regalos y flores (HOSPITAL GENERAL DE JAEN)</t>
  </si>
  <si>
    <t>Av. del Ejército Español, 10, 23007 Jaén</t>
  </si>
  <si>
    <t>953 22 06 81</t>
  </si>
  <si>
    <t>Calle Bernabé Soriano, 27, 23001 Jaén</t>
  </si>
  <si>
    <t>953 81 84 12</t>
  </si>
  <si>
    <t>Floristería azahar</t>
  </si>
  <si>
    <t>Cuesta Negra, s/n, 23640 Torre del Campo, Jaén</t>
  </si>
  <si>
    <t>Torre del Campo</t>
  </si>
  <si>
    <t>646 07 07 86</t>
  </si>
  <si>
    <t>Arte Floral Alcántara</t>
  </si>
  <si>
    <t>Calle Carrera Alta, 71, 23640 Torre del Campo, Jaén</t>
  </si>
  <si>
    <t>637 20 81 67</t>
  </si>
  <si>
    <t>La Floristería de Regina</t>
  </si>
  <si>
    <t>23160 Los Villares, Jaén</t>
  </si>
  <si>
    <t>Los Villares</t>
  </si>
  <si>
    <t>634 70 28 95</t>
  </si>
  <si>
    <t>Floristería Carmen y Piensos Cabrera</t>
  </si>
  <si>
    <t>Calle Eduardo Campos, 4, 23160 Los Villares, Jaén</t>
  </si>
  <si>
    <t>678 37 73 54</t>
  </si>
  <si>
    <t>Calle Urbanizacion Padre Rejas, 20, 23658 Jamilena, Jaén</t>
  </si>
  <si>
    <t>Jamilena</t>
  </si>
  <si>
    <t>Floristería Los Tulipanes</t>
  </si>
  <si>
    <t>Calle Caballero de Gracia, 65, 23650 Torredonjimeno, Jaén</t>
  </si>
  <si>
    <t>Torredonjimeno</t>
  </si>
  <si>
    <t>Floristería Olea</t>
  </si>
  <si>
    <t>Calle Juan Castillo, 58, 23100 Mancha Real, Jaén</t>
  </si>
  <si>
    <t>Mancha Real</t>
  </si>
  <si>
    <t>oleafloristas.es</t>
  </si>
  <si>
    <t>953 19 55 02</t>
  </si>
  <si>
    <t>Floristería &amp;quot;Gardenia&amp;quot;</t>
  </si>
  <si>
    <t>Calle San Antonio de Padua, 21, 23600 Martos, Jaén</t>
  </si>
  <si>
    <t>Martos</t>
  </si>
  <si>
    <t>gardeniamartos.blogspot.com</t>
  </si>
  <si>
    <t>953 55 10 63</t>
  </si>
  <si>
    <t>manuelserranojamilena@gmail.com</t>
  </si>
  <si>
    <t>La Jara</t>
  </si>
  <si>
    <t>Av. la Paz, 30, 23650 Torredonjimeno, Jaén</t>
  </si>
  <si>
    <t>floristerialajara.com</t>
  </si>
  <si>
    <t>953 03 48 94</t>
  </si>
  <si>
    <t>Floristería Pisa´s</t>
  </si>
  <si>
    <t>Calle Maestra, 106, 23100 Mancha Real, Jaén</t>
  </si>
  <si>
    <t>pisasflor.wixsite.com</t>
  </si>
  <si>
    <t>953 35 06 96</t>
  </si>
  <si>
    <t>Nono Florista</t>
  </si>
  <si>
    <t>Feliz Rodriguez de la Fuente,42, 23600 Martos, Jaén</t>
  </si>
  <si>
    <t>953 70 48 14</t>
  </si>
  <si>
    <t>Floristeria Bailèn</t>
  </si>
  <si>
    <t>Calle las Piñuelas, 43, 23650 Torredonjimeno, Jaén</t>
  </si>
  <si>
    <t>Florybel</t>
  </si>
  <si>
    <t>Calle Tercias, 4, 23110 Pegalajar, Jaén</t>
  </si>
  <si>
    <t>Pegalajar</t>
  </si>
  <si>
    <t>953 36 00 39</t>
  </si>
  <si>
    <t>Floristería Manoli</t>
  </si>
  <si>
    <t>Av. San Pedro Apóstol, 57, 23620 Mengíbar, Jaén</t>
  </si>
  <si>
    <t>Mengíbar</t>
  </si>
  <si>
    <t>953 37 22 40</t>
  </si>
  <si>
    <t>Floristería Marina</t>
  </si>
  <si>
    <t>Calle Eras, 10, 23630 Villargordo, Jaén</t>
  </si>
  <si>
    <t>Villargordo</t>
  </si>
  <si>
    <t>953 37 73 89</t>
  </si>
  <si>
    <t>Floristería la flor de la Campiña</t>
  </si>
  <si>
    <t>Calle Zacatín, 1, 23657 Escañuela, Jaén</t>
  </si>
  <si>
    <t>Escañuela</t>
  </si>
  <si>
    <t>640 06 35 19</t>
  </si>
  <si>
    <t>Floristeria Puri</t>
  </si>
  <si>
    <t>Calle Ollerías, 1, 23740 Andújar, Jaén</t>
  </si>
  <si>
    <t>Andújar</t>
  </si>
  <si>
    <t>floristeria-puri.es</t>
  </si>
  <si>
    <t>626 91 46 23</t>
  </si>
  <si>
    <t>Floristería Carmen</t>
  </si>
  <si>
    <t>Calle Campanario, 20, 23440 Baeza, Jaén</t>
  </si>
  <si>
    <t>Baeza</t>
  </si>
  <si>
    <t>floristeriacarmenbaeza.es</t>
  </si>
  <si>
    <t>953 81 12 23</t>
  </si>
  <si>
    <t>floristeriacarmen_baeza@hotmail.com</t>
  </si>
  <si>
    <t>Floristería del Rosario</t>
  </si>
  <si>
    <t>Plaza Veintiocho de Febrero, 2, 23660 Alcaudete, Jaén</t>
  </si>
  <si>
    <t>Alcaudete</t>
  </si>
  <si>
    <t>649 74 92 79</t>
  </si>
  <si>
    <t>Floristería Alcaudecor</t>
  </si>
  <si>
    <t>Calle Pilarejo, 1, 23660 Alcaudete, Jaén</t>
  </si>
  <si>
    <t>953 56 12 44</t>
  </si>
  <si>
    <t>EDEN FLORISTAS HUELMA</t>
  </si>
  <si>
    <t>Calle Federico García Lorca, 36, 23560 Huelma, Jaén</t>
  </si>
  <si>
    <t>Huelma</t>
  </si>
  <si>
    <t>953 39 02 29</t>
  </si>
  <si>
    <t>Calle San Francisco, 45, 23440 Baeza, Jaén</t>
  </si>
  <si>
    <t>953 74 24 92</t>
  </si>
  <si>
    <t>Calle Julio Burell, nº 2, Bajo, 23700 Linares, Jaén</t>
  </si>
  <si>
    <t>Linares</t>
  </si>
  <si>
    <t>953 65 04 04</t>
  </si>
  <si>
    <t>Floristeria FlorRegalo</t>
  </si>
  <si>
    <t>Calle Gabriel y Zamora, 15, 23740 Andújar, Jaén</t>
  </si>
  <si>
    <t>florregalo.com</t>
  </si>
  <si>
    <t>953 50 61 96</t>
  </si>
  <si>
    <t>Pozoflor Floristería</t>
  </si>
  <si>
    <t>Av. Doce de Agosto, 9, 23740 Andújar, Jaén</t>
  </si>
  <si>
    <t>floristeriapozoflor.es</t>
  </si>
  <si>
    <t>953 50 06 77</t>
  </si>
  <si>
    <t>info@floristeriapozoflor.es</t>
  </si>
  <si>
    <t>Pedro Manuel Sánchez y Manuel Parra C.B.</t>
  </si>
  <si>
    <t>Polígono Industrial Cruz de Piedra, 38, 23760 Arjona, Jaén</t>
  </si>
  <si>
    <t>Arjona</t>
  </si>
  <si>
    <t>953 51 80 09</t>
  </si>
  <si>
    <t>Floristería Caracuel</t>
  </si>
  <si>
    <t>Calle Canalejas, 25, 23700 Linares, Jaén</t>
  </si>
  <si>
    <t>caracuelnevado.com</t>
  </si>
  <si>
    <t>953 69 48 67</t>
  </si>
  <si>
    <t>info@caracuelnevado.com</t>
  </si>
  <si>
    <t>Floristería Deco Flor</t>
  </si>
  <si>
    <t>Av. Iberoamérica, 8, 23680 Alcalá la Real, Jaén</t>
  </si>
  <si>
    <t>Alcalá la Real</t>
  </si>
  <si>
    <t>floristeriadecoflor.es</t>
  </si>
  <si>
    <t>953 58 52 89</t>
  </si>
  <si>
    <t>deco.flor@hotmail.com</t>
  </si>
  <si>
    <t>Floristería Viola</t>
  </si>
  <si>
    <t>Av. de Andalucía, 48, 23680 Alcalá la Real, Jaén</t>
  </si>
  <si>
    <t>610 01 76 56</t>
  </si>
  <si>
    <t>Floristería la Parada</t>
  </si>
  <si>
    <t>Calle Abad Palomino, 1, 23680 Alcalá la Real, Jaén</t>
  </si>
  <si>
    <t>floristerialaparada.com</t>
  </si>
  <si>
    <t>953 58 02 71</t>
  </si>
  <si>
    <t>floristerialaparada@gmail.com</t>
  </si>
  <si>
    <t>Caracuel Nevado, S.L.</t>
  </si>
  <si>
    <t>Pol. Ind. Castulo - NAVE 2, 23700 Linares, Jaén</t>
  </si>
  <si>
    <t>953 65 29 01</t>
  </si>
  <si>
    <t>Floristería Caylo</t>
  </si>
  <si>
    <t>Calle Nuestro Padre Jesús, n °10 bajo, 23710 Bailén, Jaén</t>
  </si>
  <si>
    <t>Bailén</t>
  </si>
  <si>
    <t>615 67 74 59</t>
  </si>
  <si>
    <t>Floristería FloriPlant</t>
  </si>
  <si>
    <t>Calle Vicente Rey, 24, 23780 Lopera, Jaén</t>
  </si>
  <si>
    <t>Lopera</t>
  </si>
  <si>
    <t>floristeriafloriplant.es</t>
  </si>
  <si>
    <t>654 91 78 91</t>
  </si>
  <si>
    <t>info@floristeriafloriplant.es</t>
  </si>
  <si>
    <t>Ceraflor</t>
  </si>
  <si>
    <t>Calle la Palma, 8, 23740 Andújar, Jaén</t>
  </si>
  <si>
    <t>953 51 37 29</t>
  </si>
  <si>
    <t>Floristeria sampe</t>
  </si>
  <si>
    <t>Calle Rafael Alberti, 4, 2, 23710 Bailén, Jaén</t>
  </si>
  <si>
    <t>615 50 75 21</t>
  </si>
  <si>
    <t>Floristería Andalucía</t>
  </si>
  <si>
    <t>Calle Arroyo Arjonilla, 46, 23750 Arjonilla, Jaén</t>
  </si>
  <si>
    <t>Arjonilla</t>
  </si>
  <si>
    <t>Floristeria Arteflor Lorenzo Manuel</t>
  </si>
  <si>
    <t>Albanchez de Mágina</t>
  </si>
  <si>
    <t>637 35 70 48</t>
  </si>
  <si>
    <t>José Javier Flores Flores</t>
  </si>
  <si>
    <t>Calle Gardenia, 28, 23700 Linares, Jaén</t>
  </si>
  <si>
    <t>953 60 29 00</t>
  </si>
  <si>
    <t>floristerías en jódar con floristería kentia</t>
  </si>
  <si>
    <t>Calle los Molinos, 13, 23500 Jódar, Jaén</t>
  </si>
  <si>
    <t>Jódar</t>
  </si>
  <si>
    <t>floristeriakentia.biz</t>
  </si>
  <si>
    <t>953 78 50 23</t>
  </si>
  <si>
    <t>juani1-1@hotmail.com</t>
  </si>
  <si>
    <t>animales y flores duende verde</t>
  </si>
  <si>
    <t>Av. Joaquin Costa, 16, 23790 Porcuna, Jaén</t>
  </si>
  <si>
    <t>Porcuna</t>
  </si>
  <si>
    <t>644 92 67 80</t>
  </si>
  <si>
    <t>Floristería Juanes - Ubeda</t>
  </si>
  <si>
    <t>Av. Ramón y Cajal, 2, BAJO, 23400 Úbeda, Jaén</t>
  </si>
  <si>
    <t>Úbeda</t>
  </si>
  <si>
    <t>paginasamarillas.es</t>
  </si>
  <si>
    <t>691 20 43 61</t>
  </si>
  <si>
    <t>Floristería Caladium</t>
  </si>
  <si>
    <t>Av. de la Constitución, 6, 23400 Úbeda, Jaén</t>
  </si>
  <si>
    <t>953 75 05 72</t>
  </si>
  <si>
    <t>Plantas para Todos</t>
  </si>
  <si>
    <t>Av. de Sevilla, 27, 23440 Baeza, Jaén</t>
  </si>
  <si>
    <t>953 10 09 84</t>
  </si>
  <si>
    <t>Floristeria Ubeda</t>
  </si>
  <si>
    <t>Camino del Cementerio, 77, 23400 Úbeda, Jaén</t>
  </si>
  <si>
    <t>floristeriaytanatorioubeda.com</t>
  </si>
  <si>
    <t>953 75 48 05</t>
  </si>
  <si>
    <t>tanatoubeda@gmail.com</t>
  </si>
  <si>
    <t>AGRO-FLORISTERIA CASTILLO</t>
  </si>
  <si>
    <t>Calle Canton Alto, 4, 23670 Castillo de Locubín, Jaén</t>
  </si>
  <si>
    <t>Castillo de Locubín</t>
  </si>
  <si>
    <t>g.page</t>
  </si>
  <si>
    <t>630 43 80 05</t>
  </si>
  <si>
    <t>Marisol Trujillo Martín</t>
  </si>
  <si>
    <t>Av. de Europa, 2, 23680 Alcalá la Real, Jaén</t>
  </si>
  <si>
    <t>953 58 15 02</t>
  </si>
  <si>
    <t>Pedro Cantudo Chamocho</t>
  </si>
  <si>
    <t>Calle Jesús María, 8, 23740 Andújar, Jaén</t>
  </si>
  <si>
    <t>953 51 18 66</t>
  </si>
  <si>
    <t>Andudecor S L</t>
  </si>
  <si>
    <t>Calle Calancha, 9, 23740 Andújar, Jaén</t>
  </si>
  <si>
    <t>953 51 19 03</t>
  </si>
  <si>
    <t>Floristería Mandrágora</t>
  </si>
  <si>
    <t>Calle Rastro, 5. AC, 23400 Úbeda, Jaén</t>
  </si>
  <si>
    <t>645 94 11 89</t>
  </si>
  <si>
    <t>Floristería Gloria</t>
  </si>
  <si>
    <t>Calle Bahondillo, 19, 23430 Rus, Jaén</t>
  </si>
  <si>
    <t>Rus</t>
  </si>
  <si>
    <t>645 19 28 40</t>
  </si>
  <si>
    <t>Plantas Medicinales De Andalucía S L</t>
  </si>
  <si>
    <t>Calle Serrallo, 12, 23700 Linares, Jaén</t>
  </si>
  <si>
    <t>plantacar.es</t>
  </si>
  <si>
    <t>953 65 22 86</t>
  </si>
  <si>
    <t>contacto@plantacar.es</t>
  </si>
  <si>
    <t>Natifloristeria</t>
  </si>
  <si>
    <t>Calle Zurbarán, 5, 23400 Úbeda, Jaén</t>
  </si>
  <si>
    <t>635 86 59 14</t>
  </si>
  <si>
    <t>Plantas Medicinales de Andalucía S L</t>
  </si>
  <si>
    <t>Calle Menéndez Pelayo, 37, 23700 Linares, Jaén</t>
  </si>
  <si>
    <t>Flores</t>
  </si>
  <si>
    <t>Calle Bolero, 17, 23400 Úbeda, Jaén</t>
  </si>
  <si>
    <t>Floristería Jazmín</t>
  </si>
  <si>
    <t>Calle Guadalquivir, 19, 23320 Torreperogil, Jaén</t>
  </si>
  <si>
    <t>Torreperogil</t>
  </si>
  <si>
    <t>floristeriajazmin.com</t>
  </si>
  <si>
    <t>953 77 61 98</t>
  </si>
  <si>
    <t>guadalquivir28@hotmail.com</t>
  </si>
  <si>
    <t>Decoflor Floristas La Carolina</t>
  </si>
  <si>
    <t>Av. Madrid, 1, Bajo C, 23200 La Carolina, Jaén</t>
  </si>
  <si>
    <t>La Carolina</t>
  </si>
  <si>
    <t>floristerialacarolina.blogspot.com.es</t>
  </si>
  <si>
    <t>953 66 14 28</t>
  </si>
  <si>
    <t>decoflorfloristas@hotmail.com</t>
  </si>
  <si>
    <t>Floristería Noni</t>
  </si>
  <si>
    <t>Calle el Trapero, 12, 23440 Baeza, Jaén</t>
  </si>
  <si>
    <t>953 74 26 99</t>
  </si>
  <si>
    <t>Floristería Román A y N</t>
  </si>
  <si>
    <t>Calle Cristóbal Colón, 6, 23710 Bailén, Jaén</t>
  </si>
  <si>
    <t>953 82 00 14</t>
  </si>
  <si>
    <t>Floristería LIRIO</t>
  </si>
  <si>
    <t>Calle Sta. Ana, 28, 23560 Huelma, Jaén</t>
  </si>
  <si>
    <t>floristerialirio.com</t>
  </si>
  <si>
    <t>685 85 32 42</t>
  </si>
  <si>
    <t>flores casti</t>
  </si>
  <si>
    <t>Av. de los Olivares, 34, 23220 Vilches, Jaén</t>
  </si>
  <si>
    <t>Vilches</t>
  </si>
  <si>
    <t>953 63 08 21</t>
  </si>
  <si>
    <t>Calle Hermanos Morales, 23, 23450 Ibros, Jaén</t>
  </si>
  <si>
    <t>Ibros</t>
  </si>
  <si>
    <t>902 19 88 17</t>
  </si>
  <si>
    <t>Floristería Lilium</t>
  </si>
  <si>
    <t>Calle de Madrid, 42, BAJO, 23200 La Carolina, Jaén</t>
  </si>
  <si>
    <t>953 66 19 91</t>
  </si>
  <si>
    <t>Floristería Romero</t>
  </si>
  <si>
    <t>Calle de Aniceto Utrera, 12, 23410 Sabiote, Jaén</t>
  </si>
  <si>
    <t>Sabiote</t>
  </si>
  <si>
    <t>floristeriaromero.negocio.site</t>
  </si>
  <si>
    <t>660 97 97 13</t>
  </si>
  <si>
    <t>BRAVO ARTEFLOR</t>
  </si>
  <si>
    <t>Calle Párroco Jacinto Muela, 7, 3, 23200 La Carolina, Jaén</t>
  </si>
  <si>
    <t>686 25 81 41</t>
  </si>
  <si>
    <t>Floristeria Jose</t>
  </si>
  <si>
    <t>Av. de Andalucía, 131, 23460 Peal de Becerro, Jaén</t>
  </si>
  <si>
    <t>Peal de Becerro</t>
  </si>
  <si>
    <t>Mundoflor</t>
  </si>
  <si>
    <t>Calle Caldereros, 23009 Jaén</t>
  </si>
  <si>
    <t>mundoflorjaen.com</t>
  </si>
  <si>
    <t>953 28 01 00</t>
  </si>
  <si>
    <t>info@mundoflorjaen.com</t>
  </si>
  <si>
    <t>Cristina zafra</t>
  </si>
  <si>
    <t>Av. Andalucía, 6, local, 23660 Alcaudete, Jaén</t>
  </si>
  <si>
    <t>cristinazafra.es</t>
  </si>
  <si>
    <t>697 42 24 71</t>
  </si>
  <si>
    <t>Floritura Vílchez</t>
  </si>
  <si>
    <t>Av. de Andalucía, 77, 23460 Peal de Becerro, Jaén</t>
  </si>
  <si>
    <t>953 73 09 16</t>
  </si>
  <si>
    <t>FLORISTERIA JUANJO</t>
  </si>
  <si>
    <t>Calle Majuela, S/N, 23460 Peal de Becerro, Jaén</t>
  </si>
  <si>
    <t>665 13 18 79</t>
  </si>
  <si>
    <t>Floristeria Ana</t>
  </si>
  <si>
    <t>Calle Sta. Angela de la Cruz, 10, 23300 Villacarrillo, Jaén</t>
  </si>
  <si>
    <t>Villacarrillo</t>
  </si>
  <si>
    <t>953 44 23 31</t>
  </si>
  <si>
    <t>Flores Nati</t>
  </si>
  <si>
    <t>Floristería Pilar</t>
  </si>
  <si>
    <t>Calle Feria, 7, 23300 Villacarrillo, Jaén</t>
  </si>
  <si>
    <t>953 45 44 15</t>
  </si>
  <si>
    <t>Floristería Camelia</t>
  </si>
  <si>
    <t>Calle Pedro Hidalgo, 14, 23480 Quesada, Jaén</t>
  </si>
  <si>
    <t>Quesada</t>
  </si>
  <si>
    <t>953 71 44 16</t>
  </si>
  <si>
    <t>Floristería Estrella</t>
  </si>
  <si>
    <t>Calle Pablo Iglesias, 18, 23240 Navas de San Juan, Jaén</t>
  </si>
  <si>
    <t>Navas de San Juan</t>
  </si>
  <si>
    <t>953 68 94 13</t>
  </si>
  <si>
    <t>Calle Real, 78, 23240 Navas de San Juan, Jaén</t>
  </si>
  <si>
    <t>953 68 97 52</t>
  </si>
  <si>
    <t>RosAragon Florista</t>
  </si>
  <si>
    <t>Calle de Hilario Marco, 11, 23470 Cazorla, Jaén</t>
  </si>
  <si>
    <t>Cazorla</t>
  </si>
  <si>
    <t>953 72 00 81</t>
  </si>
  <si>
    <t>Floristería San Miguel Ubeda</t>
  </si>
  <si>
    <t>Av. Ramón y Cajal, 16, 23400 Úbeda, Jaén</t>
  </si>
  <si>
    <t>floristeriasanmiguel.com</t>
  </si>
  <si>
    <t>607 34 66 84</t>
  </si>
  <si>
    <t>typesetit@att.net</t>
  </si>
  <si>
    <t>Tienda Jardín</t>
  </si>
  <si>
    <t>Calle de Hilario Marco, 8, 23470 Cazorla, Jaén</t>
  </si>
  <si>
    <t>953 72 21 06</t>
  </si>
  <si>
    <t>Calle Regente Molina Valero, 2, 23300 Villacarrillo, Jaén</t>
  </si>
  <si>
    <t>953 44 07 82</t>
  </si>
  <si>
    <t>Floristería Avenida</t>
  </si>
  <si>
    <t>Av. Ntra. Sra. de los Dolores, 16, 23485 Pozo Alcón, Jaén</t>
  </si>
  <si>
    <t>Pozo Alcón</t>
  </si>
  <si>
    <t>floristeriaavenida.com</t>
  </si>
  <si>
    <t>953 71 82 96</t>
  </si>
  <si>
    <t>info@floristeriaavenida.com</t>
  </si>
  <si>
    <t>Floristería Marfran</t>
  </si>
  <si>
    <t>Av Fontanar, 22, 23485 Pozo Alcón, Jaén</t>
  </si>
  <si>
    <t>floristeriamar-fran.com</t>
  </si>
  <si>
    <t>625 55 13 03</t>
  </si>
  <si>
    <t>info@cazorla-alcon.com</t>
  </si>
  <si>
    <t>Flor Begonia</t>
  </si>
  <si>
    <t>Calle de Hilario Marco, 35, 23470 Cazorla, Jaén</t>
  </si>
  <si>
    <t>650 78 55 39</t>
  </si>
  <si>
    <t>Calle Mesones, 14 BAJO(FLORISTERIA, 23330 Villanueva del Arzobispo, Jaén</t>
  </si>
  <si>
    <t>Villanueva del Arzobispo</t>
  </si>
  <si>
    <t>953 45 02 45</t>
  </si>
  <si>
    <t>Floristería La Ermita Genaro</t>
  </si>
  <si>
    <t>Calz. de la Virgen, 77, BAJO, 23320 Torreperogil, Jaén</t>
  </si>
  <si>
    <t>629 54 40 96</t>
  </si>
  <si>
    <t>Floristeria Mar-Fran</t>
  </si>
  <si>
    <t>Calle Virgen de Fatima, 1, Pozo Alcón, Jaén</t>
  </si>
  <si>
    <t>Floristería Canana</t>
  </si>
  <si>
    <t>Calle Quevedo, 43, 23260 Castellar, Jaén</t>
  </si>
  <si>
    <t>Castellar</t>
  </si>
  <si>
    <t>953 40 00 24</t>
  </si>
  <si>
    <t>Plantas,árboles y flores el rubio</t>
  </si>
  <si>
    <t>Carretera arroturas km1, 23310 Mogón, Jaén</t>
  </si>
  <si>
    <t>Mogón</t>
  </si>
  <si>
    <t>616 63 73 20</t>
  </si>
  <si>
    <t>Floristería los Claveles</t>
  </si>
  <si>
    <t>Calle la Feria, 3, 23280 Beas de Segura, Jaén</t>
  </si>
  <si>
    <t>Beas de Segura</t>
  </si>
  <si>
    <t>953 45 83 18</t>
  </si>
  <si>
    <t>floristeria el Puente</t>
  </si>
  <si>
    <t>Paseo la Vicaria, 23350, Jaén</t>
  </si>
  <si>
    <t>Puente de Génave</t>
  </si>
  <si>
    <t>627 02 94 90</t>
  </si>
  <si>
    <t>Floristería y Regalos Agapanthus</t>
  </si>
  <si>
    <t>Cmo de S. Rafael, 23, local 4, 29006 Málaga</t>
  </si>
  <si>
    <t>floresmalaga.com</t>
  </si>
  <si>
    <t>952 35 00 24</t>
  </si>
  <si>
    <t>info@agapanthus.es</t>
  </si>
  <si>
    <t>Floristería H Garden Spain</t>
  </si>
  <si>
    <t>Calle Eugenio Gross, 14, 29010 Málaga</t>
  </si>
  <si>
    <t>hgardenspain.com</t>
  </si>
  <si>
    <t>692 96 73 09</t>
  </si>
  <si>
    <t>Flores Victoria</t>
  </si>
  <si>
    <t>Alameda principal kiosco N, 11, 29001 Málaga</t>
  </si>
  <si>
    <t>flores-victoria.negocio.site</t>
  </si>
  <si>
    <t>697 43 96 86</t>
  </si>
  <si>
    <t>Floristerías La Abadia</t>
  </si>
  <si>
    <t>Calle Amadeo Vives, 9, 29002 Málaga</t>
  </si>
  <si>
    <t>619 95 12 52</t>
  </si>
  <si>
    <t>Floristería Andalucía Málaga</t>
  </si>
  <si>
    <t>Calle Virgen Bien Aparecida, 1, 29007 Málaga</t>
  </si>
  <si>
    <t>952 30 79 09</t>
  </si>
  <si>
    <t>Floristería Maria Rosa</t>
  </si>
  <si>
    <t>Alameda Principal, 12, 29005 Málaga</t>
  </si>
  <si>
    <t>952 22 34 34</t>
  </si>
  <si>
    <t>Flores Manoli</t>
  </si>
  <si>
    <t>Calle de Demóstenes, 15, 29010 Málaga</t>
  </si>
  <si>
    <t>952 39 32 81</t>
  </si>
  <si>
    <t>Marina Flor</t>
  </si>
  <si>
    <t>ctra. Colonia Sta. Ines - Campanillas, km. 5, 29590 Málaga</t>
  </si>
  <si>
    <t>marinaflor.com</t>
  </si>
  <si>
    <t>952 22 34 11</t>
  </si>
  <si>
    <t>info@marinaflor.es</t>
  </si>
  <si>
    <t>Natalia Flor</t>
  </si>
  <si>
    <t>Junto Supermercado Día, Calle Ntra. Sra. de los Clarines, 3, 29011 Málaga</t>
  </si>
  <si>
    <t>645 97 62 55</t>
  </si>
  <si>
    <t>Flor Zen</t>
  </si>
  <si>
    <t>Calle Beatas, 24, 29008 Málaga</t>
  </si>
  <si>
    <t>florzen.com</t>
  </si>
  <si>
    <t>699 78 38 39</t>
  </si>
  <si>
    <t>contacto@florzen.com</t>
  </si>
  <si>
    <t>Floristeria Doña Emilia</t>
  </si>
  <si>
    <t>Calle Sebastián Souvirón, 10, 29005 Málaga</t>
  </si>
  <si>
    <t>951 10 55 94</t>
  </si>
  <si>
    <t>Floristería Terracota. El Manojo De Rosas</t>
  </si>
  <si>
    <t>Calle Atarazanas, 15, 29005 Málaga</t>
  </si>
  <si>
    <t>625 34 07 08</t>
  </si>
  <si>
    <t>Floristeria Conchi</t>
  </si>
  <si>
    <t>Alameda de Capuchinos, 66 - 68, 29013 Málaga</t>
  </si>
  <si>
    <t>952 26 03 38</t>
  </si>
  <si>
    <t>Virentia Floristas</t>
  </si>
  <si>
    <t>Centro Comercial El Corte Inglés, Av. de Andalucía, 6, 29007 Málaga</t>
  </si>
  <si>
    <t>virentiafloristas.com</t>
  </si>
  <si>
    <t>952 39 13 93</t>
  </si>
  <si>
    <t>clientes@virentiafloristas.com</t>
  </si>
  <si>
    <t>Floristería Araucaria</t>
  </si>
  <si>
    <t>Av. del Pintor Joaquín Sorolla, 10, 29016 Málaga</t>
  </si>
  <si>
    <t>floristeriaaraucaria.com</t>
  </si>
  <si>
    <t>952 22 55 54</t>
  </si>
  <si>
    <t>info@floristeriaaraucaria.com</t>
  </si>
  <si>
    <t>Si! flores Diseño Floral by Juan Cereto</t>
  </si>
  <si>
    <t>Calle Carretería, 53, 29008 Málaga</t>
  </si>
  <si>
    <t>juancereto.com</t>
  </si>
  <si>
    <t>617 91 34 12</t>
  </si>
  <si>
    <t>info@juancereto.com</t>
  </si>
  <si>
    <t>Floristería Maite</t>
  </si>
  <si>
    <t>Alameda principal, frente n, 19, 29005 Málaga</t>
  </si>
  <si>
    <t>952 21 23 88</t>
  </si>
  <si>
    <t>Floristeria Arte Floral Miguel Herrera</t>
  </si>
  <si>
    <t>Calle Martínez Maldonado, 35, Calle Herrezuelos, 2, 29007 Antequera</t>
  </si>
  <si>
    <t>Antequera</t>
  </si>
  <si>
    <t>952 64 02 70</t>
  </si>
  <si>
    <t>Floristería Ángeles</t>
  </si>
  <si>
    <t>Parque Nuevo Cementerio Parcemasa, Local 5 y 6, 29590 Málaga</t>
  </si>
  <si>
    <t>floristeriaangeles.es</t>
  </si>
  <si>
    <t>952 43 31 13</t>
  </si>
  <si>
    <t>flor.angeles@hotmail.es</t>
  </si>
  <si>
    <t>Esencia Floral</t>
  </si>
  <si>
    <t>Paseo de Sancha, 19, 29016 Málaga</t>
  </si>
  <si>
    <t>twitter.com</t>
  </si>
  <si>
    <t>634 57 43 56</t>
  </si>
  <si>
    <t>Floristería &amp;quot;El Jardín de Chloé&amp;quot;</t>
  </si>
  <si>
    <t>29007 Málaga</t>
  </si>
  <si>
    <t>eljardindechloe.com</t>
  </si>
  <si>
    <t>647 62 30 90</t>
  </si>
  <si>
    <t>La Victoria, Arte Floral</t>
  </si>
  <si>
    <t>Calle Lagunillas, 66, 29012 Málaga</t>
  </si>
  <si>
    <t>wordpress.com</t>
  </si>
  <si>
    <t>685 52 91 36</t>
  </si>
  <si>
    <t>Floristeria Myriam</t>
  </si>
  <si>
    <t>Calle Magistrado Salvador Barbera, 29010 Málaga</t>
  </si>
  <si>
    <t>639 55 42 90</t>
  </si>
  <si>
    <t>Florymar</t>
  </si>
  <si>
    <t>Av. de Andalucía, 123, 29007 Málaga</t>
  </si>
  <si>
    <t>floristeriaflorymar.com</t>
  </si>
  <si>
    <t>952 54 22 49</t>
  </si>
  <si>
    <t>Hernández Floristas</t>
  </si>
  <si>
    <t>Av de Europa, 52, 29003 Málaga</t>
  </si>
  <si>
    <t>hernandezfloristas.com</t>
  </si>
  <si>
    <t>952 32 00 55</t>
  </si>
  <si>
    <t>Floristería Vico</t>
  </si>
  <si>
    <t>Av. de José Ortega y Gasset, 374, 29006 Málaga</t>
  </si>
  <si>
    <t>658 84 34 70</t>
  </si>
  <si>
    <t>Floristeria Capricho</t>
  </si>
  <si>
    <t>Calle Sevilla, 1, 29009 Málaga</t>
  </si>
  <si>
    <t>657 05 02 03</t>
  </si>
  <si>
    <t>Blanca Floristas</t>
  </si>
  <si>
    <t>Av. Simón Bolívar, 14, 29011 Málaga</t>
  </si>
  <si>
    <t>blancafloristas.com</t>
  </si>
  <si>
    <t>647 60 60 05</t>
  </si>
  <si>
    <t>sandra@blancafloristas.com</t>
  </si>
  <si>
    <t>Floristeria Deliflor</t>
  </si>
  <si>
    <t>Calle Trafalgar, 6, 29003 Málaga</t>
  </si>
  <si>
    <t>654 30 88 45</t>
  </si>
  <si>
    <t>Floristería Nuria</t>
  </si>
  <si>
    <t>Plaza de Félix Sáenz, 8, 29005 Málaga</t>
  </si>
  <si>
    <t>952 21 53 00</t>
  </si>
  <si>
    <t>FLORISTERIA MARIA ROSA</t>
  </si>
  <si>
    <t>Alameda Principal, S/N, 29001 Málaga</t>
  </si>
  <si>
    <t>Floristería Parcemasa</t>
  </si>
  <si>
    <t>ctra, km. 5, 29590 Campanillas, Málaga</t>
  </si>
  <si>
    <t>floristeriaparcemasa.es</t>
  </si>
  <si>
    <t>Roger de Flor</t>
  </si>
  <si>
    <t>Paseo de los Tilos, 17, 29006 Málaga</t>
  </si>
  <si>
    <t>Plantas Toñi</t>
  </si>
  <si>
    <t>Calle Cristo de la Epidemia, 82, 29013 Málaga</t>
  </si>
  <si>
    <t>Artiflor Decoracion Floral</t>
  </si>
  <si>
    <t>Calle Joaquín Rodrigo, 4, 29004 Málaga</t>
  </si>
  <si>
    <t>La Medusa floristeria</t>
  </si>
  <si>
    <t>Alameda</t>
  </si>
  <si>
    <t>658 51 18 52</t>
  </si>
  <si>
    <t>Liatry Floristas</t>
  </si>
  <si>
    <t>Calle Camoens, 5, 29590 Málaga</t>
  </si>
  <si>
    <t>952 43 78 10</t>
  </si>
  <si>
    <t>Floristeria Mariola Campos</t>
  </si>
  <si>
    <t>Calle Emilio Thuillier, 88, 29014 Málaga</t>
  </si>
  <si>
    <t>mariolacampos.com</t>
  </si>
  <si>
    <t>658 49 38 68</t>
  </si>
  <si>
    <t>floristeriamariola@gmail.com</t>
  </si>
  <si>
    <t>Encarnita</t>
  </si>
  <si>
    <t>Av. Juan Sebastián Elcano, 174, 29017 Málaga</t>
  </si>
  <si>
    <t>floristeriaencarnita.com</t>
  </si>
  <si>
    <t>952 20 20 16</t>
  </si>
  <si>
    <t>marina1990spaces@gmail.com</t>
  </si>
  <si>
    <t>Flores Mercedes</t>
  </si>
  <si>
    <t>Alameda Principal, 4, 29005 Málaga</t>
  </si>
  <si>
    <t>807 57 59 77</t>
  </si>
  <si>
    <t>Kiosco entrada principal. Centro Comercial Los Patios, Av. de Velázquez, 241, 29004 Málaga</t>
  </si>
  <si>
    <t>cc-carrefour-lospatios.com</t>
  </si>
  <si>
    <t>952 23 32 63</t>
  </si>
  <si>
    <t>Floristería Ortega</t>
  </si>
  <si>
    <t>Calle Francisco López López, 6, 29014 Málaga</t>
  </si>
  <si>
    <t>952 25 31 97</t>
  </si>
  <si>
    <t>Floristería Pilar Merchán</t>
  </si>
  <si>
    <t>Calle Julio Gómez, 6, 29017 Málaga</t>
  </si>
  <si>
    <t>666 72 32 66</t>
  </si>
  <si>
    <t>Floristería Benalflor</t>
  </si>
  <si>
    <t>Calle Frigiliana, 10, 29730 Rincón de la Victoria, Málaga</t>
  </si>
  <si>
    <t>Rincón de la Victoria</t>
  </si>
  <si>
    <t>952 40 57 66</t>
  </si>
  <si>
    <t>Floristería y Regalos &amp;quot;El Olivar&amp;quot;</t>
  </si>
  <si>
    <t>Calle Posito, 9, 29170 Colmenar, Málaga</t>
  </si>
  <si>
    <t>Colmenar</t>
  </si>
  <si>
    <t>685 17 76 30</t>
  </si>
  <si>
    <t>Calle Lorenza Correa, 29014 Málaga</t>
  </si>
  <si>
    <t>La Buganvilla decoracion floral</t>
  </si>
  <si>
    <t>Calle Antonio Trueba, 10, 29017 Málaga</t>
  </si>
  <si>
    <t>952 20 62 10</t>
  </si>
  <si>
    <t>Calle Málaga, 8, 29130 Alhaurín de la Torre, Málaga</t>
  </si>
  <si>
    <t>Alhaurín de la Torre</t>
  </si>
  <si>
    <t>951 91 84 52</t>
  </si>
  <si>
    <t>Floristería Ramiflor</t>
  </si>
  <si>
    <t>Av. de Málaga, 93, 29720 La Cala del Moral, Málaga</t>
  </si>
  <si>
    <t>La Cala del Moral</t>
  </si>
  <si>
    <t>654 88 17 67</t>
  </si>
  <si>
    <t>Antonio Flores Grupo de Inversores S.L.</t>
  </si>
  <si>
    <t>Av. Juan Sebastián Elcano, 190, 29017 Málaga</t>
  </si>
  <si>
    <t>952 29 60 14</t>
  </si>
  <si>
    <t>Flores Manoli - plaza de la marina 4</t>
  </si>
  <si>
    <t>Plaza de la Marina, 4, 29015 Málaga</t>
  </si>
  <si>
    <t>952 22 38 21</t>
  </si>
  <si>
    <t>La boutique de la flor y la planta</t>
  </si>
  <si>
    <t>Calle Martínez Maldonado, 65, 29010 Málaga</t>
  </si>
  <si>
    <t>951 95 45 74</t>
  </si>
  <si>
    <t>Floristería Los Cocoteros</t>
  </si>
  <si>
    <t>calle limonero Edif. Jul 100,Bloque 9, Portal 2, 29730 Rincón de la Victoria, Málaga</t>
  </si>
  <si>
    <t>floristerialoscocoteros.es.tl</t>
  </si>
  <si>
    <t>611 67 54 45</t>
  </si>
  <si>
    <t>sam_garci123@hotmail.com</t>
  </si>
  <si>
    <t>Alameda Principal, 15, 29001 Málaga</t>
  </si>
  <si>
    <t>661 86 47 07</t>
  </si>
  <si>
    <t>Floristería Miguel C/ Núñez Vela Local 1</t>
  </si>
  <si>
    <t>Calle Núñez Vela, 29010 Málaga</t>
  </si>
  <si>
    <t>629 87 53 62</t>
  </si>
  <si>
    <t>29009 Málaga</t>
  </si>
  <si>
    <t>Bouganvillea Arte Floral</t>
  </si>
  <si>
    <t>Calle Cristo de la Epidemia, 43, 29013 Málaga</t>
  </si>
  <si>
    <t>Antonio Flores Grupo Inversores S.L</t>
  </si>
  <si>
    <t>Calle Salitre, 26, 29002 Málaga</t>
  </si>
  <si>
    <t>951 99 13 11</t>
  </si>
  <si>
    <t>Montseflor</t>
  </si>
  <si>
    <t>Calle Cártama, 0, 29570 Castañetas, Málaga</t>
  </si>
  <si>
    <t>Castañetas</t>
  </si>
  <si>
    <t>montseflor.es</t>
  </si>
  <si>
    <t>605 91 99 29</t>
  </si>
  <si>
    <t>montseflor@montseflor.es</t>
  </si>
  <si>
    <t>MAISON DES FLEURS</t>
  </si>
  <si>
    <t>Calle Albertillas, 1, 29003 Málaga</t>
  </si>
  <si>
    <t>952 08 51 17</t>
  </si>
  <si>
    <t>Floristería El Niño</t>
  </si>
  <si>
    <t>Calle Salitre, 29002 Málaga</t>
  </si>
  <si>
    <t>674 43 26 83</t>
  </si>
  <si>
    <t>creaciones roses eventos</t>
  </si>
  <si>
    <t>Paseo de los Tilos, 42, 29006 Málaga</t>
  </si>
  <si>
    <t>693 05 49 33</t>
  </si>
  <si>
    <t>Mercasunción Floristeria Mundo Natural</t>
  </si>
  <si>
    <t>Av. de José Ortega y Gasset, 43, 29006 Málaga</t>
  </si>
  <si>
    <t>Calle José Calderón, 57, 29590 Málaga</t>
  </si>
  <si>
    <t>952 62 64 68</t>
  </si>
  <si>
    <t>Floristería Seflor</t>
  </si>
  <si>
    <t>Calle Gustavo Adolfo Bécquer, 1, 29130 Alhaurín de la Torre, Málaga</t>
  </si>
  <si>
    <t>952 41 38 81</t>
  </si>
  <si>
    <t>Arteflor Floristeria</t>
  </si>
  <si>
    <t>29004 Málaga</t>
  </si>
  <si>
    <t>952 24 43 83</t>
  </si>
  <si>
    <t>Doña Emilia Alameda</t>
  </si>
  <si>
    <t>Alameda Principal, 31, 29001 Málaga</t>
  </si>
  <si>
    <t>665 48 34 72</t>
  </si>
  <si>
    <t>El templo de Agar</t>
  </si>
  <si>
    <t>Av. Dr. Gálvez Ginachero, 27, local 2, 29009 Málaga</t>
  </si>
  <si>
    <t>laparadadekito.com</t>
  </si>
  <si>
    <t>744 62 14 21</t>
  </si>
  <si>
    <t>info@laparadadekito.com</t>
  </si>
  <si>
    <t>Aries Floristas</t>
  </si>
  <si>
    <t>DENTRO DE SUPERSOL, Av. de los Manantiales, 29620 Torremolinos, Málaga</t>
  </si>
  <si>
    <t>Torremolinos</t>
  </si>
  <si>
    <t>ariesfloristass.com</t>
  </si>
  <si>
    <t>952 37 14 43</t>
  </si>
  <si>
    <t>floristeriaaries@hotmail.com</t>
  </si>
  <si>
    <t>Taberna Flores</t>
  </si>
  <si>
    <t>29006 Málaga</t>
  </si>
  <si>
    <t>Mari Flowers</t>
  </si>
  <si>
    <t>kodeoka</t>
  </si>
  <si>
    <t>Calle Obispo Miguel Bucarelli, 2, 29014 Málaga</t>
  </si>
  <si>
    <t>kodeoka.net</t>
  </si>
  <si>
    <t>685 10 77 07</t>
  </si>
  <si>
    <t>kodeoka@gmail.com</t>
  </si>
  <si>
    <t>Floristería Marín Floristas.</t>
  </si>
  <si>
    <t>C/ Hoyos nº 11 , local, n° 1, 29620 Torremolinos, Málaga</t>
  </si>
  <si>
    <t>floristeriastorremolinos.com</t>
  </si>
  <si>
    <t>952 38 15 10</t>
  </si>
  <si>
    <t>Graficflower | Flores a domicilio</t>
  </si>
  <si>
    <t>Pje. de las Gitanillas, 2, 29620 Torremolinos, Málaga</t>
  </si>
  <si>
    <t>graficflower.com</t>
  </si>
  <si>
    <t>952 38 29 14</t>
  </si>
  <si>
    <t>Floristería Trujillo</t>
  </si>
  <si>
    <t>Calle Casabermeja, 8, 29580 Estación de Cártama, Málaga</t>
  </si>
  <si>
    <t>Estación de Cártama</t>
  </si>
  <si>
    <t>coronasfunerariasmalaga.com</t>
  </si>
  <si>
    <t>952 42 08 52</t>
  </si>
  <si>
    <t>florestrujillo.reme@gmail.com</t>
  </si>
  <si>
    <t>Floristeria Peñaflor</t>
  </si>
  <si>
    <t>Calle EUROPA, 7 LOCAL 17-18 (EDIF.SN, Calle Fernando de Herrera, 29620 Torremolinos, Málaga</t>
  </si>
  <si>
    <t>floristeriapyaflormalaga.es</t>
  </si>
  <si>
    <t>952 38 98 12</t>
  </si>
  <si>
    <t>pya.flormalaga@hotmail.com</t>
  </si>
  <si>
    <t>Floristeria Godoy</t>
  </si>
  <si>
    <t>29140, Málaga</t>
  </si>
  <si>
    <t>29011 Málaga</t>
  </si>
  <si>
    <t>MariFlowers Grow Shop Málaga</t>
  </si>
  <si>
    <t>Calle la Orotava, nave 28, 29006 Málaga</t>
  </si>
  <si>
    <t>951 08 09 49</t>
  </si>
  <si>
    <t>Floristería Aliflor</t>
  </si>
  <si>
    <t>Pza. García Lorca L-1, (Frente Policia Local Torremolinos), 29620 Torremolinos, Málaga</t>
  </si>
  <si>
    <t>639 55 68 28</t>
  </si>
  <si>
    <t>Floristería Tamara</t>
  </si>
  <si>
    <t>Calle Danza Invisible, 8, 29620 Torremolinos, Málaga</t>
  </si>
  <si>
    <t>610 40 41 34</t>
  </si>
  <si>
    <t>Centro Comercial Los Patios</t>
  </si>
  <si>
    <t>Av. de Velázquez, 241, 29004 Málaga</t>
  </si>
  <si>
    <t>914 90 89 00</t>
  </si>
  <si>
    <t>Floristería Luis</t>
  </si>
  <si>
    <t>Av. Carlota Alessandri, 42, 29620 Torremolinos, Málaga</t>
  </si>
  <si>
    <t>floristerialuis.negocio.site</t>
  </si>
  <si>
    <t>952 38 53 53</t>
  </si>
  <si>
    <t>El Punto Eres Tu Malaga</t>
  </si>
  <si>
    <t>Calle Flauta Mágica, 9A, 29006 Málaga</t>
  </si>
  <si>
    <t>elpuntoerestu.com</t>
  </si>
  <si>
    <t>625 65 49 50</t>
  </si>
  <si>
    <t>elpuntoerestu@elpuntoerestu.com</t>
  </si>
  <si>
    <t>Floristería Rioflor</t>
  </si>
  <si>
    <t>Calle Noguera, 49, 29180 Riogordo, Málaga</t>
  </si>
  <si>
    <t>Riogordo</t>
  </si>
  <si>
    <t>952 73 26 12</t>
  </si>
  <si>
    <t>Benalflor Torremolinos</t>
  </si>
  <si>
    <t>Centro Comercial Costa Sol (Carrefour Pinillo) planta sotano, 29620 Torremolinos, Málaga</t>
  </si>
  <si>
    <t>952 56 02 50</t>
  </si>
  <si>
    <t>Guadalflor Floristeria</t>
  </si>
  <si>
    <t>Ctra. Cártama Pueblo a Estac, 29570 Cártama, Málaga</t>
  </si>
  <si>
    <t>Cártama</t>
  </si>
  <si>
    <t>952 42 81 34</t>
  </si>
  <si>
    <t>Floristeria La Jara</t>
  </si>
  <si>
    <t>Calle Juan Carlos I, 44, 29570 Cártama, Málaga</t>
  </si>
  <si>
    <t>FLORES TORREMOLINOS-CUSTODIA MILLA</t>
  </si>
  <si>
    <t>Calle Madame Bovary, 23, 29620 Torremolinos, Málaga</t>
  </si>
  <si>
    <t>florestorremolinos.com</t>
  </si>
  <si>
    <t>659 93 09 90</t>
  </si>
  <si>
    <t>info@florestorremolinos.com</t>
  </si>
  <si>
    <t>Verdecora</t>
  </si>
  <si>
    <t>Av. Enrique Granados, 3, 29004 Málaga</t>
  </si>
  <si>
    <t>verdecora.es</t>
  </si>
  <si>
    <t>951 20 44 49</t>
  </si>
  <si>
    <t>Calle las Flores, 1, 29631 Arroyo de La Miel, Málaga</t>
  </si>
  <si>
    <t>Arroyo de La Miel</t>
  </si>
  <si>
    <t>952 44 65 93</t>
  </si>
  <si>
    <t>Benalflor Benalmadena</t>
  </si>
  <si>
    <t>Av. Federico García Lorca, 39, local 2, 29631 Benalmádena, Málaga</t>
  </si>
  <si>
    <t>952 44 55 35</t>
  </si>
  <si>
    <t>El Sol Flores</t>
  </si>
  <si>
    <t>El Pinillo, Calle Antonio Marquez Muñoz s/n, 29620 Torremolinos, Málaga</t>
  </si>
  <si>
    <t>951 25 73 02</t>
  </si>
  <si>
    <t>Grow Shop El Punto Eres Tu Malaga</t>
  </si>
  <si>
    <t>Calle Montes de Oca, 12, 29007 Málaga</t>
  </si>
  <si>
    <t>952 07 09 80</t>
  </si>
  <si>
    <t>Banyan24 Decoración Floral</t>
  </si>
  <si>
    <t>Av. Vicente Aleixandre, 10, 29631 Arroyo de La Miel, Málaga</t>
  </si>
  <si>
    <t>951 13 29 30</t>
  </si>
  <si>
    <t>Floristeria Bouquet-Artflor</t>
  </si>
  <si>
    <t>Av. del Chorrillo, 32, 29631 Benalmádena, Málaga</t>
  </si>
  <si>
    <t>951 38 31 17</t>
  </si>
  <si>
    <t>La Parada De Kito</t>
  </si>
  <si>
    <t>Av. Dr. Gálvez Ginachero, 27, 29009 Málaga</t>
  </si>
  <si>
    <t>684 21 42 52</t>
  </si>
  <si>
    <t>Hermanos Flores Vega S.C</t>
  </si>
  <si>
    <t>Calle Vélez Málaga, 0, 29790 Chilches, Málaga</t>
  </si>
  <si>
    <t>Chilches</t>
  </si>
  <si>
    <t>Garden A 1</t>
  </si>
  <si>
    <t>Calle Ctra. Málaga, 29790 Chilches, Málaga</t>
  </si>
  <si>
    <t>952 51 43 40</t>
  </si>
  <si>
    <t>Floristería La Biznaga</t>
  </si>
  <si>
    <t>Calle San Sebastián, 37, 29120 Alhaurín el Grande, Málaga</t>
  </si>
  <si>
    <t>Alhaurín el Grande</t>
  </si>
  <si>
    <t>Floristería El Rincón</t>
  </si>
  <si>
    <t>Calle Sta. Ana, 3, 29500 Álora, Málaga</t>
  </si>
  <si>
    <t>Álora</t>
  </si>
  <si>
    <t>951 20 51 92</t>
  </si>
  <si>
    <t>Floristería Tuflor</t>
  </si>
  <si>
    <t>Calle Nueva, 7, 29560 Pizarra, Málaga</t>
  </si>
  <si>
    <t>Pizarra</t>
  </si>
  <si>
    <t>686 86 64 84</t>
  </si>
  <si>
    <t>Floristeria Iris</t>
  </si>
  <si>
    <t>Av. de Méjico, 19, 29650 Mijas, Málaga</t>
  </si>
  <si>
    <t>Mijas</t>
  </si>
  <si>
    <t>Camino Cementerio, 0 S/N, 29790 Chilches, Málaga</t>
  </si>
  <si>
    <t>952 50 46 34</t>
  </si>
  <si>
    <t>Calle Camilo José Cela, 1, LOCAL, 29640 Fuengirola, Málaga</t>
  </si>
  <si>
    <t>Fuengirola</t>
  </si>
  <si>
    <t>azaharfloristeria.com</t>
  </si>
  <si>
    <t>952 47 34 49</t>
  </si>
  <si>
    <t>florazaharfuengirola@gmail.com</t>
  </si>
  <si>
    <t>Flor Valentín</t>
  </si>
  <si>
    <t>Ctra. Circunvalación Mijas, KM 3,600, 29649 Mijas, Málaga</t>
  </si>
  <si>
    <t>florvalentin.es</t>
  </si>
  <si>
    <t>951 31 10 86</t>
  </si>
  <si>
    <t>janne@florvalentin.es</t>
  </si>
  <si>
    <t>Hormigos Floristas</t>
  </si>
  <si>
    <t>Calle Sevilla, 22, 29640 Fuengirola, Málaga</t>
  </si>
  <si>
    <t>952 47 96 19</t>
  </si>
  <si>
    <t>Hnos Escalona Cb, Flores Inmaculada</t>
  </si>
  <si>
    <t>Calle Casares, 2, 29640 Fuengirola, Málaga</t>
  </si>
  <si>
    <t>952 47 59 83</t>
  </si>
  <si>
    <t>Floristería La plaza</t>
  </si>
  <si>
    <t>Plaza Constitución, S/N, 29640 Fuengirola, Málaga</t>
  </si>
  <si>
    <t>floristeria-la-plaza.es</t>
  </si>
  <si>
    <t>952 47 53 46</t>
  </si>
  <si>
    <t>Floristería Eva</t>
  </si>
  <si>
    <t>Calle Garcerán, 80, 29002 Málaga</t>
  </si>
  <si>
    <t>952 34 42 47</t>
  </si>
  <si>
    <t>baobab</t>
  </si>
  <si>
    <t>Av. de los Boliches, 44, 29640 Fuengirola, Málaga</t>
  </si>
  <si>
    <t>baobabfreeman.com</t>
  </si>
  <si>
    <t>951 43 59 86</t>
  </si>
  <si>
    <t>Susana Sánchez Floristería</t>
  </si>
  <si>
    <t>Calle Victoria, 12, 29640 Fuengirola, Málaga</t>
  </si>
  <si>
    <t>susanasanchez.es</t>
  </si>
  <si>
    <t>652 35 55 06</t>
  </si>
  <si>
    <t>flores@susanasanchez.es</t>
  </si>
  <si>
    <t>Floristería Florymar</t>
  </si>
  <si>
    <t>Calle Cementerio, 29700 Vélez-Málaga, Málaga</t>
  </si>
  <si>
    <t>Vélez-Málaga</t>
  </si>
  <si>
    <t>Flores Heinau Ibérica S L</t>
  </si>
  <si>
    <t>Calle Málaga, 5, 29640 Fuengirola, Málaga</t>
  </si>
  <si>
    <t>952 62 22 20</t>
  </si>
  <si>
    <t>Flores Inmaculada</t>
  </si>
  <si>
    <t>Paseo Jesús Santos Rein, 1, 29640 Fuengirola, Málaga</t>
  </si>
  <si>
    <t>Floristería Mercé</t>
  </si>
  <si>
    <t>Calle Puerta Antequera, 1, 29700 Vélez-Málaga, Málaga</t>
  </si>
  <si>
    <t>952 50 29 76</t>
  </si>
  <si>
    <t>Calle Reñidero, 1, 29700 Vélez-Málaga, Málaga</t>
  </si>
  <si>
    <t>952 50 75 20</t>
  </si>
  <si>
    <t>Anais Floristas</t>
  </si>
  <si>
    <t>Edificio Anunciata, Av. Alcalde Clemente Díaz Ruiz, S/N, Local 3, 29640 Fuengirola, Málaga</t>
  </si>
  <si>
    <t>anaisfloristas.com</t>
  </si>
  <si>
    <t>952 66 69 54</t>
  </si>
  <si>
    <t>floristeria@anaisfloristas.com</t>
  </si>
  <si>
    <t>Floristería los Artistas</t>
  </si>
  <si>
    <t>Centro Comercial Parque Miramar, Av. de la Encarnación, S/N, 29640 Fuengirola, Málaga</t>
  </si>
  <si>
    <t>losartistas.eu</t>
  </si>
  <si>
    <t>952 66 68 45</t>
  </si>
  <si>
    <t>Flores Cano Porras</t>
  </si>
  <si>
    <t>Calle Blas de Lezo, 5, 29640 Fuengirola, Málaga</t>
  </si>
  <si>
    <t>cano-porras.negocio.site</t>
  </si>
  <si>
    <t>952 58 23 99</t>
  </si>
  <si>
    <t>Marfil Floristería</t>
  </si>
  <si>
    <t>Av. Duque de Ahumada, 3A, 29740 Torre del Mar, Málaga</t>
  </si>
  <si>
    <t>Torre del Mar</t>
  </si>
  <si>
    <t>flormarfil.com</t>
  </si>
  <si>
    <t>952 54 14 70</t>
  </si>
  <si>
    <t>Flores Hnos Ramirez</t>
  </si>
  <si>
    <t>Calle Jazmín, 4, 29651 Fuengirola, Málaga</t>
  </si>
  <si>
    <t>floreshnosramirez.com</t>
  </si>
  <si>
    <t>622 28 82 14</t>
  </si>
  <si>
    <t>floresramireznunez@gmail.com</t>
  </si>
  <si>
    <t>Viveros Hermanos Escalona</t>
  </si>
  <si>
    <t>Ctra. Mijas-Fuengirola, 0, 29650 Mijas, Málaga</t>
  </si>
  <si>
    <t>FLORISTERÍA AL ESTILO ANTEQUERANO</t>
  </si>
  <si>
    <t>Cuesta Zapateros, nº 10, 29200 Antequera, Málaga</t>
  </si>
  <si>
    <t>628 03 65 59</t>
  </si>
  <si>
    <t>Floristería Teresa Santiago</t>
  </si>
  <si>
    <t>Plaza San Lorenzo, 4, 29240 Valle de Abdalajís, Málaga</t>
  </si>
  <si>
    <t>Valle de Abdalajís</t>
  </si>
  <si>
    <t>952 48 81 75</t>
  </si>
  <si>
    <t>Flores Paola</t>
  </si>
  <si>
    <t>Calle Pozo Solís, 14, 29100 Coín, Málaga</t>
  </si>
  <si>
    <t>Coín</t>
  </si>
  <si>
    <t>629 24 29 64</t>
  </si>
  <si>
    <t>Floristeria Campano</t>
  </si>
  <si>
    <t>Calle la Unión, 15, 29100 Coín, Málaga</t>
  </si>
  <si>
    <t>653 42 97 41</t>
  </si>
  <si>
    <t>Santa Ana 3Floristeriaelrincón Alora</t>
  </si>
  <si>
    <t>Flores Frida</t>
  </si>
  <si>
    <t>Av. Ramón y Cajal, 40, 29640 Fuengirola, Málaga</t>
  </si>
  <si>
    <t>681 04 68 16</t>
  </si>
  <si>
    <t>Floral Image Spain</t>
  </si>
  <si>
    <t>floralimage.es</t>
  </si>
  <si>
    <t>952 47 73 58</t>
  </si>
  <si>
    <t>andalucia@floralimage.es</t>
  </si>
  <si>
    <t>Floristería Emi S. L.</t>
  </si>
  <si>
    <t>Calle Duranes, 9, 29200 Antequera, Málaga</t>
  </si>
  <si>
    <t>952 84 00 34</t>
  </si>
  <si>
    <t>Calle Botica, 15, 29200 Antequera, Málaga</t>
  </si>
  <si>
    <t>952 70 08 20</t>
  </si>
  <si>
    <t>Floristería Miriam</t>
  </si>
  <si>
    <t>Pasaje comercial, Calle de Córdoba, 36, Calle Lucena, 37, local 6, 29200 Antequera, Málaga</t>
  </si>
  <si>
    <t>floristeriamiriam.es</t>
  </si>
  <si>
    <t>690 10 90 75</t>
  </si>
  <si>
    <t>José Luis Cabello Flores</t>
  </si>
  <si>
    <t>Calle Cruz Verde, 2, 29700 Vélez-Málaga, Málaga</t>
  </si>
  <si>
    <t>952 50 51 55</t>
  </si>
  <si>
    <t>Pymeflor</t>
  </si>
  <si>
    <t>pymeflor.wordpress.com</t>
  </si>
  <si>
    <t>722 17 80 65</t>
  </si>
  <si>
    <t>pymeflor@gmail.com</t>
  </si>
  <si>
    <t>ABRIL FLORISTAS</t>
  </si>
  <si>
    <t>C/ JUAN, Calle José Domínguez Moreno, LOCAL 1, 29100 Coín, Málaga</t>
  </si>
  <si>
    <t>952 45 52 94</t>
  </si>
  <si>
    <t>Floristeria Calahonda</t>
  </si>
  <si>
    <t>Calle Mérida de Jarales, 7-9, local 12, 29649 Mijas, Málaga</t>
  </si>
  <si>
    <t>floristeriacalahonda.es</t>
  </si>
  <si>
    <t>680 81 40 60</t>
  </si>
  <si>
    <t>info@floristeriacalahonda.es</t>
  </si>
  <si>
    <t>Machuno</t>
  </si>
  <si>
    <t>Calle Luis de Rute, 19, 29700 Vélez-Málaga, Málaga</t>
  </si>
  <si>
    <t>699 27 72 14</t>
  </si>
  <si>
    <t>Av. de Andalucía, 123, 29740 Torre del Mar, Málaga</t>
  </si>
  <si>
    <t>952 54 24 94</t>
  </si>
  <si>
    <t>Ana Marí Floristas</t>
  </si>
  <si>
    <t>Calle Alcalde José Herrera, 14, 29700 Vélez-Málaga, Málaga</t>
  </si>
  <si>
    <t>anamarifloristas.com</t>
  </si>
  <si>
    <t>952 55 83 47</t>
  </si>
  <si>
    <t>Beyma Flor</t>
  </si>
  <si>
    <t>Floristeria Beyma Flor, Av. Ricardo Soriano, 45, 29600 Marbella, Málaga</t>
  </si>
  <si>
    <t>Marbella</t>
  </si>
  <si>
    <t>beymaflor.com</t>
  </si>
  <si>
    <t>952 77 39 97</t>
  </si>
  <si>
    <t>FLORES EN MARBELLA - LAS FLORES DE REDING</t>
  </si>
  <si>
    <t>Av. Bulevar Príncipe Alfonso de Hohenlohe, km 178, 5, 29602 Marbella, Málaga</t>
  </si>
  <si>
    <t>lasfloresdereding.com</t>
  </si>
  <si>
    <t>952 77 00 86</t>
  </si>
  <si>
    <t>info@lasfloresdereding.com</t>
  </si>
  <si>
    <t>Floristeria Susi</t>
  </si>
  <si>
    <t>Calle los Naranjos, 12, 29601 Marbella, Málaga</t>
  </si>
  <si>
    <t>floristeriasusi.com</t>
  </si>
  <si>
    <t>952 90 01 44</t>
  </si>
  <si>
    <t>Floristeria La Mimosa</t>
  </si>
  <si>
    <t>Calle la Carrera, 27, 29610 Ojén, Málaga</t>
  </si>
  <si>
    <t>Ojén</t>
  </si>
  <si>
    <t>floristerialamimosa.com</t>
  </si>
  <si>
    <t>952 88 13 66</t>
  </si>
  <si>
    <t>Florist &amp;amp; Home Samantha</t>
  </si>
  <si>
    <t>Calle Alcornoque, 29604 Marbella, Málaga</t>
  </si>
  <si>
    <t>952 83 40 46</t>
  </si>
  <si>
    <t>Floristeria Sylvia Creaciones</t>
  </si>
  <si>
    <t>29740 Torre del Mar, Málaga</t>
  </si>
  <si>
    <t>952 54 18 51</t>
  </si>
  <si>
    <t>Virginia Florista Boutique | Marbella</t>
  </si>
  <si>
    <t>32 Pol. Ind. La Campana, 29660 Marbella, Málaga</t>
  </si>
  <si>
    <t>virginiaflorista.com</t>
  </si>
  <si>
    <t>952 89 87 22</t>
  </si>
  <si>
    <t>pedidos@virginiaflorista.com</t>
  </si>
  <si>
    <t>Kiosco Flores Pepa</t>
  </si>
  <si>
    <t>Boulevard de la Cala, 29, 29649 La Cala de Mijas, Málaga</t>
  </si>
  <si>
    <t>La Cala de Mijas</t>
  </si>
  <si>
    <t>690 67 27 08</t>
  </si>
  <si>
    <t>Floristeria Mari</t>
  </si>
  <si>
    <t>Calle Herrera Oria, 2, 29780 Nerja, Málaga</t>
  </si>
  <si>
    <t>Nerja</t>
  </si>
  <si>
    <t>952 52 11 06</t>
  </si>
  <si>
    <t>Artemis Floristería</t>
  </si>
  <si>
    <t>Av. Pablo Ruiz Picasso, Edificio, Calle San Antonio, Local bajo 3, 29670 Marbella, Málaga</t>
  </si>
  <si>
    <t>639 90 09 49</t>
  </si>
  <si>
    <t>Unique Flower Shop by Roberto Silvosa Floristas</t>
  </si>
  <si>
    <t>Edificio Las Gaviotas, Av. Playas del Duque, 4, 29660 Marbella, Málaga</t>
  </si>
  <si>
    <t>uniquerobertosilvosa.com</t>
  </si>
  <si>
    <t>951 89 97 74</t>
  </si>
  <si>
    <t>marbella@uniquerobertosilvosa.com</t>
  </si>
  <si>
    <t>Floristería Almagro</t>
  </si>
  <si>
    <t>Calle Salvador Rueda, 2, 29601 Marbella, Málaga</t>
  </si>
  <si>
    <t>952 77 44 59</t>
  </si>
  <si>
    <t>Floristería La Rosa</t>
  </si>
  <si>
    <t>Calle Cayetano Ordóñez, 9, BAJO, 29400 Ronda, Málaga</t>
  </si>
  <si>
    <t>Ronda</t>
  </si>
  <si>
    <t>floresderonda.com</t>
  </si>
  <si>
    <t>952 87 69 61</t>
  </si>
  <si>
    <t>Lola&amp;apos;s Floristas II</t>
  </si>
  <si>
    <t>CENTRO COMERCIAL LA COLONIA, 29670 San Pedro Alcántara, Málaga</t>
  </si>
  <si>
    <t>San Pedro Alcántara</t>
  </si>
  <si>
    <t>lolasfloristas.com</t>
  </si>
  <si>
    <t>649 12 60 12</t>
  </si>
  <si>
    <t>lola@lolasfloristas.com</t>
  </si>
  <si>
    <t>FLORISTERIA VIOLETA</t>
  </si>
  <si>
    <t>Av. de Espana, 1, 29692 San Luis de Sabinillas, Málaga</t>
  </si>
  <si>
    <t>San Luis de Sabinillas</t>
  </si>
  <si>
    <t>floresvioleta.com</t>
  </si>
  <si>
    <t>602 41 56 45</t>
  </si>
  <si>
    <t>tw-share-facebook@2x.png</t>
  </si>
  <si>
    <t>Floristería El Paraíso</t>
  </si>
  <si>
    <t>Calle Naranja, 19, 29400 Ronda, Málaga</t>
  </si>
  <si>
    <t>952 87 48 50</t>
  </si>
  <si>
    <t>L&amp;amp;N Floral Design</t>
  </si>
  <si>
    <t>Centro comercial El Corte Inglés, Calle Ramón Areces, S/N, 2ª planta, 29660 Marbella, Málaga</t>
  </si>
  <si>
    <t>lnfloraldesign.com</t>
  </si>
  <si>
    <t>952 81 87 36</t>
  </si>
  <si>
    <t>INFO@LNFLORALDESIGN.COM</t>
  </si>
  <si>
    <t>Floristería BellaRosa</t>
  </si>
  <si>
    <t>Calle Guadalajara, 2, 1, 29670 San Pedro Alcántara, Málaga</t>
  </si>
  <si>
    <t>bellarosa.es</t>
  </si>
  <si>
    <t>695 50 69 48</t>
  </si>
  <si>
    <t>pedidos@bellarosa.es</t>
  </si>
  <si>
    <t>Lola´s Floristas</t>
  </si>
  <si>
    <t>Av. Virgen del Rocío, 27, Local 5, 29670 San Pedro Alcántara, Málaga</t>
  </si>
  <si>
    <t>Studio Floral - Unique Flowers by Roberto Silvosa</t>
  </si>
  <si>
    <t>Poligono, Letonia, 24, 29670 San Pedro Alcántara, Málaga</t>
  </si>
  <si>
    <t>611 34 34 44</t>
  </si>
  <si>
    <t>Floristería Los Ángeles</t>
  </si>
  <si>
    <t>Av. la Cruz Roja, 64, 41008 Sevilla</t>
  </si>
  <si>
    <t>floristerialosangeles.com</t>
  </si>
  <si>
    <t>954 35 49 95</t>
  </si>
  <si>
    <t>mamenartefloral@hotmail.com</t>
  </si>
  <si>
    <t>Av. de las Ciencias, 20, BAJO(LOCAL 3-A, 41020 Sevilla</t>
  </si>
  <si>
    <t>floresdesevilla.es</t>
  </si>
  <si>
    <t>954 44 25 06</t>
  </si>
  <si>
    <t>info@floresdesevilla.es</t>
  </si>
  <si>
    <t>FLORISTERIA SEVILLA EN FLOR</t>
  </si>
  <si>
    <t>FLORISTERIA SEVILLA EN FLOR ZONA PEATONAL, C/ Asunción, 51, 41011 Sevilla</t>
  </si>
  <si>
    <t>sevillaenflor.com</t>
  </si>
  <si>
    <t>622 07 64 06</t>
  </si>
  <si>
    <t>sevillaenflor@gmail.com</t>
  </si>
  <si>
    <t>FLORISTERIA ANFORAS SEVILLA</t>
  </si>
  <si>
    <t>Calle Arjona, 20, 41001 Sevilla</t>
  </si>
  <si>
    <t>floristeriaanforas.com</t>
  </si>
  <si>
    <t>627 73 72 95</t>
  </si>
  <si>
    <t>Floristería en Sevilla Carelia</t>
  </si>
  <si>
    <t>Calle Juan de Zoyas, 2, 41018 Sevilla</t>
  </si>
  <si>
    <t>floristeriacarelia.es</t>
  </si>
  <si>
    <t>606 53 98 09</t>
  </si>
  <si>
    <t>carelia@floristeriacarelia.es</t>
  </si>
  <si>
    <t>Floristería David 2</t>
  </si>
  <si>
    <t>Calle CEMENTERIO DE SAN FERNANDO, 41015 Sevilla</t>
  </si>
  <si>
    <t>floristeriadavid.com</t>
  </si>
  <si>
    <t>679 42 22 50</t>
  </si>
  <si>
    <t>Floristería Triana</t>
  </si>
  <si>
    <t>Floristeria Triana, Calle Virgen de la Consolación, nº 15, 41011 Sevilla</t>
  </si>
  <si>
    <t>floristeriatrianaonline.com</t>
  </si>
  <si>
    <t>954 27 78 96</t>
  </si>
  <si>
    <t>Calle Ocho de Marzo, 10, 41006 Sevilla</t>
  </si>
  <si>
    <t>floristeriasevilla.com</t>
  </si>
  <si>
    <t>954 09 74 47</t>
  </si>
  <si>
    <t>Floristería Concha Candela</t>
  </si>
  <si>
    <t>Calle Niebla, 54, 41011 Sevilla</t>
  </si>
  <si>
    <t>floristeriaconchacandela.com</t>
  </si>
  <si>
    <t>954 45 92 05</t>
  </si>
  <si>
    <t>IBERFLOR Floristería y diseño floral Sevilla</t>
  </si>
  <si>
    <t>Calle Colombia, 10, LOCAL, 41013 Sevilla</t>
  </si>
  <si>
    <t>iberflor.com</t>
  </si>
  <si>
    <t>954 24 10 66</t>
  </si>
  <si>
    <t>pedidos@iberflor.com</t>
  </si>
  <si>
    <t>Av. Emilio Lemos, 22, 41020 Sevilla</t>
  </si>
  <si>
    <t>955 15 56 45</t>
  </si>
  <si>
    <t>Hazlo con flores - Floristería</t>
  </si>
  <si>
    <t>Calle Cuna, 45, 41004 Sevilla</t>
  </si>
  <si>
    <t>hazloconflores.com</t>
  </si>
  <si>
    <t>955 28 61 05</t>
  </si>
  <si>
    <t>Flor a Flor Floristería</t>
  </si>
  <si>
    <t>Calle Jesús del Gran Poder, 5, 41002 Sevilla</t>
  </si>
  <si>
    <t>floraflor.es</t>
  </si>
  <si>
    <t>636 32 67 59</t>
  </si>
  <si>
    <t>Floristería Gardenia</t>
  </si>
  <si>
    <t>Av. Alcalde Manuel del Valle, 5, Edificio Consul local 11, 41008 Sevilla</t>
  </si>
  <si>
    <t>954 35 23 64</t>
  </si>
  <si>
    <t>Calle Dr. Fedriani, 32, 41009 Sevilla</t>
  </si>
  <si>
    <t>lolaflor-fedriani.es</t>
  </si>
  <si>
    <t>625 02 44 84</t>
  </si>
  <si>
    <t>info@lolaflor-fedriani.es</t>
  </si>
  <si>
    <t>Flores Búcaro Sevilla</t>
  </si>
  <si>
    <t>Calle Alfonso XII, 48, 41002 Sevilla</t>
  </si>
  <si>
    <t>floresbucarosevilla.com</t>
  </si>
  <si>
    <t>954 90 40 88</t>
  </si>
  <si>
    <t>floresbucaro@floresbucaro.e.telefonica.net</t>
  </si>
  <si>
    <t>Calle Ventura de la Vega, 1, 41005 Sevilla</t>
  </si>
  <si>
    <t>954 63 86 60</t>
  </si>
  <si>
    <t>Floristería Antonio</t>
  </si>
  <si>
    <t>Mercado de, 41010 Sevilla</t>
  </si>
  <si>
    <t>mercadodetrianasevilla.com</t>
  </si>
  <si>
    <t>672 75 71 12</t>
  </si>
  <si>
    <t>hola@mercadodetrianasevilla.com</t>
  </si>
  <si>
    <t>Flores Ibérica - Floristería en Sevilla</t>
  </si>
  <si>
    <t>902 02 76 35</t>
  </si>
  <si>
    <t>Flor a Flor, Floristería, Sevilla</t>
  </si>
  <si>
    <t>Calle Maimónides, 1, 41009 Sevilla</t>
  </si>
  <si>
    <t>Floristería Lolaflor-Fedriani</t>
  </si>
  <si>
    <t>Floristeria david</t>
  </si>
  <si>
    <t>Calle Cdad. de Carlet, local n, 9, 41019 Sevilla</t>
  </si>
  <si>
    <t>609 70 02 76</t>
  </si>
  <si>
    <t>Flores Ricardo</t>
  </si>
  <si>
    <t>Av. Ciudad de Chiva, 22, 41019 Sevilla</t>
  </si>
  <si>
    <t>floresricardo.com</t>
  </si>
  <si>
    <t>689 63 25 96</t>
  </si>
  <si>
    <t>floresricardo@floresricardo.com</t>
  </si>
  <si>
    <t>Floristería El Prado 635497429 ENVIOS A DOMICILIO</t>
  </si>
  <si>
    <t>Av. San Francisco Javier, 7, 41005 Sevilla</t>
  </si>
  <si>
    <t>635 49 74 29</t>
  </si>
  <si>
    <t>Floristería Antonia Bueno</t>
  </si>
  <si>
    <t>C. Cueva de Menga, 3, local 5, 41020 Sevilla</t>
  </si>
  <si>
    <t>antoniabueno.com</t>
  </si>
  <si>
    <t>954 25 00 85</t>
  </si>
  <si>
    <t>Floristería Montero</t>
  </si>
  <si>
    <t>Callejón Monardes, 4, 41004 Sevilla</t>
  </si>
  <si>
    <t>Floristería la Alfalfa</t>
  </si>
  <si>
    <t>Pl. de la Alfalfa, 0, 41004 Sevilla</t>
  </si>
  <si>
    <t>954 22 46 75</t>
  </si>
  <si>
    <t>Caryma Flores de Sevilla S.C</t>
  </si>
  <si>
    <t>615 06 87 10</t>
  </si>
  <si>
    <t>LAS FLORES DE LUCIA. Cristina serrano</t>
  </si>
  <si>
    <t>Calle Japón, 10, Edificio Covadonga, local 4, 41020 Sevilla</t>
  </si>
  <si>
    <t>lasfloresdelucia.es</t>
  </si>
  <si>
    <t>645 79 28 98</t>
  </si>
  <si>
    <t>pedidos@lasfloresdelucia.es</t>
  </si>
  <si>
    <t>Floristería Camelía</t>
  </si>
  <si>
    <t>Calle la Puebla del Río, 62, 41006 Sevilla</t>
  </si>
  <si>
    <t>653 78 86 30</t>
  </si>
  <si>
    <t>Floristeria Flores Para Ti</t>
  </si>
  <si>
    <t>Calle Factores, 28, 41015 Sevilla</t>
  </si>
  <si>
    <t>floristeriafloresparati.com</t>
  </si>
  <si>
    <t>609 13 08 21</t>
  </si>
  <si>
    <t>info@floristeriafloresparati.com</t>
  </si>
  <si>
    <t>Floristería Victor Marquez</t>
  </si>
  <si>
    <t>Avenida de Finlandia, 14, 41012 Sevilla</t>
  </si>
  <si>
    <t>675 90 16 49</t>
  </si>
  <si>
    <t>Melero Floristas</t>
  </si>
  <si>
    <t>Calle Luis Montoto, 122, 41005 Sevilla</t>
  </si>
  <si>
    <t>melerofloristas.com</t>
  </si>
  <si>
    <t>954 57 09 75</t>
  </si>
  <si>
    <t>Los Claveles</t>
  </si>
  <si>
    <t>Calle Amor de Dios, 2, 41002 Sevilla</t>
  </si>
  <si>
    <t>floristeria-losclaveles.com</t>
  </si>
  <si>
    <t>954 38 06 32</t>
  </si>
  <si>
    <t>clavelse@interflora.es</t>
  </si>
  <si>
    <t>Floristeria San Marcos</t>
  </si>
  <si>
    <t>Calle Bustos Tavera, 43, BAJO(LOCAL, 41003 Sevilla</t>
  </si>
  <si>
    <t>floristeriasanmarcos.es</t>
  </si>
  <si>
    <t>954 21 28 13</t>
  </si>
  <si>
    <t>martaquin@yahoo.es</t>
  </si>
  <si>
    <t>Floristería Jardín de la Caridad</t>
  </si>
  <si>
    <t>Calle Adriano, 25, 41001 Sevilla</t>
  </si>
  <si>
    <t>floristeriajardindelacaridad.com</t>
  </si>
  <si>
    <t>649 65 64 77</t>
  </si>
  <si>
    <t>floristeriajardincaridad@hotmail.com</t>
  </si>
  <si>
    <t>Floristería Nubes De Azahar (Triana)</t>
  </si>
  <si>
    <t>Calle Peñaflor, 6, LOCAL 2, 41010 Sevilla</t>
  </si>
  <si>
    <t>678 17 37 82</t>
  </si>
  <si>
    <t>Floristería La Favorita S.L</t>
  </si>
  <si>
    <t>Plaza Pintor Amalio García del Moral, 11, 41005 Sevilla</t>
  </si>
  <si>
    <t>637 44 62 73</t>
  </si>
  <si>
    <t>Hermanos Luque Floristería</t>
  </si>
  <si>
    <t>Calle Alcázares, 1, 41003 Sevilla</t>
  </si>
  <si>
    <t>954 22 07 92</t>
  </si>
  <si>
    <t>floristeriacarmen.es</t>
  </si>
  <si>
    <t>622 50 37 99</t>
  </si>
  <si>
    <t>Floristería May</t>
  </si>
  <si>
    <t>Lopez de Gomara, 14, 41010 Sevilla</t>
  </si>
  <si>
    <t>954 45 70 25</t>
  </si>
  <si>
    <t>Floristería Virgen de Araceli</t>
  </si>
  <si>
    <t>C/ Asunción, 55, 41011 Sevilla</t>
  </si>
  <si>
    <t>954 45 95 91</t>
  </si>
  <si>
    <t>Floristeria El porvenir</t>
  </si>
  <si>
    <t>Calle Porvenir, 30, 41013 Sevilla</t>
  </si>
  <si>
    <t>floristeriaelporvenir.com</t>
  </si>
  <si>
    <t>954 23 46 23</t>
  </si>
  <si>
    <t>Brünia Floral</t>
  </si>
  <si>
    <t>Calle Salado, 11, local 11, 41010 Sevilla</t>
  </si>
  <si>
    <t>670 46 09 06</t>
  </si>
  <si>
    <t>Floristeria Cristo de la Sed</t>
  </si>
  <si>
    <t>Calle Mariano Benlliure, 85, 41005 Sevilla</t>
  </si>
  <si>
    <t>954 64 79 79</t>
  </si>
  <si>
    <t>Floristeria Saflor</t>
  </si>
  <si>
    <t>Calle Manuel Arellano, 21, 41010 Sevilla</t>
  </si>
  <si>
    <t>floristeriasaflor.es</t>
  </si>
  <si>
    <t>954 33 58 46</t>
  </si>
  <si>
    <t>saflor.sevilla@gmail.com</t>
  </si>
  <si>
    <t>Floristeria Arrabal</t>
  </si>
  <si>
    <t>Calle Callao, 6, 41010 Sevilla</t>
  </si>
  <si>
    <t>665 12 15 43</t>
  </si>
  <si>
    <t>Flores Mari Carmen</t>
  </si>
  <si>
    <t>Av. de la Mujer Trabajadora, 16, 41015 Sevilla</t>
  </si>
  <si>
    <t>954 95 02 00</t>
  </si>
  <si>
    <t>Floristería Suroeste</t>
  </si>
  <si>
    <t>Calle Virgen de Valvanera, 15, 41018 Sevilla</t>
  </si>
  <si>
    <t>954 53 34 32</t>
  </si>
  <si>
    <t>Floristería Lola Muñoz</t>
  </si>
  <si>
    <t>Calle Bami, 6, 41013 Sevilla</t>
  </si>
  <si>
    <t>lolamunoz.es</t>
  </si>
  <si>
    <t>954 62 33 59</t>
  </si>
  <si>
    <t>Floristeria Lourdes</t>
  </si>
  <si>
    <t>Calle Conde de Halcón, Nº 13, 41008 Sevilla</t>
  </si>
  <si>
    <t>955 52 85 32</t>
  </si>
  <si>
    <t>Floristeria Esther</t>
  </si>
  <si>
    <t>Calle Torrelaguna, n.56, 41016 Sevilla</t>
  </si>
  <si>
    <t>645 30 94 14</t>
  </si>
  <si>
    <t>Floristería Pulgar Verde</t>
  </si>
  <si>
    <t>Calle Rafael González Romero, 5, 41008 Sevilla</t>
  </si>
  <si>
    <t>pulgarverde.com</t>
  </si>
  <si>
    <t>655 40 60 13</t>
  </si>
  <si>
    <t>Pl. del Duque de la Victoria, 8, 41002 Sevilla</t>
  </si>
  <si>
    <t>954 22 36 89</t>
  </si>
  <si>
    <t>Florhada, la magia de las flores</t>
  </si>
  <si>
    <t>Calle Fernández de Ribera, 14, local, 6C, 41005 Sevilla</t>
  </si>
  <si>
    <t>florhada.com</t>
  </si>
  <si>
    <t>637 35 36 54</t>
  </si>
  <si>
    <t>info@florhada.com</t>
  </si>
  <si>
    <t>defloresalnatural</t>
  </si>
  <si>
    <t>Av. de Jerez, 86, 41014 Sevilla</t>
  </si>
  <si>
    <t>defloresalnatural.com</t>
  </si>
  <si>
    <t>629 88 42 86</t>
  </si>
  <si>
    <t>info@defloresalnatural.com</t>
  </si>
  <si>
    <t>Jacaranda</t>
  </si>
  <si>
    <t>Calle Ing. la Cierva, 25, 41006 Sevilla</t>
  </si>
  <si>
    <t>954 92 39 39</t>
  </si>
  <si>
    <t>Floristeria Virgen Del Rocio</t>
  </si>
  <si>
    <t>Av. de Bellavista, nº155, local:2, 41014 Bellavista, Sevilla</t>
  </si>
  <si>
    <t>floristeriavirgendelrocio.blogspot.com</t>
  </si>
  <si>
    <t>954 68 00 57</t>
  </si>
  <si>
    <t>floristeriavirgendelrocio@gmail.com</t>
  </si>
  <si>
    <t>Puntal Verde</t>
  </si>
  <si>
    <t>Calle Caudal, Núm 2, Local, 41005 Sevilla</t>
  </si>
  <si>
    <t>616 09 55 79</t>
  </si>
  <si>
    <t>Ramitos</t>
  </si>
  <si>
    <t>Calle Misericordia, 2, 41003 Sevilla</t>
  </si>
  <si>
    <t>floristeriaramitos.com</t>
  </si>
  <si>
    <t>954 22 97 49</t>
  </si>
  <si>
    <t>Sujardin Casa Batllo Plantas Y Flores Sevilla</t>
  </si>
  <si>
    <t>Calle Muñoz León, 41009 Sevilla</t>
  </si>
  <si>
    <t>La Flor de Triana</t>
  </si>
  <si>
    <t>Calle Peñaflor, 5, 41010 Sevilla</t>
  </si>
  <si>
    <t>954 08 61 68</t>
  </si>
  <si>
    <t>Itálica de Flores S.L.</t>
  </si>
  <si>
    <t>Calle Magnesio, 1, 41007 Sevilla</t>
  </si>
  <si>
    <t>954 35 71 07</t>
  </si>
  <si>
    <t>Comercial Reyflor S.L.</t>
  </si>
  <si>
    <t>Lugar mercado de abastos Cerro del Aguila, S/N Lugar, 41006, Sevilla</t>
  </si>
  <si>
    <t>620 15 85 73</t>
  </si>
  <si>
    <t>Antonia Bueno García</t>
  </si>
  <si>
    <t>Calle Forjadores, 0, 41001 Sevilla</t>
  </si>
  <si>
    <t>954 95 66 54</t>
  </si>
  <si>
    <t>Menta y Canela</t>
  </si>
  <si>
    <t>Avda.Cruz del Campo nº18, 41005 Sevilla</t>
  </si>
  <si>
    <t>854 52 15 77</t>
  </si>
  <si>
    <t>Flores Montero</t>
  </si>
  <si>
    <t>Calle Sagasta, S/N, 41004 Sevilla</t>
  </si>
  <si>
    <t>647 81 14 20</t>
  </si>
  <si>
    <t>Floristeria El Duque</t>
  </si>
  <si>
    <t>Avenida de Cadiz S/N, Mercado Puerta de la Carne, 41003 Sevilla</t>
  </si>
  <si>
    <t>687 82 80 52</t>
  </si>
  <si>
    <t>Grado</t>
  </si>
  <si>
    <t>Calle Águilas, 21, 41003 Sevilla</t>
  </si>
  <si>
    <t>gradofloristeria.com</t>
  </si>
  <si>
    <t>954 56 04 98</t>
  </si>
  <si>
    <t>info@gradofloristeria.com</t>
  </si>
  <si>
    <t>Floristería La Nueva Galería</t>
  </si>
  <si>
    <t>Calle Alcalde Isacio Contreras, 4, 41003 Sevilla</t>
  </si>
  <si>
    <t>690 68 21 08</t>
  </si>
  <si>
    <t>Floristería Virgen Del Rocío</t>
  </si>
  <si>
    <t>Autovía A-4, 0 Km 549, 41001 Sevilla</t>
  </si>
  <si>
    <t>954 68 00 05</t>
  </si>
  <si>
    <t>La Galería</t>
  </si>
  <si>
    <t>Calle San Isidoro, 28, 41004 Sevilla</t>
  </si>
  <si>
    <t>carbonmade.com</t>
  </si>
  <si>
    <t>954 21 59 61</t>
  </si>
  <si>
    <t>Anemona</t>
  </si>
  <si>
    <t>Calle Afán de Ribera, 222, 41006 Sevilla</t>
  </si>
  <si>
    <t>666 96 77 23</t>
  </si>
  <si>
    <t>Flores David</t>
  </si>
  <si>
    <t>Calle Dr. Fedriani, 41015 Sevilla</t>
  </si>
  <si>
    <t>flores-david.negocio.site</t>
  </si>
  <si>
    <t>655 01 59 43</t>
  </si>
  <si>
    <t>Flores San Lorenzo</t>
  </si>
  <si>
    <t>Calle Conde de Barajas, Nº 35, 41002 Sevilla</t>
  </si>
  <si>
    <t>627 51 31 77</t>
  </si>
  <si>
    <t>José Manuel Alvarez García</t>
  </si>
  <si>
    <t>Calle Mariano Benlliure, 70, 41005 Sevilla</t>
  </si>
  <si>
    <t>954 57 11 86</t>
  </si>
  <si>
    <t>Florísteria Mari Carmen</t>
  </si>
  <si>
    <t>Calle Puerto del Escudo, 5, 41006 Sevilla</t>
  </si>
  <si>
    <t>floresmcarmen.com</t>
  </si>
  <si>
    <t>954 65 13 16</t>
  </si>
  <si>
    <t>Bodeguita Flores</t>
  </si>
  <si>
    <t>Calle Segre, 4, 41005 Sevilla</t>
  </si>
  <si>
    <t>Loraflor SL</t>
  </si>
  <si>
    <t>Calle Miguel Romero Martínez, 2, 41015 Sevilla</t>
  </si>
  <si>
    <t>loraflor.es</t>
  </si>
  <si>
    <t>954 38 31 70</t>
  </si>
  <si>
    <t>Los Pacos Chipiona</t>
  </si>
  <si>
    <t>Calle Alonso Mudarra, 12, 41013 Sevilla</t>
  </si>
  <si>
    <t>665 47 77 67</t>
  </si>
  <si>
    <t>Tulipa, flores artificiales,arboles y plantas artificiales,jardindes verticales,flores secas.</t>
  </si>
  <si>
    <t>Av. Parsi, 8, Nave 16, 41016 Sevilla</t>
  </si>
  <si>
    <t>tulipa.es</t>
  </si>
  <si>
    <t>620 87 57 12</t>
  </si>
  <si>
    <t>info@tulipa.es</t>
  </si>
  <si>
    <t>Flores Gazquez S.L.</t>
  </si>
  <si>
    <t>Calle Baltasar de Alcázar, 22, 41008 Sevilla</t>
  </si>
  <si>
    <t>VERDEOLIVA</t>
  </si>
  <si>
    <t>Calle Adriano, 16, 1ª, Planta (Oficina, 41001 Sevilla</t>
  </si>
  <si>
    <t>verdeolivafloresyeventos.com</t>
  </si>
  <si>
    <t>692 17 30 68</t>
  </si>
  <si>
    <t>isaac@verdeolivasevilla.com</t>
  </si>
  <si>
    <t>Flores May</t>
  </si>
  <si>
    <t>41010 Sevilla</t>
  </si>
  <si>
    <t>610 35 91 67</t>
  </si>
  <si>
    <t>Álvaro Flores Rojas</t>
  </si>
  <si>
    <t>Calle Francisco Carrión Mejías, local 8, 41003 Sevilla</t>
  </si>
  <si>
    <t>658 07 74 83</t>
  </si>
  <si>
    <t>Stilgarden</t>
  </si>
  <si>
    <t>Ctra. de Carmona, 18-22, 41008 Sevilla</t>
  </si>
  <si>
    <t>Floristería Isabel</t>
  </si>
  <si>
    <t>41006 Sevilla</t>
  </si>
  <si>
    <t>954 07 16 96</t>
  </si>
  <si>
    <t>Floristería Montequinto</t>
  </si>
  <si>
    <t>n°2 2 Avenida Montequinto, 41089, Sevilla</t>
  </si>
  <si>
    <t>Montequinto</t>
  </si>
  <si>
    <t>floristeriamontequinto.es</t>
  </si>
  <si>
    <t>954 12 20 10</t>
  </si>
  <si>
    <t>Floristería El Jardín de Camas</t>
  </si>
  <si>
    <t>Calle Sta. María de Gracia, 22, 41900 Camas, Sevilla</t>
  </si>
  <si>
    <t>Camas</t>
  </si>
  <si>
    <t>eljardindecamas.com</t>
  </si>
  <si>
    <t>954 39 13 16</t>
  </si>
  <si>
    <t>Decoflor De Sevilla - Floristería Montequinto</t>
  </si>
  <si>
    <t>Avenida Europa, Av. los Pinos, esquina, 41089 Montequinto, Sevilla</t>
  </si>
  <si>
    <t>671 84 39 59</t>
  </si>
  <si>
    <t>Floristeria Semilleria Rose</t>
  </si>
  <si>
    <t>Calle Sta. María de Gracia, N°3, 41900 Camas, Sevilla</t>
  </si>
  <si>
    <t>954 39 13 75</t>
  </si>
  <si>
    <t>Musgo jardines verticales</t>
  </si>
  <si>
    <t>Calle Juan Agustín Palomar, nº2, 41900 Camas, Sevilla</t>
  </si>
  <si>
    <t>musgojardinesverticales.com</t>
  </si>
  <si>
    <t>955 98 15 68</t>
  </si>
  <si>
    <t>info@musgojardinesverticales.com</t>
  </si>
  <si>
    <t>Dalia</t>
  </si>
  <si>
    <t>Av. de Palomares, 0, 41920 San Juan de Aznalfarache, Sevilla</t>
  </si>
  <si>
    <t>San Juan de Aznalfarache</t>
  </si>
  <si>
    <t>954 76 02 11</t>
  </si>
  <si>
    <t>Floristería Mª Luisa</t>
  </si>
  <si>
    <t>Calle Navarro Caro, 1, 41940 Tomares, Sevilla</t>
  </si>
  <si>
    <t>Tomares</t>
  </si>
  <si>
    <t>floristeriamarialuisa.es</t>
  </si>
  <si>
    <t>954 15 08 17</t>
  </si>
  <si>
    <t>flores@floristeriamarialuisa.es</t>
  </si>
  <si>
    <t>floristería salviflor</t>
  </si>
  <si>
    <t>Calle Dr. López Tarruella, 9, 41940 Tomares, Sevilla</t>
  </si>
  <si>
    <t>floristeriasalviflor.com</t>
  </si>
  <si>
    <t>606 12 20 72</t>
  </si>
  <si>
    <t>info@floristeriasalviflor.com</t>
  </si>
  <si>
    <t>GLOBOS TRIANA</t>
  </si>
  <si>
    <t>Av. Santa Cecilia, 25, 41010 Sevilla</t>
  </si>
  <si>
    <t>globostriana.es</t>
  </si>
  <si>
    <t>645 78 37 75</t>
  </si>
  <si>
    <t>info@globostriana.es</t>
  </si>
  <si>
    <t>Mary Flowers</t>
  </si>
  <si>
    <t>Ciudad Aljarafe, Conjunto 11, 41927 Mairena del Aljarafe, Sevilla</t>
  </si>
  <si>
    <t>Mairena del Aljarafe</t>
  </si>
  <si>
    <t>maryflowers.es</t>
  </si>
  <si>
    <t>954 76 07 20</t>
  </si>
  <si>
    <t>maryflowersfloristeria@gmail.com</t>
  </si>
  <si>
    <t>AL-XARAF Floristería</t>
  </si>
  <si>
    <t>Calle Real, 7, B, 41950 Castilleja de la Cuesta, Sevilla</t>
  </si>
  <si>
    <t>Castilleja de la Cuesta</t>
  </si>
  <si>
    <t>637 50 43 80</t>
  </si>
  <si>
    <t>Manuela de los Santos</t>
  </si>
  <si>
    <t>Calle Fuerte Navidad, nº3, 41089 Montequinto, Sevilla</t>
  </si>
  <si>
    <t>625 13 94 82</t>
  </si>
  <si>
    <t>FLORISTERÍA LA ROSA DE ORO METROMAR</t>
  </si>
  <si>
    <t>Centro Comercial Metromar, Av. de los Descubrimientos, S/N, 41927 Mairena del Aljarafe, Sevilla</t>
  </si>
  <si>
    <t>larosadeoro.es</t>
  </si>
  <si>
    <t>954 18 82 79</t>
  </si>
  <si>
    <t>FLORISTERÍA CHERRYLOVE FLORISTAS</t>
  </si>
  <si>
    <t>Ctra. Mairena-Bormujos, 1 Local Bajo, 41927 Mairena del Aljarafe, Sevilla</t>
  </si>
  <si>
    <t>cherrylove.es</t>
  </si>
  <si>
    <t>955 18 28 69</t>
  </si>
  <si>
    <t>Laura García Romero</t>
  </si>
  <si>
    <t>Av. Libertad, 5, 41980 Algaba (la), Sevilla</t>
  </si>
  <si>
    <t>La Algaba</t>
  </si>
  <si>
    <t>955 78 97 65</t>
  </si>
  <si>
    <t>Floristería Blumen Mairena (Casco Antiguo), floristería en Sevilla</t>
  </si>
  <si>
    <t>Calle Nueva, 15, 41927 Mairena del Aljarafe, Sevilla</t>
  </si>
  <si>
    <t>floristeriablumenmairena.com</t>
  </si>
  <si>
    <t>654 71 00 33</t>
  </si>
  <si>
    <t>floristeriablumen@gmail.com</t>
  </si>
  <si>
    <t>Floristería Encaroma - Ramos de Novia</t>
  </si>
  <si>
    <t>Av. de España, 82B, 41701 Dos Hermanas, Sevilla</t>
  </si>
  <si>
    <t>Dos Hermanas</t>
  </si>
  <si>
    <t>encaromafloristeria.es</t>
  </si>
  <si>
    <t>675 93 55 21</t>
  </si>
  <si>
    <t>info@encaromafloristeria.es</t>
  </si>
  <si>
    <t>Alimentación Javier Palma Bocadillos, Chacina, Panaderia y fruteria San Bernardo Viapol Sevilla</t>
  </si>
  <si>
    <t>Calle Dr. Pedro de Castro, 5, 41004 Sevilla</t>
  </si>
  <si>
    <t>954 61 68 45</t>
  </si>
  <si>
    <t>d-tallo</t>
  </si>
  <si>
    <t>Pueblo Verde, 1, 41120 Gelves, Sevilla</t>
  </si>
  <si>
    <t>Gelves</t>
  </si>
  <si>
    <t>dtallo.com</t>
  </si>
  <si>
    <t>610 75 13 70</t>
  </si>
  <si>
    <t>info@dtallo.com</t>
  </si>
  <si>
    <t>Floristería Fernando Jiménez</t>
  </si>
  <si>
    <t>Calle Sta. María Magdalena, 47, 41701 Dos Hermanas, Sevilla</t>
  </si>
  <si>
    <t>955 66 10 96</t>
  </si>
  <si>
    <t>Floristería Antonio Mendoza - Arte Floral</t>
  </si>
  <si>
    <t>Calle Trabajadores, 9, 41907 Valencina de la Concepción, Sevilla</t>
  </si>
  <si>
    <t>Valencina de la Concepción</t>
  </si>
  <si>
    <t>floristeriaantoniomendoza.com</t>
  </si>
  <si>
    <t>670 82 35 62</t>
  </si>
  <si>
    <t>Floristería Aralia - Dos Hermanas</t>
  </si>
  <si>
    <t>Av. de España, 175, 41700 Dos Hermanas, Sevilla</t>
  </si>
  <si>
    <t>955 66 56 57</t>
  </si>
  <si>
    <t>Santa Brigida Camas</t>
  </si>
  <si>
    <t>Calle Sta. María de Gracia, nº 4, 41900 Camas, Sevilla</t>
  </si>
  <si>
    <t>679 13 81 82</t>
  </si>
  <si>
    <t>LINNEO Floristas</t>
  </si>
  <si>
    <t>Av. Reyes Católicos, 49-51, 41702 Dos Hermanas, Sevilla</t>
  </si>
  <si>
    <t>linneofloristas.com</t>
  </si>
  <si>
    <t>607 24 77 66</t>
  </si>
  <si>
    <t>Floristería Huerta Palacios</t>
  </si>
  <si>
    <t>Calle Huerta Palacios, 2, 41701 Dos Hermanas, Sevilla</t>
  </si>
  <si>
    <t>954 72 01 78</t>
  </si>
  <si>
    <t>Floristeria Flores y Espinas</t>
  </si>
  <si>
    <t>Calle Santa Angela de la Cruz, 21, 41100 Coria del Río, Sevilla</t>
  </si>
  <si>
    <t>floresyespinas.com</t>
  </si>
  <si>
    <t>667 88 24 55</t>
  </si>
  <si>
    <t>Floristería AMAZONIA</t>
  </si>
  <si>
    <t>Callejón de Elisa, s/n, 41960 Gines, Sevilla</t>
  </si>
  <si>
    <t>Gines</t>
  </si>
  <si>
    <t>607 91 42 28</t>
  </si>
  <si>
    <t>FLORISTERÍA ASIAN</t>
  </si>
  <si>
    <t>Av. Primero de Mayo, 27, 41100 Coria del Río, Sevilla</t>
  </si>
  <si>
    <t>654 05 04 96</t>
  </si>
  <si>
    <t>FLORISTERIA ARALIA - ALCALÁ DE GUADAIRA</t>
  </si>
  <si>
    <t>Av. Antonio Mairena, 18, 41500 Alcalá de Guadaíra, Sevilla</t>
  </si>
  <si>
    <t>Alcalá de Guadaíra</t>
  </si>
  <si>
    <t>955 69 81 17</t>
  </si>
  <si>
    <t>Floristería Gladiolo</t>
  </si>
  <si>
    <t>Av. de la Asunción, 5, 41500 Alcalá de Guadaíra, Sevilla</t>
  </si>
  <si>
    <t>954 10 20 54</t>
  </si>
  <si>
    <t>TI AMO Flores y Decoración</t>
  </si>
  <si>
    <t>Calle Naranjas y Limones, 2b, 41300 San José de la Rinconada, Sevilla</t>
  </si>
  <si>
    <t>San José de la Rinconada</t>
  </si>
  <si>
    <t>854 71 31 57</t>
  </si>
  <si>
    <t>FLORISTERÍA VERDE PISTACHO</t>
  </si>
  <si>
    <t>Plaza Emigrante, 9, 41701 Dos Hermanas, Sevilla</t>
  </si>
  <si>
    <t>692 98 88 78</t>
  </si>
  <si>
    <t>Floristería Virgen de la Estrella</t>
  </si>
  <si>
    <t>Av. Primero de Mayo, 1, 41100 Coria del Río, Sevilla</t>
  </si>
  <si>
    <t>floristeriaestrella.wix.com</t>
  </si>
  <si>
    <t>954 77 13 64</t>
  </si>
  <si>
    <t>Floristería Atienza</t>
  </si>
  <si>
    <t>Calle el Arsenal, 7, 41704 Dos Hermanas, Sevilla</t>
  </si>
  <si>
    <t>Floristeria Fernando Jimenez Plaza</t>
  </si>
  <si>
    <t>Plaza Emigrante, s/n, 41701 Dos Hermanas, Sevilla</t>
  </si>
  <si>
    <t>floristeriafernandojimenez.com</t>
  </si>
  <si>
    <t>JRamon Serna Floristas</t>
  </si>
  <si>
    <t>Calle Alcalá y Ortí, 21, 41500 Alcalá de Guadaíra, Sevilla</t>
  </si>
  <si>
    <t>jramonsernafloristas.com</t>
  </si>
  <si>
    <t>955 61 46 41</t>
  </si>
  <si>
    <t>blumenserna@jramonsernafloristas.com</t>
  </si>
  <si>
    <t>Marparflor S.L.</t>
  </si>
  <si>
    <t>Calle Real, 16, 41908 Castilleja de Guzmán, Sevilla</t>
  </si>
  <si>
    <t>Castilleja de Guzmán</t>
  </si>
  <si>
    <t>Floristería Virgen de la Caridad</t>
  </si>
  <si>
    <t>Av. de la Escultora &amp;apos;la Roldana&amp;apos;, Portal 5, local 10, 41500 Alcalá de Guadaíra, Sevilla</t>
  </si>
  <si>
    <t>Violeta Servicio Floral</t>
  </si>
  <si>
    <t>Av. Palomares, 10, 41100 Coria del Río, Sevilla</t>
  </si>
  <si>
    <t>622 19 14 80</t>
  </si>
  <si>
    <t>Floristería Alondra</t>
  </si>
  <si>
    <t>C. Camino de Mejina, 2, 41807 Espartinas, Sevilla</t>
  </si>
  <si>
    <t>Espartinas</t>
  </si>
  <si>
    <t>605 25 02 05</t>
  </si>
  <si>
    <t>Floristería Mª Jesús</t>
  </si>
  <si>
    <t>Calle Camino de, Calle de Guillena, 3, 41200 Alcalá del Río, Sevilla</t>
  </si>
  <si>
    <t>Alcalá del Río</t>
  </si>
  <si>
    <t>955 65 05 60</t>
  </si>
  <si>
    <t>Leandro González - Flores.</t>
  </si>
  <si>
    <t>Calle Larga, 41, 41130 La Puebla del Río, Sevilla</t>
  </si>
  <si>
    <t>La Puebla del Río</t>
  </si>
  <si>
    <t>955 77 01 71</t>
  </si>
  <si>
    <t>Flor Jifran S L</t>
  </si>
  <si>
    <t>Calle Palillos Diecinueve, 13 -Carretera Sevilla-Málaga Km 4, 41500 Soledad ( La ), Sevilla</t>
  </si>
  <si>
    <t>955 63 00 80</t>
  </si>
  <si>
    <t>Floristeria de la Rosa</t>
  </si>
  <si>
    <t>Calle Traspalacio, 6, 41806 Umbrete, Sevilla</t>
  </si>
  <si>
    <t>Umbrete</t>
  </si>
  <si>
    <t>floresdelarosa.com</t>
  </si>
  <si>
    <t>605 39 68 63</t>
  </si>
  <si>
    <t>FLORISTERÍA MANOLI</t>
  </si>
  <si>
    <t>Calle Adelaida Cueto, Nº 3, Local A, 41110 Bollullos de la Mitación, Sevilla</t>
  </si>
  <si>
    <t>Bollullos de la Mitación</t>
  </si>
  <si>
    <t>955 69 51 61</t>
  </si>
  <si>
    <t>Secado de Ramos de Novia</t>
  </si>
  <si>
    <t>Calle San Bartolomé, 17, 41510 Mairena del Alcor, Sevilla</t>
  </si>
  <si>
    <t>Mairena del Alcor</t>
  </si>
  <si>
    <t>secadoderamosdenovia.es</t>
  </si>
  <si>
    <t>637 50 06 99</t>
  </si>
  <si>
    <t>info@secadoderamosdenovia.es</t>
  </si>
  <si>
    <t>Floristeria Semilleria Flor Maria</t>
  </si>
  <si>
    <t>Calle Hijuelilla, 6, 41510 Mairena del Alcor, Sevilla</t>
  </si>
  <si>
    <t>955 74 65 76</t>
  </si>
  <si>
    <t>Tocados y Abalorios</t>
  </si>
  <si>
    <t>Polígono, Calle el Malecón, nave 72, 41300 San José de la Rinconada, Sevilla</t>
  </si>
  <si>
    <t>tocadosyabalorios.com</t>
  </si>
  <si>
    <t>954 79 07 90</t>
  </si>
  <si>
    <t>info@tocadosyabalorios.com</t>
  </si>
  <si>
    <t>Calle Julián Romero, s/n, 41800 Sanlúcar la Mayor, Sevilla</t>
  </si>
  <si>
    <t>Sanlúcar la Mayor</t>
  </si>
  <si>
    <t>floristeriaensanlucarlamayor.com</t>
  </si>
  <si>
    <t>955 70 20 11</t>
  </si>
  <si>
    <t>Floristería ArteFloral Canela</t>
  </si>
  <si>
    <t>Calle Cruz, 5, 41318 Villaverde del Río, Sevilla</t>
  </si>
  <si>
    <t>Villaverde del Río</t>
  </si>
  <si>
    <t>954 22 82 82</t>
  </si>
  <si>
    <t>Floristeria Amazonia</t>
  </si>
  <si>
    <t>Calle Real, 32, 41805 Benacazón, Sevilla</t>
  </si>
  <si>
    <t>Benacazón</t>
  </si>
  <si>
    <t>Artesanos de la Flor S. L.</t>
  </si>
  <si>
    <t>Calle José María Ibarra y Gómez-Rull, 26, 41007 Sevilla</t>
  </si>
  <si>
    <t>artesanosdelaflor.com</t>
  </si>
  <si>
    <t>637 36 55 91</t>
  </si>
  <si>
    <t>Floristería la Huerta</t>
  </si>
  <si>
    <t>Calle Cristóbal Colón, 4, 41710 Utrera, Sevilla</t>
  </si>
  <si>
    <t>Utrera</t>
  </si>
  <si>
    <t>954 86 44 23</t>
  </si>
  <si>
    <t>Semilleria Ramos Grow Shop Dos Hermanas</t>
  </si>
  <si>
    <t>Calle Pintor Amalio García del Moral, nave 11, 41700 Dos Hermanas, Sevilla</t>
  </si>
  <si>
    <t>656 33 92 10</t>
  </si>
  <si>
    <t>Floristería y Complementos Rocío Flor</t>
  </si>
  <si>
    <t>Calle San Pío X, 88, 41840 Pilas, Sevilla</t>
  </si>
  <si>
    <t>Pilas</t>
  </si>
  <si>
    <t>616 25 65 08</t>
  </si>
  <si>
    <t>Floristeria Abril</t>
  </si>
  <si>
    <t>Av. María Auxiliadora, 62, 41710 Utrera, Sevilla</t>
  </si>
  <si>
    <t>954 87 39 92</t>
  </si>
  <si>
    <t>Floristería Placín</t>
  </si>
  <si>
    <t>Calle Álvarez Quintero, 130, 41720 Los Palacios y Villafranca, Sevilla</t>
  </si>
  <si>
    <t>Los Palacios y Villafranca</t>
  </si>
  <si>
    <t>FLORISTERIA PLAZA VIEJA</t>
  </si>
  <si>
    <t>Calle Cervantes, 28, 41600 Arahal, Sevilla</t>
  </si>
  <si>
    <t>Arahal</t>
  </si>
  <si>
    <t>955 84 23 71</t>
  </si>
  <si>
    <t>Floristería El Capricho</t>
  </si>
  <si>
    <t>Calle Real, 147, 41950 Castilleja de la Cuesta, Sevilla</t>
  </si>
  <si>
    <t>floristeriaelcapricho.es</t>
  </si>
  <si>
    <t>600 79 31 23</t>
  </si>
  <si>
    <t>Yuca Floristas</t>
  </si>
  <si>
    <t>Calle Cantarerías, 13, 41530 Morón de la Frontera, Sevilla</t>
  </si>
  <si>
    <t>954 85 20 84</t>
  </si>
  <si>
    <t>El Duque Flores y Tocados</t>
  </si>
  <si>
    <t>Calle Antequera, 42, 41640 Osuna, Sevilla</t>
  </si>
  <si>
    <t>Osuna</t>
  </si>
  <si>
    <t>954 81 20 03</t>
  </si>
  <si>
    <t>Floristería Deartcon</t>
  </si>
  <si>
    <t>Calle Capitán, 47, 41640 Osuna, Sevilla</t>
  </si>
  <si>
    <t>deartcon.es</t>
  </si>
  <si>
    <t>635 92 81 78</t>
  </si>
  <si>
    <t>Floristeria Cloty</t>
  </si>
  <si>
    <t>Carr. Puente Genil, 31, 41567 Herrera, Sevilla</t>
  </si>
  <si>
    <t>Herrera</t>
  </si>
  <si>
    <t>Flores y Plantas J.V.</t>
  </si>
  <si>
    <t>Calle Gral. Asensio, 5, Local 4, 28609 Sevilla la Nueva, Madrid</t>
  </si>
  <si>
    <t>Sevilla la Nueva</t>
  </si>
  <si>
    <t>918 12 94 34</t>
  </si>
  <si>
    <t>FLORISTERIA ALBAHACA</t>
  </si>
  <si>
    <t>Calle José María Lacasa, 17, 22001 Huesca</t>
  </si>
  <si>
    <t>Huesca</t>
  </si>
  <si>
    <t>floristeriaalbahaca.es</t>
  </si>
  <si>
    <t>974 23 14 68</t>
  </si>
  <si>
    <t>Floristería Zaraflor Huesca</t>
  </si>
  <si>
    <t>Calle Santo Cristo de los Milagros, 3, 22004 Huesca</t>
  </si>
  <si>
    <t>zaraflor.es</t>
  </si>
  <si>
    <t>974 21 85 12</t>
  </si>
  <si>
    <t>Floristería Paraíso</t>
  </si>
  <si>
    <t>Calle Coso Alto, 51, 22003 Huesca</t>
  </si>
  <si>
    <t>974 23 15 21</t>
  </si>
  <si>
    <t>Uson Floristas</t>
  </si>
  <si>
    <t>Calle Ramón J Sender, 16, 22005 Huesca</t>
  </si>
  <si>
    <t>usonfloristas.com</t>
  </si>
  <si>
    <t>974 24 24 20</t>
  </si>
  <si>
    <t>info@usonfloristas.com</t>
  </si>
  <si>
    <t>Floristería Jungla</t>
  </si>
  <si>
    <t>Calle Fraga, 16, 22004 Huesca</t>
  </si>
  <si>
    <t>974 70 91 90</t>
  </si>
  <si>
    <t>Floristería los Arcos</t>
  </si>
  <si>
    <t>Av. Martínez de Velasco, 40, 22004 Huesca</t>
  </si>
  <si>
    <t>974 21 43 70</t>
  </si>
  <si>
    <t>La Reina de las Flores</t>
  </si>
  <si>
    <t>Calle Padre Huesca, 82, 22002 Huesca</t>
  </si>
  <si>
    <t>974 22 33 16</t>
  </si>
  <si>
    <t>Rafael Márquez Troya</t>
  </si>
  <si>
    <t>974 22 14 16</t>
  </si>
  <si>
    <t>Brotalia</t>
  </si>
  <si>
    <t>Carretera A-132 Km 3,2, (dirección Ayerbe), 22004 Huesca</t>
  </si>
  <si>
    <t>brotalia.com</t>
  </si>
  <si>
    <t>974 24 65 57</t>
  </si>
  <si>
    <t>info@brotalia.com</t>
  </si>
  <si>
    <t>Flores Benedé</t>
  </si>
  <si>
    <t>Calle de Serrablo, 84, 22600 Sabiñánigo, Huesca</t>
  </si>
  <si>
    <t>Sabiñánigo</t>
  </si>
  <si>
    <t>flores-benede.com</t>
  </si>
  <si>
    <t>974 48 00 93</t>
  </si>
  <si>
    <t>info@flores-benede.com</t>
  </si>
  <si>
    <t>Floristería Yerbaflor</t>
  </si>
  <si>
    <t>Calle de Serrablo, 78, 22600 Sabiñánigo, Huesca</t>
  </si>
  <si>
    <t>floristeriayerbaflor.com</t>
  </si>
  <si>
    <t>974 48 34 66</t>
  </si>
  <si>
    <t>Av. del Cinca, 23, 22300 Barbastro, Huesca</t>
  </si>
  <si>
    <t>Barbastro</t>
  </si>
  <si>
    <t>974 31 42 57</t>
  </si>
  <si>
    <t>Flores Gloria</t>
  </si>
  <si>
    <t>Calle General Ricardos, 53, 22300 Barbastro, Huesca</t>
  </si>
  <si>
    <t>974 31 19 66</t>
  </si>
  <si>
    <t>Floristería El Cisne</t>
  </si>
  <si>
    <t>Av. de la Jacetania, 8, 22700 Jaca, Huesca</t>
  </si>
  <si>
    <t>Jaca</t>
  </si>
  <si>
    <t>974 36 13 37</t>
  </si>
  <si>
    <t>Flores Castillón SL</t>
  </si>
  <si>
    <t>Calle Academia Cerbuna, 4, 22300 Barbastro, Huesca</t>
  </si>
  <si>
    <t>florescastillon.com</t>
  </si>
  <si>
    <t>974 31 48 36</t>
  </si>
  <si>
    <t>Flores Castillón</t>
  </si>
  <si>
    <t>Calle de Sta. Bárbara, 29, 22400 Monzón, Huesca</t>
  </si>
  <si>
    <t>Monzón</t>
  </si>
  <si>
    <t>974 40 04 37</t>
  </si>
  <si>
    <t>La Naturaleza</t>
  </si>
  <si>
    <t>Av. Pueyo, 2, 22400 Monzón, Huesca</t>
  </si>
  <si>
    <t>974 41 59 55</t>
  </si>
  <si>
    <t>Flores Montserrat</t>
  </si>
  <si>
    <t>Av. Regimiento de Galicia, 1, 22700 Jaca, Huesca</t>
  </si>
  <si>
    <t>974 36 41 34</t>
  </si>
  <si>
    <t>Hubschdeco</t>
  </si>
  <si>
    <t>Av. del Cinca, 32, 22300 Barbastro, Huesca</t>
  </si>
  <si>
    <t>hubschdeco.com</t>
  </si>
  <si>
    <t>622 87 35 04</t>
  </si>
  <si>
    <t>Centro de Jardinería FLORES CIUTAD</t>
  </si>
  <si>
    <t>Av. de Lérida, 73, 22400 Monzón, Huesca</t>
  </si>
  <si>
    <t>floresciutad.es</t>
  </si>
  <si>
    <t>974 41 77 61</t>
  </si>
  <si>
    <t>floresciutad@gmail.com</t>
  </si>
  <si>
    <t>Floristería Borgoño</t>
  </si>
  <si>
    <t>Calle Salamero, 7, 22430 Graus, Huesca</t>
  </si>
  <si>
    <t>Graus</t>
  </si>
  <si>
    <t>Floristería Muguet</t>
  </si>
  <si>
    <t>Av. Ordesa, 9, 22330 Aínsa, Huesca</t>
  </si>
  <si>
    <t>Aínsa</t>
  </si>
  <si>
    <t>974 50 04 10</t>
  </si>
  <si>
    <t>Floristería Consuelo</t>
  </si>
  <si>
    <t>Calle Barranco, 43, 22430 Graus, Huesca</t>
  </si>
  <si>
    <t>974 54 12 78</t>
  </si>
  <si>
    <t>Calle Galileo, 2, 22500 Binéfar, Huesca</t>
  </si>
  <si>
    <t>Binéfar</t>
  </si>
  <si>
    <t>floristerianenufar.blogspot.ie</t>
  </si>
  <si>
    <t>974 43 14 26</t>
  </si>
  <si>
    <t>Floristería MYL</t>
  </si>
  <si>
    <t>Abiego</t>
  </si>
  <si>
    <t>mayulaflores.es</t>
  </si>
  <si>
    <t>876 06 31 60</t>
  </si>
  <si>
    <t>hola@mayulaflores.es</t>
  </si>
  <si>
    <t>Flores BAMBU</t>
  </si>
  <si>
    <t>Plaza de Huesca, 50017 Zaragoza</t>
  </si>
  <si>
    <t>Zaragoza</t>
  </si>
  <si>
    <t>645 76 97 76</t>
  </si>
  <si>
    <t>Floristería Amelia</t>
  </si>
  <si>
    <t>Paseo del Hortaz, 27, 22550 Tamarite de Litera, Huesca</t>
  </si>
  <si>
    <t>Tamarite de Litera</t>
  </si>
  <si>
    <t>974 42 20 18</t>
  </si>
  <si>
    <t>Floristeria Tella</t>
  </si>
  <si>
    <t>Paseo de San Juan Bosco, 23, 22400 Monzón, Huesca</t>
  </si>
  <si>
    <t>floristeriatella.es</t>
  </si>
  <si>
    <t>974 35 21 80</t>
  </si>
  <si>
    <t>floristeriatella@hotmail.es</t>
  </si>
  <si>
    <t>Julieta&amp;apos;s kitten floristería en Zaragoza</t>
  </si>
  <si>
    <t>julietaskitten.com</t>
  </si>
  <si>
    <t>659 92 64 87</t>
  </si>
  <si>
    <t>webmaster@julietaskitten.com</t>
  </si>
  <si>
    <t>Charme &amp;amp; Chic</t>
  </si>
  <si>
    <t>Calle Mayor, 8, 22700 Jaca (Huesca), Huesca</t>
  </si>
  <si>
    <t>974 36 38 72</t>
  </si>
  <si>
    <t>Tienda Alzuria</t>
  </si>
  <si>
    <t>Calle Huesca, 12, 22500 Binéfar, Huesca</t>
  </si>
  <si>
    <t>974 42 90 32</t>
  </si>
  <si>
    <t>Floristería Plaza Roma</t>
  </si>
  <si>
    <t>652 21 99 89</t>
  </si>
  <si>
    <t>Floristería Decoflor</t>
  </si>
  <si>
    <t>Av. de Madrid, 43, 22520 Fraga, Huesca</t>
  </si>
  <si>
    <t>Fraga</t>
  </si>
  <si>
    <t>floristeriadecoflorfraga.com</t>
  </si>
  <si>
    <t>974 47 02 62</t>
  </si>
  <si>
    <t>decoflor@cincanet.com</t>
  </si>
  <si>
    <t>Valero</t>
  </si>
  <si>
    <t>Av. de Lérida, 33, 22400 Monzón, Huesca</t>
  </si>
  <si>
    <t>Floristería LE</t>
  </si>
  <si>
    <t>Calle Rioja, 4, 50017 Zaragoza</t>
  </si>
  <si>
    <t>floristeriale.com</t>
  </si>
  <si>
    <t>976 53 82 46</t>
  </si>
  <si>
    <t>FLORISTERIA BONSAI</t>
  </si>
  <si>
    <t>Av. de Madrid, 58, 22520 Fraga, Huesca</t>
  </si>
  <si>
    <t>floristeriabonsaifraga.com</t>
  </si>
  <si>
    <t>974 47 22 03</t>
  </si>
  <si>
    <t>info@floristeriabonsaifraga.com</t>
  </si>
  <si>
    <t>Floristería María Aliaga</t>
  </si>
  <si>
    <t>Calle de Ramón y Cajal, 45, 50004 Zaragoza</t>
  </si>
  <si>
    <t>976 43 51 83</t>
  </si>
  <si>
    <t>Mi capricho</t>
  </si>
  <si>
    <t>Av. la Constitución, 7, 22410 Alcolea de Cinca, Huesca</t>
  </si>
  <si>
    <t>Alcolea de Cinca</t>
  </si>
  <si>
    <t>El Rincón de las flores</t>
  </si>
  <si>
    <t>Av. de América, 65, 50007 Zaragoza</t>
  </si>
  <si>
    <t>elrincondelasflores.com</t>
  </si>
  <si>
    <t>976 27 20 07</t>
  </si>
  <si>
    <t>Seral Floristas</t>
  </si>
  <si>
    <t>Calle Mayor, 43, 50800 Zuera, Zaragoza</t>
  </si>
  <si>
    <t>Zuera</t>
  </si>
  <si>
    <t>seralfloristas.com</t>
  </si>
  <si>
    <t>976 68 07 30</t>
  </si>
  <si>
    <t>info@seralfloristas.com</t>
  </si>
  <si>
    <t>Floristería Cisneros</t>
  </si>
  <si>
    <t>655 36 68 91</t>
  </si>
  <si>
    <t>Kapricho&amp;apos;S Arte Floral</t>
  </si>
  <si>
    <t>Calle Huesca, 2, 50100 La Almunia de Doña Godina, Zaragoza</t>
  </si>
  <si>
    <t>La Almunia de Doña Godina</t>
  </si>
  <si>
    <t>876 77 05 31</t>
  </si>
  <si>
    <t>Calle Paseo de la Ribera, 78, 31514 Valtierra, Navarra</t>
  </si>
  <si>
    <t>Valtierra</t>
  </si>
  <si>
    <t>Navarra</t>
  </si>
  <si>
    <t>948 86 72 84</t>
  </si>
  <si>
    <t>Flores Elena-Floristería en Zaragoza</t>
  </si>
  <si>
    <t>Av. de Madrid, 107, 50010 Zaragoza</t>
  </si>
  <si>
    <t>floreselena.com</t>
  </si>
  <si>
    <t>976 33 18 83</t>
  </si>
  <si>
    <t>floreselena@floreselena.com</t>
  </si>
  <si>
    <t>Calle Gómez Acebo D.Juan, 66, 50830 Villanueva de Gállego, Zaragoza</t>
  </si>
  <si>
    <t>Villanueva de Gállego</t>
  </si>
  <si>
    <t>976 18 50 88</t>
  </si>
  <si>
    <t>Floristeria La Rosaleda</t>
  </si>
  <si>
    <t>Av. Francisco de Goya, 56, 50005 Zaragoza</t>
  </si>
  <si>
    <t>floristerialarosaleda.com</t>
  </si>
  <si>
    <t>976 23 35 10</t>
  </si>
  <si>
    <t>info@floristerialarosaleda.com</t>
  </si>
  <si>
    <t>Floristería la Rosaleda</t>
  </si>
  <si>
    <t>Paseo de Sagasta, 49, 50007 Zaragoza</t>
  </si>
  <si>
    <t>976 27 25 63</t>
  </si>
  <si>
    <t>Calle Huesca, 74, 26005 Logroño, La Rioja</t>
  </si>
  <si>
    <t>Logroño</t>
  </si>
  <si>
    <t>La Rioja</t>
  </si>
  <si>
    <t>floristeriatrebol.com</t>
  </si>
  <si>
    <t>941 70 02 86</t>
  </si>
  <si>
    <t>Floristería Canales II</t>
  </si>
  <si>
    <t>Carrer Sant Jaume, 7, BAJO, 25001 Lleida</t>
  </si>
  <si>
    <t>Lérida</t>
  </si>
  <si>
    <t>Lleida</t>
  </si>
  <si>
    <t>floristeriacanales.es</t>
  </si>
  <si>
    <t>973 20 65 20</t>
  </si>
  <si>
    <t>info@floristeriacanales.es</t>
  </si>
  <si>
    <t>Flores Carmen</t>
  </si>
  <si>
    <t>Paseo Sixto Celorrio, 13, 50300 Calatayud, Zaragoza</t>
  </si>
  <si>
    <t>Calatayud</t>
  </si>
  <si>
    <t>976 88 14 97</t>
  </si>
  <si>
    <t>Floristería Dos Gardenias</t>
  </si>
  <si>
    <t>Plaza del Fuerte, 13, 50300 Calatayud, Zaragoza</t>
  </si>
  <si>
    <t>976 89 76 37</t>
  </si>
  <si>
    <t>Floristeria Montse</t>
  </si>
  <si>
    <t>Calle Huesca, 17, FLORISTERÍA, 28934 Móstoles, Madrid</t>
  </si>
  <si>
    <t>Móstoles</t>
  </si>
  <si>
    <t>916 13 71 13</t>
  </si>
  <si>
    <t>La Floristería de Teruel</t>
  </si>
  <si>
    <t>Av. de Sagunto, 14, 44002 Teruel</t>
  </si>
  <si>
    <t>Teruel</t>
  </si>
  <si>
    <t>978 60 42 00</t>
  </si>
  <si>
    <t>Flores Valenciana</t>
  </si>
  <si>
    <t>Calle Ramón y Cajal, 27, 44001 Teruel</t>
  </si>
  <si>
    <t>floresvalencianateruel.com</t>
  </si>
  <si>
    <t>978 60 26 72</t>
  </si>
  <si>
    <t>info@floresvalencianateruel.com</t>
  </si>
  <si>
    <t>Vazquez Floristas</t>
  </si>
  <si>
    <t>Ctra. Alcañiz, 67, 44003 Teruel</t>
  </si>
  <si>
    <t>610 71 75 22</t>
  </si>
  <si>
    <t>C/ Muñoz Degrain, 23, 44001 Teruel</t>
  </si>
  <si>
    <t>Flores El Parque</t>
  </si>
  <si>
    <t>Av. Ruiz Jarabo, 2, 44002 Teruel</t>
  </si>
  <si>
    <t>floreselparque.com</t>
  </si>
  <si>
    <t>978 62 01 94</t>
  </si>
  <si>
    <t>floreselparque@gmail.com</t>
  </si>
  <si>
    <t>Jardin San Fernando</t>
  </si>
  <si>
    <t>Calle Ramón y Cajal, 10, 44001 Teruel</t>
  </si>
  <si>
    <t>jardinsanfernando.es</t>
  </si>
  <si>
    <t>978 61 74 58</t>
  </si>
  <si>
    <t>jardinsanfernando@interflora.es</t>
  </si>
  <si>
    <t>Juan Pablo Vázquez Lagunas</t>
  </si>
  <si>
    <t>Calle San Martín, 11, 44001 Teruel</t>
  </si>
  <si>
    <t>978 60 48 23</t>
  </si>
  <si>
    <t>Conde Núñez Sc</t>
  </si>
  <si>
    <t>Av. Hispanidad, 1, 44760 Utrillas, Teruel</t>
  </si>
  <si>
    <t>Utrillas</t>
  </si>
  <si>
    <t>978 75 66 71</t>
  </si>
  <si>
    <t>Flores El Regallo</t>
  </si>
  <si>
    <t>Av. Dos de Mayo, 21, 44500 Andorra, Teruel</t>
  </si>
  <si>
    <t>Andorra</t>
  </si>
  <si>
    <t>978 88 01 34</t>
  </si>
  <si>
    <t>Floristería Amparo Teruel</t>
  </si>
  <si>
    <t>Plaza Santo Domingo De Guzmán, 9, 46017 València, Valencia</t>
  </si>
  <si>
    <t>963 77 33 74</t>
  </si>
  <si>
    <t>Floristería Marymar</t>
  </si>
  <si>
    <t>C/ del Justicia n°3 bajo, 44200 Calamocha, Teruel</t>
  </si>
  <si>
    <t>Calamocha</t>
  </si>
  <si>
    <t>609 26 94 95</t>
  </si>
  <si>
    <t>Floristería Idea´s</t>
  </si>
  <si>
    <t>Calle Manuel Marina, 8, 44200 Calamocha, Teruel</t>
  </si>
  <si>
    <t>978 73 17 48</t>
  </si>
  <si>
    <t>Mile Jardín Hogar Floristería Teruel</t>
  </si>
  <si>
    <t>Calle Baja, 30, 44600 Alcañiz, Teruel</t>
  </si>
  <si>
    <t>Alcañiz</t>
  </si>
  <si>
    <t>milejardin.com</t>
  </si>
  <si>
    <t>978 83 05 19</t>
  </si>
  <si>
    <t>info@milejardin.com</t>
  </si>
  <si>
    <t>Aeternalia.com</t>
  </si>
  <si>
    <t>ctra​ zaragoza, 20, 44530 Híjar, Teruel</t>
  </si>
  <si>
    <t>Híjar</t>
  </si>
  <si>
    <t>aeternalia.com</t>
  </si>
  <si>
    <t>978 82 11 88</t>
  </si>
  <si>
    <t>info@aeternalia.com</t>
  </si>
  <si>
    <t>Floristería La Boutique de las Flores Alcorisa</t>
  </si>
  <si>
    <t>Paseo Hermanos Nadal, local 2, 44550 Alcorisa, Teruel</t>
  </si>
  <si>
    <t>Alcorisa</t>
  </si>
  <si>
    <t>laboutiquedelasflores.es</t>
  </si>
  <si>
    <t>634 35 91 28</t>
  </si>
  <si>
    <t>info@laboutiquedelasflores.es</t>
  </si>
  <si>
    <t>El Banastro - Decoración y Flores</t>
  </si>
  <si>
    <t>Calle Mayor, 23, 44570 Calanda, Teruel</t>
  </si>
  <si>
    <t>Calanda</t>
  </si>
  <si>
    <t>Floristería Flowers</t>
  </si>
  <si>
    <t>Av. de Aragón, 65, Local, 44600 Alcañiz, Teruel</t>
  </si>
  <si>
    <t>floristeriaflowers.com</t>
  </si>
  <si>
    <t>978 83 19 18</t>
  </si>
  <si>
    <t>ana.llombart@hotmail.com</t>
  </si>
  <si>
    <t>Flores en Lata</t>
  </si>
  <si>
    <t>Ababuj</t>
  </si>
  <si>
    <t>floresenlata.com</t>
  </si>
  <si>
    <t>644 65 05 64</t>
  </si>
  <si>
    <t>hola@floresenlata.com</t>
  </si>
  <si>
    <t>Floristeria PideUnDeseo</t>
  </si>
  <si>
    <t>Paseo Teruel, 32, 50004 Zaragoza</t>
  </si>
  <si>
    <t>florespideundeseo.com</t>
  </si>
  <si>
    <t>976 24 22 28</t>
  </si>
  <si>
    <t>50008 Zaragoza</t>
  </si>
  <si>
    <t>floreslazarobaeta.com</t>
  </si>
  <si>
    <t>floreslazarobaeta@hotmail.com</t>
  </si>
  <si>
    <t>Floristas García Zaragoza</t>
  </si>
  <si>
    <t>Av. de Valencia, 13, 50005 Zaragoza</t>
  </si>
  <si>
    <t>floristasgarcia.es</t>
  </si>
  <si>
    <t>976 35 98 98</t>
  </si>
  <si>
    <t>La Florería Zaragoza</t>
  </si>
  <si>
    <t>Calle Santander, 8, 50010 Zaragoza</t>
  </si>
  <si>
    <t>lafloreriazaragoza.es</t>
  </si>
  <si>
    <t>876 16 21 48</t>
  </si>
  <si>
    <t>Floristería Los Sitios</t>
  </si>
  <si>
    <t>Plaza los Sitios, 1, 50001 Zaragoza</t>
  </si>
  <si>
    <t>floristerialossitios.com</t>
  </si>
  <si>
    <t>976 22 18 06</t>
  </si>
  <si>
    <t>Floristería Decoflor Zaragoza</t>
  </si>
  <si>
    <t>Calle de Cantín y Gamboa, 17, 19, 50002 Zaragoza</t>
  </si>
  <si>
    <t>decoflorzaragoza.es</t>
  </si>
  <si>
    <t>976 29 67 23</t>
  </si>
  <si>
    <t>Floristería Zaragoza Sayde Flores a Domicilio</t>
  </si>
  <si>
    <t>Calle de San Juan Bosco, 18, 50009 Zaragoza</t>
  </si>
  <si>
    <t>floristeriasayde.com</t>
  </si>
  <si>
    <t>622 86 15 89</t>
  </si>
  <si>
    <t>info@floristeriasayde.com</t>
  </si>
  <si>
    <t>Flores Kentia</t>
  </si>
  <si>
    <t>Av. de Madrid, 259, 50017 Zaragoza</t>
  </si>
  <si>
    <t>flores-kentia.com</t>
  </si>
  <si>
    <t>976 32 75 07</t>
  </si>
  <si>
    <t>SAI más que flores</t>
  </si>
  <si>
    <t>Calle Jerónimo Blancas, 4, 50001 Zaragoza</t>
  </si>
  <si>
    <t>saimasqueflores.es</t>
  </si>
  <si>
    <t>876 71 81 03</t>
  </si>
  <si>
    <t>comercial@saimasqueflores.es</t>
  </si>
  <si>
    <t>Calle Santander, 36, 50010 Zaragoza</t>
  </si>
  <si>
    <t>floristeriazaragoza.es</t>
  </si>
  <si>
    <t>976 34 47 14</t>
  </si>
  <si>
    <t>Floristería Beaflor</t>
  </si>
  <si>
    <t>Calle Dr. Julián Sanz Ibáñez, 53, 50017 Zaragoza</t>
  </si>
  <si>
    <t>floristeriabeaflor.com</t>
  </si>
  <si>
    <t>976 53 78 35</t>
  </si>
  <si>
    <t>info@floristeriabeaflor.com</t>
  </si>
  <si>
    <t>Floristería Paloma</t>
  </si>
  <si>
    <t>Calle María Guerrero, 6, BAJO, 50009 Zaragoza</t>
  </si>
  <si>
    <t>976 75 41 95</t>
  </si>
  <si>
    <t>Floristería La Moderna</t>
  </si>
  <si>
    <t>Calle Jussepe Martínez, 3, 50003 Zaragoza</t>
  </si>
  <si>
    <t>floristerialamoderna.com</t>
  </si>
  <si>
    <t>976 29 18 88</t>
  </si>
  <si>
    <t>irene@floristerialamoderna.com</t>
  </si>
  <si>
    <t>Flores Lázaro Baeta</t>
  </si>
  <si>
    <t>Calle José Luis Pomarón Herranz, 15, Bajo, 50008 Zaragoza</t>
  </si>
  <si>
    <t>976 49 30 30</t>
  </si>
  <si>
    <t>Floristería Zentro</t>
  </si>
  <si>
    <t>Calle León XIII, 12, 50008 Zaragoza</t>
  </si>
  <si>
    <t>floristeriazentro.es</t>
  </si>
  <si>
    <t>976 22 31 95</t>
  </si>
  <si>
    <t>Siete Flores</t>
  </si>
  <si>
    <t>Plaza los Sitios, 12, 50001 Zaragoza</t>
  </si>
  <si>
    <t>sieteflores.es</t>
  </si>
  <si>
    <t>722 20 52 12</t>
  </si>
  <si>
    <t>eva@sieteflores.es</t>
  </si>
  <si>
    <t>Floristería Blancaflor</t>
  </si>
  <si>
    <t>Calle Ainzón, 5, 50003 Zaragoza</t>
  </si>
  <si>
    <t>976 43 13 18</t>
  </si>
  <si>
    <t>Flores Marbid</t>
  </si>
  <si>
    <t>Calle San Juan de la Cruz, 13, 50006 Zaragoza</t>
  </si>
  <si>
    <t>floresmarbid.com</t>
  </si>
  <si>
    <t>976 55 97 83</t>
  </si>
  <si>
    <t>floresmarbid@interflora.es</t>
  </si>
  <si>
    <t>Flores El Jardín</t>
  </si>
  <si>
    <t>Av. Pablo Gargallo, 55, 50003 Zaragoza</t>
  </si>
  <si>
    <t>floreseljardin.com</t>
  </si>
  <si>
    <t>976 43 14 28</t>
  </si>
  <si>
    <t>floreseljardin.zgz@gmail.com</t>
  </si>
  <si>
    <t>Floristería Rosales</t>
  </si>
  <si>
    <t>Calle Juana de Ibarbourou, 3, 50013 Zaragoza</t>
  </si>
  <si>
    <t>floristeriarosales.es</t>
  </si>
  <si>
    <t>976 41 44 23</t>
  </si>
  <si>
    <t>floristeriarosales@floristeriarosales.es</t>
  </si>
  <si>
    <t>Calle Hernán Cortés, 1, 50004 Zaragoza</t>
  </si>
  <si>
    <t>976 22 52 92</t>
  </si>
  <si>
    <t>Floristas García</t>
  </si>
  <si>
    <t>Plaza de las Canteras, nº 2, 50007 Zaragoza</t>
  </si>
  <si>
    <t>976 27 18 08</t>
  </si>
  <si>
    <t>Flores Torres</t>
  </si>
  <si>
    <t>Calle de Sixto Celorrio, 3, 50015 Zaragoza</t>
  </si>
  <si>
    <t>florestorres.es</t>
  </si>
  <si>
    <t>976 52 21 51</t>
  </si>
  <si>
    <t>florestorres@florestorres.es</t>
  </si>
  <si>
    <t>Floristería Evaflor</t>
  </si>
  <si>
    <t>Av. Francisco de Goya, 19 Bajo, 50006 Zaragoza</t>
  </si>
  <si>
    <t>evaflor.es</t>
  </si>
  <si>
    <t>976 38 00 00</t>
  </si>
  <si>
    <t>Flores Trébol</t>
  </si>
  <si>
    <t>Calle Gertrudis Gómez de Avellaneda, 57, 50018 Zaragoza</t>
  </si>
  <si>
    <t>florestrebol.com</t>
  </si>
  <si>
    <t>976 73 60 68</t>
  </si>
  <si>
    <t>Floristería La MaZeta</t>
  </si>
  <si>
    <t>Calle las Escuelas, 3, 50009 Zaragoza</t>
  </si>
  <si>
    <t>floristerialamaceta.com</t>
  </si>
  <si>
    <t>976 30 80 31</t>
  </si>
  <si>
    <t>El Jardin de Paula</t>
  </si>
  <si>
    <t>Calle Torre Nueva, 30, 50003 Zaragoza</t>
  </si>
  <si>
    <t>976 29 93 04</t>
  </si>
  <si>
    <t>Floristería Luna d&amp;apos;Herreiz</t>
  </si>
  <si>
    <t>Calle Bolonia, 8, 50008 Zaragoza</t>
  </si>
  <si>
    <t>floristerialunadherreiz.es</t>
  </si>
  <si>
    <t>976 23 74 60</t>
  </si>
  <si>
    <t>lunadherreiz@hotmail.com</t>
  </si>
  <si>
    <t>Flores y Plantas Natural</t>
  </si>
  <si>
    <t>Calle Don Jaime I, 27, 50003 Zaragoza</t>
  </si>
  <si>
    <t>976 39 77 90</t>
  </si>
  <si>
    <t>Floristería La Pérgola</t>
  </si>
  <si>
    <t>Calle de Pablo Neruda, 6, 50018 Zaragoza</t>
  </si>
  <si>
    <t>976 73 41 80</t>
  </si>
  <si>
    <t>Flores Enea</t>
  </si>
  <si>
    <t>Paseo de Cuéllar, 41, 50007 Zaragoza</t>
  </si>
  <si>
    <t>976 25 25 00</t>
  </si>
  <si>
    <t>Flores San Francisco</t>
  </si>
  <si>
    <t>Paseo de Fernando el Católico, 37, 50006 Zaragoza</t>
  </si>
  <si>
    <t>floressanfrancisco.com</t>
  </si>
  <si>
    <t>976 55 10 63</t>
  </si>
  <si>
    <t>Floristería Aznar</t>
  </si>
  <si>
    <t>Plaza de Miguel Salamero, 1, 50004 Zaragoza</t>
  </si>
  <si>
    <t>976 23 15 80</t>
  </si>
  <si>
    <t>Floristería ROSSIFLOR</t>
  </si>
  <si>
    <t>Calle Molino de las Armas, 44, 50014 Zaragoza</t>
  </si>
  <si>
    <t>876 16 98 75</t>
  </si>
  <si>
    <t>Floristeria SAI</t>
  </si>
  <si>
    <t>Calle Francisco de Vitoria, 12, 50008 Zaragoza</t>
  </si>
  <si>
    <t>Eliflowers</t>
  </si>
  <si>
    <t>Calle del Coso, 49, 50001 Zaragoza</t>
  </si>
  <si>
    <t>eliflowers.es</t>
  </si>
  <si>
    <t>976 97 43 79</t>
  </si>
  <si>
    <t>tienda@eliflowers.es</t>
  </si>
  <si>
    <t>FLORISTERÍA VALENTINA</t>
  </si>
  <si>
    <t>Plaza Emperador Carlos V, 8 C. Com. Los Porches del Audiorama, 50009 Zaragoza</t>
  </si>
  <si>
    <t>floristeriavalentina.es</t>
  </si>
  <si>
    <t>976 56 32 23</t>
  </si>
  <si>
    <t>Floristeria Araflor</t>
  </si>
  <si>
    <t>Calle Doce de Octubre, 35, 50007 Zaragoza</t>
  </si>
  <si>
    <t>976 24 34 73</t>
  </si>
  <si>
    <t>Flores Mª Pilar</t>
  </si>
  <si>
    <t>Paseo de la Gran Vía, 29, 50006 Zaragoza</t>
  </si>
  <si>
    <t>floresmariapilar.net</t>
  </si>
  <si>
    <t>976 22 09 93</t>
  </si>
  <si>
    <t>//info@floresmariapilar.net</t>
  </si>
  <si>
    <t>Flores la Mimosa</t>
  </si>
  <si>
    <t>Calle del Marqués de la Cadena, 39, 50014 Zaragoza</t>
  </si>
  <si>
    <t>976 47 31 97</t>
  </si>
  <si>
    <t>Floristas Visol</t>
  </si>
  <si>
    <t>Av. de San José, 124, 50008 Zaragoza</t>
  </si>
  <si>
    <t>976 59 93 80</t>
  </si>
  <si>
    <t>Flores Urban</t>
  </si>
  <si>
    <t>Av. de Salvador Allende, 41, BAJO, 50015 Zaragoza</t>
  </si>
  <si>
    <t>urbanflores.es</t>
  </si>
  <si>
    <t>976 52 20 37</t>
  </si>
  <si>
    <t>floristeriaurban@gmail.com</t>
  </si>
  <si>
    <t>Floristería Flor de Lis</t>
  </si>
  <si>
    <t>Calle de Manuel Lasala, 36, 50006 Zaragoza</t>
  </si>
  <si>
    <t>floresflordelis.es</t>
  </si>
  <si>
    <t>976 35 90 00</t>
  </si>
  <si>
    <t>Boogaloo Taller Floral &amp;amp; Vegetal</t>
  </si>
  <si>
    <t>Calle Pedro María Ric, 29, 50008 Zaragoza</t>
  </si>
  <si>
    <t>boogaloovegetal.com</t>
  </si>
  <si>
    <t>876 28 61 27</t>
  </si>
  <si>
    <t>info@boogaloovegetal.com</t>
  </si>
  <si>
    <t>Floristeria Ancora</t>
  </si>
  <si>
    <t>Calle Lasierra Purroy, 71, 50007 Zaragoza</t>
  </si>
  <si>
    <t>floristeriaancora.es</t>
  </si>
  <si>
    <t>976 45 39 53</t>
  </si>
  <si>
    <t>FLORES LINACERO</t>
  </si>
  <si>
    <t>Av. Francisco de Goya, 4, 50006 Zaragoza</t>
  </si>
  <si>
    <t>floreslinacero.com</t>
  </si>
  <si>
    <t>976 22 68 63</t>
  </si>
  <si>
    <t>floreslinacero@floreslinacero.com</t>
  </si>
  <si>
    <t>LopeFlor</t>
  </si>
  <si>
    <t>Calle San Alberto Magno, 1, 50011 Zaragoza</t>
  </si>
  <si>
    <t>618 51 50 95</t>
  </si>
  <si>
    <t>Floristería social ReyArdid</t>
  </si>
  <si>
    <t>Ctra. Cogullada, 4, 50014 Zaragoza</t>
  </si>
  <si>
    <t>976 47 12 19</t>
  </si>
  <si>
    <t>Floristeria Las Fuentes</t>
  </si>
  <si>
    <t>Calle Rodrigo de Rebolledo, 21, 50002 Zaragoza</t>
  </si>
  <si>
    <t>floristerialasfuentes.com</t>
  </si>
  <si>
    <t>876 01 17 89</t>
  </si>
  <si>
    <t>info@floristerialasfuentes.com</t>
  </si>
  <si>
    <t>Flores el Edén</t>
  </si>
  <si>
    <t>Paseo los Olvidados, 9, 50019 Zaragoza</t>
  </si>
  <si>
    <t>976 93 84 73</t>
  </si>
  <si>
    <t>Flores Liquen</t>
  </si>
  <si>
    <t>Calle Salvador Minguijón, 9, LOCAL-IZQDA, 50002 Zaragoza</t>
  </si>
  <si>
    <t>es-la.facebook.com</t>
  </si>
  <si>
    <t>976 49 15 52</t>
  </si>
  <si>
    <t>Flores Arte</t>
  </si>
  <si>
    <t>Calle de Marcelino Unceta, 1, 50010 Zaragoza</t>
  </si>
  <si>
    <t>976 34 72 09</t>
  </si>
  <si>
    <t>Flores Cristina</t>
  </si>
  <si>
    <t>Calle de Fray Julián Garcés, 50007 Zaragoza</t>
  </si>
  <si>
    <t>Myriam Aznar Floral Studio</t>
  </si>
  <si>
    <t>Av. Pablo Gargallo, 1, 50003 Zaragoza</t>
  </si>
  <si>
    <t>floristeriamyriamaznar.com</t>
  </si>
  <si>
    <t>976 44 69 63</t>
  </si>
  <si>
    <t>info@floristeriamyriamaznar.com</t>
  </si>
  <si>
    <t>campanula flores</t>
  </si>
  <si>
    <t>Av. de la Ilustración, 14, 50012 Zaragoza</t>
  </si>
  <si>
    <t>976 75 67 36</t>
  </si>
  <si>
    <t>Espliego S.Cv.</t>
  </si>
  <si>
    <t>Av. Juan Carlos I, 1, 50009 Zaragoza</t>
  </si>
  <si>
    <t>976 35 28 04</t>
  </si>
  <si>
    <t>Conde XIII</t>
  </si>
  <si>
    <t>Calle del Conde de Aranda, 13, 50004 Zaragoza</t>
  </si>
  <si>
    <t>976 44 28 16</t>
  </si>
  <si>
    <t>entrefloresyplantas</t>
  </si>
  <si>
    <t>Calle Ricardo Monterde, 1, 50010 Zaragoza</t>
  </si>
  <si>
    <t>entrefloresyplantas.es</t>
  </si>
  <si>
    <t>Flores y Decoración Gómez</t>
  </si>
  <si>
    <t>Calle de Joaquín Sorolla, 7, 50007 Zaragoza</t>
  </si>
  <si>
    <t>976 27 50 39</t>
  </si>
  <si>
    <t>Artemisa Flores</t>
  </si>
  <si>
    <t>Calle el Carmen, 5, 50005 Zaragoza</t>
  </si>
  <si>
    <t>floresartemisa.com</t>
  </si>
  <si>
    <t>976 22 07 62</t>
  </si>
  <si>
    <t>Atenea Flores</t>
  </si>
  <si>
    <t>Calle San Antonio María Claret, 13, 15, 50005 Zaragoza</t>
  </si>
  <si>
    <t>976 35 29 01</t>
  </si>
  <si>
    <t>Floristería los Tulipanes</t>
  </si>
  <si>
    <t>Camino de las Torres, 106, 50007 Zaragoza</t>
  </si>
  <si>
    <t>lostulipanesartefloral.com</t>
  </si>
  <si>
    <t>976 37 31 18</t>
  </si>
  <si>
    <t>Floristería la Orquídea (Cº de las Torres 10)</t>
  </si>
  <si>
    <t>Camino de las Torres, 10, 50002 Zaragoza</t>
  </si>
  <si>
    <t>laorquideazaragoza.com</t>
  </si>
  <si>
    <t>976 42 16 85</t>
  </si>
  <si>
    <t>info@laorquideazaragoza.com</t>
  </si>
  <si>
    <t>Gálvez Floristas</t>
  </si>
  <si>
    <t>Av. Compromiso de Caspe, 38, 50002 Zaragoza</t>
  </si>
  <si>
    <t>galvezfloristas.es</t>
  </si>
  <si>
    <t>976 59 49 62</t>
  </si>
  <si>
    <t>Bienflor SLL</t>
  </si>
  <si>
    <t>Calle Alejandro Bell, 7, 9, 50014 Zaragoza</t>
  </si>
  <si>
    <t>bienflor.com</t>
  </si>
  <si>
    <t>976 33 12 00</t>
  </si>
  <si>
    <t>bienflor@outlook.com</t>
  </si>
  <si>
    <t>Roma Floristas</t>
  </si>
  <si>
    <t>Calle Zaragoza la Vieja, 44, 50007 Zaragoza</t>
  </si>
  <si>
    <t>976 40 05 76</t>
  </si>
  <si>
    <t>Flores Yuca</t>
  </si>
  <si>
    <t>Calle Félix Latassa, 23, 50006 Zaragoza</t>
  </si>
  <si>
    <t>976 35 50 50</t>
  </si>
  <si>
    <t>El Valle</t>
  </si>
  <si>
    <t>Calle Oviedo, 84, 50007 Zaragoza</t>
  </si>
  <si>
    <t>976 38 47 66</t>
  </si>
  <si>
    <t>Polen</t>
  </si>
  <si>
    <t>Av. de la Almozara, 3, 50003 Zaragoza</t>
  </si>
  <si>
    <t>976 28 38 81</t>
  </si>
  <si>
    <t>ELISA FIORI - BOUTIQUE DE FLOR</t>
  </si>
  <si>
    <t>Av. Tenor Fleta, 38, 50007 Zaragoza</t>
  </si>
  <si>
    <t>elisafiorionline.com</t>
  </si>
  <si>
    <t>976 92 06 35</t>
  </si>
  <si>
    <t>Nardos</t>
  </si>
  <si>
    <t>Av. Navarra, 7, 50010 Zaragoza</t>
  </si>
  <si>
    <t>976 31 94 55</t>
  </si>
  <si>
    <t>Nacho Bergara</t>
  </si>
  <si>
    <t>Calle Mefisto, 4, 50001 Zaragoza</t>
  </si>
  <si>
    <t>nachobergara.es</t>
  </si>
  <si>
    <t>976 22 23 13</t>
  </si>
  <si>
    <t>Javier Escorihuela Domínguez</t>
  </si>
  <si>
    <t>Calle del Coso, 110, 50001 Zaragoza</t>
  </si>
  <si>
    <t>976 22 74 71</t>
  </si>
  <si>
    <t>Floristería Tikoplax</t>
  </si>
  <si>
    <t>Calle de San Vicente de Paúl, 20, 50001 Zaragoza</t>
  </si>
  <si>
    <t>diseñosflorartificial.com</t>
  </si>
  <si>
    <t>976 29 15 51</t>
  </si>
  <si>
    <t>RAIZES Artesanía Floral</t>
  </si>
  <si>
    <t>Av. de Juan Pablo II, 10, 50009 Zaragoza</t>
  </si>
  <si>
    <t>976 75 63 16</t>
  </si>
  <si>
    <t>La Mandragora</t>
  </si>
  <si>
    <t>Avda, Calle Gertrudis Gómez de Avellaneda, 29, 50018 Zaragoza</t>
  </si>
  <si>
    <t>floreslamandragora.es</t>
  </si>
  <si>
    <t>976 73 18 70</t>
  </si>
  <si>
    <t>pedidos@lamandragora.com</t>
  </si>
  <si>
    <t>María Ángeles Grimal Martínez</t>
  </si>
  <si>
    <t>Calle Pedro López de Luna, 39, 50009 Zaragoza</t>
  </si>
  <si>
    <t>976 55 88 30</t>
  </si>
  <si>
    <t>Flores Ohana</t>
  </si>
  <si>
    <t>Calle Princesa, 4, 50005 Zaragoza</t>
  </si>
  <si>
    <t>floresohana.com</t>
  </si>
  <si>
    <t>976 95 97 50</t>
  </si>
  <si>
    <t>info@floresohana.com</t>
  </si>
  <si>
    <t>Ana Cristina Ferrando Domínguez</t>
  </si>
  <si>
    <t>Av Gertrudis, Calle Gertrudis Gómez de Avellaneda, 57, 50015 Zaragoza</t>
  </si>
  <si>
    <t>Rocio Ruiz S.L.</t>
  </si>
  <si>
    <t>Calle Canfranc, Nº8, 50004 Zaragoza</t>
  </si>
  <si>
    <t>rocioruiz.es</t>
  </si>
  <si>
    <t>976 21 35 17</t>
  </si>
  <si>
    <t>info@rocioruiz.es</t>
  </si>
  <si>
    <t>Centro de Jardinería y Floristería Laraflor - Viveros Valdespartera</t>
  </si>
  <si>
    <t>Vía Ibérica, 107, 50019 Zaragoza</t>
  </si>
  <si>
    <t>laraflor.es</t>
  </si>
  <si>
    <t>976 30 82 36</t>
  </si>
  <si>
    <t>ayuda@laraflor.com</t>
  </si>
  <si>
    <t>Oleaginosas Aragón S L</t>
  </si>
  <si>
    <t>Calle Pedro IV, 6, 50009 Zaragoza</t>
  </si>
  <si>
    <t>976 56 22 26</t>
  </si>
  <si>
    <t>Calle Gabasa Garralaga, Tomas, 8, 50009 Zaragoza</t>
  </si>
  <si>
    <t>Floristeria Los Enlaces King</t>
  </si>
  <si>
    <t>Calle del Conde de Aranda, 52, 50003 Zaragoza</t>
  </si>
  <si>
    <t>660 17 69 07</t>
  </si>
  <si>
    <t>Flores Estatue</t>
  </si>
  <si>
    <t>50007 Zaragoza</t>
  </si>
  <si>
    <t>Eli Flowers</t>
  </si>
  <si>
    <t>Calle del Coso, 51, 50001 Zaragoza</t>
  </si>
  <si>
    <t>Flores Marisa</t>
  </si>
  <si>
    <t>976 25 44 35</t>
  </si>
  <si>
    <t>Calle Delicias, 61, 50017 Zaragoza</t>
  </si>
  <si>
    <t>976 34 11 58</t>
  </si>
  <si>
    <t>Hogar y Jardín Fores</t>
  </si>
  <si>
    <t>Calle Dionisio Casañal y Zapatero, 17, BAJOS, 50003 Zaragoza</t>
  </si>
  <si>
    <t>hogaryjardinfores.com</t>
  </si>
  <si>
    <t>976 43 21 93</t>
  </si>
  <si>
    <t>hogar-y-jardin@hotmail.com</t>
  </si>
  <si>
    <t>Floristería Capricho Moevic</t>
  </si>
  <si>
    <t>Av. Estudiantes, 36, 50016 Zaragoza</t>
  </si>
  <si>
    <t>caprichomoevic.com</t>
  </si>
  <si>
    <t>601 01 99 87</t>
  </si>
  <si>
    <t>info@caprichomoevic.com</t>
  </si>
  <si>
    <t>Reciclaje Aragonés de Aparatos Eléctricos y Electrónicos S.L.</t>
  </si>
  <si>
    <t>C. Tomás A. Edison, 22, 50014 Zaragoza</t>
  </si>
  <si>
    <t>976 47 92 94</t>
  </si>
  <si>
    <t>Amaranto Floristería</t>
  </si>
  <si>
    <t>Calle de Mariano Pano y Ruata, 3, 50015 Zaragoza</t>
  </si>
  <si>
    <t>Abanto</t>
  </si>
  <si>
    <t>976 52 44 67</t>
  </si>
  <si>
    <t>Flores Santolalla</t>
  </si>
  <si>
    <t>Calle 10 Mamblas, 50001 Zaragoza</t>
  </si>
  <si>
    <t>976 57 22 50</t>
  </si>
  <si>
    <t>Oana Flores Y Complementos</t>
  </si>
  <si>
    <t>50002 Zaragoza</t>
  </si>
  <si>
    <t>Galería Calvo I Mayayo</t>
  </si>
  <si>
    <t>Calle Cadena, 28, 50001 Zaragoza</t>
  </si>
  <si>
    <t>calvoimayayo.com</t>
  </si>
  <si>
    <t>976 39 56 21</t>
  </si>
  <si>
    <t>info@calvoimayayo.com</t>
  </si>
  <si>
    <t>Café Botánico</t>
  </si>
  <si>
    <t>Calle Santiago, 5, 50003 Zaragoza</t>
  </si>
  <si>
    <t>976 29 60 48</t>
  </si>
  <si>
    <t>REGALOS IZQUIERDO-TELLO</t>
  </si>
  <si>
    <t>Calle Alicante, 22, 50007 Zaragoza</t>
  </si>
  <si>
    <t>regalosizquierdotello.blogspot.com</t>
  </si>
  <si>
    <t>976 27 35 44</t>
  </si>
  <si>
    <t>regalosizquierdotello@gmail.com</t>
  </si>
  <si>
    <t>Flores Gálvez</t>
  </si>
  <si>
    <t>Calle Catorce Septiembre, 19, 50720 Cartuja Baja, Zaragoza</t>
  </si>
  <si>
    <t>Cartuja Baja</t>
  </si>
  <si>
    <t>976 50 12 25</t>
  </si>
  <si>
    <t>Av. San José, 124, 50120 Monzalbarba, Zaragoza</t>
  </si>
  <si>
    <t>Monzalbarba</t>
  </si>
  <si>
    <t>976 59 99 38</t>
  </si>
  <si>
    <t>Bensiflor</t>
  </si>
  <si>
    <t>Calle Molino, 1, 50180 Utebo, Zaragoza</t>
  </si>
  <si>
    <t>Utebo</t>
  </si>
  <si>
    <t>976 78 42 49</t>
  </si>
  <si>
    <t>Flores El Desván de Ana</t>
  </si>
  <si>
    <t>Calle Ramón y Cajal, 30, 50410 Cuarte de Huerva, Zaragoza</t>
  </si>
  <si>
    <t>Cuarte de Huerva</t>
  </si>
  <si>
    <t>floreseldesvandeana.palbin.com</t>
  </si>
  <si>
    <t>678 29 78 39</t>
  </si>
  <si>
    <t>2013-08-31-163623-1381773025@x512.jpg</t>
  </si>
  <si>
    <t>FLORES MARIAN</t>
  </si>
  <si>
    <t>Calle del Palacio, 7, 50620 Zaragoza</t>
  </si>
  <si>
    <t>609 47 09 16</t>
  </si>
  <si>
    <t>Floristería ZARAFLOR</t>
  </si>
  <si>
    <t>Av. Logroño, 36, 50620 Zaragoza</t>
  </si>
  <si>
    <t>zaraflor.com</t>
  </si>
  <si>
    <t>976 77 42 98</t>
  </si>
  <si>
    <t>info@zaraflor.com</t>
  </si>
  <si>
    <t>nº1, Calle Límite, 50620, Zaragoza</t>
  </si>
  <si>
    <t>976 78 67 05</t>
  </si>
  <si>
    <t>Tikoplax</t>
  </si>
  <si>
    <t>Calle San Vicente de Paul, 1, 50620 Zaragoza</t>
  </si>
  <si>
    <t>976 29 11 55</t>
  </si>
  <si>
    <t>Pilar Alonso Cebollada</t>
  </si>
  <si>
    <t>Calle Ntra. Sra. del Carmen, 5, 50620 Zaragoza</t>
  </si>
  <si>
    <t>976 22 00 76</t>
  </si>
  <si>
    <t>Centro Comercial Plaza Imperial, Av. Diagonal Plaza, 8, 50197 Zaragoza</t>
  </si>
  <si>
    <t>976 01 13 30</t>
  </si>
  <si>
    <t>Flores la Palma</t>
  </si>
  <si>
    <t>Callizo Escalericas, 4, 50630 Alagón, Zaragoza</t>
  </si>
  <si>
    <t>Alagón</t>
  </si>
  <si>
    <t>floreslapalma.es</t>
  </si>
  <si>
    <t>976 61 23 69</t>
  </si>
  <si>
    <t>info@floreslapalma.es</t>
  </si>
  <si>
    <t>OLGA GONZALEZ Floristería</t>
  </si>
  <si>
    <t>Av. de Zaragoza, 3, 50630 Alagón, Zaragoza</t>
  </si>
  <si>
    <t>olgagonzalezfloristeria.es</t>
  </si>
  <si>
    <t>976 61 07 40</t>
  </si>
  <si>
    <t>elcorreoquequieres@correo.com</t>
  </si>
  <si>
    <t>Floristería Ikebana</t>
  </si>
  <si>
    <t>Calle Sol, 7, 50690 Pedrola, Zaragoza</t>
  </si>
  <si>
    <t>Pedrola</t>
  </si>
  <si>
    <t>976 61 51 42</t>
  </si>
  <si>
    <t>Floristería Riberflor</t>
  </si>
  <si>
    <t>Calle Zaragoza, 63, 50660 Tauste, Zaragoza</t>
  </si>
  <si>
    <t>Tauste</t>
  </si>
  <si>
    <t>695 47 99 05</t>
  </si>
  <si>
    <t>Gradyflor</t>
  </si>
  <si>
    <t>Ctra de Valencia n118 km 5&amp;apos;5, 50410 Cuarte de Huerva, Zaragoza</t>
  </si>
  <si>
    <t>gradyflor.com</t>
  </si>
  <si>
    <t>976 50 25 25</t>
  </si>
  <si>
    <t>Flores Mary Carmen</t>
  </si>
  <si>
    <t>Calle de Garay, 2, 50100 La Almunia de Doña Godina, Zaragoza</t>
  </si>
  <si>
    <t>floresmarycarmen.com</t>
  </si>
  <si>
    <t>976 60 09 58</t>
  </si>
  <si>
    <t>info@floresmarycarmen.com</t>
  </si>
  <si>
    <t>Floristería Tere</t>
  </si>
  <si>
    <t>Calle Reinanta, 1, 50400 Cariñena, Zaragoza</t>
  </si>
  <si>
    <t>Cariñena</t>
  </si>
  <si>
    <t>976 62 02 32</t>
  </si>
  <si>
    <t>Calle Mayor, n°39, 50400 Cariñena, Zaragoza</t>
  </si>
  <si>
    <t>floristeriacarmen.negocio.site</t>
  </si>
  <si>
    <t>649 92 76 49</t>
  </si>
  <si>
    <t>Angelines Marín Ortega</t>
  </si>
  <si>
    <t>606 35 44 27</t>
  </si>
  <si>
    <t>Floristería Vivaldi</t>
  </si>
  <si>
    <t>Calle Tudela, 3, 50550 Mallén, Zaragoza</t>
  </si>
  <si>
    <t>Mallén</t>
  </si>
  <si>
    <t>976 85 03 18</t>
  </si>
  <si>
    <t>Telefono Movil.646309647, Calle Dr. Fleming, 8, LOCAL 1, 50600 Ejea de los Caballeros, Zaragoza</t>
  </si>
  <si>
    <t>Ejea de los Caballeros</t>
  </si>
  <si>
    <t>florescarmen.com</t>
  </si>
  <si>
    <t>976 66 08 42</t>
  </si>
  <si>
    <t>Carrera de Zaragoza, 24, 50500 Tarazona, Zaragoza</t>
  </si>
  <si>
    <t>Tarazona</t>
  </si>
  <si>
    <t>608 78 24 11</t>
  </si>
  <si>
    <t>La Floristería de Nora</t>
  </si>
  <si>
    <t>Av. de la Constitución, 111, 33950 Sotrondio, Asturias</t>
  </si>
  <si>
    <t>Sotrondio</t>
  </si>
  <si>
    <t>Asturias</t>
  </si>
  <si>
    <t>lafloristeriadenora.com</t>
  </si>
  <si>
    <t>684 61 61 05</t>
  </si>
  <si>
    <t>La Floristería De Cristina</t>
  </si>
  <si>
    <t>Calle Alonso de Quintanilla, 5, 33002 Oviedo, Asturias</t>
  </si>
  <si>
    <t>Oviedo</t>
  </si>
  <si>
    <t>lafloristeriadecristina.com</t>
  </si>
  <si>
    <t>984 70 20 23</t>
  </si>
  <si>
    <t>anacristinacm64@hotmail.com</t>
  </si>
  <si>
    <t>Floristerías Ana Rodríguez</t>
  </si>
  <si>
    <t>Centro Cívico, Calle Concepción Arenal, 5, 33005 Oviedo, Asturias</t>
  </si>
  <si>
    <t>floristeriasana.es</t>
  </si>
  <si>
    <t>985 23 13 71</t>
  </si>
  <si>
    <t>ana@floristeriasana.es</t>
  </si>
  <si>
    <t>Floristería El jardín Oviedo</t>
  </si>
  <si>
    <t>Cl. Joaquín Costa, 1, 33011 Oviedo, Asturias</t>
  </si>
  <si>
    <t>floresjardin.com</t>
  </si>
  <si>
    <t>985 11 23 28</t>
  </si>
  <si>
    <t>Begoña Flores</t>
  </si>
  <si>
    <t>Lugar Los Arenales, 0 S/N, Tanatorio Oviedo, 33195 Los Arenales, Asturias</t>
  </si>
  <si>
    <t>La Manjoya</t>
  </si>
  <si>
    <t>floresbegona.es</t>
  </si>
  <si>
    <t>985 22 45 63</t>
  </si>
  <si>
    <t>info@floresbegona.es</t>
  </si>
  <si>
    <t>FLORISTERÍA ALBUERNE</t>
  </si>
  <si>
    <t>Calle Miguel Servet, 1, BAJO, 33213 Gijón, Asturias</t>
  </si>
  <si>
    <t>Gijón</t>
  </si>
  <si>
    <t>floristeriaalbuerne.es</t>
  </si>
  <si>
    <t>984 49 16 18</t>
  </si>
  <si>
    <t>Floristería Flores del Norte</t>
  </si>
  <si>
    <t>Calle Tenderina Baja, 70, 33010 Oviedo, Asturias</t>
  </si>
  <si>
    <t>floresdelnorte.com</t>
  </si>
  <si>
    <t>667 74 25 51</t>
  </si>
  <si>
    <t>floresdelnorteoviedo@gmail.com</t>
  </si>
  <si>
    <t>Carmen Baizan Floristas</t>
  </si>
  <si>
    <t>C/ Darío de Regoyos, 11, 33010 Oviedo, Asturias</t>
  </si>
  <si>
    <t>ramosfloresoviedo.com</t>
  </si>
  <si>
    <t>985 11 06 79</t>
  </si>
  <si>
    <t>Flores Casa Múgica</t>
  </si>
  <si>
    <t>Calle San Antonio, 20, 33201 Gijón, Asturias</t>
  </si>
  <si>
    <t>985 34 34 35</t>
  </si>
  <si>
    <t>Floristería La flor de Cervantes</t>
  </si>
  <si>
    <t>Calle Cervantes, 14, 33004 Oviedo, Asturias</t>
  </si>
  <si>
    <t>984 28 33 51</t>
  </si>
  <si>
    <t>Floristería Trébole</t>
  </si>
  <si>
    <t>Calle Río Cares, 21, 33980 Pola de Laviana, Asturias</t>
  </si>
  <si>
    <t>Pola de Laviana</t>
  </si>
  <si>
    <t>floristeriatrebole.com</t>
  </si>
  <si>
    <t>985 60 20 42</t>
  </si>
  <si>
    <t>info@floristeriatrebole.com</t>
  </si>
  <si>
    <t>Floristería Inés</t>
  </si>
  <si>
    <t>Calle Nicanor Piñole, 2, 33540 Arriondas, Asturias</t>
  </si>
  <si>
    <t>Arriondas</t>
  </si>
  <si>
    <t>985 84 12 32</t>
  </si>
  <si>
    <t>Flores la Plaza</t>
  </si>
  <si>
    <t>Calle Mayor, 25, 33800 Cangas del Narcea, Asturias</t>
  </si>
  <si>
    <t>Cangas del Narcea</t>
  </si>
  <si>
    <t>floreslaplaza.negocio.site</t>
  </si>
  <si>
    <t>985 81 15 11</t>
  </si>
  <si>
    <t>Floristeria Ca&amp;apos;flor</t>
  </si>
  <si>
    <t>Calle Oscura, 33009 Oviedo, Asturias</t>
  </si>
  <si>
    <t>985 22 31 49</t>
  </si>
  <si>
    <t>Flores Sara</t>
  </si>
  <si>
    <t>Calle Arco de los Zapatos, PUESTO 1, 33009 LAS FLORES, Asturias</t>
  </si>
  <si>
    <t>607 68 37 61</t>
  </si>
  <si>
    <t>Flores Lupe</t>
  </si>
  <si>
    <t>Calle Uría, 25, 33202 Gijón, Asturias</t>
  </si>
  <si>
    <t>floreslupegijon.com</t>
  </si>
  <si>
    <t>985 33 58 90</t>
  </si>
  <si>
    <t>floreslupe@telecable.es</t>
  </si>
  <si>
    <t>ALESANDRA DE DEUS FLORISTERIA EN GIJON</t>
  </si>
  <si>
    <t>Calle Severo Ochoa, 25, 33208 Gijón, Asturias</t>
  </si>
  <si>
    <t>tufloristeriaengijon.com</t>
  </si>
  <si>
    <t>985 16 33 76</t>
  </si>
  <si>
    <t>info@tufloristeriaengijon.com</t>
  </si>
  <si>
    <t>Floristería Lisy</t>
  </si>
  <si>
    <t>Calle Fernando Casariego, 19, 33930 Langreo, Asturias</t>
  </si>
  <si>
    <t>Langreo</t>
  </si>
  <si>
    <t>floreslisy.es</t>
  </si>
  <si>
    <t>985 68 30 66</t>
  </si>
  <si>
    <t>info@floreslisy.es</t>
  </si>
  <si>
    <t>Floristería del Tanatorio de Mieres (Floristería Aramo S. L.)</t>
  </si>
  <si>
    <t>Lugar Tanatorio de Mieres s/n, 33616 Murias, Asturias</t>
  </si>
  <si>
    <t>Murias</t>
  </si>
  <si>
    <t>floristeriadeltanatoriodemieres.com</t>
  </si>
  <si>
    <t>985 45 37 62</t>
  </si>
  <si>
    <t>floristeria@aramo.org</t>
  </si>
  <si>
    <t>Bouquet Flores y Plantas</t>
  </si>
  <si>
    <t>Calle Vázquez de Mella, 35, 33012 Oviedo, Asturias</t>
  </si>
  <si>
    <t>floristeriasoviedo.com</t>
  </si>
  <si>
    <t>985 27 63 42</t>
  </si>
  <si>
    <t>Ambar Floristería</t>
  </si>
  <si>
    <t>Calle Río Nalón, 2, 33010 Oviedo, Asturias</t>
  </si>
  <si>
    <t>985 21 42 51</t>
  </si>
  <si>
    <t>Floristería San Carlos</t>
  </si>
  <si>
    <t>Av. de Oviedo, 47, 33420 Lugones, Asturias</t>
  </si>
  <si>
    <t>Lugones</t>
  </si>
  <si>
    <t>floristeriasancarlos.com</t>
  </si>
  <si>
    <t>985 26 37 89</t>
  </si>
  <si>
    <t>info@floristeriasancarlos.com</t>
  </si>
  <si>
    <t>Flores Geny</t>
  </si>
  <si>
    <t>Plaza Longoria Carbajal, 4, BAJO;LOCAL 5, 33002 Oviedo, Asturias</t>
  </si>
  <si>
    <t>floresgeny.es</t>
  </si>
  <si>
    <t>985 21 56 18</t>
  </si>
  <si>
    <t>floresgeny@floresgeny.es</t>
  </si>
  <si>
    <t>Las Flores de Montse</t>
  </si>
  <si>
    <t>Carr. del Obispo, 57, 33210 Gijón, Asturias</t>
  </si>
  <si>
    <t>lasfloresdemontse.com</t>
  </si>
  <si>
    <t>607 79 66 22</t>
  </si>
  <si>
    <t>Floristería Arco Iris Oviedo</t>
  </si>
  <si>
    <t>Calle Foncalada, 24, 33002 Oviedo, Asturias</t>
  </si>
  <si>
    <t>floristeriasarcoiris.com</t>
  </si>
  <si>
    <t>606 01 16 06</t>
  </si>
  <si>
    <t>Flores Beatriz</t>
  </si>
  <si>
    <t>Calle Gascona, 2, 33001 Oviedo, Asturias</t>
  </si>
  <si>
    <t>floresbeatriz.com</t>
  </si>
  <si>
    <t>985 22 81 39</t>
  </si>
  <si>
    <t>beafloroviedo@hotmail.com</t>
  </si>
  <si>
    <t>Naranco, Flores y Plantas - Tu floristería en Oviedo</t>
  </si>
  <si>
    <t>Calle Augusto Junquera, 2, 33012 Oviedo, Asturias</t>
  </si>
  <si>
    <t>984 08 81 08</t>
  </si>
  <si>
    <t>FLORISTERIA MARIA JESUS</t>
  </si>
  <si>
    <t>San Esteban de las Cruces. Los Arenales S/N, 33195 Oviedo, Asturias</t>
  </si>
  <si>
    <t>985 22 22 85</t>
  </si>
  <si>
    <t>Flores y plantas El Acebo</t>
  </si>
  <si>
    <t>Calle Llaranes, Nº4, Bajo, 33207 Gijón, Asturias</t>
  </si>
  <si>
    <t>691 54 38 77</t>
  </si>
  <si>
    <t>Floristería Provence</t>
  </si>
  <si>
    <t>Calle del Gral. Elorza, 57, 33002 Oviedo, Asturias</t>
  </si>
  <si>
    <t>985 21 85 11</t>
  </si>
  <si>
    <t>Flores Manuela</t>
  </si>
  <si>
    <t>Av. Hm Felgueroso, 51, BAJO DCHA, 33205 Gijón, Asturias</t>
  </si>
  <si>
    <t>floristeriamanuela.com</t>
  </si>
  <si>
    <t>985 15 44 00</t>
  </si>
  <si>
    <t>Floristería Flory Fauna</t>
  </si>
  <si>
    <t>Calle el Parque, 2, 33550 Cangas de Onís, Asturias</t>
  </si>
  <si>
    <t>Cangas de Onís</t>
  </si>
  <si>
    <t>floristeriafloryfauna.com</t>
  </si>
  <si>
    <t>690 68 18 51</t>
  </si>
  <si>
    <t>info@floristeriafloryfauna.com</t>
  </si>
  <si>
    <t>Floristería Volvoreta Arte Floral</t>
  </si>
  <si>
    <t>Calle Velázquez, 32, 33211 Gijón, Asturias</t>
  </si>
  <si>
    <t>floristeriavolvoreta.com</t>
  </si>
  <si>
    <t>985 87 44 21</t>
  </si>
  <si>
    <t>volvoretafloristeria@gmail.com</t>
  </si>
  <si>
    <t>Bardana, flores y plantas</t>
  </si>
  <si>
    <t>Calle Ezcurdia, 77, 33203 Gijón, Asturias</t>
  </si>
  <si>
    <t>653 67 01 12</t>
  </si>
  <si>
    <t>Flores La Camelia</t>
  </si>
  <si>
    <t>985 23 64 23</t>
  </si>
  <si>
    <t>Floristeria Generalife</t>
  </si>
  <si>
    <t>Calle Pintor Manuel Medina, 2, 33210 Gijón, Asturias</t>
  </si>
  <si>
    <t>floristeriageneralife.com</t>
  </si>
  <si>
    <t>984 04 63 78</t>
  </si>
  <si>
    <t>Flores Berta</t>
  </si>
  <si>
    <t>Cl. Luis Suárez Ximielga, 11, 33010 Oviedo, Asturias</t>
  </si>
  <si>
    <t>floresberta.com</t>
  </si>
  <si>
    <t>985 79 40 90</t>
  </si>
  <si>
    <t>Floristeria Flores el Jardin - Cangas de Onis</t>
  </si>
  <si>
    <t>Plaza Camila Beceña, 7, 33550 Cangas de Onís, Asturias</t>
  </si>
  <si>
    <t>floreseljardin.net</t>
  </si>
  <si>
    <t>985 84 88 35</t>
  </si>
  <si>
    <t>floreseljardin@hotmail.es</t>
  </si>
  <si>
    <t>Floristería El Florero. Especialista en arte floral funerario</t>
  </si>
  <si>
    <t>Av. Schulz, 107, 33208 Gijón, Asturias</t>
  </si>
  <si>
    <t>elflorero.net</t>
  </si>
  <si>
    <t>985 14 14 15</t>
  </si>
  <si>
    <t>info@elflorero.es</t>
  </si>
  <si>
    <t>Floristería Stais</t>
  </si>
  <si>
    <t>Av. de los Emigrantes, 14, 33710 Navia, Asturias</t>
  </si>
  <si>
    <t>Navia</t>
  </si>
  <si>
    <t>985 47 37 51</t>
  </si>
  <si>
    <t>Flores Ikebana</t>
  </si>
  <si>
    <t>Calle Valdés Pumarino, 21, Bajo, 33430 Candás, Asturias</t>
  </si>
  <si>
    <t>Candás</t>
  </si>
  <si>
    <t>ikebanaflor.com</t>
  </si>
  <si>
    <t>985 88 50 30</t>
  </si>
  <si>
    <t>ikebanaflor@yahoo.es</t>
  </si>
  <si>
    <t>Flores Mayte</t>
  </si>
  <si>
    <t>Calle Aller, 17, BAJO-DCHA, 33600 Mieres, Asturias</t>
  </si>
  <si>
    <t>Mieres</t>
  </si>
  <si>
    <t>floresmayte.com</t>
  </si>
  <si>
    <t>985 46 03 47</t>
  </si>
  <si>
    <t>Alisma Floristas</t>
  </si>
  <si>
    <t>Calle Fernando Morán, 16, 33401 Avilés, Asturias</t>
  </si>
  <si>
    <t>Avilés</t>
  </si>
  <si>
    <t>floresalisma.es</t>
  </si>
  <si>
    <t>985 52 01 80</t>
  </si>
  <si>
    <t>info@floresalisma.es</t>
  </si>
  <si>
    <t>Pando Floristas</t>
  </si>
  <si>
    <t>Av. Pando, 1, 33690 Lugo de Llanera, Asturias</t>
  </si>
  <si>
    <t>Lugo de Llanera</t>
  </si>
  <si>
    <t>pandofloristas.es</t>
  </si>
  <si>
    <t>985 77 02 99</t>
  </si>
  <si>
    <t>pandofloristas@pandofloristas.es</t>
  </si>
  <si>
    <t>Entre Manzanos - Tu floristería en Mieres</t>
  </si>
  <si>
    <t>Calle Alfonso Camín, 27, 33600 Mieres, Asturias</t>
  </si>
  <si>
    <t>floristeriaentremanzanosmieres.com</t>
  </si>
  <si>
    <t>985 46 69 90</t>
  </si>
  <si>
    <t>Flores Ludimar</t>
  </si>
  <si>
    <t>Calle Suárez Inclán, 10, 33100 Trubia, Asturias</t>
  </si>
  <si>
    <t>Trubia</t>
  </si>
  <si>
    <t>985 78 61 09</t>
  </si>
  <si>
    <t>Rosa Rosam Floristería</t>
  </si>
  <si>
    <t>Calle José Cueto, 48, 33401 Avilés, Asturias</t>
  </si>
  <si>
    <t>rosarosam.es</t>
  </si>
  <si>
    <t>984 83 57 94</t>
  </si>
  <si>
    <t>FLORISTERIA@ROSAROSAM.ES</t>
  </si>
  <si>
    <t>Flores Ana</t>
  </si>
  <si>
    <t>Calle Fitoria, 52 - Bajo, 33011 Oviedo, Asturias</t>
  </si>
  <si>
    <t>floresana.es</t>
  </si>
  <si>
    <t>985 25 10 34</t>
  </si>
  <si>
    <t>Mandaflor - La Botella De Nur</t>
  </si>
  <si>
    <t>Calle Padre Aller, 1, 33012 Oviedo, Asturias</t>
  </si>
  <si>
    <t>labotelladenur.es</t>
  </si>
  <si>
    <t>625 34 80 95</t>
  </si>
  <si>
    <t>Entreflores Floristería</t>
  </si>
  <si>
    <t>Calle Cai del Mar, 1, 33420 Lugones, Asturias</t>
  </si>
  <si>
    <t>985 26 75 77</t>
  </si>
  <si>
    <t>Principado de Asturias</t>
  </si>
  <si>
    <t>Calle Jovellanos, 7, 33402 Avilés, Asturias</t>
  </si>
  <si>
    <t>985 54 11 18</t>
  </si>
  <si>
    <t>Floristas Joycar</t>
  </si>
  <si>
    <t>Av. de Oviedo, 71, 33420 Lugones/Siero, Asturias</t>
  </si>
  <si>
    <t>985 26 28 09</t>
  </si>
  <si>
    <t>Floristería Arco Iris Mieres</t>
  </si>
  <si>
    <t>Calle Doce de Octubre, 13, 33600 Mieres, Asturias</t>
  </si>
  <si>
    <t>Floristeria La Plaza</t>
  </si>
  <si>
    <t>Allande</t>
  </si>
  <si>
    <t>floreslaplaza.es</t>
  </si>
  <si>
    <t>985 46 43 41</t>
  </si>
  <si>
    <t>Floristería Marna</t>
  </si>
  <si>
    <t>Av. de Oviedo, 20, 33186 El Berrón, Asturias</t>
  </si>
  <si>
    <t>El Berrón</t>
  </si>
  <si>
    <t>marna.negocio.site</t>
  </si>
  <si>
    <t>985 74 35 15</t>
  </si>
  <si>
    <t>Flores Mariví</t>
  </si>
  <si>
    <t>Calle Ramón y Cajal, 5, 33440 Luanco, Asturias</t>
  </si>
  <si>
    <t>Luanco</t>
  </si>
  <si>
    <t>985 88 10 24</t>
  </si>
  <si>
    <t>Floristería Tais</t>
  </si>
  <si>
    <t>Plaza Pachorros, 2, 33700 Luarca, Asturias</t>
  </si>
  <si>
    <t>Luarca</t>
  </si>
  <si>
    <t>985 64 10 53</t>
  </si>
  <si>
    <t>Flores y Plantas Mary</t>
  </si>
  <si>
    <t>Calle Mariano Luiña, 6, 8, 33710 Navia, Asturias</t>
  </si>
  <si>
    <t>floresyplantasmary.com</t>
  </si>
  <si>
    <t>985 47 41 61</t>
  </si>
  <si>
    <t>Floristería Noki Floristas</t>
  </si>
  <si>
    <t>Calle de Chile, 4, 33212 Gijón, Asturias</t>
  </si>
  <si>
    <t>nokifloristas.com</t>
  </si>
  <si>
    <t>985 31 27 01</t>
  </si>
  <si>
    <t>nokifloristas@gmail.com</t>
  </si>
  <si>
    <t>Montserrat López Presa</t>
  </si>
  <si>
    <t>Calle Picu Urriellu, 1, 33186 El Berrón, Asturias</t>
  </si>
  <si>
    <t>985 74 08 34</t>
  </si>
  <si>
    <t>Floristería Arco Iris Sama</t>
  </si>
  <si>
    <t>Calle Constitución, 54, 33900 Langreo, Asturias</t>
  </si>
  <si>
    <t>Asturflora Floristas</t>
  </si>
  <si>
    <t>Plaza Barqueras, 2, 33500 Llanes, Asturias</t>
  </si>
  <si>
    <t>Llanes</t>
  </si>
  <si>
    <t>666 74 49 07</t>
  </si>
  <si>
    <t>Flores Auro</t>
  </si>
  <si>
    <t>Calle de San Lázaro, 9, 33008 Oviedo, Asturias</t>
  </si>
  <si>
    <t>985 21 89 58</t>
  </si>
  <si>
    <t>floristeria aromas en flor</t>
  </si>
  <si>
    <t>Calle Asturias, 18, 33004 Oviedo, Asturias</t>
  </si>
  <si>
    <t>639 91 24 37</t>
  </si>
  <si>
    <t>Calle Ramón y Cajal, 7, 33402 Avilés, Asturias</t>
  </si>
  <si>
    <t>619 30 07 99</t>
  </si>
  <si>
    <t>Floristería Yedra</t>
  </si>
  <si>
    <t>Av. de Bernardo Alfageme, nº 1, bajo, 33430 Candás, Asturias</t>
  </si>
  <si>
    <t>yedrafloristas.es</t>
  </si>
  <si>
    <t>985 87 03 53</t>
  </si>
  <si>
    <t>Calle Alejandro Casona, 26, 33013 Oviedo, Asturias</t>
  </si>
  <si>
    <t>floresmayoviedo.com</t>
  </si>
  <si>
    <t>985 25 83 61</t>
  </si>
  <si>
    <t>Calle Martínez Agosti, 33530 Infiesto, Asturias</t>
  </si>
  <si>
    <t>Infiesto</t>
  </si>
  <si>
    <t>626 05 03 64</t>
  </si>
  <si>
    <t>Floristería Ana Delia</t>
  </si>
  <si>
    <t>Calle Julio César Estrada, 1, 33820 Grado, Asturias</t>
  </si>
  <si>
    <t>985 75 21 10</t>
  </si>
  <si>
    <t>Flores La Orquídea</t>
  </si>
  <si>
    <t>Calle Casimiro Velasco, 18, bajo, 33201 Gijón, Asturias</t>
  </si>
  <si>
    <t>985 34 13 66</t>
  </si>
  <si>
    <t>Flores Manuela Cabal</t>
  </si>
  <si>
    <t>Calle Obdulia Álvarez la Busdonga, 0 S/N, 33011 Oviedo, Asturias</t>
  </si>
  <si>
    <t>985 11 67 06</t>
  </si>
  <si>
    <t>Leymar Floristas</t>
  </si>
  <si>
    <t>Calle Cuba, 5, 33401 Avilés, Asturias</t>
  </si>
  <si>
    <t>leymar-floristas.negocio.site</t>
  </si>
  <si>
    <t>985 56 17 90</t>
  </si>
  <si>
    <t>Campos Floristas</t>
  </si>
  <si>
    <t>985 27 47 36</t>
  </si>
  <si>
    <t>Floristería Florabella</t>
  </si>
  <si>
    <t>Calle la herrería n°1 Bajo, 33820 Grado, Asturias</t>
  </si>
  <si>
    <t>984 04 32 21</t>
  </si>
  <si>
    <t>Floristería Barber</t>
  </si>
  <si>
    <t>Av. de Gaspar García Laviana, 48, 33210 Gijón, Asturias</t>
  </si>
  <si>
    <t>985 14 14 10</t>
  </si>
  <si>
    <t>Floristería La Salud</t>
  </si>
  <si>
    <t>Calle de la Libertad, 72, 33980 Pola de Laviana, Asturias</t>
  </si>
  <si>
    <t>floristeria-lasalud.com</t>
  </si>
  <si>
    <t>985 60 22 29</t>
  </si>
  <si>
    <t>La Floristería de Laura</t>
  </si>
  <si>
    <t>Paseo Fray Ramón, 19, bajo, 33180 Noreña, Asturias</t>
  </si>
  <si>
    <t>Noreña</t>
  </si>
  <si>
    <t>620 09 73 42</t>
  </si>
  <si>
    <t>Flores Iglesias</t>
  </si>
  <si>
    <t>Calle Paz, 15, 33402 Avilés, Asturias</t>
  </si>
  <si>
    <t>floristeriaaviles.com</t>
  </si>
  <si>
    <t>985 54 49 39</t>
  </si>
  <si>
    <t>Floristería Xana</t>
  </si>
  <si>
    <t>Calle Marqués de Villaviciosa, 13, 33300 Villaviciosa, Asturias</t>
  </si>
  <si>
    <t>Villaviciosa</t>
  </si>
  <si>
    <t>floristeriaxana.com</t>
  </si>
  <si>
    <t>985 89 17 01</t>
  </si>
  <si>
    <t>floresxana@hotmail.es</t>
  </si>
  <si>
    <t>Floristería Begoña</t>
  </si>
  <si>
    <t>Calle de Vital Aza, 8, 33630 Pola de Lena, Asturias</t>
  </si>
  <si>
    <t>Pola de Lena</t>
  </si>
  <si>
    <t>605 06 06 85</t>
  </si>
  <si>
    <t>Floristería Nardos</t>
  </si>
  <si>
    <t>Av. Asturias, 31, 33770 Vegadeo, Asturias</t>
  </si>
  <si>
    <t>Vegadeo</t>
  </si>
  <si>
    <t>985 63 40 68</t>
  </si>
  <si>
    <t>Calle de Asturias, 2, 33820 Grado, Asturias</t>
  </si>
  <si>
    <t>985 75 06 50</t>
  </si>
  <si>
    <t>Miranda Floristeria</t>
  </si>
  <si>
    <t>Calle Inmobiliaria Setsa, nº5, 33930 Langreo, Asturias</t>
  </si>
  <si>
    <t>984 19 90 41</t>
  </si>
  <si>
    <t>Flores Barber</t>
  </si>
  <si>
    <t>Calle Vicente Innerarity, 2, 33204 Gijón, Asturias</t>
  </si>
  <si>
    <t>985 13 50 67</t>
  </si>
  <si>
    <t>Arco Iris</t>
  </si>
  <si>
    <t>Calle Langreo, 6, 33206 Gijón, Asturias</t>
  </si>
  <si>
    <t>984 29 82 75</t>
  </si>
  <si>
    <t>Bohemia Flores y Plantas</t>
  </si>
  <si>
    <t>Av. de Colon, 21, 33013 Oviedo, Asturias</t>
  </si>
  <si>
    <t>985 27 11 23</t>
  </si>
  <si>
    <t>Flores Laura</t>
  </si>
  <si>
    <t>Cl. Luis Suárez Ximielga, 7, 33010 Colloto, Asturias</t>
  </si>
  <si>
    <t>Colloto</t>
  </si>
  <si>
    <t>985 79 46 05</t>
  </si>
  <si>
    <t>Arteflor</t>
  </si>
  <si>
    <t>Calle Vital Aza, 4, 33120 Pravia, Asturias</t>
  </si>
  <si>
    <t>Pravia</t>
  </si>
  <si>
    <t>floristeriarteflor.es</t>
  </si>
  <si>
    <t>985 82 17 36</t>
  </si>
  <si>
    <t>Santi Floristas</t>
  </si>
  <si>
    <t>Calle de Vicente Regueral, 14, 33630 Pola de Lena, Asturias</t>
  </si>
  <si>
    <t>627 96 12 75</t>
  </si>
  <si>
    <t>Floristería Lys</t>
  </si>
  <si>
    <t>Calle José Bernardo, 1, 33900 Langreo, Asturias</t>
  </si>
  <si>
    <t>985 68 18 13</t>
  </si>
  <si>
    <t>Floristería Arco Iris La Felguera</t>
  </si>
  <si>
    <t>Calle Nte., 22, 33930 Langreo, Asturias</t>
  </si>
  <si>
    <t>Floristería Pili</t>
  </si>
  <si>
    <t>Calle Marqués de San Feliz, 13, 33630 Pola de Lena, Asturias</t>
  </si>
  <si>
    <t>985 49 31 72</t>
  </si>
  <si>
    <t>Flores Guiomar</t>
  </si>
  <si>
    <t>Calle Estación, 11, 33401 Avilés, Asturias</t>
  </si>
  <si>
    <t>985 56 32 60</t>
  </si>
  <si>
    <t>Flores Leymar</t>
  </si>
  <si>
    <t>Calle Rey Pelayo, 1, 33450 Piedras Blancas, Asturias</t>
  </si>
  <si>
    <t>Piedras Blancas</t>
  </si>
  <si>
    <t>floresleymar.es</t>
  </si>
  <si>
    <t>985 53 06 64</t>
  </si>
  <si>
    <t>Floral Gala</t>
  </si>
  <si>
    <t>Calle la Argandona, 36, bajo izq, 33208 Gijón, Asturias</t>
  </si>
  <si>
    <t>floralgala.com</t>
  </si>
  <si>
    <t>984 39 33 61</t>
  </si>
  <si>
    <t>Flores Carla</t>
  </si>
  <si>
    <t>Calle Andalucía, 9, 33208 Gijón, Asturias</t>
  </si>
  <si>
    <t>985 15 44 18</t>
  </si>
  <si>
    <t>Florella</t>
  </si>
  <si>
    <t>Calle Martínez de Vega, 7, 33600 Mieres, Asturias</t>
  </si>
  <si>
    <t>985 45 07 24</t>
  </si>
  <si>
    <t>Floristeria Mini</t>
  </si>
  <si>
    <t>Calle Dos Amigos, 6, 33800 Cangas del Narcea, Asturias</t>
  </si>
  <si>
    <t>floristeriamini.com</t>
  </si>
  <si>
    <t>985 81 05 67</t>
  </si>
  <si>
    <t>info@floristeriamini.com</t>
  </si>
  <si>
    <t>Flores Pris</t>
  </si>
  <si>
    <t>Calle Cándido Fernández Riesgo, 5, Bajo, 33900 Langreo, Asturias</t>
  </si>
  <si>
    <t>645 19 77 17</t>
  </si>
  <si>
    <t>Floristeria Mirame</t>
  </si>
  <si>
    <t>Calle la Colegiata, 7, 33520 Nava, Asturias</t>
  </si>
  <si>
    <t>Nava</t>
  </si>
  <si>
    <t>645 79 82 93</t>
  </si>
  <si>
    <t>Calle Magdalena, 23, 33300 Villaviciosa, Asturias</t>
  </si>
  <si>
    <t>985 89 06 68</t>
  </si>
  <si>
    <t>Floristeria Bellaflor - Floristeria El Entrego</t>
  </si>
  <si>
    <t>Av. del Nalón, 1, 33940 El Entrego, Asturias</t>
  </si>
  <si>
    <t>El Entrego</t>
  </si>
  <si>
    <t>640 28 44 32</t>
  </si>
  <si>
    <t>Flores Jayva</t>
  </si>
  <si>
    <t>C/ La Plaza s/n, 33320 Colunga, Asturias</t>
  </si>
  <si>
    <t>Colunga</t>
  </si>
  <si>
    <t>985 85 66 90</t>
  </si>
  <si>
    <t>Flores Buga C B</t>
  </si>
  <si>
    <t>Plaza Parres Sobrino, 7, 33500 Llanes, Asturias</t>
  </si>
  <si>
    <t>985 40 77 76</t>
  </si>
  <si>
    <t>Materia Botánica</t>
  </si>
  <si>
    <t>Calle Fruela, 4, 33007 Oviedo, Asturias</t>
  </si>
  <si>
    <t>materiabotanica.es</t>
  </si>
  <si>
    <t>637 83 33 76</t>
  </si>
  <si>
    <t>info@materiabotanica.es</t>
  </si>
  <si>
    <t>El Rincon De Montse</t>
  </si>
  <si>
    <t>Av. Fernández Balsera, 48, 33402 Avilés, Asturias</t>
  </si>
  <si>
    <t>639 32 81 61</t>
  </si>
  <si>
    <t>Floristería Marina&amp;apos;s. Flores en Gijón y Asturias.</t>
  </si>
  <si>
    <t>Calle Cabrales, 96D, 33201 Gijón, Asturias</t>
  </si>
  <si>
    <t>marinaflores.com</t>
  </si>
  <si>
    <t>984 08 79 67</t>
  </si>
  <si>
    <t>info@marinaflores.com</t>
  </si>
  <si>
    <t>Trisquel</t>
  </si>
  <si>
    <t>Av. Prudencio González, 5, 33424 Posada, Asturias</t>
  </si>
  <si>
    <t>Posada</t>
  </si>
  <si>
    <t>985 77 14 99</t>
  </si>
  <si>
    <t>Floristeria Raices</t>
  </si>
  <si>
    <t>Calle Ana María, 19, 33209 Gijón, Asturias</t>
  </si>
  <si>
    <t>985 15 35 91</t>
  </si>
  <si>
    <t>Marigel</t>
  </si>
  <si>
    <t>Calle Gutiérrez de la Gándara, 4, 33500 Llanes, Asturias</t>
  </si>
  <si>
    <t>985 40 24 80</t>
  </si>
  <si>
    <t>Creaciones Josefi SL</t>
  </si>
  <si>
    <t>Av. San Agustín, 16, 33401 Avilés, Asturias</t>
  </si>
  <si>
    <t>985 52 02 37</t>
  </si>
  <si>
    <t>Osyris</t>
  </si>
  <si>
    <t>Calle Tenderina Baja, 115, 33010 Oviedo, Asturias</t>
  </si>
  <si>
    <t>985 20 53 90</t>
  </si>
  <si>
    <t>Flores Fefi</t>
  </si>
  <si>
    <t>Calle Marqueses de Argüelles, 5, 33560 Ribadesella, Asturias</t>
  </si>
  <si>
    <t>Ribadesella</t>
  </si>
  <si>
    <t>985 86 02 66</t>
  </si>
  <si>
    <t>4 Frebes</t>
  </si>
  <si>
    <t>Plaza Riego, 2, 33003 Oviedo, Asturias</t>
  </si>
  <si>
    <t>4frebes.com</t>
  </si>
  <si>
    <t>985 21 56 68</t>
  </si>
  <si>
    <t>Marina&amp;apos;s Floristeria</t>
  </si>
  <si>
    <t>Av. Argentina, 33213 Gijón, Asturias</t>
  </si>
  <si>
    <t>El atelier de las flores</t>
  </si>
  <si>
    <t>Av. de Oviedo, 71, 33420 Lugones, Asturias</t>
  </si>
  <si>
    <t>elatelierdelasflores.com</t>
  </si>
  <si>
    <t>floristasjoycar@hotmail.com</t>
  </si>
  <si>
    <t>Flores Mandi</t>
  </si>
  <si>
    <t>Calle Saturnino Menéndez, 6, 33940 El Entrego, Asturias</t>
  </si>
  <si>
    <t>985 66 33 22</t>
  </si>
  <si>
    <t>Los Musgos</t>
  </si>
  <si>
    <t>Calle María Zambrano, 4, 33213 Gijón, Asturias</t>
  </si>
  <si>
    <t>985 30 08 62</t>
  </si>
  <si>
    <t>Rocío Tirado Alvarez</t>
  </si>
  <si>
    <t>Calle Ramón Villa Piquero, 33186 Berrón (El), Asturias</t>
  </si>
  <si>
    <t>985 74 24 66</t>
  </si>
  <si>
    <t>Flores Aida</t>
  </si>
  <si>
    <t>Av. Enrique V. Iglesias, 11, 33750 La Caridad, Asturias</t>
  </si>
  <si>
    <t>La Caridad</t>
  </si>
  <si>
    <t>985 47 80 31</t>
  </si>
  <si>
    <t>Floristeria Pilar</t>
  </si>
  <si>
    <t>Calle Severo Ochoa, 4, 33404, Asturias</t>
  </si>
  <si>
    <t>985 51 59 46</t>
  </si>
  <si>
    <t>Flores Ixia</t>
  </si>
  <si>
    <t>Calle Francisco Palacios, s.n, 33670 Moreda, Asturias</t>
  </si>
  <si>
    <t>Moreda</t>
  </si>
  <si>
    <t>985 48 01 53</t>
  </si>
  <si>
    <t>Jaime José Migoya Huertas</t>
  </si>
  <si>
    <t>985 25 77 86</t>
  </si>
  <si>
    <t>Garabatu</t>
  </si>
  <si>
    <t>Calle Melquiades Álvarez, 26, 33930 Langreo, Asturias</t>
  </si>
  <si>
    <t>985 69 70 31</t>
  </si>
  <si>
    <t>Pétalos&amp;apos;S</t>
  </si>
  <si>
    <t>Calle Carreño Miranda, 26, 33600 Mieres, Asturias</t>
  </si>
  <si>
    <t>985 46 75 18</t>
  </si>
  <si>
    <t>Flores Azalea</t>
  </si>
  <si>
    <t>Calle Ortega y Gasset, 1, 33440 Luanco, Asturias</t>
  </si>
  <si>
    <t>985 88 02 08</t>
  </si>
  <si>
    <t>Floristería La Carreterona</t>
  </si>
  <si>
    <t>Calle Evaristo Sánchez, 10, 33550 Cangas de Onís, Asturias</t>
  </si>
  <si>
    <t>659 79 47 80</t>
  </si>
  <si>
    <t>Arco Iris Pola de Siero</t>
  </si>
  <si>
    <t>Plaza Don Pelayo, 1, 33510 Pola de Siero, Asturias</t>
  </si>
  <si>
    <t>Pola de Siero</t>
  </si>
  <si>
    <t>985 72 47 48</t>
  </si>
  <si>
    <t>Floristería Pétalos</t>
  </si>
  <si>
    <t>Calle Mayor, 52, 33800 Cangas del Narcea, Asturias</t>
  </si>
  <si>
    <t>985 81 12 84</t>
  </si>
  <si>
    <t>Flor de Pasión</t>
  </si>
  <si>
    <t>Calle Manuel Cortina, 9, 33300 Villaviciosa, Asturias</t>
  </si>
  <si>
    <t>636 35 57 13</t>
  </si>
  <si>
    <t>Flores Nieves</t>
  </si>
  <si>
    <t>Calle Gran Vía de Agustín Argüelles, 25, 33560 Ribadesella, Asturias</t>
  </si>
  <si>
    <t>ribadesella.es</t>
  </si>
  <si>
    <t>985 85 74 63</t>
  </si>
  <si>
    <t>Las flores de Ana</t>
  </si>
  <si>
    <t>Calle González Llanos, 1, 33440 Luanco, Asturias</t>
  </si>
  <si>
    <t>ppimar.wix.com</t>
  </si>
  <si>
    <t>985 88 28 86</t>
  </si>
  <si>
    <t>Asturflora Tienda</t>
  </si>
  <si>
    <t>Calle la, 3, 33550 Cangas de Onís, Asturias</t>
  </si>
  <si>
    <t>asturflora.com</t>
  </si>
  <si>
    <t>985 40 77 12</t>
  </si>
  <si>
    <t>Andecha Floral, S.L.</t>
  </si>
  <si>
    <t>Lugar Los Arenales ( San Lázaro ), 132, 33008 Oviedo</t>
  </si>
  <si>
    <t>985 21 05 04</t>
  </si>
  <si>
    <t>AsturFlora</t>
  </si>
  <si>
    <t>Naves de Llanes, AS-263, nº 56., 33594 Naves de Llanes, Asturias</t>
  </si>
  <si>
    <t>Naves</t>
  </si>
  <si>
    <t>Doña Cúrcuma</t>
  </si>
  <si>
    <t>Travesía del Convento, 7, 33201 Gijón, Asturias</t>
  </si>
  <si>
    <t>donacurcuma.com</t>
  </si>
  <si>
    <t>984 28 26 60</t>
  </si>
  <si>
    <t>info@donacurcuma.com</t>
  </si>
  <si>
    <t>LA CASA DEL FRUTICULTOR</t>
  </si>
  <si>
    <t>Calle Los Andes, 31, 33213 Gijón, Asturias</t>
  </si>
  <si>
    <t>formacionfitosanitaria.com</t>
  </si>
  <si>
    <t>985 39 89 39</t>
  </si>
  <si>
    <t>info@formacionfitosanitaria.com</t>
  </si>
  <si>
    <t>El Invernadero</t>
  </si>
  <si>
    <t>Calle González del Valle, 12, 33004 Oviedo, Asturias</t>
  </si>
  <si>
    <t>985 25 79 51</t>
  </si>
  <si>
    <t>Calle González Besada, 23, BAJO, 33007 Oviedo, Asturias</t>
  </si>
  <si>
    <t>Floristería Navariego</t>
  </si>
  <si>
    <t>Av. México, 20, 33500 Llanes, Asturias</t>
  </si>
  <si>
    <t>985 40 22 55</t>
  </si>
  <si>
    <t>Ana Flores</t>
  </si>
  <si>
    <t>San Roque, 3, 33191 Oviedo, Asturias</t>
  </si>
  <si>
    <t>Comercial Agrícola El Campo</t>
  </si>
  <si>
    <t>Calle Magdalena, 24, 33300 Villaviciosa, Asturias</t>
  </si>
  <si>
    <t>985 89 19 32</t>
  </si>
  <si>
    <t>Floristería La Plaza</t>
  </si>
  <si>
    <t>Plaza Rafael Rodríguez, 6, 33800 Cangas del Narcea, Asturias</t>
  </si>
  <si>
    <t>floreslaplaza.com</t>
  </si>
  <si>
    <t>El JARDIN DE SABUGO</t>
  </si>
  <si>
    <t>Av. de la Costa, 69, 33202 Gijón, Asturias</t>
  </si>
  <si>
    <t>eljardindesabugo.com</t>
  </si>
  <si>
    <t>661 78 20 78</t>
  </si>
  <si>
    <t>Flores y Plantas Andrés</t>
  </si>
  <si>
    <t>33850 Cornellana, Asturias</t>
  </si>
  <si>
    <t>Cornellana</t>
  </si>
  <si>
    <t>984 11 11 22</t>
  </si>
  <si>
    <t>Nenúfar</t>
  </si>
  <si>
    <t>Travesía Jesús Evaristo Casariego, 32, 33870 Tineo, Asturias</t>
  </si>
  <si>
    <t>Tineo</t>
  </si>
  <si>
    <t>985 80 13 41</t>
  </si>
  <si>
    <t>FLORISTERIA EL ABLANU</t>
  </si>
  <si>
    <t>TURON, Calle San Juan Bautista de la Salle, 3, 33610 Mieres, Asturias</t>
  </si>
  <si>
    <t>985 43 16 11</t>
  </si>
  <si>
    <t>Kimber&amp;apos;s Floristas</t>
  </si>
  <si>
    <t>Calle Magnus Blikstad, 23, 33207 Gijón, Asturias</t>
  </si>
  <si>
    <t>985 35 46 33</t>
  </si>
  <si>
    <t>Floristería Marisol</t>
  </si>
  <si>
    <t>Av. Schulz, 151, 33209 Gijón, Asturias</t>
  </si>
  <si>
    <t>984 19 32 14</t>
  </si>
  <si>
    <t>Floristas Aller</t>
  </si>
  <si>
    <t>Calle Enrique Sánchez, 2, 33670 Moreda, Asturias</t>
  </si>
  <si>
    <t>tanatorioaller.com</t>
  </si>
  <si>
    <t>610 32 78 43</t>
  </si>
  <si>
    <t>info@tanatorioaller.com</t>
  </si>
  <si>
    <t>Flores y tocados Liliana</t>
  </si>
  <si>
    <t>Calle José López Ocaña, 1, 33401 Avilés, Asturias</t>
  </si>
  <si>
    <t>Flores M Jesús</t>
  </si>
  <si>
    <t>Lugar Arenales, 56, 33195 Arenales ( Los ), Asturias</t>
  </si>
  <si>
    <t>985 22 22 28</t>
  </si>
  <si>
    <t>Kimber´s Floristas</t>
  </si>
  <si>
    <t>Calle Dr. Aquilino Hurlé, 22, 33202 Gijón, Asturias</t>
  </si>
  <si>
    <t>985 13 22 35</t>
  </si>
  <si>
    <t>Floristeria Ortuzar</t>
  </si>
  <si>
    <t>Av. de la Costa, 66, 33201 Gijón, Asturias</t>
  </si>
  <si>
    <t>985 33 15 74</t>
  </si>
  <si>
    <t>Overgrow</t>
  </si>
  <si>
    <t>Calle Narciso Hernández Vaquero, 1, 33009 Oviedo, Asturias</t>
  </si>
  <si>
    <t>984 06 13 18</t>
  </si>
  <si>
    <t>Ana García FLORISTAS</t>
  </si>
  <si>
    <t>San Roque, 3, 33191 San Claudio, Asturias</t>
  </si>
  <si>
    <t>San Claudio</t>
  </si>
  <si>
    <t>985 78 09 45</t>
  </si>
  <si>
    <t>Floristeria Rubeflor</t>
  </si>
  <si>
    <t>Av. Constitución, 3A, 33670 Moreda, Asturias</t>
  </si>
  <si>
    <t>985 48 00 41</t>
  </si>
  <si>
    <t>Lidibea</t>
  </si>
  <si>
    <t>Av. de Chamberí, 5, 33860 Salas, Asturias</t>
  </si>
  <si>
    <t>Salas</t>
  </si>
  <si>
    <t>985 83 23 09</t>
  </si>
  <si>
    <t>Floristeria Fresia</t>
  </si>
  <si>
    <t>Calle Rio, 16, 33520 Nava, Asturias</t>
  </si>
  <si>
    <t>Floristeria Geli</t>
  </si>
  <si>
    <t>Calle Real, 34, 24420 Fabero, León</t>
  </si>
  <si>
    <t>Fabero</t>
  </si>
  <si>
    <t>León</t>
  </si>
  <si>
    <t>floristeriageli.com</t>
  </si>
  <si>
    <t>987 55 17 93</t>
  </si>
  <si>
    <t>Flores Gardenia</t>
  </si>
  <si>
    <t>Calle Sta. Apolonia, 42, 33403 Avilés, Asturias</t>
  </si>
  <si>
    <t>985 57 74 79</t>
  </si>
  <si>
    <t>Flores El Valle</t>
  </si>
  <si>
    <t>Calle Leitariegos, 2, 24100 Villablino, León</t>
  </si>
  <si>
    <t>Villablino</t>
  </si>
  <si>
    <t>987 47 20 67</t>
  </si>
  <si>
    <t>Con flores y floreros</t>
  </si>
  <si>
    <t>C/ Carrión 2 - Bajo ( frente al parque Cuno Corquera, 33424 Posada, Asturias</t>
  </si>
  <si>
    <t>confloresyfloreros.com</t>
  </si>
  <si>
    <t>695 61 76 31</t>
  </si>
  <si>
    <t>FCC98D85-6E2F-44D6-AFC8-815BC3442797_80x@2x.png</t>
  </si>
  <si>
    <t>Floristería La Flor</t>
  </si>
  <si>
    <t>Avenida General Gómez Núñez, 27, 24402 Ponferrada, León</t>
  </si>
  <si>
    <t>Ponferrada</t>
  </si>
  <si>
    <t>laflorfloristeria.es</t>
  </si>
  <si>
    <t>699 93 60 80</t>
  </si>
  <si>
    <t>Floristería Marqués</t>
  </si>
  <si>
    <t>Calle Ancha, 20, 24401 Ponferrada, León</t>
  </si>
  <si>
    <t>floristeriamarques.com</t>
  </si>
  <si>
    <t>987 40 48 18</t>
  </si>
  <si>
    <t>flmarques@floristeriamarques.com</t>
  </si>
  <si>
    <t>Flores Alba</t>
  </si>
  <si>
    <t>Av. Compostilla, 48, 24400 Ponferrada, León</t>
  </si>
  <si>
    <t>floresalba.com</t>
  </si>
  <si>
    <t>987 40 48 03</t>
  </si>
  <si>
    <t>atencionalcliente@floresalba.com</t>
  </si>
  <si>
    <t>Bardón Floristas</t>
  </si>
  <si>
    <t>Av. el Castillo, 4, 24401 Ponferrada, León</t>
  </si>
  <si>
    <t>floresbardon.es</t>
  </si>
  <si>
    <t>987 40 12 70</t>
  </si>
  <si>
    <t>floresbardon@floresbardon.es</t>
  </si>
  <si>
    <t>Floristería Guardo (Palencia), flores, La Espiga Arte Floral</t>
  </si>
  <si>
    <t>Calle el Valle, 3, 34880 Guardo, Palencia</t>
  </si>
  <si>
    <t>Guardo</t>
  </si>
  <si>
    <t>Palencia</t>
  </si>
  <si>
    <t>espigaartefloral.com</t>
  </si>
  <si>
    <t>979 85 27 19</t>
  </si>
  <si>
    <t>Floristería mallorca</t>
  </si>
  <si>
    <t>Carrer de Vicente Tofiño, 24, 07007 Palma, Illes Balears</t>
  </si>
  <si>
    <t>Palma</t>
  </si>
  <si>
    <t>Illes Balears</t>
  </si>
  <si>
    <t>floristeriamallorca.com</t>
  </si>
  <si>
    <t>871 77 70 80</t>
  </si>
  <si>
    <t>flores de mallorca</t>
  </si>
  <si>
    <t>Avinguda del Cid, 400, 07198 Son Ferriol, Illes Balears</t>
  </si>
  <si>
    <t>Son Ferriol</t>
  </si>
  <si>
    <t>floresdemallorca.es</t>
  </si>
  <si>
    <t>971 24 21 77</t>
  </si>
  <si>
    <t>Floristería Miraverd</t>
  </si>
  <si>
    <t>Costa de les Germanetes, 10, BAJO(LOCAL, 07010 Palma, Illes Balears</t>
  </si>
  <si>
    <t>miraverd.es</t>
  </si>
  <si>
    <t>971 75 72 22</t>
  </si>
  <si>
    <t>Floristeria Roselles i Roses</t>
  </si>
  <si>
    <t>Carrer de Salvà, 8, 07013 Palma, Illes Balears</t>
  </si>
  <si>
    <t>rosellesiroses.com</t>
  </si>
  <si>
    <t>971 28 43 98</t>
  </si>
  <si>
    <t>info@rosellesiroses.com</t>
  </si>
  <si>
    <t>floristeria floresdalia.com</t>
  </si>
  <si>
    <t>Carrer de Francesc Fiol i Juan, 1, 07010 Palma, Illes Balears</t>
  </si>
  <si>
    <t>floresdalia.com</t>
  </si>
  <si>
    <t>606 51 82 78</t>
  </si>
  <si>
    <t>Floristería Abolengo</t>
  </si>
  <si>
    <t>Avinguda de Gabriel Alomar, 23, 07006 Palma, Illes Balears</t>
  </si>
  <si>
    <t>floristeria-abolengo.com</t>
  </si>
  <si>
    <t>971 46 71 59</t>
  </si>
  <si>
    <t>info@floristeria-abolengo.com</t>
  </si>
  <si>
    <t>Floristería Majoris</t>
  </si>
  <si>
    <t>Carrer de Jordi Villalonga i Velasco, 7, 07010 Palma, Illes Balears</t>
  </si>
  <si>
    <t>floristeria-majoris.com</t>
  </si>
  <si>
    <t>654 98 26 05</t>
  </si>
  <si>
    <t>Eli Floristería</t>
  </si>
  <si>
    <t>Carrer de Blanquerna, 64, 07010 Palma, Illes Balears</t>
  </si>
  <si>
    <t>elifloristeriamallorca.com</t>
  </si>
  <si>
    <t>971 20 03 30</t>
  </si>
  <si>
    <t>Floristería Strelitzia</t>
  </si>
  <si>
    <t>Alaior</t>
  </si>
  <si>
    <t>971 86 42 09</t>
  </si>
  <si>
    <t>FLORISTERIA KENTIAFLOR FLORES A DOMICILIO</t>
  </si>
  <si>
    <t>Carrer de Niceto Alcalá Zamora, 44, local derecha, 07013 Palma, Illes Balears</t>
  </si>
  <si>
    <t>656 44 02 36</t>
  </si>
  <si>
    <t>Floristería Miquel Capellà</t>
  </si>
  <si>
    <t>Plaça de la Navegació, s/n, 07013 Palma, Illes Balears</t>
  </si>
  <si>
    <t>floristeriamiquelcapella.es</t>
  </si>
  <si>
    <t>619 82 27 79</t>
  </si>
  <si>
    <t>Floristería Miraverd Josep Alemany Vich</t>
  </si>
  <si>
    <t>Costa de les Germanetes, 10, 07010 Palma, Illes Balears</t>
  </si>
  <si>
    <t>971 75 77 22</t>
  </si>
  <si>
    <t>Floristería Rosella. Interflora.</t>
  </si>
  <si>
    <t>Carrer de Son Gener, 1, 07560 Cala Millor, Illes Balears</t>
  </si>
  <si>
    <t>Cala Millor</t>
  </si>
  <si>
    <t>floristeriarosella.com</t>
  </si>
  <si>
    <t>971 81 37 84</t>
  </si>
  <si>
    <t>Floristería Taronger</t>
  </si>
  <si>
    <t>Carrer del Taronger, 2, 07008 Palma, Illes Balears</t>
  </si>
  <si>
    <t>FLORISTERIA ES ROMANI</t>
  </si>
  <si>
    <t>Carrer des Fornàs, 43, 07800 Eivissa, Illes Balears</t>
  </si>
  <si>
    <t>Ibiza</t>
  </si>
  <si>
    <t>floristeriaesromani.net</t>
  </si>
  <si>
    <t>971 30 27 40</t>
  </si>
  <si>
    <t>floristeriaesromani@gmail.com</t>
  </si>
  <si>
    <t>Floristería Alberto Francia</t>
  </si>
  <si>
    <t>Camí dels Reis, 111, 07013 Palma, Illes Balears</t>
  </si>
  <si>
    <t>floristeriafrancia.com</t>
  </si>
  <si>
    <t>971 75 84 43</t>
  </si>
  <si>
    <t>info@floristeriafrancia.com</t>
  </si>
  <si>
    <t>FLORISTERIA EN MALLORCA ES BROT</t>
  </si>
  <si>
    <t>Plaça Hostals, 13, 07320 Santa Maria del Camí, Illes Balears</t>
  </si>
  <si>
    <t>Santa María del Camino</t>
  </si>
  <si>
    <t>floristeriaesbrot.com</t>
  </si>
  <si>
    <t>971 14 08 46</t>
  </si>
  <si>
    <t>paquita@floristeriaesbrot.com</t>
  </si>
  <si>
    <t>Floristeria Inca, Flors i Passió | Lourdes Miralles | Servicio a domicilio. Bodas y eventos | Florist shop. Blumenladen Mallorca</t>
  </si>
  <si>
    <t>Avinguda d&amp;apos;Alcúdia, 21, 07300 Inca, Illes Balears</t>
  </si>
  <si>
    <t>Inca</t>
  </si>
  <si>
    <t>686 60 67 04</t>
  </si>
  <si>
    <t>Floristería Prohens</t>
  </si>
  <si>
    <t>Carrer d&amp;apos;en Palmer, 34, 07300 Inca, Illes Balears</t>
  </si>
  <si>
    <t>971 50 19 10</t>
  </si>
  <si>
    <t>Floristeria Flor de Flors</t>
  </si>
  <si>
    <t>Ctra. Andratx, nº 12, Local 2, 07181 Cas Català, Balearic Islands</t>
  </si>
  <si>
    <t>Cas Català</t>
  </si>
  <si>
    <t>Balearic Islands</t>
  </si>
  <si>
    <t>flordeflors.com</t>
  </si>
  <si>
    <t>971 70 10 93</t>
  </si>
  <si>
    <t>info@flordeflors.com</t>
  </si>
  <si>
    <t>Floristeria Mar Gonzalez</t>
  </si>
  <si>
    <t>Avinguda d&amp;apos;Alcúdia, 63, 07300 Inca, Illes Balears</t>
  </si>
  <si>
    <t>653 60 60 15</t>
  </si>
  <si>
    <t>Flores Mary</t>
  </si>
  <si>
    <t>La Rambla, 07003 Palma, Illes Balears</t>
  </si>
  <si>
    <t>971 72 52 48</t>
  </si>
  <si>
    <t>Flores Borneo</t>
  </si>
  <si>
    <t>Carrer de la Soledat, 3, 07001 Palma, Illes Balears</t>
  </si>
  <si>
    <t>floresborneo.com</t>
  </si>
  <si>
    <t>971 71 75 25</t>
  </si>
  <si>
    <t>Floristeria Arenal 2</t>
  </si>
  <si>
    <t>Ctra. Militar, 227, 07600 Palma, Illes Balears</t>
  </si>
  <si>
    <t>630 42 68 31</t>
  </si>
  <si>
    <t>Floristería Es Bonsais</t>
  </si>
  <si>
    <t>Camí des Castell, 2, BAJO, 07702 Maó, Illes Balears</t>
  </si>
  <si>
    <t>Maó-Mahón</t>
  </si>
  <si>
    <t>esbonsais.com</t>
  </si>
  <si>
    <t>971 36 98 18</t>
  </si>
  <si>
    <t>floristeria@esbonsais.com</t>
  </si>
  <si>
    <t>Floristería Real</t>
  </si>
  <si>
    <t>Carrer de Pascual Ribot, 22, 07011 Palma, Illes Balears</t>
  </si>
  <si>
    <t>971 73 91 83</t>
  </si>
  <si>
    <t>Floristeria Flors i Detalls</t>
  </si>
  <si>
    <t>Carrer de Jesús, 38B, 07010 Palma, Illes Balears</t>
  </si>
  <si>
    <t>florsidetalls.com</t>
  </si>
  <si>
    <t>971 20 03 84</t>
  </si>
  <si>
    <t>info@softline.es</t>
  </si>
  <si>
    <t>Floristería Rosazul</t>
  </si>
  <si>
    <t>Carrer Batle Emili Darder, 19, 07013 Palma, Illes Balears</t>
  </si>
  <si>
    <t>rosazul.es</t>
  </si>
  <si>
    <t>971 73 45 77</t>
  </si>
  <si>
    <t>hola@rosazul.es</t>
  </si>
  <si>
    <t>Floristeria Gira-sol</t>
  </si>
  <si>
    <t>Ctra. de Manacor, 115, 07007 Palma, Illes Balears</t>
  </si>
  <si>
    <t>girasolpalma.es</t>
  </si>
  <si>
    <t>678 11 17 07</t>
  </si>
  <si>
    <t>info@girasolpalma.es</t>
  </si>
  <si>
    <t>Nou art floristeria</t>
  </si>
  <si>
    <t>Jocs 9, 07300 Inca, Balearic Islands</t>
  </si>
  <si>
    <t>971 88 19 52</t>
  </si>
  <si>
    <t>Carrer d&amp;apos;Aragó, 196, 07008 Palma, Illes Balears</t>
  </si>
  <si>
    <t>971 47 21 26</t>
  </si>
  <si>
    <t>Flores Marga</t>
  </si>
  <si>
    <t>La Rambla, 7, 07003 Palma, Illes Balears</t>
  </si>
  <si>
    <t>971 72 60 15</t>
  </si>
  <si>
    <t>Floristería Romaní</t>
  </si>
  <si>
    <t>Av. de Bèlgica, 3, 07660 Mallorca, Illes Balears</t>
  </si>
  <si>
    <t>Cala d&amp;apos;Or</t>
  </si>
  <si>
    <t>971 65 79 99</t>
  </si>
  <si>
    <t>Cala Flors</t>
  </si>
  <si>
    <t>Carrer Jordi Andreu Alcover, 16, local 2, 07004 Palma, Balearic Islands</t>
  </si>
  <si>
    <t>660 91 07 60</t>
  </si>
  <si>
    <t>Avinguda de Joan Miró, 338, 07015 Palma, Illes Balears</t>
  </si>
  <si>
    <t>971 70 26 47</t>
  </si>
  <si>
    <t>Floristeria Violeta</t>
  </si>
  <si>
    <t>Avinguda de Joan Miró, 289, 07015 Palma, Illes Balears</t>
  </si>
  <si>
    <t>floristeriavioleta.com</t>
  </si>
  <si>
    <t>971 40 34 35</t>
  </si>
  <si>
    <t>f-violetamallorca@hotmail.com</t>
  </si>
  <si>
    <t>Flor de Flors - Floristeria Francis</t>
  </si>
  <si>
    <t>Carrer Galió, 10, 07181 Magaluf, Illes Balears</t>
  </si>
  <si>
    <t>Magaluf</t>
  </si>
  <si>
    <t>971 13 08 97</t>
  </si>
  <si>
    <t>Es Detall Floristería</t>
  </si>
  <si>
    <t>Carrer d&amp;apos;Aragó, 60, 07800 Eivissa, Illes Balears</t>
  </si>
  <si>
    <t>871 70 23 90</t>
  </si>
  <si>
    <t>Flor de Flors - Floristeria Cala Flors</t>
  </si>
  <si>
    <t>Carrer Jordi Andreu Alcover, 16, Local 2, 07004 Palma, Balearic Islands</t>
  </si>
  <si>
    <t>Floristería Dalo</t>
  </si>
  <si>
    <t>07007, Balearic Islands</t>
  </si>
  <si>
    <t>Floristeria Marian</t>
  </si>
  <si>
    <t>Carrer del Nou de Juliol, 26, 07760 Ciutadella de Menorca, Illes Balears</t>
  </si>
  <si>
    <t>Ciudadela de Menorca</t>
  </si>
  <si>
    <t>floristeriamarian.com</t>
  </si>
  <si>
    <t>971 38 21 16</t>
  </si>
  <si>
    <t>Floristería Es Roseret</t>
  </si>
  <si>
    <t>Carrer d&amp;apos;Eivissa, 35, BAJO, 07760 Ciutadella de Menorca, Illes Balears</t>
  </si>
  <si>
    <t>floristeriaesroseret.es</t>
  </si>
  <si>
    <t>971 38 39 89</t>
  </si>
  <si>
    <t>info@floristeriaesroseret.es</t>
  </si>
  <si>
    <t>Joanna Walton Flowers</t>
  </si>
  <si>
    <t>joannawalton.com</t>
  </si>
  <si>
    <t>676 36 97 26</t>
  </si>
  <si>
    <t>flowers@joannawalton.com</t>
  </si>
  <si>
    <t>Floristeria Fanny&amp;apos;s Flors</t>
  </si>
  <si>
    <t>07141 Es Pont d&amp;apos;Inca, Balearic Islands</t>
  </si>
  <si>
    <t>Es Pont d&amp;apos;Inca</t>
  </si>
  <si>
    <t>floristeriafannysflors.com</t>
  </si>
  <si>
    <t>687 70 20 10</t>
  </si>
  <si>
    <t>Asen Castillo - Floristeria</t>
  </si>
  <si>
    <t>Carrer Anselm Turmeda, 9, local 6, 07350 Binissalem, Balearic Islands</t>
  </si>
  <si>
    <t>Binisalem</t>
  </si>
  <si>
    <t>971 88 69 63</t>
  </si>
  <si>
    <t>Floristería Petunia</t>
  </si>
  <si>
    <t>Avinguda del Cid, 32, 07198 Son Ferriol, Illes Balears</t>
  </si>
  <si>
    <t>floristeriapetunia.com</t>
  </si>
  <si>
    <t>971 24 18 99</t>
  </si>
  <si>
    <t>Floristería María</t>
  </si>
  <si>
    <t>Carrer Gran, 82, 07420 Sa Pobla, Illes Balears</t>
  </si>
  <si>
    <t>La Puebla</t>
  </si>
  <si>
    <t>mariafloristes.com</t>
  </si>
  <si>
    <t>971 54 02 99</t>
  </si>
  <si>
    <t>floristeria es jardi binissalem</t>
  </si>
  <si>
    <t>Carrer de Jesús, 2, 07350 Binissalem, Illes Balears</t>
  </si>
  <si>
    <t>esjardi.es</t>
  </si>
  <si>
    <t>971 88 60 81</t>
  </si>
  <si>
    <t>esjardi@esjardi.es</t>
  </si>
  <si>
    <t>Flors I Fulles Floristeria</t>
  </si>
  <si>
    <t>Carrer de Xara, 21, 07400 Alcúdia, Illes Balears</t>
  </si>
  <si>
    <t>Alcudia</t>
  </si>
  <si>
    <t>657 91 00 70</t>
  </si>
  <si>
    <t>Floristería Arenal</t>
  </si>
  <si>
    <t>Carrer Balears, 10, A, 07600 El Arenal, Illes Balears</t>
  </si>
  <si>
    <t>El Arenal</t>
  </si>
  <si>
    <t>696 63 82 60</t>
  </si>
  <si>
    <t>Floristeria Xisca</t>
  </si>
  <si>
    <t>Carrer de Maria Ignàsia Morell, 5, B, 07570 Artà, Balearic Islands</t>
  </si>
  <si>
    <t>Artá</t>
  </si>
  <si>
    <t>971 83 55 52</t>
  </si>
  <si>
    <t>Mes Q Flors</t>
  </si>
  <si>
    <t>Av. Juan Carlos I, 38a, 07150 Andratx, Illes Balears</t>
  </si>
  <si>
    <t>Andrach</t>
  </si>
  <si>
    <t>626 04 40 63</t>
  </si>
  <si>
    <t>Floristeria Petra</t>
  </si>
  <si>
    <t>Carrer de Sant Sebastia, 4, 07300 Inca, Illes Balears</t>
  </si>
  <si>
    <t>663 46 57 78</t>
  </si>
  <si>
    <t>Verd I Groc</t>
  </si>
  <si>
    <t>Carrer Mar i Estany, 9, 07400 Port d&amp;apos;Alcúdia, Illes Balears</t>
  </si>
  <si>
    <t>Puerto de Alcudia</t>
  </si>
  <si>
    <t>verd-i-groc.negocio.site</t>
  </si>
  <si>
    <t>971 54 53 24</t>
  </si>
  <si>
    <t>Jussivolanen.student@ksgyf.se</t>
  </si>
  <si>
    <t>El Ramo de Flores</t>
  </si>
  <si>
    <t>Carrer Isidor Macabich, 22, 07840 Santa Eulària des Riu, Illes Balears</t>
  </si>
  <si>
    <t>Santa Eulalia del Río</t>
  </si>
  <si>
    <t>flowersibiza.com</t>
  </si>
  <si>
    <t>971 33 01 86</t>
  </si>
  <si>
    <t>Floristería Teresa</t>
  </si>
  <si>
    <t>Passeig Colón, 7, 07458 Can Picafort, Illes Balears</t>
  </si>
  <si>
    <t>Can Picafort</t>
  </si>
  <si>
    <t>971 85 07 27</t>
  </si>
  <si>
    <t>FLORISTERIA ART VIU</t>
  </si>
  <si>
    <t>Carrer Nuredduna, 13, BAJOS, 07006 Palma, Balearic Islands</t>
  </si>
  <si>
    <t>floristeriaartviu.es</t>
  </si>
  <si>
    <t>971 46 74 64</t>
  </si>
  <si>
    <t>jramonferragut@yahoo.es</t>
  </si>
  <si>
    <t>Azalea</t>
  </si>
  <si>
    <t>C/ de l&amp;apos;Arxiduc Lluís Salvador, 117, 07004 Palma, Illes Balears</t>
  </si>
  <si>
    <t>633 74 79 64</t>
  </si>
  <si>
    <t>Flores Orhibea</t>
  </si>
  <si>
    <t>Carrer Mont Aneto, 7, 07180 Santa Ponça, Illes Balears</t>
  </si>
  <si>
    <t>Santa Ponsa</t>
  </si>
  <si>
    <t>orhibea.com</t>
  </si>
  <si>
    <t>657 22 33 43</t>
  </si>
  <si>
    <t>orhibea@icloud.com</t>
  </si>
  <si>
    <t>Flores Paquita</t>
  </si>
  <si>
    <t>La Rambla, 0, 07003 Palma, Illes Balears</t>
  </si>
  <si>
    <t>971 72 11 99</t>
  </si>
  <si>
    <t>Flores de Bahias Llucmajor Pueblo</t>
  </si>
  <si>
    <t>Ronda de Ponent, 11, 07620 Llucmajor, Illes Balears</t>
  </si>
  <si>
    <t>Lluchmayor</t>
  </si>
  <si>
    <t>611 20 55 14</t>
  </si>
  <si>
    <t>Petals Floristería</t>
  </si>
  <si>
    <t>Carrer d&amp;apos;Aragó, 59, 07800 Eivissa, Illes Balears</t>
  </si>
  <si>
    <t>971 30 06 37</t>
  </si>
  <si>
    <t>Floristeria Armadams</t>
  </si>
  <si>
    <t>Avinguda de Joan Miró, 2, 07014 Palma, Illes Balears</t>
  </si>
  <si>
    <t>971 73 81 37</t>
  </si>
  <si>
    <t>Jardinería Emilio Flores</t>
  </si>
  <si>
    <t>Carrer des Verderol, 23, BAJO, 07141 Es Pont d&amp;apos;Inca, Illes Balears</t>
  </si>
  <si>
    <t>jardinerosmallorca.com</t>
  </si>
  <si>
    <t>971 60 09 05</t>
  </si>
  <si>
    <t>info@jardinerosmallorca.com</t>
  </si>
  <si>
    <t>EnSpiral Entre flores</t>
  </si>
  <si>
    <t>Ctra. Andratx, 31, 07181 Portals Nous, Illes Balears</t>
  </si>
  <si>
    <t>Portals Nous</t>
  </si>
  <si>
    <t>enspiral.es</t>
  </si>
  <si>
    <t>689 34 87 35</t>
  </si>
  <si>
    <t>info@enspiral.es</t>
  </si>
  <si>
    <t>Es Girasol Floristería</t>
  </si>
  <si>
    <t>Av. de Vives Llull, 32, Bajo, 07703 Maó, Illes Balears</t>
  </si>
  <si>
    <t>esgirasolfloristeria.es</t>
  </si>
  <si>
    <t>971 35 51 36</t>
  </si>
  <si>
    <t>Tallo Floristas</t>
  </si>
  <si>
    <t>Carrer d&amp;apos;Aragó, 21, 07005 Palma, Illes Balears</t>
  </si>
  <si>
    <t>tallofloristas.com</t>
  </si>
  <si>
    <t>971 77 46 43</t>
  </si>
  <si>
    <t>hola@mercaflores.es</t>
  </si>
  <si>
    <t>El Jardinero Fiel El Figueral</t>
  </si>
  <si>
    <t>674 67 57 20</t>
  </si>
  <si>
    <t>SalMa Flors</t>
  </si>
  <si>
    <t>Carrer de Sant Llorenç, S/N, 07630 Campos, Illes Balears</t>
  </si>
  <si>
    <t>Campos</t>
  </si>
  <si>
    <t>971 65 17 38</t>
  </si>
  <si>
    <t>Floristeria On line La botella de Nur</t>
  </si>
  <si>
    <t>Carrer del Paó, 19, 07819 Nuestra Señora de Jesús, Illes Balears</t>
  </si>
  <si>
    <t>Ntra. Sra. de Jesús</t>
  </si>
  <si>
    <t>Floristería Valls Forteza Pilar</t>
  </si>
  <si>
    <t>Carrer d&amp;apos;Aragó, 140, 07008 Palma, Illes Balears</t>
  </si>
  <si>
    <t>Sa floristeria</t>
  </si>
  <si>
    <t>Carrer Portell, 3, 07650 Santanyí, Illes Balears</t>
  </si>
  <si>
    <t>Santañy</t>
  </si>
  <si>
    <t>safloristeria.com</t>
  </si>
  <si>
    <t>971 65 41 41</t>
  </si>
  <si>
    <t>FLORISTERIA PAGUERA BLUMENGESCHÄFT PAGUERA FLOWER SHOP PAGUERA FLORES Y TOCADOS PAGUERA</t>
  </si>
  <si>
    <t>Carrer de Moraduix, 1, local 1, 07160 Peguera, Balearic Islands</t>
  </si>
  <si>
    <t>Peguera</t>
  </si>
  <si>
    <t>floresytocadosfolch.com</t>
  </si>
  <si>
    <t>683 64 23 05</t>
  </si>
  <si>
    <t>Flors Caty</t>
  </si>
  <si>
    <t>Carrer del Marisc, 2, 07400 Port d&amp;apos;Alcúdia, Illes Balears</t>
  </si>
  <si>
    <t>971 54 71 21</t>
  </si>
  <si>
    <t>Natalia Flors</t>
  </si>
  <si>
    <t>La Rambla, 10, 07003 Palma, Illes Balears</t>
  </si>
  <si>
    <t>971 72 10 87</t>
  </si>
  <si>
    <t>Floristería Floralvi</t>
  </si>
  <si>
    <t>Carrer Castellet, 23, 07590 Cala Ratjada, Illes Balears</t>
  </si>
  <si>
    <t>Cala Rajada</t>
  </si>
  <si>
    <t>971 56 35 08</t>
  </si>
  <si>
    <t>Flores Florinda</t>
  </si>
  <si>
    <t>La Rambla, 14, 07003 Palma, Illes Balears</t>
  </si>
  <si>
    <t>971 72 60 68</t>
  </si>
  <si>
    <t>Floristería Ramells</t>
  </si>
  <si>
    <t>Carrer del Duc de Crillón, 11, 07703 Maó, Illes Balears</t>
  </si>
  <si>
    <t>971 36 25 45</t>
  </si>
  <si>
    <t>Floristería Es Pont D Inca Manela Campos</t>
  </si>
  <si>
    <t>Avinguda d&amp;apos;Antoni Maura, 4a, 07141 Es Pont d&amp;apos;Inca, Illes Balears</t>
  </si>
  <si>
    <t>manelacampos.com</t>
  </si>
  <si>
    <t>971 79 58 80</t>
  </si>
  <si>
    <t>jhenares@decodigit.es</t>
  </si>
  <si>
    <t>Floristería Lita</t>
  </si>
  <si>
    <t>Carrer de la Vinya, 29, 07570 Artà, Illes Balears</t>
  </si>
  <si>
    <t>floristerialita.es</t>
  </si>
  <si>
    <t>971 83 55 54</t>
  </si>
  <si>
    <t>floristerialita@hotmail.es</t>
  </si>
  <si>
    <t>FLORISTERÍA DECOFLOR</t>
  </si>
  <si>
    <t>C / Vicente Serra Orvay 33, local 5, 7800, Eivissa</t>
  </si>
  <si>
    <t>Eivissa</t>
  </si>
  <si>
    <t>floristeriadecofloribiza.com</t>
  </si>
  <si>
    <t>659 75 08 56</t>
  </si>
  <si>
    <t>Jardines Alfabia L</t>
  </si>
  <si>
    <t>AVDA JAIME I, 117, 07180 Santa Ponça, Illes Balears</t>
  </si>
  <si>
    <t>floristeriajardinesalfabia.com</t>
  </si>
  <si>
    <t>971 69 79 04</t>
  </si>
  <si>
    <t>FLORIATERIA ES BALADRE</t>
  </si>
  <si>
    <t>Carrer de Vicente Cuervo, 17, 07800 Eivissa, Illes Balears</t>
  </si>
  <si>
    <t>floristeriaesbaladre.com</t>
  </si>
  <si>
    <t>971 31 58 66</t>
  </si>
  <si>
    <t>Las Palmeras</t>
  </si>
  <si>
    <t>Carrer del Pare Bartomeu Pou, 22, 07003 Palma, Illes Balears</t>
  </si>
  <si>
    <t>971 75 43 13</t>
  </si>
  <si>
    <t>Flores y más Mallorca</t>
  </si>
  <si>
    <t>C/Camp Franc 43º1 Poligonó Son Oms, 07199 Palma, Balearic Islands</t>
  </si>
  <si>
    <t>floresymas-mallorca.es</t>
  </si>
  <si>
    <t>971 20 10 87</t>
  </si>
  <si>
    <t>info@floresymas-mallorca.es</t>
  </si>
  <si>
    <t>Floristería Sonia</t>
  </si>
  <si>
    <t>Plaça des Mercat, 0 S/N, 07100 Sóller, Illes Balears</t>
  </si>
  <si>
    <t>Sóller</t>
  </si>
  <si>
    <t>971 63 07 86</t>
  </si>
  <si>
    <t>Floristería Ambiental</t>
  </si>
  <si>
    <t>Av. d&amp;apos;Isidor Macabich, 20 BIS, 07800 Eivissa, Illes Balears</t>
  </si>
  <si>
    <t>floristeriaambiental.com</t>
  </si>
  <si>
    <t>971 31 16 22</t>
  </si>
  <si>
    <t>floristeria.ambiental@gmail.com</t>
  </si>
  <si>
    <t>flores la camelia</t>
  </si>
  <si>
    <t>C. de la Fàbrica, 2, 07013 Palma, Illes Balears</t>
  </si>
  <si>
    <t>638 26 50 38</t>
  </si>
  <si>
    <t>flores a domicilio mallorca</t>
  </si>
  <si>
    <t>Carrer de la Soledat, 07001 Palma, Illes Balears</t>
  </si>
  <si>
    <t>floresadomiciliomallorca.com</t>
  </si>
  <si>
    <t>info@flowersforyachtsmallorca.com</t>
  </si>
  <si>
    <t>Jardinería y floristería Capó</t>
  </si>
  <si>
    <t>Carrer d&amp;apos;en Toni Costa, 45, 07660 Cala D&amp;apos;or, Illes Balears</t>
  </si>
  <si>
    <t>971 64 35 19</t>
  </si>
  <si>
    <t>S&amp;apos;Estel Floristería</t>
  </si>
  <si>
    <t>Carrer des Ramal, 75, 07730 Alaior, Illes Balears</t>
  </si>
  <si>
    <t>Alayor</t>
  </si>
  <si>
    <t>bodasmenorcasestel.com</t>
  </si>
  <si>
    <t>971 37 22 36</t>
  </si>
  <si>
    <t>leaflet@1.6.0</t>
  </si>
  <si>
    <t>Diseño Floral</t>
  </si>
  <si>
    <t>Carrer del Riu Síl, 8, 07183 Santa Ponça, Illes Balears</t>
  </si>
  <si>
    <t>Carrer de Trasimè, 21, 07600 Palma, Illes Balears</t>
  </si>
  <si>
    <t>ikebanamallorca.com</t>
  </si>
  <si>
    <t>971 26 66 68</t>
  </si>
  <si>
    <t>floristeria formentera</t>
  </si>
  <si>
    <t>Carrer d&amp;apos;Antoni Blanc, 6, 07860 San Francisco Javier, Illes Balears</t>
  </si>
  <si>
    <t>San Francisco Javier</t>
  </si>
  <si>
    <t>floristeriaformen.wixsite.com</t>
  </si>
  <si>
    <t>971 32 25 84</t>
  </si>
  <si>
    <t>Floristería Kentia</t>
  </si>
  <si>
    <t>Carrer de Cala de Bou, 43, 07829 Sant Josep de sa Talaia, Illes Balears</t>
  </si>
  <si>
    <t>floristeriakentiaibiza.com</t>
  </si>
  <si>
    <t>971 34 07 57</t>
  </si>
  <si>
    <t>CLIVIA Art Floral i Decoració</t>
  </si>
  <si>
    <t>Carrer del Mar, 23, 07840 Santa Eulària des Riu, Illes Balears</t>
  </si>
  <si>
    <t>floristeriaclivia.com</t>
  </si>
  <si>
    <t>971 33 11 22</t>
  </si>
  <si>
    <t>info@cliviaevents.com</t>
  </si>
  <si>
    <t>Sa Floristeria</t>
  </si>
  <si>
    <t>Carrer Ferrer, 2, 07830 Sant Josep de sa Talaia, Illes Balears</t>
  </si>
  <si>
    <t>971 80 00 81</t>
  </si>
  <si>
    <t>Beth floral art &amp;amp; events</t>
  </si>
  <si>
    <t>La Vila Centre Comercial, Carrer de Carlos Sáenz de Tejada García, n°6, local 4, 07181 Magaluf, Islas Baleares</t>
  </si>
  <si>
    <t>Islas Baleares</t>
  </si>
  <si>
    <t>bethfloralartevents.com</t>
  </si>
  <si>
    <t>871 11 01 79</t>
  </si>
  <si>
    <t>info@bethfloralartevents.com</t>
  </si>
  <si>
    <t>Floristeria Alberto Francia</t>
  </si>
  <si>
    <t>Camí dels Reis, 111, 07015 Palma, Illes Balears</t>
  </si>
  <si>
    <t>971 71 09 09</t>
  </si>
  <si>
    <t>Flors i plantes Petra</t>
  </si>
  <si>
    <t>971 50 21 49</t>
  </si>
  <si>
    <t>Floristeria Flors de Colors Hospital son Espases palma</t>
  </si>
  <si>
    <t>Hospital son Espases, Carretera de Valldemossa, n79, 07120 Palma, Balearic Islands</t>
  </si>
  <si>
    <t>652 23 30 43</t>
  </si>
  <si>
    <t>Floristería Fullana</t>
  </si>
  <si>
    <t>Carrer de Capdepera, 16, 07500 Manacor, Illes Balears</t>
  </si>
  <si>
    <t>Manacor</t>
  </si>
  <si>
    <t>floristeriafullana.com</t>
  </si>
  <si>
    <t>971 55 13 85</t>
  </si>
  <si>
    <t>f.fullana@telefonica.net</t>
  </si>
  <si>
    <t>Floristeria Teresa</t>
  </si>
  <si>
    <t>Carrer Ric, Nº53, 07420 Sa Pobla, Illes Balears</t>
  </si>
  <si>
    <t>871 77 78 34</t>
  </si>
  <si>
    <t>Carrer de Sant Gaietà, 13, 07012 Palma, Illes Balears</t>
  </si>
  <si>
    <t>Mercedes Flores</t>
  </si>
  <si>
    <t>La Rambla, 3, 07003 Palma, Illes Balears</t>
  </si>
  <si>
    <t>971 72 10 64</t>
  </si>
  <si>
    <t>Floristeria Lloseta Verd</t>
  </si>
  <si>
    <t>Carrer Sor Miquela Ripoll, 17, 07360 Lloseta, Illes Balears</t>
  </si>
  <si>
    <t>Lloseta</t>
  </si>
  <si>
    <t>971 51 95 61</t>
  </si>
  <si>
    <t>Floristería Arboles Frutales Plantas</t>
  </si>
  <si>
    <t>Carrer de sa Galla, 92, 07260 Porreres, Illes Balears</t>
  </si>
  <si>
    <t>Porreras</t>
  </si>
  <si>
    <t>971 64 79 60</t>
  </si>
  <si>
    <t>La Rosaleda Floristería</t>
  </si>
  <si>
    <t>Carrer dels Montcades, 3, 07012 Palma, Balearic Islands</t>
  </si>
  <si>
    <t>larosaledapalmademallorca.com</t>
  </si>
  <si>
    <t>971 71 11 14</t>
  </si>
  <si>
    <t>info@larosaledapalmademallorca.com</t>
  </si>
  <si>
    <t>Olea Pep Lluis</t>
  </si>
  <si>
    <t>Carrer de Can Pueyo, 3, 07003 Palma, Illes Balears</t>
  </si>
  <si>
    <t>florspeplluis.com</t>
  </si>
  <si>
    <t>971 72 76 19</t>
  </si>
  <si>
    <t>Flors Can Pellisseta</t>
  </si>
  <si>
    <t>Carrer de sa Creu, 1, A, 07630 Campos, Illes Balears</t>
  </si>
  <si>
    <t>971 65 03 17</t>
  </si>
  <si>
    <t>FLORISTERIA MIMOSA HIPER CENTRO MANACOR</t>
  </si>
  <si>
    <t>Via Palma, 11, 07500 Manacor, Illes Balears</t>
  </si>
  <si>
    <t>florsmimosa.com</t>
  </si>
  <si>
    <t>652 50 90 60</t>
  </si>
  <si>
    <t>Margarita Nicolau Nadal</t>
  </si>
  <si>
    <t>Carrer de Pisà, 9, 07200 Felanitx, Illes Balears</t>
  </si>
  <si>
    <t>971 58 12 25</t>
  </si>
  <si>
    <t>Floristería Formentera Atelier de Kentia</t>
  </si>
  <si>
    <t>Carrer de Sant Joan, 61, B, 07860 San Francisco Javier, Illes Balears</t>
  </si>
  <si>
    <t>atelierdekentia.com</t>
  </si>
  <si>
    <t>653 44 12 35</t>
  </si>
  <si>
    <t>info@atelierdekentia.com</t>
  </si>
  <si>
    <t>Déjàvufleurs</t>
  </si>
  <si>
    <t>Floristería Trébol abierto a partir de 18 de mayo 2020 horario normal</t>
  </si>
  <si>
    <t>Carrer del Port de Palos, 9, 07670 Portocolom, Illes Balears</t>
  </si>
  <si>
    <t>Portocolom</t>
  </si>
  <si>
    <t>971 82 49 55</t>
  </si>
  <si>
    <t>Floristeria Flors i Cosetes (Toni Moreno)</t>
  </si>
  <si>
    <t>Carrer de Pius XI, nº6, Bajos, 07460 Pollença, Balearic Islands</t>
  </si>
  <si>
    <t>Pollensa</t>
  </si>
  <si>
    <t>616 61 17 98</t>
  </si>
  <si>
    <t>Dusa Flowers Menorca</t>
  </si>
  <si>
    <t>dusaflowers.com</t>
  </si>
  <si>
    <t>Floristeria BLOOMING ATELIER</t>
  </si>
  <si>
    <t>Carrer d&amp;apos;Anníbal, 5, 07800 Eivissa, Illes Balears</t>
  </si>
  <si>
    <t>606 20 79 24</t>
  </si>
  <si>
    <t>Interflora</t>
  </si>
  <si>
    <t>Carrer de Rafael Ramis i Togores, 07600 Palma, Balearic Islands</t>
  </si>
  <si>
    <t>Floristeria Margarita</t>
  </si>
  <si>
    <t>Via Pollentia, 13, 07460 Pollença, Illes Balears</t>
  </si>
  <si>
    <t>Flors Primavera</t>
  </si>
  <si>
    <t>Carrer de Ciutat, 29, 07550 Son Servera, Illes Balears</t>
  </si>
  <si>
    <t>Son Servera</t>
  </si>
  <si>
    <t>971 81 72 02</t>
  </si>
  <si>
    <t>Florenia Flor Natural</t>
  </si>
  <si>
    <t>Carrer de la, Plaça Nova, 12, 07320 Santa Maria del Camí, Balearic Islands</t>
  </si>
  <si>
    <t>florenia.negocio.site</t>
  </si>
  <si>
    <t>616 95 30 27</t>
  </si>
  <si>
    <t>La Rambla, 12, 07003 Palma, Illes Balears</t>
  </si>
  <si>
    <t>Bloom Box Mallorca</t>
  </si>
  <si>
    <t>bloombox-mallorca.com</t>
  </si>
  <si>
    <t>679 29 00 85</t>
  </si>
  <si>
    <t>CarnívorasBaratas</t>
  </si>
  <si>
    <t>carnivorasbaratas.negocio.site</t>
  </si>
  <si>
    <t>655 39 09 65</t>
  </si>
  <si>
    <t>S&amp;apos;Espiga Floristeria Manacor</t>
  </si>
  <si>
    <t>Passeig del Ferrocarril, 100, 07500 Manacor, Illes Balears</t>
  </si>
  <si>
    <t>971 84 35 71</t>
  </si>
  <si>
    <t>Vanda Flower Studio</t>
  </si>
  <si>
    <t>Avinguda de l&amp;apos;Argentina, 32, 07011 Palma, Illes Balears</t>
  </si>
  <si>
    <t>vandaflowerstudio.com</t>
  </si>
  <si>
    <t>Floristeria Vilafranca</t>
  </si>
  <si>
    <t>Ctra. de Palma, 138, 07250 Vilafranca de Bonany, Illes Balears</t>
  </si>
  <si>
    <t>Villafranca de Bonany</t>
  </si>
  <si>
    <t>floristeria-vilafranca-mallorca.es</t>
  </si>
  <si>
    <t>971 56 06 66</t>
  </si>
  <si>
    <t>sapunta@seznam.cz</t>
  </si>
  <si>
    <t>Floristería El Detalle</t>
  </si>
  <si>
    <t>Carrer del Llinquer, 7, 07819 Jesús, Balearic Islands</t>
  </si>
  <si>
    <t>Niyma</t>
  </si>
  <si>
    <t>Carrer Major, 75, 07749 Es Migjorn Gran, Illes Balears</t>
  </si>
  <si>
    <t>Es Migjorn Gran</t>
  </si>
  <si>
    <t>971 37 01 56</t>
  </si>
  <si>
    <t>Pompas Fúnebres Ibiza - Floristería</t>
  </si>
  <si>
    <t>pompasfunebresibiza.es</t>
  </si>
  <si>
    <t>971 39 20 00</t>
  </si>
  <si>
    <t>administracion@pompasfunebresibiza.es</t>
  </si>
  <si>
    <t>Floristería Mimosa Garden Center</t>
  </si>
  <si>
    <t>PMV-4023, Ctra. Porto Cristo-Son Servera, km1, 07680 Porto Cristo, Balearic Islands</t>
  </si>
  <si>
    <t>Port de Manacor</t>
  </si>
  <si>
    <t>971 82 15 96</t>
  </si>
  <si>
    <t>Desayunos A Domicilio En Ibiza</t>
  </si>
  <si>
    <t>Flors i Cosetes</t>
  </si>
  <si>
    <t>Carrer de Pius XI, nº6, 07460 Pollença, Illes Balears</t>
  </si>
  <si>
    <t>871 55 19 00</t>
  </si>
  <si>
    <t>Centro de Jardinería Truvi S.L.</t>
  </si>
  <si>
    <t>Av. Verge del Toro, 38, 07750 Ferreries, Illes Balears</t>
  </si>
  <si>
    <t>Ferrerías</t>
  </si>
  <si>
    <t>971 37 30 62</t>
  </si>
  <si>
    <t>Lotus</t>
  </si>
  <si>
    <t>Avinguda del Rei Jaume I, 113, 07180 Santa Ponça, Illes Balears</t>
  </si>
  <si>
    <t>971 69 77 93</t>
  </si>
  <si>
    <t>Sa Morera Floristeria</t>
  </si>
  <si>
    <t>Carrer d&amp;apos;Es Pla, 15, 07500 Manacor, Illes Balears</t>
  </si>
  <si>
    <t>floristeriasamorera.es</t>
  </si>
  <si>
    <t>871 98 64 44</t>
  </si>
  <si>
    <t>Centre De Jardinería Ciutadella</t>
  </si>
  <si>
    <t>Ronda Norte, km 3, 07760 Ciutadella de Menorca, Illes Balears</t>
  </si>
  <si>
    <t>971 38 40 18</t>
  </si>
  <si>
    <t>Tot amb Flors</t>
  </si>
  <si>
    <t>Carrer Coliseu, 4, 07190 Esporles, Illes Balears</t>
  </si>
  <si>
    <t>Esporlas</t>
  </si>
  <si>
    <t>649 99 01 47</t>
  </si>
  <si>
    <t>Flors Mercé</t>
  </si>
  <si>
    <t>Darryl Williams</t>
  </si>
  <si>
    <t>AR Flowers and events design</t>
  </si>
  <si>
    <t>665 08 80 48</t>
  </si>
  <si>
    <t>Camí dels Reis, 111, 07010 Sa Vileta-Son Rapinya, Illes Balears</t>
  </si>
  <si>
    <t>Sa Vileta-Son Rapinya</t>
  </si>
  <si>
    <t>657 95 01 37</t>
  </si>
  <si>
    <t>Bloss you</t>
  </si>
  <si>
    <t>Carrer des Noguerar, 15, 07100 Sóller, Illes Balears</t>
  </si>
  <si>
    <t>blossyou.com</t>
  </si>
  <si>
    <t>621 23 83 08</t>
  </si>
  <si>
    <t>hola@blossyou.com</t>
  </si>
  <si>
    <t>Kurukshetra Investments Sl</t>
  </si>
  <si>
    <t>Gran Via Asima, 14, 07009 Palma, Illes Balears</t>
  </si>
  <si>
    <t>971 43 22 50</t>
  </si>
  <si>
    <t>Avinguda del Dr. Llansó, 101, 07740 Es Mercadal, Balearic Islands</t>
  </si>
  <si>
    <t>Es Mercadal</t>
  </si>
  <si>
    <t>ikebanamenorca.com</t>
  </si>
  <si>
    <t>971 37 54 41</t>
  </si>
  <si>
    <t>info@ikebanamenorca.com</t>
  </si>
  <si>
    <t>Flowers for Yachts Mallorca</t>
  </si>
  <si>
    <t>flowersforyachtsmallorca.com</t>
  </si>
  <si>
    <t>Floristeria Avinguda</t>
  </si>
  <si>
    <t>Avinguda d&amp;apos;Es Tren, 21, 07500 Manacor, Balearic Islands</t>
  </si>
  <si>
    <t>floristeriaavinguda.com</t>
  </si>
  <si>
    <t>971 55 10 73</t>
  </si>
  <si>
    <t>info@floristeriaavinguda.com</t>
  </si>
  <si>
    <t>Antonia Pedraza Tordillo</t>
  </si>
  <si>
    <t>Carrer del General Riera, 152, 07010 Palma, Illes Balears</t>
  </si>
  <si>
    <t>971 20 72 03</t>
  </si>
  <si>
    <t>Mery Flowers</t>
  </si>
  <si>
    <t>ca&amp;apos;n pueyo numero 3, 07003 Palma</t>
  </si>
  <si>
    <t>680 32 93 90</t>
  </si>
  <si>
    <t>Fleurs Santa Catalina</t>
  </si>
  <si>
    <t>Plaça de la Navegació, s/n, Puesto 82-83, 07013 Palma, Balearic Islands</t>
  </si>
  <si>
    <t>fleursantacatalina.com</t>
  </si>
  <si>
    <t>615 23 48 58</t>
  </si>
  <si>
    <t>Can Murtó</t>
  </si>
  <si>
    <t>Carrer de sa Galla, 94, 07260 Porreres, Illes Balears</t>
  </si>
  <si>
    <t>floristeriacanmurto.com</t>
  </si>
  <si>
    <t>971 64 70 53</t>
  </si>
  <si>
    <t>Lina Torres Torres</t>
  </si>
  <si>
    <t>Carrer del Metge Villangómez Ferrer, 7, 07830 Sant Josep De Sa Talaia, Illes Balears</t>
  </si>
  <si>
    <t>Casa y Campo Sant Jordi</t>
  </si>
  <si>
    <t>Ctra. Aeropuerto, 58, 07817 Sant Jordi, Balearic Islands</t>
  </si>
  <si>
    <t>San Jorge de ses Salines</t>
  </si>
  <si>
    <t>casaycamposantjordi.com</t>
  </si>
  <si>
    <t>971 39 52 47</t>
  </si>
  <si>
    <t>ribassas@hotmail.com</t>
  </si>
  <si>
    <t>Avenida</t>
  </si>
  <si>
    <t>Avinguda d&amp;apos;Es Tren, 21, 07500 Manacor, Islas Baleares</t>
  </si>
  <si>
    <t>Floretines Algaida</t>
  </si>
  <si>
    <t>Carrer del Pare Bartomeu Pou n32A, 07210 Algaida, Balearic Islands</t>
  </si>
  <si>
    <t>Algaida</t>
  </si>
  <si>
    <t>601 90 32 50</t>
  </si>
  <si>
    <t>Eiviss Garden</t>
  </si>
  <si>
    <t>07820 San Antonio Abad, Islas Baleares</t>
  </si>
  <si>
    <t>San Antonio Abad</t>
  </si>
  <si>
    <t>971 80 46 18</t>
  </si>
  <si>
    <t>Jardin de Llucmajor SL</t>
  </si>
  <si>
    <t>Carretera S&amp;apos;Arenal, KM 0 (Junto rotonda entrada al pueblo de Llucmajor), 07620 Llucmajor, Balearic Islands</t>
  </si>
  <si>
    <t>jardindellucmajor.com</t>
  </si>
  <si>
    <t>971 12 07 27</t>
  </si>
  <si>
    <t>hola@jardindellucmajor.com</t>
  </si>
  <si>
    <t>Anaís Flores</t>
  </si>
  <si>
    <t>Calle Venegas, 37, 35003 Las Palmas de Gran Canaria, Las Palmas</t>
  </si>
  <si>
    <t>Las Palmas de Gran Canaria</t>
  </si>
  <si>
    <t>Las Palmas</t>
  </si>
  <si>
    <t>anaisflores.com</t>
  </si>
  <si>
    <t>928 36 33 18</t>
  </si>
  <si>
    <t>floristeriaanais@gmail.com</t>
  </si>
  <si>
    <t>Regalo Flores Floristería Las Palmas</t>
  </si>
  <si>
    <t>Carr. Gral. de San Lorenzo, 124, 35018 Risco Negro, Las Palmas</t>
  </si>
  <si>
    <t>Risco Negro</t>
  </si>
  <si>
    <t>regaloflores.eu</t>
  </si>
  <si>
    <t>619 09 73 71</t>
  </si>
  <si>
    <t>Floristería Las Palmas</t>
  </si>
  <si>
    <t>Calle Veintinueve de Abril, 74, 35007 Las Palmas de Gran Canaria, Las Palmas</t>
  </si>
  <si>
    <t>floristeriaslaspalmas.com</t>
  </si>
  <si>
    <t>Floristería Mármol Flor</t>
  </si>
  <si>
    <t>Av. Juan XXIII, 24, LOCAL 6, 35004 Las Palmas de Gran Canaria, Las Palmas</t>
  </si>
  <si>
    <t>floristeriamarmolflor.com</t>
  </si>
  <si>
    <t>928 24 20 20</t>
  </si>
  <si>
    <t>info@floristeriamarmolflor.com</t>
  </si>
  <si>
    <t>Floristería La Pagoda</t>
  </si>
  <si>
    <t>Calle Gral. Mas de Gaminde, 24, 35006 Las Palmas de Gran Canaria, Las Palmas</t>
  </si>
  <si>
    <t>floristerialapagoda.com</t>
  </si>
  <si>
    <t>928 29 50 34</t>
  </si>
  <si>
    <t>Kentia Flores</t>
  </si>
  <si>
    <t>Calle Fondos de Segura, 7, 35019 Las Palmas de Gran Canaria, Las Palmas</t>
  </si>
  <si>
    <t>kentiaflores.com</t>
  </si>
  <si>
    <t>928 31 06 42</t>
  </si>
  <si>
    <t>kentiaflores@gmail.com</t>
  </si>
  <si>
    <t>Floristería Miranda</t>
  </si>
  <si>
    <t>Calle Obispo Romo, 16, Local, 35011 Las Palmas de Gran Canaria, Las Palmas</t>
  </si>
  <si>
    <t>floristeriamiranda.es</t>
  </si>
  <si>
    <t>928 25 40 39</t>
  </si>
  <si>
    <t>Floristería Junco</t>
  </si>
  <si>
    <t>Calle Ángel Guimerá, 92, 35004 Las Palmas de Gran Canaria, Las Palmas</t>
  </si>
  <si>
    <t>928 29 06 83</t>
  </si>
  <si>
    <t>Floristería Kentia Guanarteme</t>
  </si>
  <si>
    <t>Calle República Dominicana, 13, LOCAL-7, 35010 Las Palmas de Gran Canaria, Las Palmas</t>
  </si>
  <si>
    <t>kentiafloristeria.com</t>
  </si>
  <si>
    <t>928 22 06 84</t>
  </si>
  <si>
    <t>info@kentiafloristeria.com</t>
  </si>
  <si>
    <t>Floristería Tus Flores</t>
  </si>
  <si>
    <t>Calle Gral. Bravo, 7, 35002 Las Palmas de Gran Canaria, Las Palmas</t>
  </si>
  <si>
    <t>floristeriatusflores.es</t>
  </si>
  <si>
    <t>928 37 07 91</t>
  </si>
  <si>
    <t>Floristería el Jardín</t>
  </si>
  <si>
    <t>Don Bernardino Correa Viera Nº 9, Prolongación de Primero de Mayo., 35002 Las Palmas de Gran Canaria</t>
  </si>
  <si>
    <t>Floristeria y Boutique del Bonsái Javier Déniz</t>
  </si>
  <si>
    <t>Av. José Mesa y López, 85, local 11, 35010 Las Palmas de Gran Canaria, Las Palmas</t>
  </si>
  <si>
    <t>bonsailaspalmas.com</t>
  </si>
  <si>
    <t>618 60 38 98</t>
  </si>
  <si>
    <t>Los Toldos Floristeria</t>
  </si>
  <si>
    <t>Calle Juan E. Doreste, 14, 35001 Las Palmas de Gran Canaria, Las Palmas</t>
  </si>
  <si>
    <t>928 31 81 35</t>
  </si>
  <si>
    <t>Floristería Amaflor</t>
  </si>
  <si>
    <t>Av. Escaleritas, 161, 35013 Las Palmas de Gran Canaria, Las Palmas</t>
  </si>
  <si>
    <t>928 50 43 22</t>
  </si>
  <si>
    <t>Floristería Leo&amp;apos;s</t>
  </si>
  <si>
    <t>Av. Escaleritas, 39, 35011 Las Palmas de Gran Canaria, Las Palmas</t>
  </si>
  <si>
    <t>928 25 65 56</t>
  </si>
  <si>
    <t>lafloristeriacanarias.es</t>
  </si>
  <si>
    <t>Calle Aldea Blanca, 3, 35010 Las Palmas de Gran Canaria, Las Palmas</t>
  </si>
  <si>
    <t>928 48 52 63</t>
  </si>
  <si>
    <t>info@lafloristericanarias.es</t>
  </si>
  <si>
    <t>Floristería Ripoche</t>
  </si>
  <si>
    <t>Calle Ripoche, 27, 35007 Las Palmas de Gran Canaria, Las Palmas</t>
  </si>
  <si>
    <t>floristeriaripoche.com</t>
  </si>
  <si>
    <t>928 22 43 92</t>
  </si>
  <si>
    <t>pwacompat@2.0.9</t>
  </si>
  <si>
    <t>Floristería El Arriate</t>
  </si>
  <si>
    <t>Calle Ángel Guerra, 2, 35003 Las Palmas de Gran Canaria, Las Palmas</t>
  </si>
  <si>
    <t>elarriateflores.com</t>
  </si>
  <si>
    <t>928 36 11 69</t>
  </si>
  <si>
    <t>Floristería edelweiss</t>
  </si>
  <si>
    <t>Calle del Industrial José Sánchez Peñate, Centro comercial las Arenas, 35010 Las Palmas de Gran Canaria</t>
  </si>
  <si>
    <t>teldeflor.com</t>
  </si>
  <si>
    <t>928 22 84 97</t>
  </si>
  <si>
    <t>Floristería Azahar. Arte y Decoración Floral</t>
  </si>
  <si>
    <t>Calle Antonio Jorge, Calle Galicia, 12 Esquina, 35600 Puerto del Rosario, Las Palmas</t>
  </si>
  <si>
    <t>Puerto del Rosario</t>
  </si>
  <si>
    <t>floristeriayeventosazahar.com</t>
  </si>
  <si>
    <t>666 97 54 32</t>
  </si>
  <si>
    <t>pedidos@floristeriayeventosazahar.com</t>
  </si>
  <si>
    <t>Floristería San Ginés</t>
  </si>
  <si>
    <t>Calle Pintor Juan Guillermo, 6, 35011 Las Palmas de Gran Canaria, Las Palmas</t>
  </si>
  <si>
    <t>floristeriasangines.com</t>
  </si>
  <si>
    <t>928 28 44 55</t>
  </si>
  <si>
    <t>Floristería Hesperia</t>
  </si>
  <si>
    <t>Calle Manuel González Martín, 38, 35006 Las Palmas de Gran Canaria, Las Palmas</t>
  </si>
  <si>
    <t>floristeriahesperia.blogspot.com</t>
  </si>
  <si>
    <t>928 24 71 10</t>
  </si>
  <si>
    <t>hesperia2@interflora.es</t>
  </si>
  <si>
    <t>Calle Luján Pérez, 4, 35008 Las Palmas de Gran Canaria, Las Palmas</t>
  </si>
  <si>
    <t>928 46 64 56</t>
  </si>
  <si>
    <t>Garzaflor</t>
  </si>
  <si>
    <t>Calle Párroco Francisco Rodríguez Rodríguez, 56, 35010 Las Palmas de Gran Canaria, Las Palmas</t>
  </si>
  <si>
    <t>928 22 51 62</t>
  </si>
  <si>
    <t>Floristería San Miguel</t>
  </si>
  <si>
    <t>Calle el Calvario, 1, 35217 Valsequillo, Las Palmas</t>
  </si>
  <si>
    <t>Valsequillo</t>
  </si>
  <si>
    <t>amawebs.com</t>
  </si>
  <si>
    <t>928 57 10 64</t>
  </si>
  <si>
    <t>Nature World Floristeria</t>
  </si>
  <si>
    <t>Calle Plácido Domingo, 12, 35100 Maspalomas, Las Palmas</t>
  </si>
  <si>
    <t>Maspalomas</t>
  </si>
  <si>
    <t>606 02 48 55</t>
  </si>
  <si>
    <t>María Del Carmen Quintana Brito</t>
  </si>
  <si>
    <t>Calle Juan E. Doreste, 14, 35001 Palmas De Gran Canaria ( Las ), Las Palmas</t>
  </si>
  <si>
    <t>928 31 88 13</t>
  </si>
  <si>
    <t>Floristeria Isleta</t>
  </si>
  <si>
    <t>Calle Faro, 27, 35009 Las Palmas de Gran Canaria, Las Palmas</t>
  </si>
  <si>
    <t>928 46 99 33</t>
  </si>
  <si>
    <t>Dalmaflor</t>
  </si>
  <si>
    <t>Av Pintor Felo Monzón, 32, 35019 Las Palmas de Gran Canaria, Las Palmas</t>
  </si>
  <si>
    <t>928 41 62 03</t>
  </si>
  <si>
    <t>Floristeria Elegancia Las Palmas</t>
  </si>
  <si>
    <t>Av. Escaleritas, 157, 35013 Las Palmas de Gran Canaria, Las Palmas</t>
  </si>
  <si>
    <t>floristerialaspalmaselegancia.com</t>
  </si>
  <si>
    <t>928 41 46 46</t>
  </si>
  <si>
    <t>FLORISTERÍA JACARANDA EVENTI</t>
  </si>
  <si>
    <t>Calle Juan Sebastián Elcano, 17, 35660 Corralejo, Las Palmas</t>
  </si>
  <si>
    <t>Corralejo</t>
  </si>
  <si>
    <t>928 53 63 89</t>
  </si>
  <si>
    <t>Floristeria Yamiley</t>
  </si>
  <si>
    <t>Calle Cantonera, 6, 35200 Telde, Las Palmas</t>
  </si>
  <si>
    <t>Telde</t>
  </si>
  <si>
    <t>928 69 78 45</t>
  </si>
  <si>
    <t>Floristería Tara</t>
  </si>
  <si>
    <t>Calle Lopez Botas, 8, 35215 El Calero, Las Palmas</t>
  </si>
  <si>
    <t>El Calero</t>
  </si>
  <si>
    <t>928 68 41 67</t>
  </si>
  <si>
    <t>Grupo Crisol Floristerias</t>
  </si>
  <si>
    <t>Ctra. General, 164, 35460 Gáldar, Las Palmas</t>
  </si>
  <si>
    <t>Gáldar</t>
  </si>
  <si>
    <t>928 88 10 63</t>
  </si>
  <si>
    <t>Floristeria Los Cactus</t>
  </si>
  <si>
    <t>Calle Maria Muñoz Mayor, 2, 35240 Carrizal, Las Palmas</t>
  </si>
  <si>
    <t>Carrizal</t>
  </si>
  <si>
    <t>928 78 28 56</t>
  </si>
  <si>
    <t>Floristería Tataflores</t>
  </si>
  <si>
    <t>Carr. Gral. A Tamaraceite, 182, 35018 Tamaraceite, Las Palmas</t>
  </si>
  <si>
    <t>Tamaraceite</t>
  </si>
  <si>
    <t>928 67 69 17</t>
  </si>
  <si>
    <t>Floristeria Hariflor</t>
  </si>
  <si>
    <t>Calle Primero de Mayo, 112, 35110 Vecindario, Las Palmas</t>
  </si>
  <si>
    <t>Vecindario</t>
  </si>
  <si>
    <t>928 79 41 13</t>
  </si>
  <si>
    <t>Floristeria Rosales</t>
  </si>
  <si>
    <t>Calle León y Castillo, 13, 35420 Moya, Las Palmas</t>
  </si>
  <si>
    <t>Moya</t>
  </si>
  <si>
    <t>928 61 07 42</t>
  </si>
  <si>
    <t>Floristería San Rafael</t>
  </si>
  <si>
    <t>Av. de Canarias, 382, 35110 Vecindario, Las Palmas</t>
  </si>
  <si>
    <t>928 75 26 44</t>
  </si>
  <si>
    <t>Floristeria amaryllis</t>
  </si>
  <si>
    <t>Carr. de San Bartolomé, 58, 35500 Arrecife, Las Palmas</t>
  </si>
  <si>
    <t>Arrecife</t>
  </si>
  <si>
    <t>928 80 58 56</t>
  </si>
  <si>
    <t>Los Cactus</t>
  </si>
  <si>
    <t>Calle República Argentina, 76, 35240 Ingenio, Las Palmas</t>
  </si>
  <si>
    <t>Ingenio</t>
  </si>
  <si>
    <t>928 78 21 09</t>
  </si>
  <si>
    <t>Los Cedros Flores</t>
  </si>
  <si>
    <t>Calle Almte. Boado Endeiza, 4, 35500 Arrecife, Las Palmas</t>
  </si>
  <si>
    <t>interflora.es</t>
  </si>
  <si>
    <t>928 81 47 64</t>
  </si>
  <si>
    <t>acliente@interflora.es</t>
  </si>
  <si>
    <t>Floristería Gran Flor</t>
  </si>
  <si>
    <t>Calle Manuel Velázquez Cabrera, 5, 35620 Gran Tarajal, Las Palmas</t>
  </si>
  <si>
    <t>Gran Tarajal</t>
  </si>
  <si>
    <t>928 87 08 32</t>
  </si>
  <si>
    <t>Floristería Villaflor</t>
  </si>
  <si>
    <t>Calle Poeta Tomás Morales, 10, 35420 Moya, Las Palmas</t>
  </si>
  <si>
    <t>928 61 05 98</t>
  </si>
  <si>
    <t>Floristeria Sergio &amp;amp; Margot</t>
  </si>
  <si>
    <t>Adv. De la, Av. de la Gloria, 14, 35250 Ingenio, Las Palmas</t>
  </si>
  <si>
    <t>928 78 81 07</t>
  </si>
  <si>
    <t>Flores Galdar</t>
  </si>
  <si>
    <t>Calle Santiago de los Caballeros, 1, 35460 Gáldar, Las Palmas</t>
  </si>
  <si>
    <t>928 88 04 17</t>
  </si>
  <si>
    <t>Floristería Los Geranios</t>
  </si>
  <si>
    <t>Calle Muyay, 130, 35500 Arrecife, Las Palmas</t>
  </si>
  <si>
    <t>928 80 74 43</t>
  </si>
  <si>
    <t>Floristería Luna</t>
  </si>
  <si>
    <t>35220, Las Palmas</t>
  </si>
  <si>
    <t>Valle de Jinamar</t>
  </si>
  <si>
    <t>928 58 00 57</t>
  </si>
  <si>
    <t>FLORISTERIA HELICONIA</t>
  </si>
  <si>
    <t>Calle Juan Morales Navarro, 13, 35300 Sta Brígida, Las Palmas</t>
  </si>
  <si>
    <t>Sta Brígida</t>
  </si>
  <si>
    <t>627 59 56 62</t>
  </si>
  <si>
    <t>Floristeria Las Gardenias</t>
  </si>
  <si>
    <t>Calle de Francisco Pizarro, 3, 35110 Vecindario, Las Palmas</t>
  </si>
  <si>
    <t>928 75 10 35</t>
  </si>
  <si>
    <t>Floristeria El Patio</t>
  </si>
  <si>
    <t>Calle Colón, 5, 35110 Vecindario, Las Palmas</t>
  </si>
  <si>
    <t>floristeriaelpatio.es</t>
  </si>
  <si>
    <t>928 14 95 82</t>
  </si>
  <si>
    <t>Emociones Shop</t>
  </si>
  <si>
    <t>Calle Chimidas, 44, 35509 Playa Honda, Las Palmas</t>
  </si>
  <si>
    <t>Playa Honda</t>
  </si>
  <si>
    <t>emocionesshop.es</t>
  </si>
  <si>
    <t>651 19 02 63</t>
  </si>
  <si>
    <t>Calle, Av. Juan Carlos I, N31, 35660 Corralejo, Las Palmas</t>
  </si>
  <si>
    <t>655 17 60 53</t>
  </si>
  <si>
    <t>Gladys Flor</t>
  </si>
  <si>
    <t>centro cívico puerto rico local 178 S, fase 1, 35130 Puerto Rico de Gran Canaria, Las Palmas</t>
  </si>
  <si>
    <t>Puerto Rico de Gran Canaria</t>
  </si>
  <si>
    <t>floristeriagladysflor.com</t>
  </si>
  <si>
    <t>928 56 03 99</t>
  </si>
  <si>
    <t>gladysfloryumbo@gmail.com</t>
  </si>
  <si>
    <t>Floristería Las Cristinas</t>
  </si>
  <si>
    <t>Calle de Luján Pérez, 133, 35500 Arrecife, PALMAS, LAS</t>
  </si>
  <si>
    <t>LAS</t>
  </si>
  <si>
    <t>floristerialascristinas.com</t>
  </si>
  <si>
    <t>928 80 70 53</t>
  </si>
  <si>
    <t>Floristería Hariflor</t>
  </si>
  <si>
    <t>35110 Primero de mayo n 112A, 35110 Vecindario, Las Palmas</t>
  </si>
  <si>
    <t>hariflor.com</t>
  </si>
  <si>
    <t>info@hariflor.com</t>
  </si>
  <si>
    <t>Crisol floristeria canarias san isidro</t>
  </si>
  <si>
    <t>Carretera general de san isidro n°44, 35460 Gáldar, Las Palmas</t>
  </si>
  <si>
    <t>FLORISTERÍA JECA</t>
  </si>
  <si>
    <t>Calle Lanzarote, 5, 35620 Gran Tarajal, Las Palmas</t>
  </si>
  <si>
    <t>691 43 58 77</t>
  </si>
  <si>
    <t>Fátima Carmen Ruiz Rodríguez</t>
  </si>
  <si>
    <t>Calle León y Castillo, 92, 35600 Puerto del Rosario, Las Palmas</t>
  </si>
  <si>
    <t>928 85 08 99</t>
  </si>
  <si>
    <t>Floristería Tías</t>
  </si>
  <si>
    <t>Av. Central, 93, 35572 Tías, Las Palmas</t>
  </si>
  <si>
    <t>Tías</t>
  </si>
  <si>
    <t>floristeriatias.es</t>
  </si>
  <si>
    <t>928 83 44 61</t>
  </si>
  <si>
    <t>a36b86319e6542838a534122c8870e3f@sentry.qdqmedia.com</t>
  </si>
  <si>
    <t>Arte Floral Lasso</t>
  </si>
  <si>
    <t>C/ Canónigo Miguel Suárez, 3, 35330 Teror, Las Palmas</t>
  </si>
  <si>
    <t>Teror</t>
  </si>
  <si>
    <t>928 63 20 81</t>
  </si>
  <si>
    <t>Flores Arucas</t>
  </si>
  <si>
    <t>Paseo Poeta Pedro Lezcano, 0, 35400 Arucas, Las Palmas</t>
  </si>
  <si>
    <t>Arucas</t>
  </si>
  <si>
    <t>928 62 34 64</t>
  </si>
  <si>
    <t>Margarita del Carmen López Batista</t>
  </si>
  <si>
    <t>Calle Juan XXIII, 6, 35600 Puerto del Rosario, Las Palmas</t>
  </si>
  <si>
    <t>928 53 27 32</t>
  </si>
  <si>
    <t>Las Flores de Chloe</t>
  </si>
  <si>
    <t>Calle Dr. Waksman, nº3, 35003 Las Palmas de Gran Canaria, Las Palmas</t>
  </si>
  <si>
    <t>828 05 33 33</t>
  </si>
  <si>
    <t>Ramos Floristería</t>
  </si>
  <si>
    <t>Calle San Diego Alcalá, 27, 35210 Telde, Las Palmas</t>
  </si>
  <si>
    <t>928 70 42 46</t>
  </si>
  <si>
    <t>Floristería Arco Iris</t>
  </si>
  <si>
    <t>Calle León y Castillo, 146, 35600 Puerto del Rosario, Las Palmas</t>
  </si>
  <si>
    <t>928 85 23 46</t>
  </si>
  <si>
    <t>Jap</t>
  </si>
  <si>
    <t>Plaza de Tindaya, 1, 35100 Maspalomas, Las Palmas</t>
  </si>
  <si>
    <t>floristeriajap.com</t>
  </si>
  <si>
    <t>928 76 99 53</t>
  </si>
  <si>
    <t>admin@floristeriajap.com</t>
  </si>
  <si>
    <t>Floristería Tona</t>
  </si>
  <si>
    <t>Ctra. General km 24, 9, 35450 Guía, Las Palmas</t>
  </si>
  <si>
    <t>Guía</t>
  </si>
  <si>
    <t>928 88 16 69</t>
  </si>
  <si>
    <t>Pedro Ruiz</t>
  </si>
  <si>
    <t>Calle Cataluña, 10, 35600 Puerto del Rosario, Las Palmas</t>
  </si>
  <si>
    <t>696 85 10 05</t>
  </si>
  <si>
    <t>Los Nopales Floristería</t>
  </si>
  <si>
    <t>Calle León y Castillo, 320A, 35007 Las Palmas de Gran Canaria, Las Palmas</t>
  </si>
  <si>
    <t>floristerialosnopales.com</t>
  </si>
  <si>
    <t>928 26 22 22</t>
  </si>
  <si>
    <t>info@floristerialosnopales.com</t>
  </si>
  <si>
    <t>Floristeria Los Almendros</t>
  </si>
  <si>
    <t>35110 Vecindario, Las Palmas</t>
  </si>
  <si>
    <t>Gladys Flor Yumbo Playa Del Ingles</t>
  </si>
  <si>
    <t>Av. Estados Unidos, 54, 35100 Maspalomas, Las Palmas</t>
  </si>
  <si>
    <t>928 38 91 43</t>
  </si>
  <si>
    <t>Novia Flor</t>
  </si>
  <si>
    <t>Calle Cádiz, 37, 35500 Arrecife, Las Palmas</t>
  </si>
  <si>
    <t>608 01 02 50</t>
  </si>
  <si>
    <t>Puerto Flor</t>
  </si>
  <si>
    <t>Calle Tenerife, 36, 35600 Puerto del Rosario, Las Palmas</t>
  </si>
  <si>
    <t>928 85 09 83</t>
  </si>
  <si>
    <t>Floristería Malola</t>
  </si>
  <si>
    <t>Calle Calderetas, 22, 35550 San Bartolomé, Las Palmas</t>
  </si>
  <si>
    <t>San Bartolomé</t>
  </si>
  <si>
    <t>928 52 27 93</t>
  </si>
  <si>
    <t>José Luis Ramón Cabrera</t>
  </si>
  <si>
    <t>Calle la Venta, 14, 35600 Puerto del Rosario, Las Palmas</t>
  </si>
  <si>
    <t>928 85 04 81</t>
  </si>
  <si>
    <t>Floristeria Altamira Verde</t>
  </si>
  <si>
    <t>Av. de las Palmeras, 9, 35508 Costa Teguise, Las Palmas</t>
  </si>
  <si>
    <t>Costa Teguise</t>
  </si>
  <si>
    <t>floristeriaaltamiraverde.com</t>
  </si>
  <si>
    <t>928 81 48 39</t>
  </si>
  <si>
    <t>floraltamiraverde@hotmail.com</t>
  </si>
  <si>
    <t>Yani Floristería</t>
  </si>
  <si>
    <t>Calle Libertad, 33, 35572 Tías, Las Palmas</t>
  </si>
  <si>
    <t>yani-floristeria.negocio.site</t>
  </si>
  <si>
    <t>928 52 40 95</t>
  </si>
  <si>
    <t>Flores y Decoración Ana Albán</t>
  </si>
  <si>
    <t>Calle Diputado Manuel Velázquez Cabrera, 25, Local 1, 35625 Morro Jable, Las Palmas</t>
  </si>
  <si>
    <t>Morro Jable</t>
  </si>
  <si>
    <t>619 54 87 91</t>
  </si>
  <si>
    <t>Floristería Tasaigo</t>
  </si>
  <si>
    <t>Av. Polizón, 61, 35118 Arinaga, Las Palmas</t>
  </si>
  <si>
    <t>Arinaga</t>
  </si>
  <si>
    <t>928 18 13 38</t>
  </si>
  <si>
    <t>Floristería Telde Flor</t>
  </si>
  <si>
    <t>Av. del Cabildo Insular, 66, 35200 Telde, Las Palmas</t>
  </si>
  <si>
    <t>928 69 88 53</t>
  </si>
  <si>
    <t>Paraíso</t>
  </si>
  <si>
    <t>Calle Hierro, 4, 35620 Gran Tarajal, Las Palmas</t>
  </si>
  <si>
    <t>928 16 27 83</t>
  </si>
  <si>
    <t>Wapadas</t>
  </si>
  <si>
    <t>Calle María Encarnación Navarro, 17, 35200 Telde, Las Palmas</t>
  </si>
  <si>
    <t>628 13 60 98</t>
  </si>
  <si>
    <t>Floristería Vida de Colores CC 7Palmas</t>
  </si>
  <si>
    <t>Av Pintor Felo Monzón, 44, 35019 Las Palmas de Gran Canaria, Las Palmas</t>
  </si>
  <si>
    <t>627 64 08 18</t>
  </si>
  <si>
    <t>María Rita Linares Umpiérrez</t>
  </si>
  <si>
    <t>Calle Montañeta, 7, 35640 Oliva ( La ), Las Palmas</t>
  </si>
  <si>
    <t>Villaverde</t>
  </si>
  <si>
    <t>Soso Carmen</t>
  </si>
  <si>
    <t>Calle Mahan, 31, 35620 Gran Tarajal, Las Palmas</t>
  </si>
  <si>
    <t>928 16 22 17</t>
  </si>
  <si>
    <t>Rojo Amapola Arte Floral, S.C.P</t>
  </si>
  <si>
    <t>Calle Real, 1, 35300 Sta Brígida, Las Palmas</t>
  </si>
  <si>
    <t>rojoamapola.es</t>
  </si>
  <si>
    <t>928 64 52 74</t>
  </si>
  <si>
    <t>rojo_amapola@yahoo.es</t>
  </si>
  <si>
    <t>Cosas de Patio Floristería</t>
  </si>
  <si>
    <t>Av. Ansite, 20, 35118 Cruce de Arinaga, Las Palmas</t>
  </si>
  <si>
    <t>Cruce de Arinaga</t>
  </si>
  <si>
    <t>floristeriacosasdepatio.es</t>
  </si>
  <si>
    <t>928 18 70 67</t>
  </si>
  <si>
    <t>Caprichosftv</t>
  </si>
  <si>
    <t>Agaete</t>
  </si>
  <si>
    <t>caprichosftv.ueniweb.com</t>
  </si>
  <si>
    <t>667 63 34 86</t>
  </si>
  <si>
    <t>eibeic178@gmail.com</t>
  </si>
  <si>
    <t>Mifaya</t>
  </si>
  <si>
    <t>Calle Matías López, 35620 Gran Tarajal, Las Palmas</t>
  </si>
  <si>
    <t>928 87 01 41</t>
  </si>
  <si>
    <t>Maxoflores S.L.</t>
  </si>
  <si>
    <t>Calle Costa Calma, 0 S/N, 35628 Pájara, Las Palmas</t>
  </si>
  <si>
    <t>Pájara</t>
  </si>
  <si>
    <t>Flores Jara</t>
  </si>
  <si>
    <t>Calle Salta, 10, 35017 Tafira Baja, Las Palmas</t>
  </si>
  <si>
    <t>Tafira Baja</t>
  </si>
  <si>
    <t>928 35 00 38</t>
  </si>
  <si>
    <t>Las Salinas</t>
  </si>
  <si>
    <t>Av. Alcalde Ginés de la Hoz, 35500 Arrecife, Las Palmas</t>
  </si>
  <si>
    <t>La Granja de Fuerteventura</t>
  </si>
  <si>
    <t>Calle Herbania, 6, 35600 Puerto del Rosario, Las Palmas</t>
  </si>
  <si>
    <t>Floristeria Rosy</t>
  </si>
  <si>
    <t>35240 Carrizal, Las Palmas</t>
  </si>
  <si>
    <t>Floristería &amp;amp; Diseño</t>
  </si>
  <si>
    <t>35550 San Bartolomé, Las Palmas</t>
  </si>
  <si>
    <t>цветочный магазин Bonsais Arte y Flores</t>
  </si>
  <si>
    <t>Calle Méndez Núñez, 102, 38001 Santa Cruz de Tenerife</t>
  </si>
  <si>
    <t>Santa Cruz de Tenerife</t>
  </si>
  <si>
    <t>bonsaiarteyflores.es</t>
  </si>
  <si>
    <t>922 02 92 88</t>
  </si>
  <si>
    <t>Floristería Floresta</t>
  </si>
  <si>
    <t>Calle Imeldo Serís, 63, 38003 Santa Cruz de Tenerife</t>
  </si>
  <si>
    <t>floristeriafloresta.com</t>
  </si>
  <si>
    <t>922 28 10 15</t>
  </si>
  <si>
    <t>Floristería Nereyda</t>
  </si>
  <si>
    <t>Av. las Palmeras, 51, 38205 San Cristóbal de La Laguna, Santa Cruz de Tenerife</t>
  </si>
  <si>
    <t>San Cristóbal de La Laguna</t>
  </si>
  <si>
    <t>922 64 73 53</t>
  </si>
  <si>
    <t>Flores y Cosas</t>
  </si>
  <si>
    <t>Calle la Floresta, bl 3, 38207 San Cristóbal de La Laguna, Santa Cruz de Tenerife</t>
  </si>
  <si>
    <t>673 23 37 92</t>
  </si>
  <si>
    <t>Floristería La Corona</t>
  </si>
  <si>
    <t>Av. de los Majuelos, 101, 38108 Santa Cruz de Tenerife</t>
  </si>
  <si>
    <t>floristerialacorona.com</t>
  </si>
  <si>
    <t>629 52 15 57</t>
  </si>
  <si>
    <t>Calle Gamonal, 1, 38280 Tegueste, Santa Cruz de Tenerife</t>
  </si>
  <si>
    <t>Tegueste</t>
  </si>
  <si>
    <t>floristeriategueste.com</t>
  </si>
  <si>
    <t>922 54 52 05</t>
  </si>
  <si>
    <t>La Floristeria del Puertito</t>
  </si>
  <si>
    <t>Calle Juan Rodrigo de Triana, 2, 38508 Puertito de Güímar, Santa Cruz de Tenerife</t>
  </si>
  <si>
    <t>Puertito de Güímar</t>
  </si>
  <si>
    <t>Floristeria El Puente</t>
  </si>
  <si>
    <t>Calle Carrera del Escultor Estévez, Local 1 - 17, 38300 La Orotava, Santa Cruz de Tenerife</t>
  </si>
  <si>
    <t>La Orotava</t>
  </si>
  <si>
    <t>922 32 39 01</t>
  </si>
  <si>
    <t>Tiendas Guayrin, Floristeria, Regalo y Deportes.</t>
  </si>
  <si>
    <t>Calle Guayrin, nº4, 38710 la Palma, Santa Cruz de Tenerife</t>
  </si>
  <si>
    <t>San Pedro</t>
  </si>
  <si>
    <t>tiendasguayrin.com</t>
  </si>
  <si>
    <t>922 43 73 54</t>
  </si>
  <si>
    <t>info@tiendasguayrin.com</t>
  </si>
  <si>
    <t>Floristería Miss Butterfly</t>
  </si>
  <si>
    <t>Av. Carlos Francisco Lorenzo Navarro, 36, 38768 Los Llanos, Santa Cruz de Tenerife</t>
  </si>
  <si>
    <t>Los Llanos</t>
  </si>
  <si>
    <t>922 46 28 52</t>
  </si>
  <si>
    <t>Floristeria Florarium</t>
  </si>
  <si>
    <t>Calle de las Palmas, 8, 28937 Móstoles, Madrid</t>
  </si>
  <si>
    <t>florarium.es</t>
  </si>
  <si>
    <t>919 39 26 06</t>
  </si>
  <si>
    <t>Floristería Las Camelias 2 - Floristería en Santa Cruz de Tenerife</t>
  </si>
  <si>
    <t>Av. de Venezuela, 15, 38007 Santa Cruz de Tenerife</t>
  </si>
  <si>
    <t>floristeriaslascamelias.com</t>
  </si>
  <si>
    <t>922 20 31 32</t>
  </si>
  <si>
    <t>lacameliaflor@gmail.com</t>
  </si>
  <si>
    <t>Floristería en Tenerife - Las Camelias Central</t>
  </si>
  <si>
    <t>Av. de Venezuela, 6, 38007 Santa Cruz de Tenerife</t>
  </si>
  <si>
    <t>922 22 63 58</t>
  </si>
  <si>
    <t>Floristería Aloe</t>
  </si>
  <si>
    <t>Calle José Cubiles, 1, 38007 Santa Cruz de Tenerife</t>
  </si>
  <si>
    <t>floristeriaaloe.es</t>
  </si>
  <si>
    <t>922 20 06 52</t>
  </si>
  <si>
    <t>pedidos@floristeriaaloe.es</t>
  </si>
  <si>
    <t>FLORISTERIA MARANTA</t>
  </si>
  <si>
    <t>Av. Principes de España, 7, 38010 Santa Cruz de Tenerife</t>
  </si>
  <si>
    <t>marantafloristeria.es</t>
  </si>
  <si>
    <t>922 64 08 11</t>
  </si>
  <si>
    <t>info@marantafloristeria.es</t>
  </si>
  <si>
    <t>Floristería LARAVIAN</t>
  </si>
  <si>
    <t>Calle Pedro Guezala, 9, 38007 Santa Cruz de Tenerife</t>
  </si>
  <si>
    <t>661 96 08 03</t>
  </si>
  <si>
    <t>Floristeria Alejandro</t>
  </si>
  <si>
    <t>Calle Porlier, 83, 38006 Santa Cruz de Tenerife</t>
  </si>
  <si>
    <t>Merci Bouquet Floristería</t>
  </si>
  <si>
    <t>Calle de la Tolerancia, 14, 38001 Santa Cruz de Tenerife</t>
  </si>
  <si>
    <t>mercibouquet.es</t>
  </si>
  <si>
    <t>629 89 43 62</t>
  </si>
  <si>
    <t>info@mercibouquet.es</t>
  </si>
  <si>
    <t>FLORISTERÍA ERINAY</t>
  </si>
  <si>
    <t>Mercado Nuestra Señora de -Patio Central, Puesto nº2, Av. de San Sebastián, 51, 38003 Santa Cruz de Tenerife</t>
  </si>
  <si>
    <t>floristeria-erinay3.webnode.es</t>
  </si>
  <si>
    <t>639 74 19 29</t>
  </si>
  <si>
    <t>Calle Ramón y Cajal, 28, 38004 Santa Cruz de Tenerife</t>
  </si>
  <si>
    <t>922 27 06 29</t>
  </si>
  <si>
    <t>Floristas El Agricultor</t>
  </si>
  <si>
    <t>Av. de los Majuelos, 15, 38107 Santa Cruz de Tenerife</t>
  </si>
  <si>
    <t>922 62 25 70</t>
  </si>
  <si>
    <t>Floristería Las Camelias - Floristería Tanatorio Servisa en Tenerife</t>
  </si>
  <si>
    <t>Ctra. Santa Cruz Laguna, 5, 38001 Santa Cruz de Tenerife</t>
  </si>
  <si>
    <t>922 53 78 25</t>
  </si>
  <si>
    <t>Merci Bouquet. Máquina expendedora de flor natural</t>
  </si>
  <si>
    <t>Puerto escondido, 4 Centro Comercial Parque Bulevar. Planta 0, 38002 Santa Cruz de Tenerife</t>
  </si>
  <si>
    <t>Floristería La Cuesta</t>
  </si>
  <si>
    <t>Av. de los Menceyes, 350, 38320 San Cristóbal de La Laguna, Santa Cruz de Tenerife</t>
  </si>
  <si>
    <t>zonatranvia.com</t>
  </si>
  <si>
    <t>922 64 47 02</t>
  </si>
  <si>
    <t>info@zonatranvia.com</t>
  </si>
  <si>
    <t>Floristeria Florida Park</t>
  </si>
  <si>
    <t>Av. de Veinticinco de Julio, 39, 38003 Santa Cruz de Tenerife</t>
  </si>
  <si>
    <t>floristeriatenerife.com</t>
  </si>
  <si>
    <t>922 27 66 93</t>
  </si>
  <si>
    <t>info@floristeriatenerife.com</t>
  </si>
  <si>
    <t>Floristería Salamanca</t>
  </si>
  <si>
    <t>Calle del Olvido, 12, 38006 Santa Cruz de Tenerife</t>
  </si>
  <si>
    <t>Flores El Patio</t>
  </si>
  <si>
    <t>Centro Comercial Hiperdino Tome Cano, Calle Heliodoro Rodríguez López, 34, Local 5, 38005 Santa Cruz de Tenerife</t>
  </si>
  <si>
    <t>floreselpatio.es</t>
  </si>
  <si>
    <t>608 44 26 81</t>
  </si>
  <si>
    <t>floreselpatio@gmail.com</t>
  </si>
  <si>
    <t>La Florería Guardia y Jerez</t>
  </si>
  <si>
    <t>Calle de San Lucas, 19, 38003 Santa Cruz de Tenerife</t>
  </si>
  <si>
    <t>922 27 89 18</t>
  </si>
  <si>
    <t>Floristeria K-Iris</t>
  </si>
  <si>
    <t>Av. de los Majuelos, 111, 38107 Santa Cruz de Tenerife</t>
  </si>
  <si>
    <t>922 61 84 84</t>
  </si>
  <si>
    <t>Flores Lutzardo S.L.L.</t>
  </si>
  <si>
    <t>Calle las Lajas, 27, 38108 San Cristóbal de La Laguna, Santa Cruz de Tenerife</t>
  </si>
  <si>
    <t>Floristeria Ilcaflor</t>
  </si>
  <si>
    <t>C/ Abreu y Valdés, 27, 38320 San Cristóbal de La Laguna, Santa Cruz de Tenerife</t>
  </si>
  <si>
    <t>922 66 31 16</t>
  </si>
  <si>
    <t>Ctra. del Rosario, 25, 38009 Santa Cruz de Tenerife</t>
  </si>
  <si>
    <t>922 22 54 23</t>
  </si>
  <si>
    <t>Floristería Princesa Yballa</t>
  </si>
  <si>
    <t>Lugar Urbanización Princesa Yballa, 0 Bloque 13, 38320 La Cuesta, Santa Cruz de Tenerife</t>
  </si>
  <si>
    <t>Adeje</t>
  </si>
  <si>
    <t>922 64 28 47</t>
  </si>
  <si>
    <t>La Compañía Agrícola De Tenerife</t>
  </si>
  <si>
    <t>Calle Tagoro, 2, 38107 Santa Cruz de Tenerife</t>
  </si>
  <si>
    <t>922 57 11 22</t>
  </si>
  <si>
    <t>Bloom Design</t>
  </si>
  <si>
    <t>Leonor Medina Chávez</t>
  </si>
  <si>
    <t>Calle de Obispo Pérez Cáceres, 15, 38006 Santa Cruz de Tenerife</t>
  </si>
  <si>
    <t>922 50 33 21</t>
  </si>
  <si>
    <t>Let it Flower</t>
  </si>
  <si>
    <t>Calle Ramón y Cajal, 47, Planta 2, 38006 Santa Cruz de Tenerife</t>
  </si>
  <si>
    <t>letit-flower.com</t>
  </si>
  <si>
    <t>su-email@ejemplo.com</t>
  </si>
  <si>
    <t>Mantenimiento Magda</t>
  </si>
  <si>
    <t>Calle Nuñez de la Peña, 31, 38009 Santa Cruz de Tenerife</t>
  </si>
  <si>
    <t>922 26 66 06</t>
  </si>
  <si>
    <t>Flores Amparo</t>
  </si>
  <si>
    <t>38110 Santa Cruz de Tenerife</t>
  </si>
  <si>
    <t>Floristeria Los Baldíos</t>
  </si>
  <si>
    <t>Camino del Medio, 177, 38291 San Cristóbal de La Laguna, Santa Cruz de Tenerife</t>
  </si>
  <si>
    <t>floristerialosbald.wixsite.com</t>
  </si>
  <si>
    <t>922 31 22 59</t>
  </si>
  <si>
    <t>Floristería Kiri</t>
  </si>
  <si>
    <t>Calle Barcelona, 6, 38204 San Cristóbal de La Laguna, Santa Cruz de Tenerife</t>
  </si>
  <si>
    <t>floristeriakiri.es</t>
  </si>
  <si>
    <t>638 87 97 51</t>
  </si>
  <si>
    <t>info@floristeriakiri.es</t>
  </si>
  <si>
    <t>Floristería Lara_ Tenerife</t>
  </si>
  <si>
    <t>Calle San Antonio, 30, 38202 San Cristóbal de La Laguna, Santa Cruz de Tenerife</t>
  </si>
  <si>
    <t>floreslara.com</t>
  </si>
  <si>
    <t>922 25 13 18</t>
  </si>
  <si>
    <t>info@floreslara.com</t>
  </si>
  <si>
    <t>FLORISTERÍA LAS PLANTAS</t>
  </si>
  <si>
    <t>626 67 76 73</t>
  </si>
  <si>
    <t>Floristería la flor</t>
  </si>
  <si>
    <t>Calle Nuñez de la Peña, 32, 38202 San Cristóbal de La Laguna, Santa Cruz de Tenerife</t>
  </si>
  <si>
    <t>floristerialalaguna.com</t>
  </si>
  <si>
    <t>633 32 58 56</t>
  </si>
  <si>
    <t>Fuentes Barrera F De</t>
  </si>
  <si>
    <t>Calle San Francisco de Paula, 95, 38291 Baldíos ( Los ), Santa Cruz de Tenerife</t>
  </si>
  <si>
    <t>Los Baldios</t>
  </si>
  <si>
    <t>922 26 66 98</t>
  </si>
  <si>
    <t>Los Baldíos</t>
  </si>
  <si>
    <t>Camino del Medio, 38291 Baldíos ( Los ), Santa Cruz de Tenerife</t>
  </si>
  <si>
    <t>922 31 22 25</t>
  </si>
  <si>
    <t>Floristería - Un bejeque en mi tejado</t>
  </si>
  <si>
    <t>nº, Calle Escultor Estevez, 3, 38203 San Cristóbal de La Laguna, Santa Cruz de Tenerife</t>
  </si>
  <si>
    <t>unbejequeenmitejado.com</t>
  </si>
  <si>
    <t>822 04 38 17</t>
  </si>
  <si>
    <t>informacion@bejequeentutejado.com</t>
  </si>
  <si>
    <t>Floristería Beniflor - Mundo Botánico</t>
  </si>
  <si>
    <t>Calle Viana, 27, 38201 San Cristóbal de La Laguna, Santa Cruz de Tenerife</t>
  </si>
  <si>
    <t>922 25 52 61</t>
  </si>
  <si>
    <t>Floristería El Jardín de Paula - Floristeria en La Laguna</t>
  </si>
  <si>
    <t>Av. de Lucas Vega, 92, 38206 San Cristóbal de La Laguna, Santa Cruz de Tenerife</t>
  </si>
  <si>
    <t>922 89 72 08</t>
  </si>
  <si>
    <t>Floristería Ave De Paraiso</t>
  </si>
  <si>
    <t>38291, Santa Cruz de Tenerife</t>
  </si>
  <si>
    <t>663 85 14 43</t>
  </si>
  <si>
    <t>María Cristina González García</t>
  </si>
  <si>
    <t>Plaza Mercado, 1, 38201 San Cristóbal de La Laguna, Santa Cruz de Tenerife</t>
  </si>
  <si>
    <t>Naturart Floristería</t>
  </si>
  <si>
    <t>Camino La Cañada, 190, 38297 Ortigal, Santa Cruz de Tenerife</t>
  </si>
  <si>
    <t>Ortigal</t>
  </si>
  <si>
    <t>naturart.es</t>
  </si>
  <si>
    <t>922 63 87 31</t>
  </si>
  <si>
    <t>info@naturart.es</t>
  </si>
  <si>
    <t>Anaga Market S L</t>
  </si>
  <si>
    <t>Calle Adelantado, 1, 38002 Santa Cruz de Tenerife</t>
  </si>
  <si>
    <t>canarius.com</t>
  </si>
  <si>
    <t>info@canarius.com</t>
  </si>
  <si>
    <t>Floristería Rojas</t>
  </si>
  <si>
    <t>Centro Comercial Punta Larga,planta 1 en la plaza, Rambla de los Menceyes, 38530 Candelaria, Santa Cruz de Tenerife</t>
  </si>
  <si>
    <t>Candelaria</t>
  </si>
  <si>
    <t>674 88 34 24</t>
  </si>
  <si>
    <t>Floristería Mi Flor</t>
  </si>
  <si>
    <t>Carr. Gral. del Nte., 394, 38340 Los Naranjeros, Santa Cruz de Tenerife</t>
  </si>
  <si>
    <t>Los Naranjeros</t>
  </si>
  <si>
    <t>663 60 16 97</t>
  </si>
  <si>
    <t>Floristería El Girasol</t>
  </si>
  <si>
    <t>Carretera General A Punta Hidalgo, 198, 38293 Tegueste</t>
  </si>
  <si>
    <t>922 54 55 39</t>
  </si>
  <si>
    <t>Floristeria Maxiflor Especialista en Bodas</t>
  </si>
  <si>
    <t>La Estacion, Carr. Gral. del Nte., 49, 38350 Tacoronte, Santa Cruz de Tenerife</t>
  </si>
  <si>
    <t>Tacoronte</t>
  </si>
  <si>
    <t>616 37 13 15</t>
  </si>
  <si>
    <t>Floristería Tacoronte</t>
  </si>
  <si>
    <t>Calle Hotel Camacho, 2, 38350 Tacoronte, Santa Cruz de Tenerife</t>
  </si>
  <si>
    <t>922 57 01 81</t>
  </si>
  <si>
    <t>Floristería Detalles Blancaflor</t>
  </si>
  <si>
    <t>Transversal Los Menceyes, 38530, Santa Cruz de Tenerife</t>
  </si>
  <si>
    <t>Brillasol</t>
  </si>
  <si>
    <t>Floristería Alhelí Flor - Floristeria especialista en arte floral en Tenerife</t>
  </si>
  <si>
    <t>Calle San Nicolás, 56, 38359 El Sauzal, Santa Cruz de Tenerife</t>
  </si>
  <si>
    <t>El Sauzal</t>
  </si>
  <si>
    <t>floristeriaalheliflor.com</t>
  </si>
  <si>
    <t>666 53 24 89</t>
  </si>
  <si>
    <t>Compflor Canarias S.L.</t>
  </si>
  <si>
    <t>C/Las Turroneras Nº35 - Tacoronte Santa Cruz de Tenerife ES, TF-5, Salida 17, 38350 Los Naranjeros</t>
  </si>
  <si>
    <t>922 57 39 95</t>
  </si>
  <si>
    <t>LEOMAMI by Jaime Estévez</t>
  </si>
  <si>
    <t>Av Condes Sta Maria de Abona, 25, 38530 Candelaria, Santa Cruz de Tenerife</t>
  </si>
  <si>
    <t>922 50 20 55</t>
  </si>
  <si>
    <t>Floristería Alicia</t>
  </si>
  <si>
    <t>Avenida las Palmeras, 25, 38360 Sauzal (El), Santa Cruz de Tenerife</t>
  </si>
  <si>
    <t>922 56 30 58</t>
  </si>
  <si>
    <t>Floristería El Castillo</t>
  </si>
  <si>
    <t>Calle Obispo Pérez Cáceres, 38509 Candelaria, Santa Cruz de Tenerife</t>
  </si>
  <si>
    <t>Atelier</t>
  </si>
  <si>
    <t>Carr. Gral. del Nte., 319, 38350 Tacoronte, Santa Cruz de Tenerife</t>
  </si>
  <si>
    <t>629 23 81 85</t>
  </si>
  <si>
    <t>floristeria leonor</t>
  </si>
  <si>
    <t>Calle Obispo Pérez Cáceres, 15, 38509 Candelaria, Santa Cruz de Tenerife</t>
  </si>
  <si>
    <t>922 50 32 16</t>
  </si>
  <si>
    <t>Taideflor</t>
  </si>
  <si>
    <t>TF-152, 35, 38350 Tacoronte, Santa Cruz de Tenerife</t>
  </si>
  <si>
    <t>922 56 15 13</t>
  </si>
  <si>
    <t>El Castillo</t>
  </si>
  <si>
    <t>Calle Obispo Pérez Cáceres, 40, 38530 Candelaria, Santa Cruz de Tenerife</t>
  </si>
  <si>
    <t>922 50 44 22</t>
  </si>
  <si>
    <t>Floristeria Yasair</t>
  </si>
  <si>
    <t>Calle Tomas Gonzalez Rivero, 42, 38260 Tejina, Santa Cruz de Tenerife</t>
  </si>
  <si>
    <t>Tejina</t>
  </si>
  <si>
    <t>922 54 27 80</t>
  </si>
  <si>
    <t>Floricultura Strelitzias Tenerife Sl</t>
  </si>
  <si>
    <t>Cmo el Vino, 45, 38270 Valle De Guerra, Santa Cruz de Tenerife</t>
  </si>
  <si>
    <t>Valle Guerra</t>
  </si>
  <si>
    <t>922 15 00 82</t>
  </si>
  <si>
    <t>Floristería Maryflor</t>
  </si>
  <si>
    <t>Ctra. General de Bajamar, 128, 38250 Punta del Hidalgo, Santa Cruz de Tenerife</t>
  </si>
  <si>
    <t>Punta del Hidalgo</t>
  </si>
  <si>
    <t>922 54 07 56</t>
  </si>
  <si>
    <t>Arte Floral Acentejo</t>
  </si>
  <si>
    <t>Carretera General TF 217, nº 78 lc4, 38370 La Matanza de Acentejo, Santa Cruz de Tenerife</t>
  </si>
  <si>
    <t>La Matanza de Acentejo</t>
  </si>
  <si>
    <t>922 57 80 42</t>
  </si>
  <si>
    <t>Floricultura Strelitzias Tenerife S.L.</t>
  </si>
  <si>
    <t>Camino la Barranquera, 0, 38270 Valle Guerra, Santa Cruz de Tenerife</t>
  </si>
  <si>
    <t>922 54 34 33</t>
  </si>
  <si>
    <t>María Antonia Matías Domínguez</t>
  </si>
  <si>
    <t>Camino la Molineta, 34, 38508 El Socorro, Santa Cruz de Tenerife</t>
  </si>
  <si>
    <t>El Socorro</t>
  </si>
  <si>
    <t>922 52 44 37</t>
  </si>
  <si>
    <t>Carretera General a Punta Hidalgo, 198, 38280 Tegueste, Santa Cruz de Tenerife</t>
  </si>
  <si>
    <t>922 54 53 98</t>
  </si>
  <si>
    <t>Kandas Floral Home</t>
  </si>
  <si>
    <t>Calle Obispo Pérez Cáceres, 43, 38530 Candelaria, Santa Cruz de Tenerife</t>
  </si>
  <si>
    <t>637 40 55 72</t>
  </si>
  <si>
    <t>Floristería Primoe</t>
  </si>
  <si>
    <t>Av. del Obispo Perez Caceres, 24, 38500 Güímar, Santa Cruz de Tenerife</t>
  </si>
  <si>
    <t>Güímar</t>
  </si>
  <si>
    <t>696 82 45 48</t>
  </si>
  <si>
    <t>Floristeria Pura Flor</t>
  </si>
  <si>
    <t>Carr. Gral. Punta del Hidalgo, 119, 38240 Punta del Hidalgo, Santa Cruz de Tenerife</t>
  </si>
  <si>
    <t>922 15 60 30</t>
  </si>
  <si>
    <t>Floristería Naya</t>
  </si>
  <si>
    <t>Av. Tomas Cruz Garcia, 69, 38500 Güímar, Santa Cruz de Tenerife</t>
  </si>
  <si>
    <t>922 51 16 51</t>
  </si>
  <si>
    <t>Garden El Lirio</t>
  </si>
  <si>
    <t>Camino la Barranquera, 14, 38270 Valle Guerra, Santa Cruz de Tenerife</t>
  </si>
  <si>
    <t>garden-el-lirio.business.site</t>
  </si>
  <si>
    <t>922 54 02 36</t>
  </si>
  <si>
    <t>Ernestina Ferrera Flores</t>
  </si>
  <si>
    <t>Carr. Güimar-Arafo, 0, 38550 Arafo, Santa Cruz de Tenerife</t>
  </si>
  <si>
    <t>922 51 41 53</t>
  </si>
  <si>
    <t>Juan Pedro Rodríguez Cruz</t>
  </si>
  <si>
    <t>Carr. General, 95, 38370 La Victoria de Acentejo, Santa Cruz de Tenerife</t>
  </si>
  <si>
    <t>922 57 77 18</t>
  </si>
  <si>
    <t>Alohaflor, S.L.</t>
  </si>
  <si>
    <t>Calle las Animas Lomarque, s/n, 38270 Valle Guerra, Santa Cruz de Tenerife</t>
  </si>
  <si>
    <t>922 54 32 04</t>
  </si>
  <si>
    <t>Floravalles</t>
  </si>
  <si>
    <t>Camino Barranquera, 0 ( Primera Derecha ), 38270 Valle Guerra</t>
  </si>
  <si>
    <t>922 15 00 18</t>
  </si>
  <si>
    <t>Mundo Floral</t>
  </si>
  <si>
    <t>Camino Procesional, 38390 Sta Úrsula, Santa Cruz de Tenerife</t>
  </si>
  <si>
    <t>Sta Úrsula</t>
  </si>
  <si>
    <t>670 60 52 57</t>
  </si>
  <si>
    <t>Las Libélulas Flower Shop</t>
  </si>
  <si>
    <t>Calle El Tejar, 11, 38300 La Orotava, Santa Cruz de Tenerife</t>
  </si>
  <si>
    <t>laslibelulasflowershop.com</t>
  </si>
  <si>
    <t>650 15 91 43</t>
  </si>
  <si>
    <t>Floristeria Cruz Santa</t>
  </si>
  <si>
    <t>Calle Puldon-Natero, 17, 38413 Los Realejos, Santa Cruz de Tenerife</t>
  </si>
  <si>
    <t>Los Realejos</t>
  </si>
  <si>
    <t>922 34 11 86</t>
  </si>
  <si>
    <t>Floristería Carmín</t>
  </si>
  <si>
    <t>Calle Carrero Blanco, 4, 38390 Sta Úrsula, Santa Cruz de Tenerife</t>
  </si>
  <si>
    <t>922 30 21 37</t>
  </si>
  <si>
    <t>Flores Elisa De Padilla</t>
  </si>
  <si>
    <t>Calle Horno de la Teja, 33, 38380 La Victoria de Acentejo, Santa Cruz de Tenerife</t>
  </si>
  <si>
    <t>La Victoria de Acentejo</t>
  </si>
  <si>
    <t>Floristería Cruz del Teide</t>
  </si>
  <si>
    <t>Calle Salazar, 43, 38300 La Orotava, Santa Cruz de Tenerife</t>
  </si>
  <si>
    <t>922 33 45 58</t>
  </si>
  <si>
    <t>Calle Luis Lavaggi, 5, 38400 Puerto de la Cruz, Santa Cruz de Tenerife</t>
  </si>
  <si>
    <t>Puerto de la Cruz</t>
  </si>
  <si>
    <t>922 38 03 83</t>
  </si>
  <si>
    <t>Floristería Bazar Elia</t>
  </si>
  <si>
    <t>38260 Tejina, Santa Cruz de Tenerife</t>
  </si>
  <si>
    <t>922 54 01 01</t>
  </si>
  <si>
    <t>Floristería La Rosa De Sarón</t>
  </si>
  <si>
    <t>Calle Salazar, 37B, 38300 La Orotava, Santa Cruz de Tenerife</t>
  </si>
  <si>
    <t>922 33 18 38</t>
  </si>
  <si>
    <t>Floristería Mario la Orotava - Flores, plantas, Arreglo, Florares, Decoración</t>
  </si>
  <si>
    <t>38300 Avenida Luque Moreno edificio Ayatima, Local 1, 38300 Villa La Orotava, Santa Cruz de Tenerife</t>
  </si>
  <si>
    <t>922 33 37 98</t>
  </si>
  <si>
    <t>Decoracion Floristeria Jardin Regalo</t>
  </si>
  <si>
    <t>38357 El Torreon, Santa Cruz de Tenerife</t>
  </si>
  <si>
    <t>El Torreon</t>
  </si>
  <si>
    <t>Floristería Séfora</t>
  </si>
  <si>
    <t>Calle Puerto Viejo, 30, 38400 Puerto de la Cruz, Santa Cruz de Tenerife</t>
  </si>
  <si>
    <t>922 37 42 76</t>
  </si>
  <si>
    <t>El Duende</t>
  </si>
  <si>
    <t>Ctra. Gral. Tejina-Tacoronte, 132, 38270 San Cristóbal de La Laguna, Santa Cruz de Tenerife</t>
  </si>
  <si>
    <t>922 15 03 22</t>
  </si>
  <si>
    <t>El Jardín de Sara</t>
  </si>
  <si>
    <t>Calle del Dr. Ingram, 17, Local 3, 38400 Puerto de la Cruz, Santa Cruz de Tenerife</t>
  </si>
  <si>
    <t>671 90 85 12</t>
  </si>
  <si>
    <t>Floristería Páez</t>
  </si>
  <si>
    <t>Carr. Gral. de La Perdoma, 121, 38315 La Perdoma, Santa Cruz de Tenerife</t>
  </si>
  <si>
    <t>La Perdoma</t>
  </si>
  <si>
    <t>922 30 83 68</t>
  </si>
  <si>
    <t>Victoria Floristería</t>
  </si>
  <si>
    <t>Av. Sor Soledad Cobian, 28, 38300 La Orotava, Santa Cruz de Tenerife</t>
  </si>
  <si>
    <t>922 33 16 23</t>
  </si>
  <si>
    <t>Floristería Flor de Mundo</t>
  </si>
  <si>
    <t>Calle del Dr. Ingram, 19, 38400 Puerto de la Cruz (Tenerife), Santa Cruz de Tenerife</t>
  </si>
  <si>
    <t>flordemundo.es</t>
  </si>
  <si>
    <t>670 83 65 04</t>
  </si>
  <si>
    <t>info@flordemundo.es</t>
  </si>
  <si>
    <t>Floristería Detalles Andrés</t>
  </si>
  <si>
    <t>Calle Esquivel, 12, 38400 Puerto de la Cruz, Santa Cruz de Tenerife</t>
  </si>
  <si>
    <t>922 37 31 63</t>
  </si>
  <si>
    <t>Floristería Jardín Del Valle</t>
  </si>
  <si>
    <t>7, Av de José María del Campo Llarena, 38400 Puerto de la Cruz, Santa Cruz de Tenerife</t>
  </si>
  <si>
    <t>922 38 66 92</t>
  </si>
  <si>
    <t>Tacoronte Garden</t>
  </si>
  <si>
    <t>C/ Juan Fernández, 18, 38350 Tacoronte, Santa Cruz de Tenerife</t>
  </si>
  <si>
    <t>tacorontegarden.negocio.site</t>
  </si>
  <si>
    <t>922 56 33 41</t>
  </si>
  <si>
    <t>Roots Macaronesia</t>
  </si>
  <si>
    <t>Camino el Majano, 3, 38330 San Cristóbal de La Laguna, Santa Cruz de Tenerife</t>
  </si>
  <si>
    <t>rootsmacaronesia.com</t>
  </si>
  <si>
    <t>822 12 27 00</t>
  </si>
  <si>
    <t>info@rootsmacaronesia.com</t>
  </si>
  <si>
    <t>El Draguito Garden Center</t>
  </si>
  <si>
    <t>Carr. Tf, 31, S/N, 38314 La Orotava, Santa Cruz de Tenerife</t>
  </si>
  <si>
    <t>eldraguito.com</t>
  </si>
  <si>
    <t>922 33 41 12</t>
  </si>
  <si>
    <t>info@eldraguito.com</t>
  </si>
  <si>
    <t>Calle Transversal Núm. 4, 38593 El Rio, Santa Cruz de Tenerife</t>
  </si>
  <si>
    <t>El Rio</t>
  </si>
  <si>
    <t>922 16 01 93</t>
  </si>
  <si>
    <t>Floristería Salena</t>
  </si>
  <si>
    <t>Calle Tanausú, 28, 38430 Icod de los Vinos, Santa Cruz de Tenerife</t>
  </si>
  <si>
    <t>Icod de los Vinos</t>
  </si>
  <si>
    <t>922 81 00 18</t>
  </si>
  <si>
    <t>Floristería Florisol</t>
  </si>
  <si>
    <t>Av. de Canarias, 10, 38430 Icod de los Vinos, Santa Cruz de Tenerife</t>
  </si>
  <si>
    <t>922 81 27 11</t>
  </si>
  <si>
    <t>Floristería El Rosal de Guajara</t>
  </si>
  <si>
    <t>Calle Laurisilva, 28, 38632 Guargacho, Santa Cruz de Tenerife</t>
  </si>
  <si>
    <t>Guargacho</t>
  </si>
  <si>
    <t>922 73 30 93</t>
  </si>
  <si>
    <t>Floristería los Jardinitos</t>
  </si>
  <si>
    <t>Calle la Estrella, 21, 38470 El Casco, Santa Cruz de Tenerife</t>
  </si>
  <si>
    <t>El Casco</t>
  </si>
  <si>
    <t>922 84 04 90</t>
  </si>
  <si>
    <t>Floristeria Decorantia</t>
  </si>
  <si>
    <t>Avnda Juan Méndez CC La Alhondiga local 18, 38480 Buenavista, Santa Cruz de Tenerife</t>
  </si>
  <si>
    <t>Buenavista</t>
  </si>
  <si>
    <t>686 02 28 48</t>
  </si>
  <si>
    <t>Floristeria EL VALLE</t>
  </si>
  <si>
    <t>Calle Fernando del Hoyo, N 14, 38690 Santiago del Teide, Santa Cruz de Tenerife</t>
  </si>
  <si>
    <t>Santiago del Teide</t>
  </si>
  <si>
    <t>626 93 27 62</t>
  </si>
  <si>
    <t>Floristaría Divina Pastora</t>
  </si>
  <si>
    <t>Calle Orobal, 13, 38627 La Camella, Santa Cruz de Tenerife</t>
  </si>
  <si>
    <t>La Camella</t>
  </si>
  <si>
    <t>922 72 12 83</t>
  </si>
  <si>
    <t>Arte Flor Tenerife</t>
  </si>
  <si>
    <t>Carr. General, 69, 38626 Valle de San Lorenzo, Santa Cruz de Tenerife</t>
  </si>
  <si>
    <t>Valle de San Lorenzo</t>
  </si>
  <si>
    <t>684 42 30 40</t>
  </si>
  <si>
    <t>FLORISTERIA CRISANA ADEJE</t>
  </si>
  <si>
    <t>Avenida Rosa de los Vientos, 37 Edificio Franzac, B2, 38670 Adeje, Santa Cruz de Tenerife</t>
  </si>
  <si>
    <t>659 88 83 92</t>
  </si>
  <si>
    <t>Juan Manuel Martín Jiménez</t>
  </si>
  <si>
    <t>Av. Coronel Gorrín, 6, 38684 Tamaimo, Santa Cruz de Tenerife</t>
  </si>
  <si>
    <t>Tamaimo</t>
  </si>
  <si>
    <t>922 86 32 81</t>
  </si>
  <si>
    <t>Flores Corazon</t>
  </si>
  <si>
    <t>Peatonal Estocolmo, 3, 38650 Los Cristianos, Santa Cruz de Tenerife</t>
  </si>
  <si>
    <t>Los Cristianos</t>
  </si>
  <si>
    <t>florescorazon.com</t>
  </si>
  <si>
    <t>603 27 39 72</t>
  </si>
  <si>
    <t>Floristería Mística</t>
  </si>
  <si>
    <t>Ctra. General, 79, 38632 Arona, Santa Cruz de Tenerife</t>
  </si>
  <si>
    <t>Arona</t>
  </si>
  <si>
    <t>922 16 91 42</t>
  </si>
  <si>
    <t>TF-454, 17-15, 38684 Tamaimo, Santa Cruz de Tenerife</t>
  </si>
  <si>
    <t>922 86 33 61</t>
  </si>
  <si>
    <t>MUNDO FLORAL</t>
  </si>
  <si>
    <t>Av. San Borondon, s/n, 38679 Barriada de, Santa Cruz de Tenerife</t>
  </si>
  <si>
    <t>Fañabé</t>
  </si>
  <si>
    <t>922 71 39 41</t>
  </si>
  <si>
    <t>Tulipán Floristería</t>
  </si>
  <si>
    <t>Centro Comercial San Eugenio, Planta -1, Av. de los Pueblos, 38660 Costa Adeje, Santa Cruz de Tenerife</t>
  </si>
  <si>
    <t>Costa Adeje</t>
  </si>
  <si>
    <t>tulipanfloristeria.com</t>
  </si>
  <si>
    <t>922 72 47 52</t>
  </si>
  <si>
    <t>El Rincón de las Flores</t>
  </si>
  <si>
    <t>Av. San Martín de Porres, N3, 38627 Cabo Blanco, Santa Cruz de Tenerife</t>
  </si>
  <si>
    <t>Cabo Blanco</t>
  </si>
  <si>
    <t>elrincondelasflores.net</t>
  </si>
  <si>
    <t>653 74 20 00</t>
  </si>
  <si>
    <t>Garden Playa Fañabe S L</t>
  </si>
  <si>
    <t>Calle Helsinki, 28, 38660 Adeje, Santa Cruz de Tenerife</t>
  </si>
  <si>
    <t>gardenplayafañabe.com</t>
  </si>
  <si>
    <t>922 71 26 17</t>
  </si>
  <si>
    <t>flores cortadas de guimar</t>
  </si>
  <si>
    <t>Camino de las Cañadas, 38500 Güímar, Santa Cruz de Tenerife</t>
  </si>
  <si>
    <t>671 10 47 64</t>
  </si>
  <si>
    <t>Floristería Tus Flores Bezana</t>
  </si>
  <si>
    <t>Travesia San Fernando, N 3, Bajo, 39100 Santa Cruz de Bezana, Cantabria</t>
  </si>
  <si>
    <t>Santa Cruz de Bezana</t>
  </si>
  <si>
    <t>Cantabria</t>
  </si>
  <si>
    <t>942 07 77 78</t>
  </si>
  <si>
    <t>Floristería El Sauce</t>
  </si>
  <si>
    <t>Calle de Ceballos, 1, 39340 Suances, Cantabria</t>
  </si>
  <si>
    <t>Suances</t>
  </si>
  <si>
    <t>942 81 01 72</t>
  </si>
  <si>
    <t>Flores y Plantas José Pérez</t>
  </si>
  <si>
    <t>Calle Hernán Cortés, 4, 39003 Santander, Cantabria</t>
  </si>
  <si>
    <t>Santander</t>
  </si>
  <si>
    <t>floresyplantasjoseperez.es</t>
  </si>
  <si>
    <t>942 07 06 88</t>
  </si>
  <si>
    <t>info@joseperezfloresyplantas.es</t>
  </si>
  <si>
    <t>Floristeria Mora</t>
  </si>
  <si>
    <t>Polígono Trascueto, 8, 39609 Camargo, Cantabria</t>
  </si>
  <si>
    <t>Camargo</t>
  </si>
  <si>
    <t>floristeriamora.com</t>
  </si>
  <si>
    <t>942 28 47 43</t>
  </si>
  <si>
    <t>info@floristeriamora.com</t>
  </si>
  <si>
    <t>Floristería Cala&amp;apos;s Floristas</t>
  </si>
  <si>
    <t>Calle Guevara, 24, 39001 Santander, Cantabria</t>
  </si>
  <si>
    <t>calasfloristas.es</t>
  </si>
  <si>
    <t>942 22 57 98</t>
  </si>
  <si>
    <t>info@calasfloristas.es</t>
  </si>
  <si>
    <t>Flores Valdecilla</t>
  </si>
  <si>
    <t>Calle Padre Rábago, 16, 39008 Santander, Cantabria</t>
  </si>
  <si>
    <t>floresvaldecilla.net</t>
  </si>
  <si>
    <t>942 33 21 00</t>
  </si>
  <si>
    <t>info@floresvaldecilla.net</t>
  </si>
  <si>
    <t>Av. Menéndez Pelayo, 5, 39600 Maliaño, Cantabria</t>
  </si>
  <si>
    <t>Maliaño</t>
  </si>
  <si>
    <t>floristeriaolga.com</t>
  </si>
  <si>
    <t>942 26 00 92</t>
  </si>
  <si>
    <t>Floristería Hortensia</t>
  </si>
  <si>
    <t>Calle Albericia, 19, BAJO, 39012 Santander, Cantabria</t>
  </si>
  <si>
    <t>floristeriahortensia.com</t>
  </si>
  <si>
    <t>942 34 24 59</t>
  </si>
  <si>
    <t>Flores Lucrecia</t>
  </si>
  <si>
    <t>Av. Menéndez Pelayo, 6, 39300 Torrelavega, Cantabria</t>
  </si>
  <si>
    <t>Torrelavega</t>
  </si>
  <si>
    <t>floreslucrecia.com</t>
  </si>
  <si>
    <t>942 88 18 81</t>
  </si>
  <si>
    <t>Floristería Paula</t>
  </si>
  <si>
    <t>FLORISTERIA PAULA, Calle Padre Rábago, 4, BAJO, 39008 Santander, Cantabria</t>
  </si>
  <si>
    <t>floristeriapaula.com</t>
  </si>
  <si>
    <t>942 34 35 63</t>
  </si>
  <si>
    <t>floristeriapaula@hotmail.com</t>
  </si>
  <si>
    <t>Rebolledo</t>
  </si>
  <si>
    <t>Plaza Cuadro, 4, 39004 Santander, Cantabria</t>
  </si>
  <si>
    <t>floristeriarebolledo.es</t>
  </si>
  <si>
    <t>942 21 25 53</t>
  </si>
  <si>
    <t>info@floristeriarebolledo.es</t>
  </si>
  <si>
    <t>Floristeria El Jardin</t>
  </si>
  <si>
    <t>Avenida Julio Hauzeur, , 6, BULEVAR COM. ALTAMIRA, LOCAL 42, 39300 Torrelavega, Cantabria</t>
  </si>
  <si>
    <t>floristeriaeljardin.net</t>
  </si>
  <si>
    <t>942 80 26 03</t>
  </si>
  <si>
    <t>info@floristeriaeljardin.com</t>
  </si>
  <si>
    <t>Av. Luis de la Concha, 22, Bajo, 39470 Renedo de Piélagos, Cantabria</t>
  </si>
  <si>
    <t>Renedo de Piélagos</t>
  </si>
  <si>
    <t>942 57 07 21</t>
  </si>
  <si>
    <t>Flores Y Plantas José Pérez</t>
  </si>
  <si>
    <t>Carretera General, 51, NAVE; VIVEROS, 39792 Heras, Cantabria</t>
  </si>
  <si>
    <t>Heras</t>
  </si>
  <si>
    <t>942 52 61 42</t>
  </si>
  <si>
    <t>Floristería Aromas</t>
  </si>
  <si>
    <t>Calle Pablo Garnica, 1, 39300 Torrelavega, Cantabria</t>
  </si>
  <si>
    <t>floristeriaaromas.com</t>
  </si>
  <si>
    <t>942 80 24 48</t>
  </si>
  <si>
    <t>info@floristeriaaromas.com</t>
  </si>
  <si>
    <t>Floristería Sara</t>
  </si>
  <si>
    <t>Calle Francisco Díaz Pimienta, 6, 39610 Astillero, Cantabria</t>
  </si>
  <si>
    <t>Astillero</t>
  </si>
  <si>
    <t>floristeria-sara.business.site</t>
  </si>
  <si>
    <t>942 54 01 14</t>
  </si>
  <si>
    <t>Av. de Joaquin Fernandez Vallejo, 17, 39300 Torrelavega, Cantabria</t>
  </si>
  <si>
    <t>942 88 26 65</t>
  </si>
  <si>
    <t>Flores Y Plantas Montse</t>
  </si>
  <si>
    <t>Calle la Nuncia, n°5, 39012 Santander, Cantabria</t>
  </si>
  <si>
    <t>942 39 09 88</t>
  </si>
  <si>
    <t>Flores Manuel</t>
  </si>
  <si>
    <t>Calle Ruiz Tagle, 7, 39300 Torrelavega, Cantabria</t>
  </si>
  <si>
    <t>942 88 22 90</t>
  </si>
  <si>
    <t>Floristería Kimas Santoña</t>
  </si>
  <si>
    <t>Plaza San Antonio, 15, 39740 Santoña, Cantabria</t>
  </si>
  <si>
    <t>Santoña</t>
  </si>
  <si>
    <t>floristeriakimas.es</t>
  </si>
  <si>
    <t>942 67 16 67</t>
  </si>
  <si>
    <t>Floristería Las Floristas</t>
  </si>
  <si>
    <t>Plaza Remedios, 2, Bajo, 39001 Santander, Cantabria</t>
  </si>
  <si>
    <t>942 22 60 63</t>
  </si>
  <si>
    <t>sel de flores</t>
  </si>
  <si>
    <t>Calle Eusebio Gómez, 20, 39620 Sarón, Cantabria</t>
  </si>
  <si>
    <t>Sarón</t>
  </si>
  <si>
    <t>seldeflores.com</t>
  </si>
  <si>
    <t>942 10 61 38</t>
  </si>
  <si>
    <t>la Floristeria</t>
  </si>
  <si>
    <t>Av. Santander, 8, 39180 Noja, Cantabria</t>
  </si>
  <si>
    <t>Noja</t>
  </si>
  <si>
    <t>942 65 70 77</t>
  </si>
  <si>
    <t>Flores las Floristas</t>
  </si>
  <si>
    <t>Plaza Remedios, 2, 39001 Santander, Cantabria</t>
  </si>
  <si>
    <t>Entreflores</t>
  </si>
  <si>
    <t>Av. Luis de la Concha, 37, 39470 Renedo de Piélagos, Cantabria</t>
  </si>
  <si>
    <t>entreflorescantabria.com</t>
  </si>
  <si>
    <t>605 78 92 34</t>
  </si>
  <si>
    <t>info@entreflorescantabria.com</t>
  </si>
  <si>
    <t>Flores La Fuente S. A.</t>
  </si>
  <si>
    <t>Lugar Barrio La Esprilla, 0 S N, 39608 Igollo</t>
  </si>
  <si>
    <t>Igollo</t>
  </si>
  <si>
    <t>942 58 12 44</t>
  </si>
  <si>
    <t>Entreflorescantabria Com</t>
  </si>
  <si>
    <t>Lugar Urbanización El Acebal, 33, 39470 Renedo de Piélagos, Cantabria</t>
  </si>
  <si>
    <t>Alfoz de Lloredo</t>
  </si>
  <si>
    <t>Floristeria Ramales</t>
  </si>
  <si>
    <t>Calle Salvador Pérez, 8, 39800 Ramales de la Victoria, Cantabria</t>
  </si>
  <si>
    <t>Ramales de la Victoria</t>
  </si>
  <si>
    <t>floristeriaramales.com</t>
  </si>
  <si>
    <t>607 66 43 38</t>
  </si>
  <si>
    <t>sterlizia floristería</t>
  </si>
  <si>
    <t>Calle Floranes, 25, 39010 Santander, Cantabria</t>
  </si>
  <si>
    <t>sterliziafloristeria.com</t>
  </si>
  <si>
    <t>659 75 49 65</t>
  </si>
  <si>
    <t>Rosa María Martínez Gómez</t>
  </si>
  <si>
    <t>Calle Remigio Noriega, 21, 39560 Unquera, Cantabria</t>
  </si>
  <si>
    <t>Unquera</t>
  </si>
  <si>
    <t>942 71 97 08</t>
  </si>
  <si>
    <t>Floristeria Carmina</t>
  </si>
  <si>
    <t>Mercado Municipal, Calle Menéndez Pelayo, 5, 39770 Laredo, Cantabria</t>
  </si>
  <si>
    <t>Laredo</t>
  </si>
  <si>
    <t>floristeriacarmina.com</t>
  </si>
  <si>
    <t>942 60 58 65</t>
  </si>
  <si>
    <t>FLORISTERÍA ALTEA</t>
  </si>
  <si>
    <t>Calle Ceferino Calderón, 8, 39300 Torrelavega, Cantabria</t>
  </si>
  <si>
    <t>floristeriaaltea.es</t>
  </si>
  <si>
    <t>942 88 09 22</t>
  </si>
  <si>
    <t>fernandoaltea76@hotmail.com</t>
  </si>
  <si>
    <t>Floristería Tierra Verde</t>
  </si>
  <si>
    <t>Bajo. El Alisal, Calle los Ciruelos, 7, 39011 Santander, Cantabria</t>
  </si>
  <si>
    <t>942 34 43 61</t>
  </si>
  <si>
    <t>Yedra</t>
  </si>
  <si>
    <t>P.º del General Dávila, 126, 39006 Santander, Cantabria</t>
  </si>
  <si>
    <t>yedrafloristeria.es</t>
  </si>
  <si>
    <t>942 36 41 17</t>
  </si>
  <si>
    <t>yedra@yedrafloristeria.es</t>
  </si>
  <si>
    <t>Calle Vargas, 57, 39010 Santander, Cantabria</t>
  </si>
  <si>
    <t>Floristería Etelio</t>
  </si>
  <si>
    <t>Av Generalísimo Franco, 48, 39697 Corverá De Toranzo, Cantabria</t>
  </si>
  <si>
    <t>Ontaneda</t>
  </si>
  <si>
    <t>942 59 45 51</t>
  </si>
  <si>
    <t>Lafuente Floristas</t>
  </si>
  <si>
    <t>Paseo de Pereda, 1, 39004 Santander, Cantabria</t>
  </si>
  <si>
    <t>lafuentefloristas.es</t>
  </si>
  <si>
    <t>942 21 20 72</t>
  </si>
  <si>
    <t>hola@lafuentefloristas.es</t>
  </si>
  <si>
    <t>Floristería Surcos</t>
  </si>
  <si>
    <t>Calle Heliodoro Fernández, 17, 39750 Colindres, Cantabria</t>
  </si>
  <si>
    <t>Colindres</t>
  </si>
  <si>
    <t>942 65 08 11</t>
  </si>
  <si>
    <t>Floristería Saloa</t>
  </si>
  <si>
    <t>Lugar Barrio La Sierra, 59, 39715 Entrambasaguas</t>
  </si>
  <si>
    <t>Entrambasaguas</t>
  </si>
  <si>
    <t>942 52 44 48</t>
  </si>
  <si>
    <t>Layma</t>
  </si>
  <si>
    <t>Av. de Solares, 39620 Sarón, Cantabria</t>
  </si>
  <si>
    <t>floristerialayma.com</t>
  </si>
  <si>
    <t>942 56 32 96</t>
  </si>
  <si>
    <t>Flores Balbi</t>
  </si>
  <si>
    <t>Calle Clemente Sánchez Ramos, 6, 39500 Cabezón de la Sal, Cantabria</t>
  </si>
  <si>
    <t>Cabezón de la Sal</t>
  </si>
  <si>
    <t>942 70 22 68</t>
  </si>
  <si>
    <t>Travesía San Juan, 3, 39500 Cabezón de la Sal, Cantabria</t>
  </si>
  <si>
    <t>942 70 23 80</t>
  </si>
  <si>
    <t>Lucrecia</t>
  </si>
  <si>
    <t>floreslucrecia.es</t>
  </si>
  <si>
    <t>942 37 36 56</t>
  </si>
  <si>
    <t>simple-line-icons@2.4.1</t>
  </si>
  <si>
    <t>Floristería El Trébol</t>
  </si>
  <si>
    <t>Calle las Infantas, 6, 39520 Comillas, Cantabria</t>
  </si>
  <si>
    <t>Comillas</t>
  </si>
  <si>
    <t>942 72 22 26</t>
  </si>
  <si>
    <t>Emma Lezcano floristas</t>
  </si>
  <si>
    <t>Paseo de La estación, N° 16 bajo, 39710 Solares, Cantabria</t>
  </si>
  <si>
    <t>Solares</t>
  </si>
  <si>
    <t>661 14 71 40</t>
  </si>
  <si>
    <t>Floristería - La Barrera</t>
  </si>
  <si>
    <t>Calle de la Ronda, 52, 39700 Castro Urdiales, Cantabria</t>
  </si>
  <si>
    <t>Castro Urdiales</t>
  </si>
  <si>
    <t>viveroslabarrera.com</t>
  </si>
  <si>
    <t>942 87 26 06</t>
  </si>
  <si>
    <t>ignacio@viveroslabarrera.com</t>
  </si>
  <si>
    <t>Floristería Peñas Blancas</t>
  </si>
  <si>
    <t>Avenida Menicenses, 1125 Finca Peñas Blancas, 39310, Cantabria</t>
  </si>
  <si>
    <t>Miengo</t>
  </si>
  <si>
    <t>pblancas.es</t>
  </si>
  <si>
    <t>942 57 60 20</t>
  </si>
  <si>
    <t>Elena Florista</t>
  </si>
  <si>
    <t>Calle la Industria, 86, 39610 Astillero, Cantabria</t>
  </si>
  <si>
    <t>620 45 88 91</t>
  </si>
  <si>
    <t>Natura flores y plantas</t>
  </si>
  <si>
    <t>Av. Puente de Carlos III, 37, 39200 Reinosa, Cantabria</t>
  </si>
  <si>
    <t>Reinosa</t>
  </si>
  <si>
    <t>naturareinosa.com</t>
  </si>
  <si>
    <t>942 75 26 91</t>
  </si>
  <si>
    <t>nanifolki@gmail.com</t>
  </si>
  <si>
    <t>Floristería Maku</t>
  </si>
  <si>
    <t>Calle el Cantal, 39740 Santoña, Cantabria</t>
  </si>
  <si>
    <t>Floristeria GARMAN</t>
  </si>
  <si>
    <t>Paseo de Julio Hauzeur, 8, 39300 Torrelavega, Cantabria</t>
  </si>
  <si>
    <t>floresgarman.es</t>
  </si>
  <si>
    <t>942 88 80 45</t>
  </si>
  <si>
    <t>Ciriaco Decoración Floral</t>
  </si>
  <si>
    <t>Calle Daoiz y Velarde, 5, 39003 Santander, Cantabria</t>
  </si>
  <si>
    <t>ciriacofloristeria.com</t>
  </si>
  <si>
    <t>942 22 24 27</t>
  </si>
  <si>
    <t>ciriaco@ciriacofloristeria.com</t>
  </si>
  <si>
    <t>Calle Romea, 1, 39600 Muriedas, Cantabria</t>
  </si>
  <si>
    <t>Muriedas</t>
  </si>
  <si>
    <t>942 25 29 00</t>
  </si>
  <si>
    <t>Flores Ángel</t>
  </si>
  <si>
    <t>Calle la Pesquera, 12, 39770 Laredo, Cantabria</t>
  </si>
  <si>
    <t>942 60 46 99</t>
  </si>
  <si>
    <t>Floristeria Garmía</t>
  </si>
  <si>
    <t>Av. Condesa Forjas de Buelna, 11, 39400 Los Corrales de Buelna, Cantabria</t>
  </si>
  <si>
    <t>Los Corrales de Buelna</t>
  </si>
  <si>
    <t>942 83 41 42</t>
  </si>
  <si>
    <t>Flores Nataly</t>
  </si>
  <si>
    <t>Calle Deltebre, 7, 39200 Reinosa, Cantabria</t>
  </si>
  <si>
    <t>942 75 04 99</t>
  </si>
  <si>
    <t>Flores Bordas</t>
  </si>
  <si>
    <t>Calle Camino Real, 14, 39722 Liérganes, Cantabria</t>
  </si>
  <si>
    <t>Liérganes</t>
  </si>
  <si>
    <t>616 68 86 38</t>
  </si>
  <si>
    <t>Floristería Jelcal</t>
  </si>
  <si>
    <t>Calle la Quinta, 11, 39750 Colindres, Cantabria</t>
  </si>
  <si>
    <t>942 65 28 70</t>
  </si>
  <si>
    <t>Maxi Viana</t>
  </si>
  <si>
    <t>Paseo Menéndez Pelayo, 14, 39006 Santander, Cantabria</t>
  </si>
  <si>
    <t>maxiviana.es</t>
  </si>
  <si>
    <t>942 22 00 95</t>
  </si>
  <si>
    <t>LA BARQUERA FLORISTAS</t>
  </si>
  <si>
    <t>Calle Arenal, 2, 39540 San Vicente de la Barquera, Cantabria</t>
  </si>
  <si>
    <t>San Vicente de la Barquera</t>
  </si>
  <si>
    <t>labarquerafloristas.com</t>
  </si>
  <si>
    <t>942 71 07 42</t>
  </si>
  <si>
    <t>micorreo@gmail.com</t>
  </si>
  <si>
    <t>Floristería Jardín de Eva</t>
  </si>
  <si>
    <t>Calle Leonardo Rucabado, 2, 39700 Castro Urdiales, Cantabria</t>
  </si>
  <si>
    <t>942 79 06 56</t>
  </si>
  <si>
    <t>Rosal</t>
  </si>
  <si>
    <t>C/ Felisa Campuzano, 20, 39400 Los Corrales de Buelna, Cantabria</t>
  </si>
  <si>
    <t>942 83 23 26</t>
  </si>
  <si>
    <t>FLORISTERIA AVENIDA</t>
  </si>
  <si>
    <t>Av. Benedicto Ruiz, 429, 39170 Ajo, Cantabria</t>
  </si>
  <si>
    <t>Ajo</t>
  </si>
  <si>
    <t>669 15 01 32</t>
  </si>
  <si>
    <t>La Huerta</t>
  </si>
  <si>
    <t>Calle San Pedro del Mar, 57, 39012 Santander, Cantabria</t>
  </si>
  <si>
    <t>942 32 12 56</t>
  </si>
  <si>
    <t>Floristería Ana</t>
  </si>
  <si>
    <t>Calle Garelly de la Cámara, 3, 39770 Laredo, Cantabria</t>
  </si>
  <si>
    <t>942 60 47 57</t>
  </si>
  <si>
    <t>Sel de flores</t>
  </si>
  <si>
    <t>Poblado Villanueva Peña, 65, 39509 Villanueva de la Peña, Cantabria</t>
  </si>
  <si>
    <t>Villanueva de la Peña</t>
  </si>
  <si>
    <t>942 10 20 66</t>
  </si>
  <si>
    <t>Floristería La Trastienda</t>
  </si>
  <si>
    <t>Calle Serna Occina, 9, 39740 Santoña, Cantabria</t>
  </si>
  <si>
    <t>942 66 23 33</t>
  </si>
  <si>
    <t>Flores Y Plantas Paqui</t>
  </si>
  <si>
    <t>Calle los Escalantes, 39002 Santander, Cantabria</t>
  </si>
  <si>
    <t>A. Margallo Toral</t>
  </si>
  <si>
    <t>942 37 44 66</t>
  </si>
  <si>
    <t>Floristería Tierra Viva</t>
  </si>
  <si>
    <t>Av. Oviedo, 180, bajo 2, 39530 Puente San Miguel, Cantabria</t>
  </si>
  <si>
    <t>Puente San Miguel</t>
  </si>
  <si>
    <t>942 83 80 23</t>
  </si>
  <si>
    <t>Flores Atenea</t>
  </si>
  <si>
    <t>Av. Puente de Carlos III, 6, BAJO, 39200 Reinosa, Cantabria</t>
  </si>
  <si>
    <t>942 75 11 24</t>
  </si>
  <si>
    <t>Floristería Mascotas Jungla</t>
  </si>
  <si>
    <t>Calle Calderón de la Barca, 4, 39002 Santander, Cantabria</t>
  </si>
  <si>
    <t>junglasantander.com</t>
  </si>
  <si>
    <t>942 21 09 43</t>
  </si>
  <si>
    <t>junglasantander@gmail.com</t>
  </si>
  <si>
    <t>Viveros Bahia</t>
  </si>
  <si>
    <t>Ctra. Adarzo, 4, 39011 Santander, Cantabria</t>
  </si>
  <si>
    <t>667 88 19 82</t>
  </si>
  <si>
    <t>Eufloria</t>
  </si>
  <si>
    <t>Calle Tetuán, 36, BAJO, 39004 Santander, Cantabria</t>
  </si>
  <si>
    <t>eufloriasantander.com</t>
  </si>
  <si>
    <t>674 78 51 45</t>
  </si>
  <si>
    <t>eufloria.santander@gmail.com</t>
  </si>
  <si>
    <t>El Acebo</t>
  </si>
  <si>
    <t>Calle Peñas Arriba, 0, 39400 Corrales de Buelna (los), Cantabria</t>
  </si>
  <si>
    <t>942 84 21 38</t>
  </si>
  <si>
    <t>Flores para Venus</t>
  </si>
  <si>
    <t>Calle San Francisco, 3, 39700 Castro Urdiales, Cantabria</t>
  </si>
  <si>
    <t>floresparavenus.com</t>
  </si>
  <si>
    <t>633 11 46 36</t>
  </si>
  <si>
    <t>La Silvestre</t>
  </si>
  <si>
    <t>Lugar, Barrio el Campo, 13, 39477 Oruña de Piélagos, Cantabria</t>
  </si>
  <si>
    <t>Oruña de Piélagos</t>
  </si>
  <si>
    <t>lasilvestre.com</t>
  </si>
  <si>
    <t>942 58 98 56</t>
  </si>
  <si>
    <t>hortelanna@hotmail.com</t>
  </si>
  <si>
    <t>Garman</t>
  </si>
  <si>
    <t>Calle Joaquín Cayón, 1, 39300 Torrelavega, Cantabria</t>
  </si>
  <si>
    <t>942 89 54 04</t>
  </si>
  <si>
    <t>Madreselva</t>
  </si>
  <si>
    <t>Calle Alta, 92, 39008 Santander, Cantabria</t>
  </si>
  <si>
    <t>942 32 22 56</t>
  </si>
  <si>
    <t>Flores Tito</t>
  </si>
  <si>
    <t>Barrio Rada S/N, Voto, Cantabria, 39764 Voto, Cantabria</t>
  </si>
  <si>
    <t>Rada</t>
  </si>
  <si>
    <t>bodas.net</t>
  </si>
  <si>
    <t>616 23 36 96</t>
  </si>
  <si>
    <t>appstore@2x.png</t>
  </si>
  <si>
    <t>Flores Guriezo</t>
  </si>
  <si>
    <t>Lugar Barrio Balbacienta, 15, 39788 Balbacienta</t>
  </si>
  <si>
    <t>Balbacienta</t>
  </si>
  <si>
    <t>942 85 01 44</t>
  </si>
  <si>
    <t>Centro de Jardinería Ostende</t>
  </si>
  <si>
    <t>Allendelagua, s/n, 39798 Castro Urdiales, Cantabria</t>
  </si>
  <si>
    <t>centrojardineriaostende.es</t>
  </si>
  <si>
    <t>608 59 35 17</t>
  </si>
  <si>
    <t>info@centrojardineriaostende.es</t>
  </si>
  <si>
    <t>FLORES BALSI</t>
  </si>
  <si>
    <t>942 80 93 96</t>
  </si>
  <si>
    <t>Plantas Y Flores Camargo S L</t>
  </si>
  <si>
    <t>Polígono Trascueto, 39600 Revilla, Cantabria</t>
  </si>
  <si>
    <t>942 25 44 44</t>
  </si>
  <si>
    <t>Tamara García Martos</t>
  </si>
  <si>
    <t>Calle San Fernando, 14, 39100 Santa Cruz de Bezana, Cantabria</t>
  </si>
  <si>
    <t>942 07 77 77</t>
  </si>
  <si>
    <t>Peñas Blancas Flores y Plantas</t>
  </si>
  <si>
    <t>39310 Miengo, Cantabria</t>
  </si>
  <si>
    <t>Green Vintage Events</t>
  </si>
  <si>
    <t>CA-303, 2, 39120 Mortera, Cantabria</t>
  </si>
  <si>
    <t>Mortera</t>
  </si>
  <si>
    <t>gvevents.es</t>
  </si>
  <si>
    <t>691 24 13 50</t>
  </si>
  <si>
    <t>info@gvevents.es</t>
  </si>
  <si>
    <t>FLORISTERIA MORA (Taller)</t>
  </si>
  <si>
    <t>Polígono Trascueto, 11, 39609 Camargo, Cantabria</t>
  </si>
  <si>
    <t>Complementos Azucena</t>
  </si>
  <si>
    <t>Calle la Cendeja, 25, 48550 Muskiz, BI</t>
  </si>
  <si>
    <t>San Julián de Musques o Somorrostro</t>
  </si>
  <si>
    <t>BI</t>
  </si>
  <si>
    <t>floristeriaazucena.es</t>
  </si>
  <si>
    <t>946 70 75 99</t>
  </si>
  <si>
    <t>Ficus Flores Y Plantas</t>
  </si>
  <si>
    <t>39777, Cantabria</t>
  </si>
  <si>
    <t>La Arenosa</t>
  </si>
  <si>
    <t>Floristeria Milaflores</t>
  </si>
  <si>
    <t>979 12 36 51</t>
  </si>
  <si>
    <t>Amelia Floristería</t>
  </si>
  <si>
    <t>Correria Hedegile Kalea, 65, 48800 Balmaseda, Bizkaia</t>
  </si>
  <si>
    <t>Valmaseda</t>
  </si>
  <si>
    <t>Bizkaia</t>
  </si>
  <si>
    <t>946 80 04 27</t>
  </si>
  <si>
    <t>Flores Lorea - Grupo Lorea</t>
  </si>
  <si>
    <t>Av. Ronda, 10, 34800 Aguilar de Campoo, Palencia</t>
  </si>
  <si>
    <t>Aguilar de Campoo</t>
  </si>
  <si>
    <t>floreslorea.com</t>
  </si>
  <si>
    <t>979 12 24 53</t>
  </si>
  <si>
    <t>loreaninar@gmail.com</t>
  </si>
  <si>
    <t>Floristería Alba Zalla</t>
  </si>
  <si>
    <t>Taramona Hiribidea, 4, 48860 Mimetiz, Bizkaia</t>
  </si>
  <si>
    <t>Mimetiz</t>
  </si>
  <si>
    <t>floresalba.es</t>
  </si>
  <si>
    <t>946 39 15 43</t>
  </si>
  <si>
    <t>info@floresalba.es</t>
  </si>
  <si>
    <t>HARVEST WOOD AND FLOWERS</t>
  </si>
  <si>
    <t>Tienda de flores secas</t>
  </si>
  <si>
    <t>Barrio Casa del Monte, 39718, Cantabria</t>
  </si>
  <si>
    <t>Casa del Monte</t>
  </si>
  <si>
    <t>harvestwoodandflowers.com</t>
  </si>
  <si>
    <t>hola@harvestwoodandflowers.com</t>
  </si>
  <si>
    <t>Floristería Begonia</t>
  </si>
  <si>
    <t>Kalea SANTA EULALIA, 12, 48980 Santurtzi, Bizkaia</t>
  </si>
  <si>
    <t>Santurce</t>
  </si>
  <si>
    <t>floristeriabegonia.com</t>
  </si>
  <si>
    <t>656 79 09 12</t>
  </si>
  <si>
    <t>begoniafloristeria@gmail.com</t>
  </si>
  <si>
    <t>Floristeria Rossas Trapagaran</t>
  </si>
  <si>
    <t>Avda, Primero de Mayo Hiribidea, 13, 48510 Valle de Trápaga-Trapagaran, BI</t>
  </si>
  <si>
    <t>Valle de Trápaga</t>
  </si>
  <si>
    <t>946 41 39 28</t>
  </si>
  <si>
    <t>Flores por Impulso - Recogida Telefónica de Encargos para el Día de Todos Los Santos Teléfono y WhatsApp 683 25 97 85</t>
  </si>
  <si>
    <t>Avenida Carlos VII Etorbidea, 14, 48920 Portugalete, Bizkaia</t>
  </si>
  <si>
    <t>Portugalete</t>
  </si>
  <si>
    <t>floresporimpulso.com</t>
  </si>
  <si>
    <t>944 83 55 29</t>
  </si>
  <si>
    <t>Floristeria Lore Etxea</t>
  </si>
  <si>
    <t>Hermanos Larrarte Kalea, 17, 48980 Santurtzi, Bizkaia</t>
  </si>
  <si>
    <t>944 93 79 10</t>
  </si>
  <si>
    <t>Floristería Unzueta</t>
  </si>
  <si>
    <t>Juan XXIII Kalea, 18, 48980 Santurtzi, Bizkaia</t>
  </si>
  <si>
    <t>floristeriaunzueta.com</t>
  </si>
  <si>
    <t>944 61 79 46</t>
  </si>
  <si>
    <t>Molina Floristas</t>
  </si>
  <si>
    <t>Calle Gaona, 9, 02001 Albacete</t>
  </si>
  <si>
    <t>Albacete</t>
  </si>
  <si>
    <t>967 21 39 56</t>
  </si>
  <si>
    <t>Floristerias Molina Floristas</t>
  </si>
  <si>
    <t>Calle Arcángel San Gabriel, 5, 02002 Albacete</t>
  </si>
  <si>
    <t>967 50 57 70</t>
  </si>
  <si>
    <t>Floristerías Molina Floristas</t>
  </si>
  <si>
    <t>Av. Arquitecto Julio Carrilero, 8, 02005 Albacete</t>
  </si>
  <si>
    <t>967 50 52 25</t>
  </si>
  <si>
    <t>Floristería Feria 25</t>
  </si>
  <si>
    <t>Calle, Plaza Periodista Antonio Andújar, nº 10, 02005 Albacete</t>
  </si>
  <si>
    <t>floristeriaferia25.com</t>
  </si>
  <si>
    <t>967 21 58 82</t>
  </si>
  <si>
    <t>info@floristeriaferia25.com</t>
  </si>
  <si>
    <t>Floristería Mañas</t>
  </si>
  <si>
    <t>Calle Dr. Ferrán, 35, 02004 Albacete</t>
  </si>
  <si>
    <t>floristeriamanas.es</t>
  </si>
  <si>
    <t>967 60 99 63</t>
  </si>
  <si>
    <t>Floristería Cortés</t>
  </si>
  <si>
    <t>Calle Hermanos Jiménez, 23, 02004 Albacete</t>
  </si>
  <si>
    <t>floristeriacortes.com</t>
  </si>
  <si>
    <t>967 22 43 34</t>
  </si>
  <si>
    <t>Floristería El jardín</t>
  </si>
  <si>
    <t>Calle Octavio Cuartero, 15, 02003 Albacete</t>
  </si>
  <si>
    <t>967 22 82 47</t>
  </si>
  <si>
    <t>La casa de las flores</t>
  </si>
  <si>
    <t>Calle Mariana Pineda, 13, 02005 Albacete</t>
  </si>
  <si>
    <t>lacasadelasflores.es</t>
  </si>
  <si>
    <t>967 21 38 83</t>
  </si>
  <si>
    <t>Floristería Sheila</t>
  </si>
  <si>
    <t>Calle Virgen del Pilar, 40, 02006 Albacete</t>
  </si>
  <si>
    <t>699 02 00 07</t>
  </si>
  <si>
    <t>Floristería Reche</t>
  </si>
  <si>
    <t>Calle Jesús Nazareno, 1, LOCAL, 02002 Albacete</t>
  </si>
  <si>
    <t>floristeriasreche.com</t>
  </si>
  <si>
    <t>967 19 02 21</t>
  </si>
  <si>
    <t>reche@floristeriasreche.com</t>
  </si>
  <si>
    <t>Floristería Stilo</t>
  </si>
  <si>
    <t>Calle del, Calle Arquitecto Vandelvira, 58, BAJO, 02004 Albacete</t>
  </si>
  <si>
    <t>floristeriastilo.com</t>
  </si>
  <si>
    <t>967 50 94 38</t>
  </si>
  <si>
    <t>Floristería Azorín</t>
  </si>
  <si>
    <t>Plaza Carretas, 2, 02001 Albacete</t>
  </si>
  <si>
    <t>Valentin Cortés Floristas</t>
  </si>
  <si>
    <t>Calle Rosario, 86, 02003 Albacete</t>
  </si>
  <si>
    <t>floristeriacortes2.com</t>
  </si>
  <si>
    <t>967 23 77 10</t>
  </si>
  <si>
    <t>cortes2@interflora.es</t>
  </si>
  <si>
    <t>Floristeria Vicen</t>
  </si>
  <si>
    <t>Calle Francisco Pizarro, 74, 02004 Albacete</t>
  </si>
  <si>
    <t>629 60 58 17</t>
  </si>
  <si>
    <t>Floristería Martínez</t>
  </si>
  <si>
    <t>Calle Torres Quevedo, 51, 02003 Albacete</t>
  </si>
  <si>
    <t>martinezfloristas.com</t>
  </si>
  <si>
    <t>967 61 93 22</t>
  </si>
  <si>
    <t>info@martinezfloristas.com</t>
  </si>
  <si>
    <t>Floristería Menta</t>
  </si>
  <si>
    <t>Calle Pérez Galdós, 19, 02003 Albacete</t>
  </si>
  <si>
    <t>Calle Martínez Ibáñez, 4, 02006 Albacete</t>
  </si>
  <si>
    <t>967 52 29 71</t>
  </si>
  <si>
    <t>Decoración Floral Azahar S L</t>
  </si>
  <si>
    <t>Calle Santiago Rusiñol, 25, 02006 Albacete</t>
  </si>
  <si>
    <t>967 22 26 37</t>
  </si>
  <si>
    <t>Floristeria Pajareria</t>
  </si>
  <si>
    <t>Calle Gerona, 25, 02006 Albacete</t>
  </si>
  <si>
    <t>625 93 83 71</t>
  </si>
  <si>
    <t>La Antigua Rosa, Floristeria</t>
  </si>
  <si>
    <t>Calle Blasco Ibáñez, 15, 02004 Albacete</t>
  </si>
  <si>
    <t>967 25 60 42</t>
  </si>
  <si>
    <t>Merci Floristas</t>
  </si>
  <si>
    <t>Paseo la Libertad, 13, 02001 Albacete</t>
  </si>
  <si>
    <t>967 52 23 08</t>
  </si>
  <si>
    <t>Floristeria A Mi Bola Kokedamas</t>
  </si>
  <si>
    <t>Calle Cid, 37, 02002 Albacete</t>
  </si>
  <si>
    <t>amibolakokedamas.es</t>
  </si>
  <si>
    <t>info@amibolakokedamas.es</t>
  </si>
  <si>
    <t>Edificio Juan Flores</t>
  </si>
  <si>
    <t>Calle Martínez Ibáñez, 19, 02005 Albacete</t>
  </si>
  <si>
    <t>02004 Albacete</t>
  </si>
  <si>
    <t>632 50 26 26</t>
  </si>
  <si>
    <t>Valentín Cortés Saucedo</t>
  </si>
  <si>
    <t>Calle Cristóbal Pérez Pastor, 63, 02004 Albacete</t>
  </si>
  <si>
    <t>967 50 47 87</t>
  </si>
  <si>
    <t>Francisca Josefa Fernández Flores</t>
  </si>
  <si>
    <t>Calle Baños, 21, 02005 Albacete</t>
  </si>
  <si>
    <t>967 23 99 92</t>
  </si>
  <si>
    <t>Cortés I</t>
  </si>
  <si>
    <t>Calle de la Feria, 1, 02005 Albacete</t>
  </si>
  <si>
    <t>967 52 10 28</t>
  </si>
  <si>
    <t>TIENDA ILUNION - HOSPITAL DE ALBACETE</t>
  </si>
  <si>
    <t>Calle Hermanos Falco, 37, 02006 Albacete</t>
  </si>
  <si>
    <t>967 21 64 78</t>
  </si>
  <si>
    <t>Floristeria 6 Hermano Plantas Naturales</t>
  </si>
  <si>
    <t>Av. Isabel la Católica, 24, 02005 Albacete</t>
  </si>
  <si>
    <t>666 66 09 01</t>
  </si>
  <si>
    <t>Taller Floral Javi Flor</t>
  </si>
  <si>
    <t>Calle Alcalde Joaquín Azorín, 11, 02510 Pozo Cañada, Albacete</t>
  </si>
  <si>
    <t>Pozo Cañada</t>
  </si>
  <si>
    <t>tallerfloraljaviflor.es</t>
  </si>
  <si>
    <t>j.rodenas@hotmail.com</t>
  </si>
  <si>
    <t>Floristeria los claveles</t>
  </si>
  <si>
    <t>Calle Virgen, 40, 02630 La Roda, Albacete</t>
  </si>
  <si>
    <t>La Roda</t>
  </si>
  <si>
    <t>967 44 20 16</t>
  </si>
  <si>
    <t>Floristería Florisa</t>
  </si>
  <si>
    <t>Calle Mahora, 31, 02230 Madrigueras, Albacete</t>
  </si>
  <si>
    <t>Madrigueras</t>
  </si>
  <si>
    <t>660 48 71 90</t>
  </si>
  <si>
    <t>JARDINERIA FLORISTERIA EL SALVADOR</t>
  </si>
  <si>
    <t>Calle Juan de la Torre, 13, 02630 La Roda, Albacete</t>
  </si>
  <si>
    <t>669 01 17 76</t>
  </si>
  <si>
    <t>José Antonio Acosta Valera</t>
  </si>
  <si>
    <t>Calle Albacete, 26, 02240 Mahora, Albacete</t>
  </si>
  <si>
    <t>Mahora</t>
  </si>
  <si>
    <t>967 49 41 18</t>
  </si>
  <si>
    <t>Floristeria. El Pasaje</t>
  </si>
  <si>
    <t>Paseo Cañada, 55, 02200 Casas-Ibáñez, Albacete</t>
  </si>
  <si>
    <t>Casas-Ibáñez</t>
  </si>
  <si>
    <t>967 46 11 19</t>
  </si>
  <si>
    <t>eloy la floristeria</t>
  </si>
  <si>
    <t>Paseo Príncipe Asturias, 43, 02500 Tobarra, Albacete</t>
  </si>
  <si>
    <t>Tobarra</t>
  </si>
  <si>
    <t>688 96 80 12</t>
  </si>
  <si>
    <t>Floristeria Santa Ana</t>
  </si>
  <si>
    <t>Calle Padre Rodríguez, 7, 02400 Hellín, Albacete</t>
  </si>
  <si>
    <t>Hellín</t>
  </si>
  <si>
    <t>967 30 51 17</t>
  </si>
  <si>
    <t>Calle Lope de Vega, 46, 02651 Fuente-Álamo, Albacete</t>
  </si>
  <si>
    <t>Fuente-Álamo</t>
  </si>
  <si>
    <t>Floristería El paisaje floral</t>
  </si>
  <si>
    <t>Calle Gran Vía, 63, 02400 Hellín, Albacete</t>
  </si>
  <si>
    <t>paisajefloral.com</t>
  </si>
  <si>
    <t>649 73 84 42</t>
  </si>
  <si>
    <t>elpaisajefloral@gmail.com</t>
  </si>
  <si>
    <t>Calle San Sebastián, 14, 02612 Munera, Albacete</t>
  </si>
  <si>
    <t>Munera</t>
  </si>
  <si>
    <t>floristeriamanoli.com</t>
  </si>
  <si>
    <t>967 37 30 32</t>
  </si>
  <si>
    <t>Floristeria aroma</t>
  </si>
  <si>
    <t>Calle Juan Ramón Jiménez, 1, 02400 Hellín, Albacete</t>
  </si>
  <si>
    <t>967 54 24 60</t>
  </si>
  <si>
    <t>El Rincón de Irene</t>
  </si>
  <si>
    <t>Carretera de Valencia-Cordoba km 1,800, 02200 Casas-Ibáñez, Albacete</t>
  </si>
  <si>
    <t>elrincondeirene.negocio.site</t>
  </si>
  <si>
    <t>649 06 88 07</t>
  </si>
  <si>
    <t>Floristería Innovaflor</t>
  </si>
  <si>
    <t>Calle Carrión, 11, 16235 Iniesta, Cuenca</t>
  </si>
  <si>
    <t>Iniesta</t>
  </si>
  <si>
    <t>Cuenca</t>
  </si>
  <si>
    <t>innovaflor.es</t>
  </si>
  <si>
    <t>967 49 03 60</t>
  </si>
  <si>
    <t>info@innovaflor.es</t>
  </si>
  <si>
    <t>Floristeria Gama</t>
  </si>
  <si>
    <t>Calle Escritora Carmen Martín Gaite, 17, 02400 Hellín, Albacete</t>
  </si>
  <si>
    <t>967 30 43 30</t>
  </si>
  <si>
    <t>La Flor Del Viso</t>
  </si>
  <si>
    <t>Calle Sol, 4, 16220 Quintanar del Rey, Cuenca</t>
  </si>
  <si>
    <t>Quintanar del Rey</t>
  </si>
  <si>
    <t>967 49 63 05</t>
  </si>
  <si>
    <t>Flores Y Perfumes Silvestre</t>
  </si>
  <si>
    <t>Calle Hospital, 12, 02400 Hellín, Albacete</t>
  </si>
  <si>
    <t>967 30 60 38</t>
  </si>
  <si>
    <t>Floristeria Dama</t>
  </si>
  <si>
    <t>Calle Rambla de la Mancha, 55, 02640 Almansa, Albacete</t>
  </si>
  <si>
    <t>Almansa</t>
  </si>
  <si>
    <t>damafloristeria.com</t>
  </si>
  <si>
    <t>967 31 04 47</t>
  </si>
  <si>
    <t>info@damafloristeria.com</t>
  </si>
  <si>
    <t>Calle Mayor, 66, 02500 Tobarra, Albacete</t>
  </si>
  <si>
    <t>floristeria-sonia.negocio.site</t>
  </si>
  <si>
    <t>967 32 91 04</t>
  </si>
  <si>
    <t>Floristería jareño floristas garden</t>
  </si>
  <si>
    <t>Calle Villarrobledo, Albacete A 5 Mts de la anterior tienda, Paseo del Cementerio, 6, 02600 Villarrobledo, Albacete</t>
  </si>
  <si>
    <t>Villarrobledo</t>
  </si>
  <si>
    <t>644 93 34 28</t>
  </si>
  <si>
    <t>La Camelia Floristas</t>
  </si>
  <si>
    <t>Calle Corredera, 15, 02640 Almansa, Albacete</t>
  </si>
  <si>
    <t>967 34 07 81</t>
  </si>
  <si>
    <t>Flores Y Plantas Orquidea</t>
  </si>
  <si>
    <t>Calle Corredera, 02640 Almansa, Albacete</t>
  </si>
  <si>
    <t>967 34 05 41</t>
  </si>
  <si>
    <t>Floristería San Blas</t>
  </si>
  <si>
    <t>Calle de las Madres, 5, 02600 Villarrobledo, Albacete</t>
  </si>
  <si>
    <t>967 04 44 34</t>
  </si>
  <si>
    <t>Floristería Zambra</t>
  </si>
  <si>
    <t>Calle Federico García Lorca, 4, 02430 Elche de la Sierra, Albacete</t>
  </si>
  <si>
    <t>Elche de la Sierra</t>
  </si>
  <si>
    <t>Travesía Don Pedro, 2, 02600 Villarrobledo, Albacete</t>
  </si>
  <si>
    <t>floristeriaalicia.es</t>
  </si>
  <si>
    <t>967 14 04 33</t>
  </si>
  <si>
    <t>Floristeria Marga</t>
  </si>
  <si>
    <t>Travesía San Antón, 40, 16220 Quintanar del Rey, Cuenca</t>
  </si>
  <si>
    <t>Lorenzo Flores Martínez</t>
  </si>
  <si>
    <t>Calle Cruz de Piedra, 10, 02600 Villarrobledo, Albacete</t>
  </si>
  <si>
    <t>967 14 60 96</t>
  </si>
  <si>
    <t>floristeria gardenia</t>
  </si>
  <si>
    <t>Calle Atleta Antonio Amorós, n/43, 02660 Caudete, Albacete</t>
  </si>
  <si>
    <t>Caudete</t>
  </si>
  <si>
    <t>salvaflor.com</t>
  </si>
  <si>
    <t>679 82 12 00</t>
  </si>
  <si>
    <t>correo@salvaflor.com</t>
  </si>
  <si>
    <t>Ave Del Paraíso</t>
  </si>
  <si>
    <t>Plaza la Constitución, 2, 02660 Caudete, Albacete</t>
  </si>
  <si>
    <t>965 82 61 83</t>
  </si>
  <si>
    <t>Floristeria Piramide</t>
  </si>
  <si>
    <t>Plaza Dr. Fuster, 02435 Socovos, Albacete</t>
  </si>
  <si>
    <t>Socovos</t>
  </si>
  <si>
    <t>967 42 00 31</t>
  </si>
  <si>
    <t>Ruralzona. Floristería y Decoración de Eventos</t>
  </si>
  <si>
    <t>Calle Cava, 12, 02480 Yeste, Albacete</t>
  </si>
  <si>
    <t>Yeste</t>
  </si>
  <si>
    <t>ruralzona.es</t>
  </si>
  <si>
    <t>636 79 80 81</t>
  </si>
  <si>
    <t>info@ruralzona.es</t>
  </si>
  <si>
    <t>Floristería Emília Garden Center García Lorca</t>
  </si>
  <si>
    <t>Calle Atleta Antonio Amorós, 48, 02660 Caudete, Albacete</t>
  </si>
  <si>
    <t>965 82 59 51</t>
  </si>
  <si>
    <t>Floristeria Ana Sanchez Sociedad Limitada</t>
  </si>
  <si>
    <t>Calle Aniceto Coloma, 9, 02640 Almansa, Albacete</t>
  </si>
  <si>
    <t>967 31 17 39</t>
  </si>
  <si>
    <t>Ninfa Floristas</t>
  </si>
  <si>
    <t>Calle San Luis, 02640 Almansa, Albacete</t>
  </si>
  <si>
    <t>635 81 67 19</t>
  </si>
  <si>
    <t>La Posada De Las Flores</t>
  </si>
  <si>
    <t>Calle Tinajeros, 18, 02600 Villarrobledo, Albacete</t>
  </si>
  <si>
    <t>605 67 22 31</t>
  </si>
  <si>
    <t>LOVE &amp;amp; FEST</t>
  </si>
  <si>
    <t>Calle Caudete, 19, 02640 Almansa, Albacete</t>
  </si>
  <si>
    <t>loveandfest.com</t>
  </si>
  <si>
    <t>679 51 57 79</t>
  </si>
  <si>
    <t>Floristería Mundo Flora</t>
  </si>
  <si>
    <t>Paseo los Plátanos, 21, 02450 Riópar, Albacete</t>
  </si>
  <si>
    <t>Riópar</t>
  </si>
  <si>
    <t>patiodelasflores.es</t>
  </si>
  <si>
    <t>687 88 57 97</t>
  </si>
  <si>
    <t>reservas@patiodelasflores.es</t>
  </si>
  <si>
    <t>Floristería Edén</t>
  </si>
  <si>
    <t>Av. Castilla la Mancha, 7, 13332 Villahermosa, Cdad. Real</t>
  </si>
  <si>
    <t>Villahermosa</t>
  </si>
  <si>
    <t>Cdad. Real</t>
  </si>
  <si>
    <t>edenartefloral.com</t>
  </si>
  <si>
    <t>926 36 60 12</t>
  </si>
  <si>
    <t>alicia@edenartefloral.com</t>
  </si>
  <si>
    <t>FLORISTERIA CHARO</t>
  </si>
  <si>
    <t>Plaza España, 24, 13330 Villanueva de la Fuente, Cdad. Real</t>
  </si>
  <si>
    <t>Villanueva de la Fuente</t>
  </si>
  <si>
    <t>floristeria-charo.webnode.es</t>
  </si>
  <si>
    <t>967 39 65 23</t>
  </si>
  <si>
    <t>Floristeria Azahar</t>
  </si>
  <si>
    <t>Carrer d&amp;apos;Albacete, 29, 46007 València, Valencia</t>
  </si>
  <si>
    <t>963 42 08 65</t>
  </si>
  <si>
    <t>Floristería Fina</t>
  </si>
  <si>
    <t>Calle Fiscal Segrelles Niguez, 8-bajo, 03670 Montforte del Cid, Alicante</t>
  </si>
  <si>
    <t>Monforte del Cid</t>
  </si>
  <si>
    <t>Alicante</t>
  </si>
  <si>
    <t>floristeria-fina.es</t>
  </si>
  <si>
    <t>965 62 11 28</t>
  </si>
  <si>
    <t>info@floristeria-fina.es</t>
  </si>
  <si>
    <t>FlorHisteria</t>
  </si>
  <si>
    <t>Abengibre</t>
  </si>
  <si>
    <t>968 06 92 16</t>
  </si>
  <si>
    <t>Floristeria kentia</t>
  </si>
  <si>
    <t>661 00 52 91</t>
  </si>
  <si>
    <t>RegalarFlores.net</t>
  </si>
  <si>
    <t>Calle de Cruz de Piedra, 78, 30510 Yecla, Murcia</t>
  </si>
  <si>
    <t>Yecla</t>
  </si>
  <si>
    <t>Murcia</t>
  </si>
  <si>
    <t>regalarflores.net</t>
  </si>
  <si>
    <t>968 75 22 83</t>
  </si>
  <si>
    <t>Floristería Jiménez</t>
  </si>
  <si>
    <t>Calle Boteros, 53, 16600 San Clemente, Cuenca</t>
  </si>
  <si>
    <t>San Clemente</t>
  </si>
  <si>
    <t>969 30 20 44</t>
  </si>
  <si>
    <t>Floristería El Jardín Romántico</t>
  </si>
  <si>
    <t>Av. de los Reyes Católicos, 5, local 2, 13005 Ciudad Real, Cdad. Real</t>
  </si>
  <si>
    <t>Ciudad Real</t>
  </si>
  <si>
    <t>eljardinromantico.es</t>
  </si>
  <si>
    <t>926 20 73 25</t>
  </si>
  <si>
    <t>Calle de Calatrava, 5, 13004 Ciudad Real, Cdad. Real</t>
  </si>
  <si>
    <t>floristeriapife.es</t>
  </si>
  <si>
    <t>Floristería El Pasaje</t>
  </si>
  <si>
    <t>Calle de San Isidoro, 15, 13005 Ciudad Real, Cdad. Real</t>
  </si>
  <si>
    <t>floristeriaelpasaje.com</t>
  </si>
  <si>
    <t>926 21 02 34</t>
  </si>
  <si>
    <t>floristeriaelpasaje@hotmail.es</t>
  </si>
  <si>
    <t>FLORISTERIA VIVEROS SANTI</t>
  </si>
  <si>
    <t>Calle Ruiz Morote, 16, 13001 Ciudad Real, Cdad. Real</t>
  </si>
  <si>
    <t>viverossanti.com</t>
  </si>
  <si>
    <t>926 25 48 54</t>
  </si>
  <si>
    <t>info@viverossanti.com</t>
  </si>
  <si>
    <t>Calle Altagracia, 13, 13003 Ciudad Real, Cdad. Real</t>
  </si>
  <si>
    <t>647 16 10 24</t>
  </si>
  <si>
    <t>Floristeria Ikebana</t>
  </si>
  <si>
    <t>Calle Morería, 6, 13002 Ciudad Real, Cdad. Real</t>
  </si>
  <si>
    <t>floristeriaikebana.com</t>
  </si>
  <si>
    <t>926 22 61 18</t>
  </si>
  <si>
    <t>Floristería Tino</t>
  </si>
  <si>
    <t>Calle Sancho Panza, 14, 13004 Ciudad Real, Cdad. Real</t>
  </si>
  <si>
    <t>floristerialolicr.com</t>
  </si>
  <si>
    <t>639 33 35 49</t>
  </si>
  <si>
    <t>floristerialoli.cr@gmail.com</t>
  </si>
  <si>
    <t>Flores Nta. Sra . del Prado</t>
  </si>
  <si>
    <t>Calle Feria, 3, 13001 Ciudad Real, Cdad. Real</t>
  </si>
  <si>
    <t>615 30 44 74</t>
  </si>
  <si>
    <t>Calle Azucena, 6, 13003 Ciudad Real, Cdad. Real</t>
  </si>
  <si>
    <t>926 92 59 99</t>
  </si>
  <si>
    <t>Flores al cielo</t>
  </si>
  <si>
    <t>13005 Ciudad Real, Cdad. Real</t>
  </si>
  <si>
    <t>696 38 38 23</t>
  </si>
  <si>
    <t>Santa Elena</t>
  </si>
  <si>
    <t>Plaza Mayor, 22, 13001 Ciudad Real, Cdad. Real</t>
  </si>
  <si>
    <t>926 22 11 08</t>
  </si>
  <si>
    <t>Floristeria Rosabel</t>
  </si>
  <si>
    <t>13004 Ciudad Real, Cdad. Real</t>
  </si>
  <si>
    <t>Floristería Tu Jardín</t>
  </si>
  <si>
    <t>Plaza de la Constitución, 5, 13170 Miguelturra, Cdad. Real</t>
  </si>
  <si>
    <t>Miguelturra</t>
  </si>
  <si>
    <t>floristeriatujardin.com</t>
  </si>
  <si>
    <t>926 24 15 23</t>
  </si>
  <si>
    <t>floristeriatujardin@gmail.com</t>
  </si>
  <si>
    <t>Floristería El Lazo</t>
  </si>
  <si>
    <t>Calle Ciruela, 3, 13170 Miguelturra, Cdad. Real</t>
  </si>
  <si>
    <t>926 24 07 26</t>
  </si>
  <si>
    <t>Tu Jardín Almacén</t>
  </si>
  <si>
    <t>Calle Granada, 36, 13170 Miguelturra, Cdad. Real</t>
  </si>
  <si>
    <t>Vivero Santi</t>
  </si>
  <si>
    <t>carretera de carrion km 313, 13005 Ciudad Real, Cdad. Real</t>
  </si>
  <si>
    <t>926 23 12 55</t>
  </si>
  <si>
    <t>Floristería Y Viveros Santa Elena</t>
  </si>
  <si>
    <t>Carretera Porzuna, 0 S N, 13001 Ciudad Real</t>
  </si>
  <si>
    <t>926 82 00 05</t>
  </si>
  <si>
    <t>Floristería Ortega Utrilla</t>
  </si>
  <si>
    <t>Plaza Concepción, 1, 13160 Torralba de Calatrava, Cdad. Real</t>
  </si>
  <si>
    <t>Torralba de Calatrava</t>
  </si>
  <si>
    <t>634 30 70 41</t>
  </si>
  <si>
    <t>Floristeria Musgo Olivo</t>
  </si>
  <si>
    <t>Calle Olivo, 3, 13420 Malagón, Cdad. Real</t>
  </si>
  <si>
    <t>Malagón</t>
  </si>
  <si>
    <t>floristeriamusgo.com</t>
  </si>
  <si>
    <t>926 80 09 18</t>
  </si>
  <si>
    <t>info@floristeriamusgo.com</t>
  </si>
  <si>
    <t>Floristería María Magdalena</t>
  </si>
  <si>
    <t>C. de Granada, 26, 13270 Almagro, Cdad. Real</t>
  </si>
  <si>
    <t>Almagro</t>
  </si>
  <si>
    <t>floristeriammag.byethost18.com</t>
  </si>
  <si>
    <t>926 88 20 72</t>
  </si>
  <si>
    <t>Floristería Maribel</t>
  </si>
  <si>
    <t>Ctra. Navalpino, 0, 13100 Piedrabuena, Cdad. Real</t>
  </si>
  <si>
    <t>Piedrabuena</t>
  </si>
  <si>
    <t>600 74 92 44</t>
  </si>
  <si>
    <t>Azalea Floreria</t>
  </si>
  <si>
    <t>Calle San Agustín, 10, 13270 Almagro, Cdad. Real</t>
  </si>
  <si>
    <t>Floristería Dicarlo</t>
  </si>
  <si>
    <t>Calle Tercia, 14, 13120 Porzuna, Cdad. Real</t>
  </si>
  <si>
    <t>Porzuna</t>
  </si>
  <si>
    <t>926 78 12 18</t>
  </si>
  <si>
    <t>Floristería Musgo</t>
  </si>
  <si>
    <t>Calle Arenas, 9, 13250 Daimiel, Cdad. Real</t>
  </si>
  <si>
    <t>Daimiel</t>
  </si>
  <si>
    <t>926 85 22 59</t>
  </si>
  <si>
    <t>Floristeria Sacramento</t>
  </si>
  <si>
    <t>Calle Reyes Católicos, 30, 13260 Bolaños de Calatrava, Cdad. Real</t>
  </si>
  <si>
    <t>Bolaños de Calatrava</t>
  </si>
  <si>
    <t>926 87 28 86</t>
  </si>
  <si>
    <t>Maribel C B</t>
  </si>
  <si>
    <t>Ctra. Navalpino, 32, 13100 Piedrabuena, Cdad. Real</t>
  </si>
  <si>
    <t>926 76 00 74</t>
  </si>
  <si>
    <t>Floranysa</t>
  </si>
  <si>
    <t>Carr. de Cdad. Real, 20, 13120 Porzuna, Cdad. Real</t>
  </si>
  <si>
    <t>floranysa.ueniweb.com</t>
  </si>
  <si>
    <t>675 48 65 71</t>
  </si>
  <si>
    <t>scazonlopez@hotmail.com</t>
  </si>
  <si>
    <t>Diaz Floristas Puertollano 💐</t>
  </si>
  <si>
    <t>Calle Aduana, 20, 13500 Puertollano, Cdad. Real</t>
  </si>
  <si>
    <t>Puertollano</t>
  </si>
  <si>
    <t>diazfloristas.es</t>
  </si>
  <si>
    <t>926 42 46 53</t>
  </si>
  <si>
    <t>Díaz Floristas Estrella S.L.U</t>
  </si>
  <si>
    <t>Calle Aduana, 7, 13500 Puertollano, Cdad. Real</t>
  </si>
  <si>
    <t>diazfloristasestrella.com</t>
  </si>
  <si>
    <t>926 43 13 29</t>
  </si>
  <si>
    <t>diazfloristasestrella@gmail.com</t>
  </si>
  <si>
    <t>Manuel Sánchez Granados</t>
  </si>
  <si>
    <t>Calle Gustavo Oliver, 23, 13380 Aldea del Rey, Cdad. Real</t>
  </si>
  <si>
    <t>Aldea del Rey</t>
  </si>
  <si>
    <t>926 86 56 14</t>
  </si>
  <si>
    <t>Floristería Famaflor</t>
  </si>
  <si>
    <t>Calle Calzada, 1, 13500 Puertollano, Cdad. Real</t>
  </si>
  <si>
    <t>926 43 13 21</t>
  </si>
  <si>
    <t>Plaza España, 22, 13250 Daimiel, Cdad. Real</t>
  </si>
  <si>
    <t>687 55 19 98</t>
  </si>
  <si>
    <t>Floristeria Luisa</t>
  </si>
  <si>
    <t>Calle Pinto, 19, 13440 Argamasilla de Calatrava, Cdad. Real</t>
  </si>
  <si>
    <t>Argamasilla de Calatrava</t>
  </si>
  <si>
    <t>629 91 04 64</t>
  </si>
  <si>
    <t>Jardy Flor - Floristeria Calzada de Calatrava</t>
  </si>
  <si>
    <t>Calle Cervantes, 27, 13370 Calzada de Calatrava, Cdad. Real</t>
  </si>
  <si>
    <t>Calzada de Calatrava</t>
  </si>
  <si>
    <t>jardyflor.multiespaciosweb.com</t>
  </si>
  <si>
    <t>608 00 40 04</t>
  </si>
  <si>
    <t>LAS CAMELIAS</t>
  </si>
  <si>
    <t>926 85 26 57</t>
  </si>
  <si>
    <t>Lorenzo Villajos Núñez</t>
  </si>
  <si>
    <t>Calle San Sebastián, 53, 13120 Porzuna, Cdad. Real</t>
  </si>
  <si>
    <t>Floristería Viveros Antonio</t>
  </si>
  <si>
    <t>Av. de los Toreros, 2, 13350 Moral de Calatrava, Cdad. Real</t>
  </si>
  <si>
    <t>Moral de Calatrava</t>
  </si>
  <si>
    <t>926 33 05 11</t>
  </si>
  <si>
    <t>Floristería S. Antonio Saúl</t>
  </si>
  <si>
    <t>Calle Cristo de la Humildad, 15, 13350 Moral de Calatrava, Cdad. Real</t>
  </si>
  <si>
    <t>926 33 04 30</t>
  </si>
  <si>
    <t>FLORISTERIA LOS NARDOS</t>
  </si>
  <si>
    <t>Calle Iglesia, 15, 13670 Villarrubia de los Ojos, Cdad. Real</t>
  </si>
  <si>
    <t>Villarrubia de los Ojos</t>
  </si>
  <si>
    <t>605 03 53 66</t>
  </si>
  <si>
    <t>Paseo de San Gregorio, 2, 13500 Puertollano, Cdad. Real</t>
  </si>
  <si>
    <t>926 42 03 13</t>
  </si>
  <si>
    <t>Floristería Piscis</t>
  </si>
  <si>
    <t>Calle Albacete, 13670 Villarrubia de los Ojos, Cdad. Real</t>
  </si>
  <si>
    <t>635 17 61 38</t>
  </si>
  <si>
    <t>Calle Don Tiburcio, 71, 13250 Daimiel, Cdad. Real</t>
  </si>
  <si>
    <t>Floristería Los Nardos</t>
  </si>
  <si>
    <t>Calle Paradores, 28, 13670 Villarrubia de los Ojos, Cdad. Real</t>
  </si>
  <si>
    <t>Ramón García Espinosa</t>
  </si>
  <si>
    <t>Calle Amargura, 12, 13370 Calzada de Calatrava, Cdad. Real</t>
  </si>
  <si>
    <t>926 87 51 07</t>
  </si>
  <si>
    <t>El Paraíso</t>
  </si>
  <si>
    <t>Calle Dr. Fleming, 30, 13200 Manzanares, Cdad. Real</t>
  </si>
  <si>
    <t>Manzanares</t>
  </si>
  <si>
    <t>926 61 12 54</t>
  </si>
  <si>
    <t>Floristería Florplant y Viveros Díaz</t>
  </si>
  <si>
    <t>Calle San Miguel, 2, BAJO, 13230 Membrilla, Cdad. Real</t>
  </si>
  <si>
    <t>Membrilla</t>
  </si>
  <si>
    <t>florplant.net</t>
  </si>
  <si>
    <t>926 63 71 40</t>
  </si>
  <si>
    <t>Floristería Jardín Flor</t>
  </si>
  <si>
    <t>Calle Cervantes, 2, 13730 Santa Cruz de Mudela, Cdad. Real</t>
  </si>
  <si>
    <t>Santa Cruz de Mudela</t>
  </si>
  <si>
    <t>jardin-flor.net</t>
  </si>
  <si>
    <t>926 34 24 64</t>
  </si>
  <si>
    <t>jesusmerlo@jardin-flor.net</t>
  </si>
  <si>
    <t>Floristería Los Jazmines</t>
  </si>
  <si>
    <t>Calle Monte, 6, 13210 Villarta de San Juan, Cdad. Real</t>
  </si>
  <si>
    <t>Villarta de San Juan</t>
  </si>
  <si>
    <t>616 82 72 04</t>
  </si>
  <si>
    <t>Calle Castellanos, 44, 13300 Valdepeñas, Cdad. Real</t>
  </si>
  <si>
    <t>Valdepeñas</t>
  </si>
  <si>
    <t>926 31 20 84</t>
  </si>
  <si>
    <t>Floristería Floravenida 🌼</t>
  </si>
  <si>
    <t>Av. Primero de Mayo, 44, 13500 Puertollano, Cdad. Real</t>
  </si>
  <si>
    <t>926 42 00 59</t>
  </si>
  <si>
    <t>Calle Veracruz, 27, 13300 Valdepeñas, Cdad. Real</t>
  </si>
  <si>
    <t>floristeriairisvaldepenas.es</t>
  </si>
  <si>
    <t>680 55 71 26</t>
  </si>
  <si>
    <t>info@floristeriairisvaldepenas.es</t>
  </si>
  <si>
    <t>Luisa Infante Miñano</t>
  </si>
  <si>
    <t>Calle Reyes Católicos, 37, 13200 Manzanares, Cdad. Real</t>
  </si>
  <si>
    <t>926 62 06 53</t>
  </si>
  <si>
    <t>Calle Pacheco, 21, 13240 La Solana, Cdad. Real</t>
  </si>
  <si>
    <t>La Solana</t>
  </si>
  <si>
    <t>926 63 11 51</t>
  </si>
  <si>
    <t>Nuestra Señora del Espino</t>
  </si>
  <si>
    <t>cruce con, Calle San Miguel &amp;amp; Calle Alabarderos, 13230 Membrilla, Cdad. Real</t>
  </si>
  <si>
    <t>926 63 69 14</t>
  </si>
  <si>
    <t>Jesús Merlo García S L</t>
  </si>
  <si>
    <t>Av. de los Estudiantes, 41, 13300 Valdepeñas, Cdad. Real</t>
  </si>
  <si>
    <t>926 32 25 63</t>
  </si>
  <si>
    <t>María Dolores Ocaña Luque</t>
  </si>
  <si>
    <t>926 31 19 72</t>
  </si>
  <si>
    <t>Petra González Salcedo</t>
  </si>
  <si>
    <t>Calle Guadalupe, 56, 13240 Solana (la), Cdad. Real</t>
  </si>
  <si>
    <t>926 63 19 15</t>
  </si>
  <si>
    <t>Floristas Trastos</t>
  </si>
  <si>
    <t>Calle Grande, 64, 13670 Villarrubia de los Ojos, Cdad. Real</t>
  </si>
  <si>
    <t>Floristería ÁNGELA</t>
  </si>
  <si>
    <t>C/ Norte, 68, 13300 Valdepeñas, Cdad. Real</t>
  </si>
  <si>
    <t>686 29 85 58</t>
  </si>
  <si>
    <t>Floristeria El Paraiso</t>
  </si>
  <si>
    <t>Calle San Marcos, 8, 13200 Manzanares, Cdad. Real</t>
  </si>
  <si>
    <t>620 93 74 76</t>
  </si>
  <si>
    <t>El Paraíso floristas</t>
  </si>
  <si>
    <t>Plaza Sta. Quiteria, 3, BAJO, 13600 Alcázar de San Juan, Cdad. Real</t>
  </si>
  <si>
    <t>Alcázar de San Juan</t>
  </si>
  <si>
    <t>926 54 34 58</t>
  </si>
  <si>
    <t>Floristería Tomiflor</t>
  </si>
  <si>
    <t>Calle San Roque, 4, 13700 Tomelloso, Cdad. Real</t>
  </si>
  <si>
    <t>Tomelloso</t>
  </si>
  <si>
    <t>tomiflor.com</t>
  </si>
  <si>
    <t>699 62 76 46</t>
  </si>
  <si>
    <t>Floristeria La Estrella</t>
  </si>
  <si>
    <t>Calle Real, 54, 13770 Viso del Marqués, Cdad. Real</t>
  </si>
  <si>
    <t>Viso del Marqués</t>
  </si>
  <si>
    <t>689 42 86 79</t>
  </si>
  <si>
    <t>Floristeria Caribel</t>
  </si>
  <si>
    <t>Calle Morago, 1, 13200 Manzanares, Cdad. Real</t>
  </si>
  <si>
    <t>926 61 10 41</t>
  </si>
  <si>
    <t>González Floristas</t>
  </si>
  <si>
    <t>Calle Monte, 19, 13700 Tomelloso, Cdad. Real</t>
  </si>
  <si>
    <t>gonzalezfloristas.com</t>
  </si>
  <si>
    <t>926 51 28 16</t>
  </si>
  <si>
    <t>Las Flores de Prado</t>
  </si>
  <si>
    <t>Calle Corredera, 32, 13600 Alcázar de San Juan, Cdad. Real</t>
  </si>
  <si>
    <t>926 54 48 79</t>
  </si>
  <si>
    <t>Floristería Milagros</t>
  </si>
  <si>
    <t>Calle Castellanos, 36, 13300 Valdepeñas, Cdad. Real</t>
  </si>
  <si>
    <t>floristeriamilagros.com</t>
  </si>
  <si>
    <t>926 31 21 12</t>
  </si>
  <si>
    <t>ABELMAR FLORISTERÍA</t>
  </si>
  <si>
    <t>Calle de la Rondilla Cruz Verde, 51, BAJO, 13600 Alcázar de San Juan, Cdad. Real</t>
  </si>
  <si>
    <t>floristeriaabelmar.es</t>
  </si>
  <si>
    <t>926 54 60 41</t>
  </si>
  <si>
    <t>info@floristeriaabelmar.es</t>
  </si>
  <si>
    <t>Calle Cánovas del Castillo, 66, 13240 La Solana, Cdad. Real</t>
  </si>
  <si>
    <t>692 21 72 33</t>
  </si>
  <si>
    <t>Jardín Flor</t>
  </si>
  <si>
    <t>Av. de los Estudiantes, 39, 13300 Valdepeñas, Cdad. Real</t>
  </si>
  <si>
    <t>Decojardin Floristas</t>
  </si>
  <si>
    <t>Calle Reverendo Eliseo Ramirez, 13, 13700 Tomelloso, Cdad. Real</t>
  </si>
  <si>
    <t>floristeriarosalia.com</t>
  </si>
  <si>
    <t>678 01 12 53</t>
  </si>
  <si>
    <t>Floristería Marse</t>
  </si>
  <si>
    <t>Av. Don Antonio Huertas, 171, 13700 Tomelloso, Cdad. Real</t>
  </si>
  <si>
    <t>926 50 19 27</t>
  </si>
  <si>
    <t>Calle Azuqueca, 34, 45700 Consuegra, Toledo</t>
  </si>
  <si>
    <t>Consuegra</t>
  </si>
  <si>
    <t>Toledo</t>
  </si>
  <si>
    <t>floristeriajazmin.info</t>
  </si>
  <si>
    <t>925 48 02 46</t>
  </si>
  <si>
    <t>floristeria.jazmin@hotmail.com</t>
  </si>
  <si>
    <t>FLORISTERÍA Y DECORACIÓN PURI G.C.</t>
  </si>
  <si>
    <t>Calle Calvo Sotelo, 5, 13210 Villarta de San Juan, Cdad. Real</t>
  </si>
  <si>
    <t>606 09 47 78</t>
  </si>
  <si>
    <t>Floristeria Los Jardines</t>
  </si>
  <si>
    <t>Plaza Waldo Ferrer, 2, 13400 Almadén, Cdad. Real</t>
  </si>
  <si>
    <t>Almadén</t>
  </si>
  <si>
    <t>926 71 07 85</t>
  </si>
  <si>
    <t>La Orquídea</t>
  </si>
  <si>
    <t>Calle Espejo, 9, 45700 Consuegra, Toledo</t>
  </si>
  <si>
    <t>627 50 81 42</t>
  </si>
  <si>
    <t>Floristería &amp;quot;Milagros&amp;quot;</t>
  </si>
  <si>
    <t>Calle Magdalena, 100, 13300 Valdepeñas, Cdad. Real</t>
  </si>
  <si>
    <t>926 32 29 56</t>
  </si>
  <si>
    <t>Floristeria Matices</t>
  </si>
  <si>
    <t>Calle Concepción, 23, 13610 Campo de Criptana, Cdad. Real</t>
  </si>
  <si>
    <t>Campo de Criptana</t>
  </si>
  <si>
    <t>maticescriptana.wix.com</t>
  </si>
  <si>
    <t>657 67 07 92</t>
  </si>
  <si>
    <t>Hermanos Ruiz Navarro Sociedad Cooperativa De Cast</t>
  </si>
  <si>
    <t>Lugar Puerto Lápice, 1, 13720 Cinco Casas, Cdad. Real</t>
  </si>
  <si>
    <t>Cinco Casas</t>
  </si>
  <si>
    <t>926 52 66 10</t>
  </si>
  <si>
    <t>ARTE Y JARDIN</t>
  </si>
  <si>
    <t>Calle Concepción, 69, 13610 Campo de Criptana, Cdad. Real</t>
  </si>
  <si>
    <t>floristeriaarteyjardin.es</t>
  </si>
  <si>
    <t>926 56 22 11</t>
  </si>
  <si>
    <t>Tejidos y Floristeria Paqui</t>
  </si>
  <si>
    <t>Calle Pérez Galdós, 52, 13740 Torrenueva, Cdad. Real</t>
  </si>
  <si>
    <t>Torrenueva</t>
  </si>
  <si>
    <t>926 34 12 63</t>
  </si>
  <si>
    <t>Miguel Tejero Sierra</t>
  </si>
  <si>
    <t>Calle Bailén, 1, 13600 Alcázar de San Juan, Cdad. Real</t>
  </si>
  <si>
    <t>926 54 34 44</t>
  </si>
  <si>
    <t>Floristería Mercedes</t>
  </si>
  <si>
    <t>Calle de Carrasco-Alcalde, 38, 13640 Herencia, Cdad. Real</t>
  </si>
  <si>
    <t>Herencia</t>
  </si>
  <si>
    <t>926 57 34 23</t>
  </si>
  <si>
    <t>Aragar Floristerías</t>
  </si>
  <si>
    <t>Calle Colón, 10, 13640 Herencia, Cdad. Real</t>
  </si>
  <si>
    <t>926 57 22 63</t>
  </si>
  <si>
    <t>El jardín de la Palma</t>
  </si>
  <si>
    <t>13700 Tomelloso, Cdad. Real</t>
  </si>
  <si>
    <t>635 29 42 79</t>
  </si>
  <si>
    <t>María de Lourdes Serrano de la Cruz Santos-Olmo</t>
  </si>
  <si>
    <t>Calle Sta. Quiteria, 61, 13700 Tomelloso, Cdad. Real</t>
  </si>
  <si>
    <t>926 50 21 81</t>
  </si>
  <si>
    <t>El Zoco de las Jaras</t>
  </si>
  <si>
    <t>Calle de la Virgen, 4, 13300 Valdepeñas, Cdad. Real</t>
  </si>
  <si>
    <t>lasjaras.es</t>
  </si>
  <si>
    <t>926 31 14 45</t>
  </si>
  <si>
    <t>tecnico@lasjaras.es</t>
  </si>
  <si>
    <t>Joana Floristeria</t>
  </si>
  <si>
    <t>Calle Jorge Torner, 21, 16004 Cuenca</t>
  </si>
  <si>
    <t>joanafloristeria.com</t>
  </si>
  <si>
    <t>695 60 45 07</t>
  </si>
  <si>
    <t>info@joanafloristeria.com</t>
  </si>
  <si>
    <t>Flor de Nácar Floristas</t>
  </si>
  <si>
    <t>Calle Cervantes, 6, 16004 Cuenca</t>
  </si>
  <si>
    <t>flordenacar.es</t>
  </si>
  <si>
    <t>969 21 11 48</t>
  </si>
  <si>
    <t>info@flordenacar.es</t>
  </si>
  <si>
    <t>IKEBANA FLORAL</t>
  </si>
  <si>
    <t>Calle Colón, 13, 16002 Cuenca</t>
  </si>
  <si>
    <t>676 24 50 48</t>
  </si>
  <si>
    <t>Florigama</t>
  </si>
  <si>
    <t>Av. de San Julián, 3, 16002 Cuenca</t>
  </si>
  <si>
    <t>969 23 48 02</t>
  </si>
  <si>
    <t>Flores Las Camelias</t>
  </si>
  <si>
    <t>C/ Torres, 8, 16001 Cuenca</t>
  </si>
  <si>
    <t>969 21 19 15</t>
  </si>
  <si>
    <t>Agwada Arte Floral</t>
  </si>
  <si>
    <t>Av. de los Reyes Católicos, 16003 Cuenca</t>
  </si>
  <si>
    <t>615 56 57 59</t>
  </si>
  <si>
    <t>Flores Ranin</t>
  </si>
  <si>
    <t>Calle de Perez Galdos, 4, 16003 Cuenca</t>
  </si>
  <si>
    <t>967 15 51 23</t>
  </si>
  <si>
    <t>Viveros La Mezquita - Veterinario, Jardinería y Floristería en Cuenca</t>
  </si>
  <si>
    <t>Polígono Ctra. Motilla &amp;quot;SEPES&amp;quot; C/ Prado Cuenca, Parcelas 53-54, 16004 Cuenca</t>
  </si>
  <si>
    <t>viveroslamezquita.com</t>
  </si>
  <si>
    <t>969 21 00 90</t>
  </si>
  <si>
    <t>info@viveroslamezquita.com</t>
  </si>
  <si>
    <t>Tribool</t>
  </si>
  <si>
    <t>Calle Rio, 13, 16841 Albalate de las Nogueras, Cuenca</t>
  </si>
  <si>
    <t>Albalate de las Nogueras</t>
  </si>
  <si>
    <t>tribool.es</t>
  </si>
  <si>
    <t>672 05 66 52</t>
  </si>
  <si>
    <t>hola@tribool.es</t>
  </si>
  <si>
    <t>Floristería Agapito&amp;apos;s</t>
  </si>
  <si>
    <t>Av. Madrid Valencia, 126, 16100 Valverde de Júcar, Cuenca</t>
  </si>
  <si>
    <t>Valverde de Júcar</t>
  </si>
  <si>
    <t>Agapito&amp;apos;S</t>
  </si>
  <si>
    <t>Calle Ruiz de Alarcón, 6, 16100 Valverde de Júcar, Cuenca</t>
  </si>
  <si>
    <t>969 20 15 90</t>
  </si>
  <si>
    <t>Flores Patricia</t>
  </si>
  <si>
    <t>Abia de la Obispalía</t>
  </si>
  <si>
    <t>ueni.com</t>
  </si>
  <si>
    <t>661 44 94 93</t>
  </si>
  <si>
    <t>press@ueni.com</t>
  </si>
  <si>
    <t>Floristería Aragón</t>
  </si>
  <si>
    <t>Paseo Estación, 20, 16400 Tarancón, Cuenca</t>
  </si>
  <si>
    <t>Tarancón</t>
  </si>
  <si>
    <t>969 32 32 10</t>
  </si>
  <si>
    <t>Floridteria Athenea</t>
  </si>
  <si>
    <t>Calle Aguasales, 1, 16330 Landete, Cuenca</t>
  </si>
  <si>
    <t>Landete</t>
  </si>
  <si>
    <t>969 36 15 28</t>
  </si>
  <si>
    <t>Minamusa Boutique Floral</t>
  </si>
  <si>
    <t>Calle Elvira, 5, 16730 Honrubia, Cuenca</t>
  </si>
  <si>
    <t>Honrubia</t>
  </si>
  <si>
    <t>623 19 28 87</t>
  </si>
  <si>
    <t>Flores Iris</t>
  </si>
  <si>
    <t>Calle Antonio Machado, 12, LOCAL, 16400 Tarancón, Cuenca</t>
  </si>
  <si>
    <t>iristarancon.com</t>
  </si>
  <si>
    <t>619 64 60 85</t>
  </si>
  <si>
    <t>floresiristarancon@gmail.com</t>
  </si>
  <si>
    <t>Floristería Gladys</t>
  </si>
  <si>
    <t>Av. Miguel de Cervantes, 40, 16400 Tarancón, Cuenca</t>
  </si>
  <si>
    <t>floristeriaentarancon.com</t>
  </si>
  <si>
    <t>680 38 85 44</t>
  </si>
  <si>
    <t>floromantic@gmail.com</t>
  </si>
  <si>
    <t>Floristería Hydra</t>
  </si>
  <si>
    <t>Ctra. de Cuenca, 19120 Sacedón, Guadalajara</t>
  </si>
  <si>
    <t>Sacedón</t>
  </si>
  <si>
    <t>Guadalajara</t>
  </si>
  <si>
    <t>615 67 16 25</t>
  </si>
  <si>
    <t>Flores Alme</t>
  </si>
  <si>
    <t>Av. del Rey Juan Carlos I, 35, 16400 Tarancón, Cuenca</t>
  </si>
  <si>
    <t>969 32 15 99</t>
  </si>
  <si>
    <t>Floristeria Eva</t>
  </si>
  <si>
    <t>Av. Cruz de Piedra, 2, 16620 La Alberca de Záncara, Cuenca</t>
  </si>
  <si>
    <t>La Alberca de Záncara</t>
  </si>
  <si>
    <t>967 15 03 33</t>
  </si>
  <si>
    <t>Floristeria Lucia</t>
  </si>
  <si>
    <t>Calle Gerardo Delgado, 9, 16640 Belmonte, Cuenca</t>
  </si>
  <si>
    <t>Belmonte</t>
  </si>
  <si>
    <t>Floristeria Coronaria</t>
  </si>
  <si>
    <t>Calle Honda, 16420 Villarrubio, Cuenca</t>
  </si>
  <si>
    <t>Villarrubio</t>
  </si>
  <si>
    <t>602 42 83 24</t>
  </si>
  <si>
    <t>FLORISTERIA LUCIAMOR</t>
  </si>
  <si>
    <t>Calle Sta. Ana, 7, 16415 Villamayor de Santiago, Cuenca</t>
  </si>
  <si>
    <t>Villamayor de Santiago</t>
  </si>
  <si>
    <t>630 19 74 00</t>
  </si>
  <si>
    <t>Floristería Montserrat</t>
  </si>
  <si>
    <t>Calle Cruz de Marchante, 25, 16660 Las Pedroñeras, Cuenca</t>
  </si>
  <si>
    <t>Las Pedroñeras</t>
  </si>
  <si>
    <t>967 16 05 48</t>
  </si>
  <si>
    <t>Floristería Marian</t>
  </si>
  <si>
    <t>Calle Generales Crespo, 2, 16260 Minglanilla, Cuenca</t>
  </si>
  <si>
    <t>Minglanilla</t>
  </si>
  <si>
    <t>962 18 81 25</t>
  </si>
  <si>
    <t>El Jardín</t>
  </si>
  <si>
    <t>Calle Moreno Lázaro, 13, 16660 Pedroñeras ( Las ), Cuenca</t>
  </si>
  <si>
    <t>967 16 15 90</t>
  </si>
  <si>
    <t>Floristería Flor Sport</t>
  </si>
  <si>
    <t>Calle Dr. Salazar, 1, 16660 Las Pedroñeras, Cuenca</t>
  </si>
  <si>
    <t>967 16 13 70</t>
  </si>
  <si>
    <t>Floristería Iryna</t>
  </si>
  <si>
    <t>Calle Madrigueras, 22, 16235 Iniesta, Cuenca</t>
  </si>
  <si>
    <t>mijardin, C.B.</t>
  </si>
  <si>
    <t>Calle Hotel, 2, 16400 Tarancón, Cuenca</t>
  </si>
  <si>
    <t>625 06 07 70</t>
  </si>
  <si>
    <t>Floristería Peonia &amp;amp; Wedding Planners Mota</t>
  </si>
  <si>
    <t>Calle Coso, 20, 16630 Mota del Cuervo, Cuenca</t>
  </si>
  <si>
    <t>Mota del Cuervo</t>
  </si>
  <si>
    <t>667 46 57 55</t>
  </si>
  <si>
    <t>Floristería Inma-Rosa</t>
  </si>
  <si>
    <t>Calle Villaescusa, 36, Bajo, 16415 Villamayor de Santiago, Cuenca</t>
  </si>
  <si>
    <t>645 58 02 43</t>
  </si>
  <si>
    <t>María Soledad Carrasco Timón</t>
  </si>
  <si>
    <t>Calle Ntra. Sra. Soledad, 30, 16411 Fuente de Pedro Naharro, Cuenca</t>
  </si>
  <si>
    <t>Fuente de Pedro Naharro</t>
  </si>
  <si>
    <t>Seorque Sdad Coop</t>
  </si>
  <si>
    <t>Carr. de San Clemente, 197, 16230 Villanueva de la Jara, Cuenca</t>
  </si>
  <si>
    <t>Villanueva de la Jara</t>
  </si>
  <si>
    <t>967 49 88 58</t>
  </si>
  <si>
    <t>Espada S Coop</t>
  </si>
  <si>
    <t>Calle Teniente Coronel Picazo, 12, 16260 Minglanilla, Cuenca</t>
  </si>
  <si>
    <t>962 18 77 12</t>
  </si>
  <si>
    <t>Separ Cooperativa Clm</t>
  </si>
  <si>
    <t>Travesía Barrionuevo, 2, 16235 Iniesta, Cuenca</t>
  </si>
  <si>
    <t>967 49 00 90</t>
  </si>
  <si>
    <t>FLORISTERIA JULI</t>
  </si>
  <si>
    <t>Calle Párroco José María Alfaro, 6, 16400 Tarancón, Cuenca</t>
  </si>
  <si>
    <t>jimdo.com</t>
  </si>
  <si>
    <t>969 32 27 32</t>
  </si>
  <si>
    <t>info@jimdo.com</t>
  </si>
  <si>
    <t>Champiñones El Poncho 2001</t>
  </si>
  <si>
    <t>Calle Cruces, 25, 16220 Quintanar del Rey, Cuenca</t>
  </si>
  <si>
    <t>967 49 66 46</t>
  </si>
  <si>
    <t>Floristería Tanatorio M30 | Servicio 24 Horas</t>
  </si>
  <si>
    <t>636 12 93 79</t>
  </si>
  <si>
    <t>Flores Bahía</t>
  </si>
  <si>
    <t>Pje. Ángel y María, 1, 45800 Quintanar de la Orden, Toledo</t>
  </si>
  <si>
    <t>Quintanar de la Orden</t>
  </si>
  <si>
    <t>925 56 46 13</t>
  </si>
  <si>
    <t>Azalea Floristería</t>
  </si>
  <si>
    <t>Calle Camino Real Alto, 19, 16630 Mota del Cuervo, Cuenca</t>
  </si>
  <si>
    <t>azaleajardineria.com</t>
  </si>
  <si>
    <t>638 80 40 15</t>
  </si>
  <si>
    <t>contacto@azaleajardineria.com</t>
  </si>
  <si>
    <t>¡Qué de flores!</t>
  </si>
  <si>
    <t>quedeflores.com</t>
  </si>
  <si>
    <t>649 39 46 50</t>
  </si>
  <si>
    <t>El Mercado de las Flores</t>
  </si>
  <si>
    <t>elmercadodelasflores.com</t>
  </si>
  <si>
    <t>915 04 56 03</t>
  </si>
  <si>
    <t>atencioncliente@elmercadodelasflores.com</t>
  </si>
  <si>
    <t>Floristería Tanatorio Perales de Tajuña</t>
  </si>
  <si>
    <t>floristeriatanatorios.com</t>
  </si>
  <si>
    <t>900 802 027</t>
  </si>
  <si>
    <t>Flores para Hospital La Princesa</t>
  </si>
  <si>
    <t>floristeriaespaicol.com</t>
  </si>
  <si>
    <t>912 77 29 71</t>
  </si>
  <si>
    <t>Floristeria cementerio jardín</t>
  </si>
  <si>
    <t>floresalcala.es</t>
  </si>
  <si>
    <t>669 78 69 82</t>
  </si>
  <si>
    <t>Rosify Box</t>
  </si>
  <si>
    <t>rosifybox.com</t>
  </si>
  <si>
    <t>673 46 88 14</t>
  </si>
  <si>
    <t>bodas@rosifybox.com</t>
  </si>
  <si>
    <t>Floristería Hospital Quirón Pozuelo</t>
  </si>
  <si>
    <t>915 63 98 77</t>
  </si>
  <si>
    <t>Anémona Flores y Diseño</t>
  </si>
  <si>
    <t>anemonaflores.com</t>
  </si>
  <si>
    <t>722 36 80 43</t>
  </si>
  <si>
    <t>El Obrador de las Flores</t>
  </si>
  <si>
    <t>elobradordelasflores.com</t>
  </si>
  <si>
    <t>606 19 07 20</t>
  </si>
  <si>
    <t>info@elobradordelasflores.com</t>
  </si>
  <si>
    <t>Floristeria Hospital La Zarzuela</t>
  </si>
  <si>
    <t>914 48 15 30</t>
  </si>
  <si>
    <t>Achutegui Grow Shop Tarancon</t>
  </si>
  <si>
    <t>Calle Julián García, 16400 Tarancón, Cuenca</t>
  </si>
  <si>
    <t>achutegui-shop.negocio.site</t>
  </si>
  <si>
    <t>678 71 12 45</t>
  </si>
  <si>
    <t>Neyla Decor</t>
  </si>
  <si>
    <t>neyla-decor.ueniweb.com</t>
  </si>
  <si>
    <t>neilla_neilla@yahoo.com</t>
  </si>
  <si>
    <t>Fernando Espadas</t>
  </si>
  <si>
    <t>fernandoespadas.com</t>
  </si>
  <si>
    <t>911 64 69 02</t>
  </si>
  <si>
    <t>info@fernandoespadas.com</t>
  </si>
  <si>
    <t>Floristerina</t>
  </si>
  <si>
    <t>696 96 04 42</t>
  </si>
  <si>
    <t>Floristería Maternidad O´donnell</t>
  </si>
  <si>
    <t>914 57 08 03</t>
  </si>
  <si>
    <t>FLORA DIVINA</t>
  </si>
  <si>
    <t>650 79 14 74</t>
  </si>
  <si>
    <t>Flores Tiaré</t>
  </si>
  <si>
    <t>Calle San Francisco, 26, 45800 Quintanar de la Orden, Toledo</t>
  </si>
  <si>
    <t>florestiare.com</t>
  </si>
  <si>
    <t>925 56 61 21</t>
  </si>
  <si>
    <t>info@florestiare.com</t>
  </si>
  <si>
    <t>FLORISTERIA TANATORIO GUADARRAMA</t>
  </si>
  <si>
    <t>917 29 12 80</t>
  </si>
  <si>
    <t>flores para hospital la paz</t>
  </si>
  <si>
    <t>floristeria@espaicol.com</t>
  </si>
  <si>
    <t>Bondai Flowers</t>
  </si>
  <si>
    <t>bondaiflowers.com</t>
  </si>
  <si>
    <t>662 69 21 40</t>
  </si>
  <si>
    <t>envios@bondaiflowers.com</t>
  </si>
  <si>
    <t>Floristeria Tanatorio Getafe</t>
  </si>
  <si>
    <t>Tanatorio La Paz Tres Cantos (Floristería)</t>
  </si>
  <si>
    <t>Entreflores de color</t>
  </si>
  <si>
    <t>649 26 63 75</t>
  </si>
  <si>
    <t>Floristería Clinica San Camilo</t>
  </si>
  <si>
    <t>914 02 55 39</t>
  </si>
  <si>
    <t>Beaucarnea Floristería</t>
  </si>
  <si>
    <t>916 89 01 01</t>
  </si>
  <si>
    <t>José Antonio Ajenjo Ajenjo</t>
  </si>
  <si>
    <t>Calle Gral. Villacañas, 23, 45810 Villanueva de Alcardete, Toledo</t>
  </si>
  <si>
    <t>Villanueva de Alcardete</t>
  </si>
  <si>
    <t>925 16 71 88</t>
  </si>
  <si>
    <t>Repartos de flores a domicilio.</t>
  </si>
  <si>
    <t>672 31 62 29</t>
  </si>
  <si>
    <t>The Blossoms&amp;apos; Tale</t>
  </si>
  <si>
    <t>theblossomstale.com</t>
  </si>
  <si>
    <t>polentaller.com</t>
  </si>
  <si>
    <t>658 55 75 17</t>
  </si>
  <si>
    <t>Polen_typo_BLACK_75x@2x.png</t>
  </si>
  <si>
    <t>Floristería y Jardinería El Jardín de Alicia</t>
  </si>
  <si>
    <t>910 12 79 09</t>
  </si>
  <si>
    <t>LaFloristería Juli Cuevas</t>
  </si>
  <si>
    <t>Calle Don Quijote, 128, 13630 Socuéllamos, Cdad. Real</t>
  </si>
  <si>
    <t>Socuéllamos</t>
  </si>
  <si>
    <t>lafloristeria.jimdo.com</t>
  </si>
  <si>
    <t>605 62 25 24</t>
  </si>
  <si>
    <t>ang1968leo@hotmail.com</t>
  </si>
  <si>
    <t>www.floristasmontse.con</t>
  </si>
  <si>
    <t>floristeriamontse.online</t>
  </si>
  <si>
    <t>ontse@interflora.es</t>
  </si>
  <si>
    <t>Azalea Jardinería</t>
  </si>
  <si>
    <t>967 18 24 03</t>
  </si>
  <si>
    <t>CHRISMEL, servicio INTERFLORA</t>
  </si>
  <si>
    <t>Carrer de Manuel Simó, 26, 46007 València, Valencia</t>
  </si>
  <si>
    <t>floreschrismel.es</t>
  </si>
  <si>
    <t>963 80 11 04</t>
  </si>
  <si>
    <t>chrismel@interflora.es</t>
  </si>
  <si>
    <t>Flores Para Hospital Quirón San Jose</t>
  </si>
  <si>
    <t>Calle de Cartagena, 111, 28002 Madrid</t>
  </si>
  <si>
    <t>Entre Flores y Plantas</t>
  </si>
  <si>
    <t>Polígono Industrial las Casas, Calle E parcela R125, 42005 Soria</t>
  </si>
  <si>
    <t>Soria</t>
  </si>
  <si>
    <t>630 68 09 05</t>
  </si>
  <si>
    <t>Mayo Floristería S L</t>
  </si>
  <si>
    <t>914 31 00 64</t>
  </si>
  <si>
    <t>Floristería Lysa Flores</t>
  </si>
  <si>
    <t>Carrer de les Illes Canàries, 84, 46023 València, Valencia</t>
  </si>
  <si>
    <t>lysaflores.com</t>
  </si>
  <si>
    <t>685 93 36 03</t>
  </si>
  <si>
    <t>Flores La Alqueria</t>
  </si>
  <si>
    <t>C. de Jesús, 44, 46007 València, Valencia</t>
  </si>
  <si>
    <t>floralqueria.com</t>
  </si>
  <si>
    <t>961 10 20 40</t>
  </si>
  <si>
    <t>Taller floral &amp;quot;A flor de...&amp;quot;</t>
  </si>
  <si>
    <t>Carrer Alfaz del Pi, 3, Nave 2, 03509 Finestrat, Alicante</t>
  </si>
  <si>
    <t>Finestrat</t>
  </si>
  <si>
    <t>aflorde.com</t>
  </si>
  <si>
    <t>683 26 19 01</t>
  </si>
  <si>
    <t>Floristería Morris - Flores a domicilio Valencia</t>
  </si>
  <si>
    <t>C. de Jesús, 94, 46007 València, Valencia</t>
  </si>
  <si>
    <t>floristeriamorris.com</t>
  </si>
  <si>
    <t>963 41 71 97</t>
  </si>
  <si>
    <t>FLORISTERÍA ALCARREÑA</t>
  </si>
  <si>
    <t>Calle Zaragoza, 19, 19005 Guadalajara</t>
  </si>
  <si>
    <t>949 25 56 13</t>
  </si>
  <si>
    <t>Hierba de Nácar</t>
  </si>
  <si>
    <t>Calle de Sigüenza, 3, 19003 Guadalajara</t>
  </si>
  <si>
    <t>hierbadenacar.com</t>
  </si>
  <si>
    <t>949 21 70 63</t>
  </si>
  <si>
    <t>info@hierbadenacar.com</t>
  </si>
  <si>
    <t>Floristería Hedu</t>
  </si>
  <si>
    <t>Calle Donante de Sangre, 7, 19002 Guadalajara</t>
  </si>
  <si>
    <t>floristeriahedu.es</t>
  </si>
  <si>
    <t>949 21 50 32</t>
  </si>
  <si>
    <t>Floristería Floristas Clara</t>
  </si>
  <si>
    <t>Calle Hermanos Fernández Galiano, 3, 19004 Guadalajara</t>
  </si>
  <si>
    <t>627 40 31 91</t>
  </si>
  <si>
    <t>Floristería Verdenace</t>
  </si>
  <si>
    <t>Calle Antonio Lozano Viñes, 4, 19001 Guadalajara</t>
  </si>
  <si>
    <t>verdenacefloristeria.es</t>
  </si>
  <si>
    <t>949 21 97 03</t>
  </si>
  <si>
    <t>Floristería Amapola</t>
  </si>
  <si>
    <t>Calle del Cardenal González de Mendoza, 31, 19004 Guadalajara</t>
  </si>
  <si>
    <t>949 22 04 39</t>
  </si>
  <si>
    <t>Flores Jazmin</t>
  </si>
  <si>
    <t>Calle Dr. Layna Serrano, 20C, 19002 Guadalajara</t>
  </si>
  <si>
    <t>flores-jazmin.negocio.site</t>
  </si>
  <si>
    <t>949 22 32 82</t>
  </si>
  <si>
    <t>Flores Susan</t>
  </si>
  <si>
    <t>Calle de la Virgen de la Soledad, 26, 19003 Guadalajara</t>
  </si>
  <si>
    <t>949 22 95 80</t>
  </si>
  <si>
    <t>Floristeria Villa Flores</t>
  </si>
  <si>
    <t>Calle Segovia, 3, 19005 Guadalajara</t>
  </si>
  <si>
    <t>949 23 15 97</t>
  </si>
  <si>
    <t>Ikebana Floristería</t>
  </si>
  <si>
    <t>Calle Pedro Pascual, 15, 19001 Guadalajara</t>
  </si>
  <si>
    <t>ikebanafloristeria.wixsite.com</t>
  </si>
  <si>
    <t>949 49 27 28</t>
  </si>
  <si>
    <t>Gema</t>
  </si>
  <si>
    <t>Plaza de España, 6, 19001 Guadalajara</t>
  </si>
  <si>
    <t>949 21 63 47</t>
  </si>
  <si>
    <t>Rotoes Yuncheng, Sl</t>
  </si>
  <si>
    <t>Av. Castilla, 18, 19002 Guadalajara</t>
  </si>
  <si>
    <t>949 22 60 39</t>
  </si>
  <si>
    <t>Floristería Orquidea&amp;apos;s</t>
  </si>
  <si>
    <t>Calle Ronda Nte., 19, 19208 Alovera, Guadalajara</t>
  </si>
  <si>
    <t>Alovera</t>
  </si>
  <si>
    <t>949 04 83 02</t>
  </si>
  <si>
    <t>Floristería David Calleja</t>
  </si>
  <si>
    <t>Plaza Gral. Vives, 16, 19200 Azuqueca de Henares, Guadalajara</t>
  </si>
  <si>
    <t>Azuqueca de Henares</t>
  </si>
  <si>
    <t>floristeriadavidcalleja.com</t>
  </si>
  <si>
    <t>949 26 14 95</t>
  </si>
  <si>
    <t>Floristería Arlequín</t>
  </si>
  <si>
    <t>Calle Alemania, 2, 19200 Azuqueca de Henares, Guadalajara</t>
  </si>
  <si>
    <t>949 37 83 10</t>
  </si>
  <si>
    <t>Floristería Los Mayos</t>
  </si>
  <si>
    <t>19174 Torrejón del Rey, Guadalajara</t>
  </si>
  <si>
    <t>Torrejón del Rey</t>
  </si>
  <si>
    <t>695 35 20 98</t>
  </si>
  <si>
    <t>Flor De La Granja</t>
  </si>
  <si>
    <t>Calle Mayor, 3, 19210 Yunquera de Henares, Guadalajara</t>
  </si>
  <si>
    <t>Yunquera de Henares</t>
  </si>
  <si>
    <t>949 33 09 32</t>
  </si>
  <si>
    <t>Floristería y Vivero El Casar</t>
  </si>
  <si>
    <t>Calle Alfonso Escudero, 55, 19170 El Casar, Guadalajara</t>
  </si>
  <si>
    <t>El Casar</t>
  </si>
  <si>
    <t>viveroelcasar.com</t>
  </si>
  <si>
    <t>949 33 62 27</t>
  </si>
  <si>
    <t>info@viveroelcasar.com</t>
  </si>
  <si>
    <t>Floristería zinnias</t>
  </si>
  <si>
    <t>Calle las Armas, 24, 19400 Brihuega, Guadalajara</t>
  </si>
  <si>
    <t>Brihuega</t>
  </si>
  <si>
    <t>619 28 92 46</t>
  </si>
  <si>
    <t>Floristeria De Tomas</t>
  </si>
  <si>
    <t>Calle Marques de Alonso Martínez, 17, BAJO(LOCAL 2, 28804 Alcalá de Henares, Madrid</t>
  </si>
  <si>
    <t>Alcalá de Henares</t>
  </si>
  <si>
    <t>floristeria-detomas.com</t>
  </si>
  <si>
    <t>918 88 66 51</t>
  </si>
  <si>
    <t>info@floristeriadetomas.es</t>
  </si>
  <si>
    <t>Floristería los santos niños</t>
  </si>
  <si>
    <t>Calle Victoria, 1, 28802 Alcalá de Henares, Madrid</t>
  </si>
  <si>
    <t>floristeriasantosalcala.com</t>
  </si>
  <si>
    <t>918 78 98 17</t>
  </si>
  <si>
    <t>info@floristeriasantosalcala.com</t>
  </si>
  <si>
    <t>Floristería Tanatorio de Guadalajara | Servicio 24 Horas</t>
  </si>
  <si>
    <t>Abánades</t>
  </si>
  <si>
    <t>Floristería &amp;amp; Herbolario &amp;quot;LOS ABABOLES&amp;quot; de Cobeña - Desde 2007</t>
  </si>
  <si>
    <t>Av. de Guadalajara, 21, 28863 Cobeña, Madrid</t>
  </si>
  <si>
    <t>Cobeña</t>
  </si>
  <si>
    <t>losababoles.com</t>
  </si>
  <si>
    <t>661 94 41 09</t>
  </si>
  <si>
    <t>pedidos@losababoles.com</t>
  </si>
  <si>
    <t>Elena Vela, Arte Floral</t>
  </si>
  <si>
    <t>Plaza Mayor, 13, 19110 Mondéjar, Guadalajara</t>
  </si>
  <si>
    <t>Mondéjar</t>
  </si>
  <si>
    <t>616 15 28 97</t>
  </si>
  <si>
    <t>Flores y Plantas Jesan</t>
  </si>
  <si>
    <t>Av. de Guadalajara, 2, 28032 Madrid</t>
  </si>
  <si>
    <t>917 75 79 10</t>
  </si>
  <si>
    <t>Calle Navarro y Ledesma, 15, 28807 Alcalá de Henares, Madrid</t>
  </si>
  <si>
    <t>floristeriapetalosalcala.com</t>
  </si>
  <si>
    <t>918 82 68 37</t>
  </si>
  <si>
    <t>info@floristeriapetalosalcala.com</t>
  </si>
  <si>
    <t>Floristería Tanatorio M40 | Servicio 24 Horas</t>
  </si>
  <si>
    <t>Hortensia Arte Floral</t>
  </si>
  <si>
    <t>Calle Alejo Carpentier, 23, 28806 Alcalá de Henares, Madrid</t>
  </si>
  <si>
    <t>hortensiartefloral.com</t>
  </si>
  <si>
    <t>912 61 88 19</t>
  </si>
  <si>
    <t>info@hortensiartefloral.com</t>
  </si>
  <si>
    <t>Yolanda Peña Sánchez</t>
  </si>
  <si>
    <t>Calle del Dr. Marañón, 5, 28815 Ribatejada, Madrid</t>
  </si>
  <si>
    <t>Ribatejada</t>
  </si>
  <si>
    <t>918 79 11 50</t>
  </si>
  <si>
    <t>Floristería Hydria</t>
  </si>
  <si>
    <t>C/ Palomares, 16, 28110 Algete, Madrid</t>
  </si>
  <si>
    <t>Algete</t>
  </si>
  <si>
    <t>floristeriahydria.es</t>
  </si>
  <si>
    <t>916 29 08 77</t>
  </si>
  <si>
    <t>Floristería Pecci Arte Floral</t>
  </si>
  <si>
    <t>Calle de Mejico, 10, 45004 Toledo</t>
  </si>
  <si>
    <t>pecci.es</t>
  </si>
  <si>
    <t>925 25 10 86</t>
  </si>
  <si>
    <t>Logo@0.5x-e1536489261497.png</t>
  </si>
  <si>
    <t>Floristería DecoFlor</t>
  </si>
  <si>
    <t>Calle de Alemania, 1, 45005 Toledo</t>
  </si>
  <si>
    <t>decoflortoledo.com</t>
  </si>
  <si>
    <t>925 22 72 85</t>
  </si>
  <si>
    <t>Flores y Plantas Loli</t>
  </si>
  <si>
    <t>Calle Río Alberche, 30, 45007 Toledo</t>
  </si>
  <si>
    <t>925 24 07 08</t>
  </si>
  <si>
    <t>Av. de Portugal, 18, 45005 Toledo</t>
  </si>
  <si>
    <t>floristeriaeden.com</t>
  </si>
  <si>
    <t>925 04 08 47</t>
  </si>
  <si>
    <t>Flores Maravilla</t>
  </si>
  <si>
    <t>Paseo de Bachilleres, 8, 45005 Toledo</t>
  </si>
  <si>
    <t>floresmaravilla.com</t>
  </si>
  <si>
    <t>925 22 20 78</t>
  </si>
  <si>
    <t>floresmaravilla@hotmail.com</t>
  </si>
  <si>
    <t>MAUA Estudio Floral</t>
  </si>
  <si>
    <t>Calle Sta. Justa, 8, 45001 Toledo</t>
  </si>
  <si>
    <t>925 91 90 96</t>
  </si>
  <si>
    <t>FLORISTERÍA JAVIER</t>
  </si>
  <si>
    <t>Calle Río Alberche, 25, 45007 Toledo</t>
  </si>
  <si>
    <t>De flor en flor</t>
  </si>
  <si>
    <t>Calle Río Fresnedoso, 9, 45007 Toledo</t>
  </si>
  <si>
    <t>deflorenflortoledo.com</t>
  </si>
  <si>
    <t>925 57 06 79</t>
  </si>
  <si>
    <t>deflorenflortoledo@gmail.com</t>
  </si>
  <si>
    <t>Paseo de Bachilleres, 8, 45003 Toledo</t>
  </si>
  <si>
    <t>925 25 70 47</t>
  </si>
  <si>
    <t>La Casa de las Flores Toledo</t>
  </si>
  <si>
    <t>Ronda Buenavista, 39, 45005 Toledo</t>
  </si>
  <si>
    <t>925 91 29 70</t>
  </si>
  <si>
    <t>Cerezo en Flor</t>
  </si>
  <si>
    <t>Calle Esparteros, 7, 45006 Toledo</t>
  </si>
  <si>
    <t>925 16 30 37</t>
  </si>
  <si>
    <t>El Jardín de Alicia, Floristeria en Toledo</t>
  </si>
  <si>
    <t>Travesía Sal, 2, 45001 Toledo</t>
  </si>
  <si>
    <t>floristeriaentoledo.com</t>
  </si>
  <si>
    <t>925 22 28 47</t>
  </si>
  <si>
    <t>eljardindeali@hotmail.com</t>
  </si>
  <si>
    <t>H&amp;amp;D TALLER FLORAL</t>
  </si>
  <si>
    <t>Bajada San Martín, 4, 45002 Toledo</t>
  </si>
  <si>
    <t>670 05 30 21</t>
  </si>
  <si>
    <t>Flores Arrabal</t>
  </si>
  <si>
    <t>45003 Toledo</t>
  </si>
  <si>
    <t>Campo Jardín</t>
  </si>
  <si>
    <t>Calle del Olivo, 113, 45005 Toledo</t>
  </si>
  <si>
    <t>925 32 22 21</t>
  </si>
  <si>
    <t>FLORISTERIA MARTIN-MACHO ORTEGA</t>
  </si>
  <si>
    <t>Calle Ortega y Gasset, 5 Bajo, 45270 Mocejón, Toledo</t>
  </si>
  <si>
    <t>Mocejón</t>
  </si>
  <si>
    <t>925 36 00 26</t>
  </si>
  <si>
    <t>Aljaloy Floristas</t>
  </si>
  <si>
    <t>Plaza Constitución, 45593 Bargas, Toledo</t>
  </si>
  <si>
    <t>Bargas</t>
  </si>
  <si>
    <t>aljaloydecoraciones.blogspot.com.es</t>
  </si>
  <si>
    <t>925 71 66 55</t>
  </si>
  <si>
    <t>Gonzaga Floristas</t>
  </si>
  <si>
    <t>Calle Real, 85, 45593 Bargas, Toledo</t>
  </si>
  <si>
    <t>687 70 12 60</t>
  </si>
  <si>
    <t>ADOLFO FLORISTAS</t>
  </si>
  <si>
    <t>Calle Toledo, 61, 45280 Olías del Rey, Toledo</t>
  </si>
  <si>
    <t>Olías del Rey</t>
  </si>
  <si>
    <t>adolfofloristas.com</t>
  </si>
  <si>
    <t>925 49 07 38</t>
  </si>
  <si>
    <t>info@adolfofloristas.com</t>
  </si>
  <si>
    <t>Montanilla S.A.</t>
  </si>
  <si>
    <t>Lugar Finca Castrejón Bajo, 0, 45161 Polán, Toledo</t>
  </si>
  <si>
    <t>Polán</t>
  </si>
  <si>
    <t>925 59 01 79</t>
  </si>
  <si>
    <t>Floristeria Salud</t>
  </si>
  <si>
    <t>Calle Arroyo Bajo, 16, 45161 Polán, Toledo</t>
  </si>
  <si>
    <t>SO-LO FLORISTAS YUNCLER</t>
  </si>
  <si>
    <t>Calle Santo, 45, 45529 Yuncler, Toledo</t>
  </si>
  <si>
    <t>Yuncler</t>
  </si>
  <si>
    <t>686 64 21 17</t>
  </si>
  <si>
    <t>Flores la Rosa</t>
  </si>
  <si>
    <t>Calle Sta. María, 13, 45100 Sonseca, Toledo</t>
  </si>
  <si>
    <t>Sonseca</t>
  </si>
  <si>
    <t>925 38 04 99</t>
  </si>
  <si>
    <t>Fershop Flores</t>
  </si>
  <si>
    <t>Av. José Antonio, 21, 45161 Polán, Toledo</t>
  </si>
  <si>
    <t>La floristeria de Angela</t>
  </si>
  <si>
    <t>Calle Juan Carlos I, 3, 45290 Pantoja, Toledo</t>
  </si>
  <si>
    <t>Pantoja</t>
  </si>
  <si>
    <t>Floristería Tropical Estrella</t>
  </si>
  <si>
    <t>Calle Juan Pablo II, 11b, 45250 Añover de Tajo, Toledo</t>
  </si>
  <si>
    <t>Añover de Tajo</t>
  </si>
  <si>
    <t>696 50 47 53</t>
  </si>
  <si>
    <t>Floristería Julita fusión Al-Andalus</t>
  </si>
  <si>
    <t>Calle Arévalo, 2, 05001 Ávila</t>
  </si>
  <si>
    <t>Ávila</t>
  </si>
  <si>
    <t>floristeriaenavila.com</t>
  </si>
  <si>
    <t>920 22 00 59</t>
  </si>
  <si>
    <t>Floristerías Al Andalus</t>
  </si>
  <si>
    <t>Calle Valle del Tiétar, 1, 05002 Ávila</t>
  </si>
  <si>
    <t>floristeriasalandalus.com</t>
  </si>
  <si>
    <t>920 25 61 16</t>
  </si>
  <si>
    <t>floristeriasalandalus@gmail.com</t>
  </si>
  <si>
    <t>Sé Feliz Interiorismo Vegetal - Floristeria Avila</t>
  </si>
  <si>
    <t>Calle Don Gerónimo, 7, 05001 Ávila</t>
  </si>
  <si>
    <t>sefelizinterioristavegetal.com</t>
  </si>
  <si>
    <t>658 20 12 72</t>
  </si>
  <si>
    <t>Don Zoilo</t>
  </si>
  <si>
    <t>Av. Juan Carlos I, s/n, 05004 Ávila</t>
  </si>
  <si>
    <t>donzoilo.com</t>
  </si>
  <si>
    <t>920 35 34 01</t>
  </si>
  <si>
    <t>Floristería Aralia</t>
  </si>
  <si>
    <t>Av. Juan Pablo II, 2, 05002 Ávila</t>
  </si>
  <si>
    <t>floresaralia.com</t>
  </si>
  <si>
    <t>920 25 76 33</t>
  </si>
  <si>
    <t>floresaralia@yahoo.es</t>
  </si>
  <si>
    <t>Floristería Maranta</t>
  </si>
  <si>
    <t>Calle Valladolid, 19, 05005 Ávila</t>
  </si>
  <si>
    <t>floristeriamaranta.es</t>
  </si>
  <si>
    <t>920 22 94 31</t>
  </si>
  <si>
    <t>clientes@floristeriamaranta.es</t>
  </si>
  <si>
    <t>La Tienda de Inverflor</t>
  </si>
  <si>
    <t>Calle Enrique Larreta, 3, 05001 Ávila</t>
  </si>
  <si>
    <t>latiendadeinverflor.com</t>
  </si>
  <si>
    <t>920 25 12 58</t>
  </si>
  <si>
    <t>info@latiendadeinverflor.com</t>
  </si>
  <si>
    <t>G&amp;amp;C REGALOS Y FLORES</t>
  </si>
  <si>
    <t>Paseo San Roque, 6, LOCAL 3, 05003 Ávila</t>
  </si>
  <si>
    <t>920 03 10 46</t>
  </si>
  <si>
    <t>Floristeria Isabelo Álvarez</t>
  </si>
  <si>
    <t>Calle Jorge de Santayana, 05004 Ávila</t>
  </si>
  <si>
    <t>FLORISTERIA CUATROESTACIONES</t>
  </si>
  <si>
    <t>Nº2, Calle Cuartel de la Montaña, 05001, Ávila</t>
  </si>
  <si>
    <t>FLORISTERIA Y REGALOS ARIABAD</t>
  </si>
  <si>
    <t>Plaza de la Constitución, 4, 05110 El Barraco, Ávila</t>
  </si>
  <si>
    <t>El Barraco</t>
  </si>
  <si>
    <t>607 83 43 28</t>
  </si>
  <si>
    <t>Floristería Al Andalus</t>
  </si>
  <si>
    <t>Plaza de España, 11, 05260 Cebreros, Ávila</t>
  </si>
  <si>
    <t>Cebreros</t>
  </si>
  <si>
    <t>918 63 06 04</t>
  </si>
  <si>
    <t>Floristería Las Dalias</t>
  </si>
  <si>
    <t>C/ Jardín del Cristo, Nº6, 05230 Las Navas del Marqués, Ávila</t>
  </si>
  <si>
    <t>Las Navas del Marqués</t>
  </si>
  <si>
    <t>918 97 23 13</t>
  </si>
  <si>
    <t>Azahar Floristas</t>
  </si>
  <si>
    <t>Carr. de Ávila, 34, 28680 San Martín de Valdeiglesias, Madrid</t>
  </si>
  <si>
    <t>San Martín de Valdeiglesias</t>
  </si>
  <si>
    <t>918 61 07 22</t>
  </si>
  <si>
    <t>Calle el Postiguillo, 4, 05430 La Adrada, Ávila</t>
  </si>
  <si>
    <t>La Adrada</t>
  </si>
  <si>
    <t>guiatietar.com</t>
  </si>
  <si>
    <t>918 67 01 65</t>
  </si>
  <si>
    <t>correo@guiatietar.com</t>
  </si>
  <si>
    <t>FLORISTERIA - VIVEROS EL TIEMBLO</t>
  </si>
  <si>
    <t>Paseo de Recoletos, 05270 El Tiemblo, Ávila</t>
  </si>
  <si>
    <t>El Tiemblo</t>
  </si>
  <si>
    <t>618 27 58 80</t>
  </si>
  <si>
    <t>Av. de Emilio Romero, 19, 05200 Arévalo, Ávila</t>
  </si>
  <si>
    <t>Arévalo</t>
  </si>
  <si>
    <t>floristeriamarisol.com</t>
  </si>
  <si>
    <t>920 30 22 74</t>
  </si>
  <si>
    <t>Floristería Verde Menta. Feli Tejeda</t>
  </si>
  <si>
    <t>Calle Arco de Ávila, 29, 05200 Arévalo, Ávila</t>
  </si>
  <si>
    <t>605 38 16 98</t>
  </si>
  <si>
    <t>Floristería Orquídea</t>
  </si>
  <si>
    <t>Calle los Descalzos, 66, 05200 Arévalo, Ávila</t>
  </si>
  <si>
    <t>652 03 70 45</t>
  </si>
  <si>
    <t>Flores con encanto</t>
  </si>
  <si>
    <t>Calle Barrio Medio, 05450 Casavieja, Ávila</t>
  </si>
  <si>
    <t>Casavieja</t>
  </si>
  <si>
    <t>floresconencanto.com</t>
  </si>
  <si>
    <t>722 25 92 64</t>
  </si>
  <si>
    <t>info@floresconencanto.com</t>
  </si>
  <si>
    <t>Floristería Madreselva</t>
  </si>
  <si>
    <t>Av. del Padre Segundo, 6, 05420 Sotillo de la Adrada, Ávila</t>
  </si>
  <si>
    <t>Sotillo de la Adrada</t>
  </si>
  <si>
    <t>floristeriamadreselva.net</t>
  </si>
  <si>
    <t>918 66 81 41</t>
  </si>
  <si>
    <t>Floristería Arteflor de Madrigal De Las Altas Torres</t>
  </si>
  <si>
    <t>Plaza de Florentino Garcia Calvo, 2, 05220 Madrigal de las Altas Torres, Ávila</t>
  </si>
  <si>
    <t>Madrigal de las Altas Torres</t>
  </si>
  <si>
    <t>920 32 00 93</t>
  </si>
  <si>
    <t>Flores Estefani</t>
  </si>
  <si>
    <t>Calle José Zorrilla, 05400 Arenas de San Pedro, Ávila</t>
  </si>
  <si>
    <t>Arenas de San Pedro</t>
  </si>
  <si>
    <t>690 98 48 18</t>
  </si>
  <si>
    <t>Flores Maria Jesus</t>
  </si>
  <si>
    <t>Calle Tiétar, 2, 05420 Sotillo de la Adrada, Ávila</t>
  </si>
  <si>
    <t>floresmariajesus.com</t>
  </si>
  <si>
    <t>918 66 12 64</t>
  </si>
  <si>
    <t>info@floresmariajesus.com</t>
  </si>
  <si>
    <t>Floristería la del manojo de rosas</t>
  </si>
  <si>
    <t>Calle Nieves, 1, 05480 Candeleda, Ávila</t>
  </si>
  <si>
    <t>Candeleda</t>
  </si>
  <si>
    <t>920 10 47 03</t>
  </si>
  <si>
    <t>Calle Huerta del Marqués, 4, BAJO, 05200 Arévalo, Ávila</t>
  </si>
  <si>
    <t>floristeriacarmen.com</t>
  </si>
  <si>
    <t>920 30 09 30</t>
  </si>
  <si>
    <t>Floristeria Sara Blume</t>
  </si>
  <si>
    <t>Adanero</t>
  </si>
  <si>
    <t>sarablumerosas.com</t>
  </si>
  <si>
    <t>923 15 81 75</t>
  </si>
  <si>
    <t>Servicios Funerarios Antonio Alvarez S.L.</t>
  </si>
  <si>
    <t>Calle Cáceres, 26, 05480 Candeleda, Ávila</t>
  </si>
  <si>
    <t>920 38 10 17</t>
  </si>
  <si>
    <t>VEGAFLOR</t>
  </si>
  <si>
    <t>Plaza Herreros, 05500 Piedrahíta, Ávila</t>
  </si>
  <si>
    <t>Piedrahíta</t>
  </si>
  <si>
    <t>920 36 31 64</t>
  </si>
  <si>
    <t>Bloom Roses</t>
  </si>
  <si>
    <t>bloomroses.es</t>
  </si>
  <si>
    <t>918 13 42 48</t>
  </si>
  <si>
    <t>La camelia</t>
  </si>
  <si>
    <t>Calle Sta. Maria, 05414 Cuevas del Valle, Ávila</t>
  </si>
  <si>
    <t>Cuevas del Valle</t>
  </si>
  <si>
    <t>605 33 08 55</t>
  </si>
  <si>
    <t>Floristería Goyi</t>
  </si>
  <si>
    <t>Calle Ávila, 4, 40200 Cuéllar, Segovia</t>
  </si>
  <si>
    <t>Cuéllar</t>
  </si>
  <si>
    <t>Segovia</t>
  </si>
  <si>
    <t>floresgoyiencuellar.com</t>
  </si>
  <si>
    <t>921 14 19 80</t>
  </si>
  <si>
    <t>floristeriagoyiguellar@gmail.com</t>
  </si>
  <si>
    <t>Floristería en Madrid 💐 Floristas El Paraíso</t>
  </si>
  <si>
    <t>Calle de Fermín Caballero, 56, 28034 Madrid</t>
  </si>
  <si>
    <t>floristeriaenmadrid.es</t>
  </si>
  <si>
    <t>917 39 51 71</t>
  </si>
  <si>
    <t>Carr. de la Estación, 28, 37770 Béjar, Salamanca</t>
  </si>
  <si>
    <t>Béjar</t>
  </si>
  <si>
    <t>Salamanca</t>
  </si>
  <si>
    <t>floristeriapetalos.com</t>
  </si>
  <si>
    <t>923 16 17 16</t>
  </si>
  <si>
    <t>pedidos@floristeriapetalos.com</t>
  </si>
  <si>
    <t>Jardinería Viveros el Pajar de Piedralaves</t>
  </si>
  <si>
    <t>km CL-501, 26, 05440 Piedralaves, Ávila</t>
  </si>
  <si>
    <t>Piedralaves</t>
  </si>
  <si>
    <t>678 52 53 54</t>
  </si>
  <si>
    <t>Floristería Natura Jardin</t>
  </si>
  <si>
    <t>Calle Recreo, 37, 37700 Béjar, Salamanca</t>
  </si>
  <si>
    <t>floristerianaturajardin.com</t>
  </si>
  <si>
    <t>923 40 07 68</t>
  </si>
  <si>
    <t>María Ángeles Álvarez</t>
  </si>
  <si>
    <t>Calle de José Ortega y Gasset, 7, 28006 Madrid</t>
  </si>
  <si>
    <t>mariaangelesalvarez.es</t>
  </si>
  <si>
    <t>hola@mariaangelesalvarez.es</t>
  </si>
  <si>
    <t>Floristería Nomeolvides</t>
  </si>
  <si>
    <t>Calle Mayor de Sánchez Ocaña, 48, 37700 Béjar, Salamanca</t>
  </si>
  <si>
    <t>floristerianomeolvides.com</t>
  </si>
  <si>
    <t>923 41 05 34</t>
  </si>
  <si>
    <t>info@floristerianomeolvides.com</t>
  </si>
  <si>
    <t>Monceau Fleurs Madrid</t>
  </si>
  <si>
    <t>Calle de Dulcinea, 69, 28020 Madrid</t>
  </si>
  <si>
    <t>monceau-fleurs.es</t>
  </si>
  <si>
    <t>914 25 24 43</t>
  </si>
  <si>
    <t>informacion@monceau-fleurs.es</t>
  </si>
  <si>
    <t>Librería Here</t>
  </si>
  <si>
    <t>Av. de Emilio Romero, 37, 05200 Arévalo, Ávila</t>
  </si>
  <si>
    <t>920 30 02 51</t>
  </si>
  <si>
    <t>La Tienda de las Flores</t>
  </si>
  <si>
    <t>Plaza Juan Carlos I, 11, 49159 Villaralbo, Zamora</t>
  </si>
  <si>
    <t>Villaralbo</t>
  </si>
  <si>
    <t>Zamora</t>
  </si>
  <si>
    <t>latiendadelasflores.es</t>
  </si>
  <si>
    <t>980 53 99 17</t>
  </si>
  <si>
    <t>Calle Gabriel Acedo de la Berrueza, 4, 10450 Jarandilla de la Vera, Cáceres</t>
  </si>
  <si>
    <t>Jarandilla de la Vera</t>
  </si>
  <si>
    <t>Cáceres</t>
  </si>
  <si>
    <t>927 56 00 74</t>
  </si>
  <si>
    <t>Floristeria Flor De Jara</t>
  </si>
  <si>
    <t>Av. de la Vera, 43, 10470 Villanueva de la Vera, Cáceres</t>
  </si>
  <si>
    <t>Villanueva de la Vera</t>
  </si>
  <si>
    <t>670 92 74 89</t>
  </si>
  <si>
    <t>Plaza Mayor, 22, 37770 Guijuelo, Salamanca</t>
  </si>
  <si>
    <t>Guijuelo</t>
  </si>
  <si>
    <t>923 58 16 07</t>
  </si>
  <si>
    <t>Las Camelias Diseño Floral</t>
  </si>
  <si>
    <t>Plaza de los Príncipes de España, 3 (posterior), 28924 Alcorcón, Madrid</t>
  </si>
  <si>
    <t>Alcorcón</t>
  </si>
  <si>
    <t>916 12 93 46</t>
  </si>
  <si>
    <t>Castilla Floristería</t>
  </si>
  <si>
    <t>Calle Eduardo Martínez del Campo, 4, 09003 Burgos</t>
  </si>
  <si>
    <t>Burgos</t>
  </si>
  <si>
    <t>castillafloristeria.com</t>
  </si>
  <si>
    <t>947 26 00 22</t>
  </si>
  <si>
    <t>pedidos@floristeriacastilla.com</t>
  </si>
  <si>
    <t>Coquelicot Flores</t>
  </si>
  <si>
    <t>Av. Reyes Católicos, 9, 09005 Burgos</t>
  </si>
  <si>
    <t>coquelicotflores.com</t>
  </si>
  <si>
    <t>947 06 50 70</t>
  </si>
  <si>
    <t>flores@coquelicotflores.com</t>
  </si>
  <si>
    <t>Castilla Floristería Gamonal</t>
  </si>
  <si>
    <t>Calle Santiago Apóstol, Calle Vitoria, 1, 09007 Burgos</t>
  </si>
  <si>
    <t>947 22 24 00</t>
  </si>
  <si>
    <t>Floristeria Erica Burgos</t>
  </si>
  <si>
    <t>Calle Ntra. Sra. de Fátima, 7, 09007 Burgos</t>
  </si>
  <si>
    <t>enviamostusflores.es</t>
  </si>
  <si>
    <t>947 24 05 75</t>
  </si>
  <si>
    <t>Hospital Universitario de Burgos, Av. Islas Baleares, 3, 09006 Burgos</t>
  </si>
  <si>
    <t>947 24 56 74</t>
  </si>
  <si>
    <t>Floristería Julia</t>
  </si>
  <si>
    <t>Calle Alfonso X el Sabio, 48, Bajo, 09005 Burgos</t>
  </si>
  <si>
    <t>947 23 20 05</t>
  </si>
  <si>
    <t>Floristería Europa</t>
  </si>
  <si>
    <t>Calle de la Igualdad, 18, 09007 Burgos</t>
  </si>
  <si>
    <t>floristeriaeuropa.com</t>
  </si>
  <si>
    <t>947 22 50 88</t>
  </si>
  <si>
    <t>Floristería Castilla. José Manuel González Cuevas</t>
  </si>
  <si>
    <t>Musaflor</t>
  </si>
  <si>
    <t>Calle Vitoria, 37-39, 09004 Burgos</t>
  </si>
  <si>
    <t>musaflor.com</t>
  </si>
  <si>
    <t>947 05 28 48</t>
  </si>
  <si>
    <t>atencionalcliente@musaflor.com</t>
  </si>
  <si>
    <t>Floristería Lucy</t>
  </si>
  <si>
    <t>Calle Luis Alberdi, s/n, 09007 Burgos</t>
  </si>
  <si>
    <t>947 26 75 64</t>
  </si>
  <si>
    <t>Floristería Palmero</t>
  </si>
  <si>
    <t>Av. de la Paz, 6, 09004 Burgos</t>
  </si>
  <si>
    <t>florespalmeroshop.com</t>
  </si>
  <si>
    <t>947 27 16 12</t>
  </si>
  <si>
    <t>Floristería Mª Carmen</t>
  </si>
  <si>
    <t>Calle Calatravas, 09002 Burgos</t>
  </si>
  <si>
    <t>947 27 42 36</t>
  </si>
  <si>
    <t>Av. del Cid Campeador, 74, 09005 Burgos</t>
  </si>
  <si>
    <t>947 23 84 19</t>
  </si>
  <si>
    <t>Floristería Miraflores</t>
  </si>
  <si>
    <t>Calle de Calleja y Zurita, 7, 09001 Burgos</t>
  </si>
  <si>
    <t>947 27 21 26</t>
  </si>
  <si>
    <t>Floristería Bambú</t>
  </si>
  <si>
    <t>Calle Federico García Lorca, 6, 09007 Burgos</t>
  </si>
  <si>
    <t>floristeriasburgos.com</t>
  </si>
  <si>
    <t>947 48 69 20</t>
  </si>
  <si>
    <t>Citores Flor</t>
  </si>
  <si>
    <t>Calle de la Igualdad, 3, 09007 Burgos</t>
  </si>
  <si>
    <t>947 22 08 42</t>
  </si>
  <si>
    <t>Floristeria El Bosque de Marie</t>
  </si>
  <si>
    <t>Calle Miranda, 09002 Burgos</t>
  </si>
  <si>
    <t>947 26 10 68</t>
  </si>
  <si>
    <t>Las Camelias Floristas</t>
  </si>
  <si>
    <t>Av. de los Derechos Humanos, 18, 09007 Burgos</t>
  </si>
  <si>
    <t>947 24 17 58</t>
  </si>
  <si>
    <t>Cultura de Flor</t>
  </si>
  <si>
    <t>Calle San Gil, 7, 09003 Burgos</t>
  </si>
  <si>
    <t>culturadeflor.es</t>
  </si>
  <si>
    <t>675 89 89 00</t>
  </si>
  <si>
    <t>La Villa Verde</t>
  </si>
  <si>
    <t>Calle Enrique III, 13, 09003 Burgos</t>
  </si>
  <si>
    <t>entrepetalos.com</t>
  </si>
  <si>
    <t>628 85 82 84</t>
  </si>
  <si>
    <t>José Manuel González Cuevas</t>
  </si>
  <si>
    <t>Calle de Santander, 13, 09004 Burgos</t>
  </si>
  <si>
    <t>947 20 16 08</t>
  </si>
  <si>
    <t>Entre Pétalos</t>
  </si>
  <si>
    <t>Castilla Centro de Jardinería Aranda de Duero</t>
  </si>
  <si>
    <t>Calle Santiago Apóstol, 1, 09007 Burgos</t>
  </si>
  <si>
    <t>Carmen Artesanía Floral</t>
  </si>
  <si>
    <t>Calle DUQUE DE FRIAS, Barrio de Vistalegre, 25, G3, 09006 Burgos</t>
  </si>
  <si>
    <t>carmenartesaniafloral.com</t>
  </si>
  <si>
    <t>656 48 91 06</t>
  </si>
  <si>
    <t>Aplicaciones Y Revestimientos Castilla S L U</t>
  </si>
  <si>
    <t>Calle Miranda, 1, 09002 Burgos</t>
  </si>
  <si>
    <t>947 29 12 85</t>
  </si>
  <si>
    <t>Pérez Miguel A</t>
  </si>
  <si>
    <t>Calle Juan Ramón Jiménez, 1, 09007 Burgos</t>
  </si>
  <si>
    <t>947 48 00 90</t>
  </si>
  <si>
    <t>Armonía Terapia Floral</t>
  </si>
  <si>
    <t>Calle Diego Laínez, 14, 09005 Burgos</t>
  </si>
  <si>
    <t>947 23 85 87</t>
  </si>
  <si>
    <t>Castilla Floristería. Centro de jardinería</t>
  </si>
  <si>
    <t>Pje. Fuentes Blancas, 1, km. 2,1, 09193 Cardeñajimeno, Burgos</t>
  </si>
  <si>
    <t>Cardeñajimeno</t>
  </si>
  <si>
    <t>947 26 92 94</t>
  </si>
  <si>
    <t>Flobur S.C.</t>
  </si>
  <si>
    <t>Calle Juan Ramón Jiménez, Polígono Industrial Pentasa III Nave 252,, 09007 Burgos</t>
  </si>
  <si>
    <t>flobur.es</t>
  </si>
  <si>
    <t>947 48 84 24</t>
  </si>
  <si>
    <t>Floristería Hogar y Plantas</t>
  </si>
  <si>
    <t>Plaza Mayor, 4, 09240 Briviesca, Burgos</t>
  </si>
  <si>
    <t>Briviesca</t>
  </si>
  <si>
    <t>679 23 59 90</t>
  </si>
  <si>
    <t>Floristería Pétalo</t>
  </si>
  <si>
    <t>Calle Medina, 7, 09240 Briviesca, Burgos</t>
  </si>
  <si>
    <t>947 59 20 83</t>
  </si>
  <si>
    <t>Floristería Ana Belén</t>
  </si>
  <si>
    <t>Calle San Francisco, 10, 09250 Belorado, Burgos</t>
  </si>
  <si>
    <t>Belorado</t>
  </si>
  <si>
    <t>947 58 00 47</t>
  </si>
  <si>
    <t>Floristería Sisí</t>
  </si>
  <si>
    <t>Calle Teófilo Ceballos, 16, 09100 Melgar de Fernamental, Burgos</t>
  </si>
  <si>
    <t>Melgar de Fernamental</t>
  </si>
  <si>
    <t>floristeriasisi.com</t>
  </si>
  <si>
    <t>947 37 37 81</t>
  </si>
  <si>
    <t>flosisi@yahoo.es</t>
  </si>
  <si>
    <t>Elena Floristería</t>
  </si>
  <si>
    <t>Calle Dr. Fleming, 2, 09500 Medina de Pomar, Burgos</t>
  </si>
  <si>
    <t>Medina de Pomar</t>
  </si>
  <si>
    <t>947 19 01 86</t>
  </si>
  <si>
    <t>Plaza Virgencilla, 19, 09400 Aranda de Duero, Burgos</t>
  </si>
  <si>
    <t>Aranda de Duero</t>
  </si>
  <si>
    <t>947 50 15 80</t>
  </si>
  <si>
    <t>Floristera Ciri</t>
  </si>
  <si>
    <t>Calle Matacubillo, 6, 09670 Quintanar de la Sierra, Burgos</t>
  </si>
  <si>
    <t>Quintanar de la Sierra</t>
  </si>
  <si>
    <t>947 39 55 63</t>
  </si>
  <si>
    <t>La Floreria</t>
  </si>
  <si>
    <t>C/ San Francisco, 4, 09400 Aranda de Duero, Burgos</t>
  </si>
  <si>
    <t>947 71 96 57</t>
  </si>
  <si>
    <t>Floristería Syo</t>
  </si>
  <si>
    <t>Calle Concepción Arenal, 11, 09200 Miranda de Ebro, Burgos</t>
  </si>
  <si>
    <t>Miranda de Ebro</t>
  </si>
  <si>
    <t>947 33 08 00</t>
  </si>
  <si>
    <t>Flores Filo</t>
  </si>
  <si>
    <t>Calle Pizarro, 16, 09400 Aranda de Duero, Burgos</t>
  </si>
  <si>
    <t>696 96 03 53</t>
  </si>
  <si>
    <t>Floristería Espacios Verdes</t>
  </si>
  <si>
    <t>Calle Saturnino Rubio, 3, 09200 Miranda de Ebro, Burgos</t>
  </si>
  <si>
    <t>espacios-verdes.es</t>
  </si>
  <si>
    <t>947 31 35 13</t>
  </si>
  <si>
    <t>info@espacios-verdes.es</t>
  </si>
  <si>
    <t>Pétalos Flor</t>
  </si>
  <si>
    <t>Calle Sol de las Moreras, 5, 09400 Aranda de Duero, Burgos</t>
  </si>
  <si>
    <t>947 50 77 84</t>
  </si>
  <si>
    <t>Beydol Floristas</t>
  </si>
  <si>
    <t>Av. Comuneros de Castilla, 17, 09200 Miranda de Ebro, Burgos</t>
  </si>
  <si>
    <t>947 31 13 92</t>
  </si>
  <si>
    <t>Floristería Yerbabuena</t>
  </si>
  <si>
    <t>Av. Castilla, 9, 09400 Aranda de Duero, Burgos</t>
  </si>
  <si>
    <t>floristeriayerbabuena.com</t>
  </si>
  <si>
    <t>620 57 41 49</t>
  </si>
  <si>
    <t>FLORES Y PLANTAS VALLERUELA</t>
  </si>
  <si>
    <t>Camino Moratín, 12, 09400 Aranda de Duero, Burgos</t>
  </si>
  <si>
    <t>947 54 61 66</t>
  </si>
  <si>
    <t>Kentya Floristas</t>
  </si>
  <si>
    <t>Calle Calvo Sotelo, 4, BAJO, 09550 Villarcayo, Burgos</t>
  </si>
  <si>
    <t>Villarcayo</t>
  </si>
  <si>
    <t>floristeriakentya.es</t>
  </si>
  <si>
    <t>947 13 22 82</t>
  </si>
  <si>
    <t>floristeriakentya@gmail.com</t>
  </si>
  <si>
    <t>Floristeria Casa Jardín</t>
  </si>
  <si>
    <t>Av. Miranda do Douro, 8, 09400 Aranda de Duero, Burgos</t>
  </si>
  <si>
    <t>Calle Cristóbal Colón, 16, 34400 Herrera de Pisuerga, Palencia</t>
  </si>
  <si>
    <t>Herrera de Pisuerga</t>
  </si>
  <si>
    <t>979 14 03 30</t>
  </si>
  <si>
    <t>Calle Miel, 7, 09400 Aranda de Duero, Burgos</t>
  </si>
  <si>
    <t>947 51 23 73</t>
  </si>
  <si>
    <t>Laera Planta y Flor</t>
  </si>
  <si>
    <t>Av. Ferial, 1, Bajo 2, 09400 Aranda de Duero, Burgos</t>
  </si>
  <si>
    <t>947 51 30 24</t>
  </si>
  <si>
    <t>Floristería Eden el jardín de eva</t>
  </si>
  <si>
    <t>Calle Progreso, 5, 09560 Espinosa de los Monteros, Burgos</t>
  </si>
  <si>
    <t>Espinosa de los Monteros</t>
  </si>
  <si>
    <t>607 08 45 19</t>
  </si>
  <si>
    <t>Av. Castilla, 82, 09400 Aranda de Duero, Burgos</t>
  </si>
  <si>
    <t>947 50 75 97</t>
  </si>
  <si>
    <t>Floristería Alba</t>
  </si>
  <si>
    <t>09500, Calle Juan de Medina, 14, 09500 Medina de Pomar, Burgos</t>
  </si>
  <si>
    <t>947 19 19 65</t>
  </si>
  <si>
    <t>DeliRouse</t>
  </si>
  <si>
    <t>Abajas</t>
  </si>
  <si>
    <t>delirouse.com</t>
  </si>
  <si>
    <t>662 54 83 98</t>
  </si>
  <si>
    <t>info@delirouse.com</t>
  </si>
  <si>
    <t>Los Barcos</t>
  </si>
  <si>
    <t>Ctra. Burgos -Portugal, 0, Km 0097 2, 34210 Dueñas, Palencia</t>
  </si>
  <si>
    <t>979 18 00 77</t>
  </si>
  <si>
    <t>Gabriel Burgos De La Fuente</t>
  </si>
  <si>
    <t>Calle de Sta Lucía, 2, 47005 Valladolid</t>
  </si>
  <si>
    <t>Valladolid</t>
  </si>
  <si>
    <t>983 20 99 73</t>
  </si>
  <si>
    <t>Floristería Cala</t>
  </si>
  <si>
    <t>Calle Padilla, 7, 47003 Valladolid</t>
  </si>
  <si>
    <t>floristeriacala.es</t>
  </si>
  <si>
    <t>983 25 60 57</t>
  </si>
  <si>
    <t>Calle San Blas, 8, 47003 Valladolid</t>
  </si>
  <si>
    <t>lafloristeria.net</t>
  </si>
  <si>
    <t>983 14 00 41</t>
  </si>
  <si>
    <t>Floristería Lara</t>
  </si>
  <si>
    <t>Plaza Sta. Brígida, 4, 47003 Valladolid</t>
  </si>
  <si>
    <t>floristerialara.com</t>
  </si>
  <si>
    <t>983 33 08 08</t>
  </si>
  <si>
    <t>Floristería Yucca</t>
  </si>
  <si>
    <t>Calle de Linares, 37, 47010 Valladolid</t>
  </si>
  <si>
    <t>983 25 38 14</t>
  </si>
  <si>
    <t>Muebles y decoración ALEJANDRO</t>
  </si>
  <si>
    <t>Calle Cercas, 14, 09250 Belorado, Burgos</t>
  </si>
  <si>
    <t>tutiendavecina.com</t>
  </si>
  <si>
    <t>947 58 00 77</t>
  </si>
  <si>
    <t>info@tutiendavecina.com</t>
  </si>
  <si>
    <t>Floristeria Vegaflor</t>
  </si>
  <si>
    <t>Calle Mayor, 61, 55, 42300 El Burgo de Osma, Soria</t>
  </si>
  <si>
    <t>El Burgo de Osma</t>
  </si>
  <si>
    <t>975 34 09 83</t>
  </si>
  <si>
    <t>Yolanda Burgos Arte Floral</t>
  </si>
  <si>
    <t>Calle de Jacinto Benavente, 19, 28100 Alcobendas, Madrid</t>
  </si>
  <si>
    <t>Alcobendas</t>
  </si>
  <si>
    <t>916 61 83 10</t>
  </si>
  <si>
    <t>Bambu Floristas</t>
  </si>
  <si>
    <t>al Hospital San Pedro, Plaza San Pedro, 1, Bajo. Junto, 26006 Logroño, La Rioja</t>
  </si>
  <si>
    <t>bambufloristas.es</t>
  </si>
  <si>
    <t>941 25 78 53</t>
  </si>
  <si>
    <t>email@domain.com</t>
  </si>
  <si>
    <t>Los Peñotes Flor C.C. Carrefour Alcobendas</t>
  </si>
  <si>
    <t>Carr. de Madrid a Burgos, 14, 28108 Alcobendas, Madrid</t>
  </si>
  <si>
    <t>lospenotes.com</t>
  </si>
  <si>
    <t>916 62 11 24</t>
  </si>
  <si>
    <t>online@lospenotes.com</t>
  </si>
  <si>
    <t>Viveros Recio en Torrelaguna,Sierra Norte de Madrid.Salida 50 de A-1 Madrid-Burgos.Situado en Carretera N-320.Venta de planta de huerto,Árboles frutales,flores,fitosanitarios,semillas,patata de siembra,fresas,esparragos,humus de lombriz,abonos,sustrato,coco,turba,mantillo,piedra,corteza,macetas,etc.</t>
  </si>
  <si>
    <t>Situando en Torrelaguna en Carretera N-320, Km-331,100.Tlf:600893294 Sierra norte de Madrid.Por Autovia A1 salida 50 Y por, A-2, salida 52, 28180 Torrelaguna, Madrid</t>
  </si>
  <si>
    <t>Torrelaguna</t>
  </si>
  <si>
    <t>viverosrecio.es</t>
  </si>
  <si>
    <t>600 89 32 94</t>
  </si>
  <si>
    <t>viverosrecio@hotmail.es</t>
  </si>
  <si>
    <t>Flores El Pinar</t>
  </si>
  <si>
    <t>Calle de Caleruega, 50, 28033 Madrid</t>
  </si>
  <si>
    <t>floreselpinar.com</t>
  </si>
  <si>
    <t>913 02 93 28</t>
  </si>
  <si>
    <t>elpinar@floreselpinar.com</t>
  </si>
  <si>
    <t>Floristería Miguel Ángel</t>
  </si>
  <si>
    <t>Calle de Miguel Ángel, 24, 28010 Madrid</t>
  </si>
  <si>
    <t>wixsite.com</t>
  </si>
  <si>
    <t>912 30 74 78</t>
  </si>
  <si>
    <t>Floristeria Bloomingday</t>
  </si>
  <si>
    <t>Av. de Tenerife, 27, 28703 San Sebastián de los Reyes, Madrid</t>
  </si>
  <si>
    <t>San Sebastián de los Reyes</t>
  </si>
  <si>
    <t>bloomingdayflowers.com</t>
  </si>
  <si>
    <t>916 67 70 75</t>
  </si>
  <si>
    <t>info@bloomingdayflowers.com</t>
  </si>
  <si>
    <t>Virtual Data SLU</t>
  </si>
  <si>
    <t>Floristeria VerdePimienta</t>
  </si>
  <si>
    <t>Calle Principado de Asturias, 28231 Las Rozas de Madrid, Madrid</t>
  </si>
  <si>
    <t>Las Rozas de Madrid</t>
  </si>
  <si>
    <t>verdepimienta.es</t>
  </si>
  <si>
    <t>916 37 15 15</t>
  </si>
  <si>
    <t>para@verdepimienta.es</t>
  </si>
  <si>
    <t>Flores Zamora</t>
  </si>
  <si>
    <t>floreszamora.es</t>
  </si>
  <si>
    <t>644 63 92 07</t>
  </si>
  <si>
    <t>teleregalo@gmail.com</t>
  </si>
  <si>
    <t>Floristeria Mundiflor</t>
  </si>
  <si>
    <t>linea 8, Av de la Gran Vía de Hortaleza 39 Metro, 28043 Madrid</t>
  </si>
  <si>
    <t>floristeriamundiflor.com</t>
  </si>
  <si>
    <t>913 88 73 94</t>
  </si>
  <si>
    <t>J. A. Ramirez Floristas</t>
  </si>
  <si>
    <t>Calle Fuente Chica, 22, ALM 1 B;1, 28034 Madrid</t>
  </si>
  <si>
    <t>floristeriaramirez.com</t>
  </si>
  <si>
    <t>913 72 15 25</t>
  </si>
  <si>
    <t>Fronda San Sebastián de los Reyes</t>
  </si>
  <si>
    <t>A-1, Km 23.5, 28700</t>
  </si>
  <si>
    <t>Fuente del Fresno</t>
  </si>
  <si>
    <t>28700</t>
  </si>
  <si>
    <t>fronda.com</t>
  </si>
  <si>
    <t>916 23 76 96</t>
  </si>
  <si>
    <t>atencionalcliente@fronda.com</t>
  </si>
  <si>
    <t>Flores Y Burgos</t>
  </si>
  <si>
    <t>Carrer de Mossèn Jacint Verdaguer, 20, 08940 Cornellà de Llobregat, Barcelona</t>
  </si>
  <si>
    <t>Cornellá de Llobregat</t>
  </si>
  <si>
    <t>Barcelona</t>
  </si>
  <si>
    <t>Floristería Leonesa</t>
  </si>
  <si>
    <t>Calle Puerta Moneda, 17, 24003 León</t>
  </si>
  <si>
    <t>floristerialeon.com</t>
  </si>
  <si>
    <t>987 25 07 95</t>
  </si>
  <si>
    <t>floristerialeonesa@gmail.com</t>
  </si>
  <si>
    <t>León Flor</t>
  </si>
  <si>
    <t>Calle Julio del Campo, 8, 24002 León</t>
  </si>
  <si>
    <t>leonflor.com</t>
  </si>
  <si>
    <t>987 22 50 83</t>
  </si>
  <si>
    <t>leonflorleon@hotmail.com</t>
  </si>
  <si>
    <t>Flores Sela</t>
  </si>
  <si>
    <t>Av. República Argentina, 7, 24004 León</t>
  </si>
  <si>
    <t>floressela.es</t>
  </si>
  <si>
    <t>987 26 35 00</t>
  </si>
  <si>
    <t>correo@floressela.es</t>
  </si>
  <si>
    <t>Floristería Natalia Crespo</t>
  </si>
  <si>
    <t>Calle la Virgen Blanca, 83, 24006 León</t>
  </si>
  <si>
    <t>tufloristeriaenleon.com</t>
  </si>
  <si>
    <t>987 21 54 06</t>
  </si>
  <si>
    <t>Flores Babia</t>
  </si>
  <si>
    <t>Calle Babia, 6, 24007 León</t>
  </si>
  <si>
    <t>987 22 10 00</t>
  </si>
  <si>
    <t>Floristería Samarcanda</t>
  </si>
  <si>
    <t>Av. Quevedo, 25, 24009 León</t>
  </si>
  <si>
    <t>987 27 39 31</t>
  </si>
  <si>
    <t>Floristeria Violetas</t>
  </si>
  <si>
    <t>Calle Maestro Nicolás, 34, 24005 León</t>
  </si>
  <si>
    <t>floristeriavioletas.com</t>
  </si>
  <si>
    <t>987 25 58 85</t>
  </si>
  <si>
    <t>Floristería Ijar Arte Floral</t>
  </si>
  <si>
    <t>Calle Roa de la Vega, 23, 24001 León</t>
  </si>
  <si>
    <t>ijarleon.com</t>
  </si>
  <si>
    <t>987 24 43 97</t>
  </si>
  <si>
    <t>ijarleon@ijarleon.com</t>
  </si>
  <si>
    <t>Mamen Sabadell Floristas</t>
  </si>
  <si>
    <t>Calle Alfonso V, 2, 24001 León</t>
  </si>
  <si>
    <t>floressabadell.es</t>
  </si>
  <si>
    <t>987 22 61 31</t>
  </si>
  <si>
    <t>info@floressabadell.es</t>
  </si>
  <si>
    <t>Floristería Ijar</t>
  </si>
  <si>
    <t>Av del Padre Isla, 132, 24008 León</t>
  </si>
  <si>
    <t>Flores Santamaría</t>
  </si>
  <si>
    <t>Av. Dr. Fleming, 9, 24009 León</t>
  </si>
  <si>
    <t>987 23 13 73</t>
  </si>
  <si>
    <t>Floristería Belladona Diseño Floral</t>
  </si>
  <si>
    <t>Av. de Nocedo, 11, 24007 León</t>
  </si>
  <si>
    <t>987 24 48 86</t>
  </si>
  <si>
    <t>Flores Anttoni</t>
  </si>
  <si>
    <t>Av. Quevedo, 33, 24009 León</t>
  </si>
  <si>
    <t>987 22 42 10</t>
  </si>
  <si>
    <t>EL CORTE INGLÉS - ENTRADA SUPERMERCADO, Calle Fray Luis de León, 29, 24005 León</t>
  </si>
  <si>
    <t>609 84 87 54</t>
  </si>
  <si>
    <t>flor Creativa</t>
  </si>
  <si>
    <t>Av. de Mariano Andrés, 112, 24008 León</t>
  </si>
  <si>
    <t>floresmusgo.com</t>
  </si>
  <si>
    <t>987 22 54 87</t>
  </si>
  <si>
    <t>logo-musgo@3x.png</t>
  </si>
  <si>
    <t>Floristería La Cala</t>
  </si>
  <si>
    <t>Calle Pendón de Baeza, 18, 24006 León</t>
  </si>
  <si>
    <t>floristerialacala.es</t>
  </si>
  <si>
    <t>675 66 78 98</t>
  </si>
  <si>
    <t>floristerialacala@gmail.com</t>
  </si>
  <si>
    <t>Aster Floristas</t>
  </si>
  <si>
    <t>Av. de los Reyes Leoneses, 15, BAJO, 24008 León</t>
  </si>
  <si>
    <t>floristereiaaster.com</t>
  </si>
  <si>
    <t>987 80 73 80</t>
  </si>
  <si>
    <t>Floristería Nurbaly</t>
  </si>
  <si>
    <t>Calle Sta. Ana, 35, 24006 León</t>
  </si>
  <si>
    <t>987 20 19 57</t>
  </si>
  <si>
    <t>Av del Padre Isla, 14, 24002 León</t>
  </si>
  <si>
    <t>987 62 81 92</t>
  </si>
  <si>
    <t>Flores Manso</t>
  </si>
  <si>
    <t>Calle Renueva, 13, 24002 León</t>
  </si>
  <si>
    <t>floresmanso.com</t>
  </si>
  <si>
    <t>987 22 17 19</t>
  </si>
  <si>
    <t>Flores Fina</t>
  </si>
  <si>
    <t>Av. San Mamés, 80, 24007 León</t>
  </si>
  <si>
    <t>flores-fina.negocio.site</t>
  </si>
  <si>
    <t>987 07 23 21</t>
  </si>
  <si>
    <t>Floristería Aster</t>
  </si>
  <si>
    <t>Calle Gordon Ordás, 4, 24008 León</t>
  </si>
  <si>
    <t>Flores Luis Alsan</t>
  </si>
  <si>
    <t>Av. República Argentina, 33, Bajo, 24004 León</t>
  </si>
  <si>
    <t>floresluisalsan.es</t>
  </si>
  <si>
    <t>987 26 45 86</t>
  </si>
  <si>
    <t>Floristería Espacio Verde Leon</t>
  </si>
  <si>
    <t>Av. de Mariano Andrés, 110, 24008 León</t>
  </si>
  <si>
    <t>espacioverdeleon.com</t>
  </si>
  <si>
    <t>666 33 77 66</t>
  </si>
  <si>
    <t>floristeria@espacioverdeleon.com</t>
  </si>
  <si>
    <t>Flor &amp;amp; Flora</t>
  </si>
  <si>
    <t>Av. de Álvaro López Núñez, 24002 León</t>
  </si>
  <si>
    <t>Capriccio Flores</t>
  </si>
  <si>
    <t>Calle Alfonso V, 7, 24001 BJ, León</t>
  </si>
  <si>
    <t>Calle Marqueses de San Isidro, 14, 24004 León</t>
  </si>
  <si>
    <t>987 20 16 14</t>
  </si>
  <si>
    <t>Floristería Olga Infanzon</t>
  </si>
  <si>
    <t>Calle Luis de Sosa, 2, 24004 León</t>
  </si>
  <si>
    <t>987 21 42 78</t>
  </si>
  <si>
    <t>Badía</t>
  </si>
  <si>
    <t>987 22 11 00</t>
  </si>
  <si>
    <t>Flores Y Plantas Azalea, S.L.</t>
  </si>
  <si>
    <t>Calle Obispo Almarcha, 20, 24006 León</t>
  </si>
  <si>
    <t>987 25 56 31</t>
  </si>
  <si>
    <t>By Lolindo</t>
  </si>
  <si>
    <t>Calle Gil y Carrasco, 7, 24001 León</t>
  </si>
  <si>
    <t>bylolindo.com</t>
  </si>
  <si>
    <t>670 72 29 33</t>
  </si>
  <si>
    <t>hola@bylolindo.com</t>
  </si>
  <si>
    <t>Floristería Sailor</t>
  </si>
  <si>
    <t>Av. del Alcalde Miguel Castaño, 10, 24005 León</t>
  </si>
  <si>
    <t>Calle Burbia, 33, 24010 San Andrés del Rabanedo, León</t>
  </si>
  <si>
    <t>San Andrés del Rabanedo</t>
  </si>
  <si>
    <t>987 22 65 80</t>
  </si>
  <si>
    <t>Industrias Jardineras Leonesas</t>
  </si>
  <si>
    <t>987 24 44 39</t>
  </si>
  <si>
    <t>Av. de San Andrés, 85, 24010 San Andrés del Rabanedo, León</t>
  </si>
  <si>
    <t>Floristería Mariangeles</t>
  </si>
  <si>
    <t>Av. del Parroco Pablo Diez, 265, 24010 Trobajo del Camino, León</t>
  </si>
  <si>
    <t>Trobajo del Camino</t>
  </si>
  <si>
    <t>987 80 48 66</t>
  </si>
  <si>
    <t>Floristería Madrid</t>
  </si>
  <si>
    <t>Av. de San Froilán, 97, 24005 León</t>
  </si>
  <si>
    <t>987 21 40 05</t>
  </si>
  <si>
    <t>TIENDA ILUNION - HOSPITAL DE LEÓN</t>
  </si>
  <si>
    <t>ALTOS DE NAVA, C, 24008 León</t>
  </si>
  <si>
    <t>987 23 42 02</t>
  </si>
  <si>
    <t>Carobe&amp;apos;Ls Productos de Peluqueria y Estética Gardenia</t>
  </si>
  <si>
    <t>24002 León</t>
  </si>
  <si>
    <t>Calathea Flores</t>
  </si>
  <si>
    <t>Av. Astorga, 92, 24198 La Virgen del Camino, León</t>
  </si>
  <si>
    <t>La Virgen del Camino</t>
  </si>
  <si>
    <t>692 66 66 28</t>
  </si>
  <si>
    <t>Centro de Jardinería Magal</t>
  </si>
  <si>
    <t>Carretera N-601 km. 320, 24227 Arcahueja, León</t>
  </si>
  <si>
    <t>Arcahueja</t>
  </si>
  <si>
    <t>jardineriamagal.com</t>
  </si>
  <si>
    <t>987 26 26 21</t>
  </si>
  <si>
    <t>magal@jardineriamagal.com</t>
  </si>
  <si>
    <t>Isabel Campos Robles</t>
  </si>
  <si>
    <t>Calle de los Mesones, 21, 24210 Mansilla de las Mulas, León</t>
  </si>
  <si>
    <t>Mansilla de las Mulas</t>
  </si>
  <si>
    <t>987 31 10 24</t>
  </si>
  <si>
    <t>Floristería La Magdalena</t>
  </si>
  <si>
    <t>TANATORIO FUNERARIA, Carr. Caboalles, 2, 24120 La Magdalena, León</t>
  </si>
  <si>
    <t>La Magdalena</t>
  </si>
  <si>
    <t>floristerialamagdalena.com</t>
  </si>
  <si>
    <t>608 48 40 38</t>
  </si>
  <si>
    <t>Flores Alicia</t>
  </si>
  <si>
    <t>Calle Andrés de Paz, 22, 24240 Santa María del Páramo, León</t>
  </si>
  <si>
    <t>Santa María del Páramo</t>
  </si>
  <si>
    <t>floresalicia.com</t>
  </si>
  <si>
    <t>987 35 11 11</t>
  </si>
  <si>
    <t>Campo y Jardín</t>
  </si>
  <si>
    <t>Calle el Río, 50, 24270 Villanueva de Carrizo, León</t>
  </si>
  <si>
    <t>Villanueva de Carrizo</t>
  </si>
  <si>
    <t>campoyjardinleon.es</t>
  </si>
  <si>
    <t>987 35 79 35</t>
  </si>
  <si>
    <t>Floristería Soraya</t>
  </si>
  <si>
    <t>Plaza España, 13, 24350 Veguellina de Órbigo, León</t>
  </si>
  <si>
    <t>Veguellina de Órbigo</t>
  </si>
  <si>
    <t>floressoraya.com</t>
  </si>
  <si>
    <t>987 37 62 31</t>
  </si>
  <si>
    <t>Flores Isabel</t>
  </si>
  <si>
    <t>Calle de los Mesones, 27, 24210 Mansilla de las Mulas, León</t>
  </si>
  <si>
    <t>Flores Azahar</t>
  </si>
  <si>
    <t>Calle Escultor Francisco Rivera, 53, 24750 La Bañeza, León</t>
  </si>
  <si>
    <t>La Bañeza</t>
  </si>
  <si>
    <t>987 64 37 41</t>
  </si>
  <si>
    <t>Calle Santiago Crespo, 2, BAJO, 24700 Astorga, León</t>
  </si>
  <si>
    <t>Astorga</t>
  </si>
  <si>
    <t>987 61 87 77</t>
  </si>
  <si>
    <t>Floristería M.ª José</t>
  </si>
  <si>
    <t>Calle Cuchillo, 10, 24200 Valencia de Don Juan, León</t>
  </si>
  <si>
    <t>Valencia de Don Juan</t>
  </si>
  <si>
    <t>987 75 05 61</t>
  </si>
  <si>
    <t>Flores Murciego</t>
  </si>
  <si>
    <t>Calle Cirilo Santos, 46, 24240 Santa María del Páramo, León</t>
  </si>
  <si>
    <t>987 35 12 35</t>
  </si>
  <si>
    <t>Tecly Flores</t>
  </si>
  <si>
    <t>Calle Ramón y Cajal, 2, 24750 La Bañeza, León</t>
  </si>
  <si>
    <t>floryflora.com</t>
  </si>
  <si>
    <t>987 64 27 64</t>
  </si>
  <si>
    <t>info@netical24.com</t>
  </si>
  <si>
    <t>Floristería Valdeón - Valdeón Liebana S.L.</t>
  </si>
  <si>
    <t>Av. la Constitución, 95, 24800 Cistierna, León</t>
  </si>
  <si>
    <t>Cistierna</t>
  </si>
  <si>
    <t>987 70 01 63</t>
  </si>
  <si>
    <t>TIENDA PAULA</t>
  </si>
  <si>
    <t>Av. la Constitución, 121, 24800 Cistierna, León</t>
  </si>
  <si>
    <t>tienda-paula.negocio.site</t>
  </si>
  <si>
    <t>987 70 05 35</t>
  </si>
  <si>
    <t>COMERCIAL MYCOS</t>
  </si>
  <si>
    <t>Calle el Arroyo, 1, 24120 La Magdalena, León</t>
  </si>
  <si>
    <t>987 11 91 11</t>
  </si>
  <si>
    <t>Floristería Tecly</t>
  </si>
  <si>
    <t>Av. de Ponferrada, 50, 52, 24700 Astorga, León</t>
  </si>
  <si>
    <t>987 03 91 23</t>
  </si>
  <si>
    <t>Santiago Cordero, M.J.</t>
  </si>
  <si>
    <t>Calle Magisterio Nacional, 6, 24280 Benavides de Órbigo, León</t>
  </si>
  <si>
    <t>Benavides de Órbigo</t>
  </si>
  <si>
    <t>987 37 07 54</t>
  </si>
  <si>
    <t>Flores Lucy</t>
  </si>
  <si>
    <t>Calle del Matadero, 3, 24700 Astorga, León</t>
  </si>
  <si>
    <t>669 11 16 92</t>
  </si>
  <si>
    <t>Viveros Sofía C B</t>
  </si>
  <si>
    <t>Calle Benazolve, 0 S N, 24233 Villalobar, León</t>
  </si>
  <si>
    <t>Villalobar</t>
  </si>
  <si>
    <t>608 48 50 30</t>
  </si>
  <si>
    <t>Floristeria y Salon de Belleza GLORIA en Boñar</t>
  </si>
  <si>
    <t>Calle Escuelas, 2, 24850 Boñar, León</t>
  </si>
  <si>
    <t>Boñar</t>
  </si>
  <si>
    <t>605 99 98 93</t>
  </si>
  <si>
    <t>Vegaflor</t>
  </si>
  <si>
    <t>N-630, 24235 Villaquejida, León</t>
  </si>
  <si>
    <t>Villaquejida</t>
  </si>
  <si>
    <t>vegaflorfloristeria.blogspot.com.es</t>
  </si>
  <si>
    <t>987 77 47 18</t>
  </si>
  <si>
    <t>Floristería Rosmari</t>
  </si>
  <si>
    <t>Av. la Constitución, 52, 24320 Sahagún, León</t>
  </si>
  <si>
    <t>Sahagún</t>
  </si>
  <si>
    <t>rosmarifloristas.es</t>
  </si>
  <si>
    <t>987 78 20 40</t>
  </si>
  <si>
    <t>Calle los Sitios, 7, 9, 24700 Astorga, León</t>
  </si>
  <si>
    <t>987 61 54 38</t>
  </si>
  <si>
    <t>Chus</t>
  </si>
  <si>
    <t>Calle Nueva, 1, 24280 Benavides de Órbigo, León</t>
  </si>
  <si>
    <t>987 37 06 14</t>
  </si>
  <si>
    <t>Floristería Elena</t>
  </si>
  <si>
    <t>Calle Correales, 28, 24220 Valderas, León</t>
  </si>
  <si>
    <t>Valderas</t>
  </si>
  <si>
    <t>987 76 31 50</t>
  </si>
  <si>
    <t>Flores Capriccio la Tormenta</t>
  </si>
  <si>
    <t>Calle Corredera Baja, 27, 24700 Astorga, León</t>
  </si>
  <si>
    <t>Flores Polianta</t>
  </si>
  <si>
    <t>Plaza Santocildes, 21, 24700 Astorga, León</t>
  </si>
  <si>
    <t>639 88 44 25</t>
  </si>
  <si>
    <t>Eternity Interiorismo y diseño floral.</t>
  </si>
  <si>
    <t>Plaza Mayor, Nº.5, 24300 Bembibre, León</t>
  </si>
  <si>
    <t>Bembibre</t>
  </si>
  <si>
    <t>turinconchic.com</t>
  </si>
  <si>
    <t>631 12 12 47</t>
  </si>
  <si>
    <t>info@turinconchic.com</t>
  </si>
  <si>
    <t>Floristería Alhoja</t>
  </si>
  <si>
    <t>Av. Villafranca, 36, 24300 Bembibre, León</t>
  </si>
  <si>
    <t>987 51 12 94</t>
  </si>
  <si>
    <t>Flores Fernández Santos S L Mayorista</t>
  </si>
  <si>
    <t>Travesía Madrid-Coruña, 24750 La Bañeza, León</t>
  </si>
  <si>
    <t>987 64 04 29</t>
  </si>
  <si>
    <t>Flores San Miguel</t>
  </si>
  <si>
    <t>Av. de Asturias, 72, 24100 Villablino, León</t>
  </si>
  <si>
    <t>987 48 04 58</t>
  </si>
  <si>
    <t>Serrano Saba C M</t>
  </si>
  <si>
    <t>Av. la Constitución, 25, 24320 Sahagún, León</t>
  </si>
  <si>
    <t>636 84 66 45</t>
  </si>
  <si>
    <t>El Jardín Del Ciprés</t>
  </si>
  <si>
    <t>Calle Vega del Palo, 16, 24100 Villablino, León</t>
  </si>
  <si>
    <t>floristeriaeljardindelcipres.com</t>
  </si>
  <si>
    <t>987 47 22 35</t>
  </si>
  <si>
    <t>jardindelcipres@hotmail.com</t>
  </si>
  <si>
    <t>Flores Tote</t>
  </si>
  <si>
    <t>Avenida Laciana, 42, 24100 Villablino, León</t>
  </si>
  <si>
    <t>987 48 08 12</t>
  </si>
  <si>
    <t>Floristería La Aurora</t>
  </si>
  <si>
    <t>Plaza de Fernando Miranda, 5, 24402 Ponferrada, León</t>
  </si>
  <si>
    <t>987 07 77 00</t>
  </si>
  <si>
    <t>Flores Any</t>
  </si>
  <si>
    <t>Av. Portugal, 68, 24403 Ponferrada, León</t>
  </si>
  <si>
    <t>987 41 97 56</t>
  </si>
  <si>
    <t>Floristería Marisú</t>
  </si>
  <si>
    <t>Calle, Av. Doctores Terrón, 12, BAJO, 24420 Fabero, León</t>
  </si>
  <si>
    <t>floristeriamarisu.es</t>
  </si>
  <si>
    <t>655 22 96 16</t>
  </si>
  <si>
    <t>Nefertiti by Encina</t>
  </si>
  <si>
    <t>Av. de América, 54, 24401 Ponferrada, León</t>
  </si>
  <si>
    <t>floresnefertiti.com</t>
  </si>
  <si>
    <t>661 82 56 30</t>
  </si>
  <si>
    <t>info@floresnefertiti.com</t>
  </si>
  <si>
    <t>FLORISTERIA FLORDECÓ</t>
  </si>
  <si>
    <t>Calle Dr. Arén, 19, 24500 Villafranca del Bierzo, León</t>
  </si>
  <si>
    <t>Villafranca del Bierzo</t>
  </si>
  <si>
    <t>619 62 91 28</t>
  </si>
  <si>
    <t>Arantxa Espadas Floristas</t>
  </si>
  <si>
    <t>Calle Camino de Santiago, 46, 24402 Ponferrada, León</t>
  </si>
  <si>
    <t>657 13 91 40</t>
  </si>
  <si>
    <t>Floristería Aidy</t>
  </si>
  <si>
    <t>Calle Mayor, 16, 49610 Santibáñez de Vidriales, Zamora</t>
  </si>
  <si>
    <t>Santibáñez de Vidriales</t>
  </si>
  <si>
    <t>980 65 52 52</t>
  </si>
  <si>
    <t>Flores Moiras</t>
  </si>
  <si>
    <t>Plaza Mayor, 7, 24500 Villafranca del Bierzo, León</t>
  </si>
  <si>
    <t>floresmoiras.es</t>
  </si>
  <si>
    <t>987 54 21 26</t>
  </si>
  <si>
    <t>floresmoiras@gmail.com</t>
  </si>
  <si>
    <t>Floristeria Teleregalo</t>
  </si>
  <si>
    <t>Acebedo</t>
  </si>
  <si>
    <t>teleregalo.net</t>
  </si>
  <si>
    <t>PRADOPLANT</t>
  </si>
  <si>
    <t>Av. Galicia, 184, 24404 Ponferrada, León</t>
  </si>
  <si>
    <t>pradoplant.es</t>
  </si>
  <si>
    <t>Captura_de_pantalla_2020-09-15_a_las_14.06.41_260x@2x.png</t>
  </si>
  <si>
    <t>La Flor de Lis Benavente 🌺</t>
  </si>
  <si>
    <t>Calle Renueva, 25, 49600 Benavente, Zamora</t>
  </si>
  <si>
    <t>Benavente</t>
  </si>
  <si>
    <t>676 21 93 47</t>
  </si>
  <si>
    <t>Floristeria Rua 20</t>
  </si>
  <si>
    <t>Calle la Rúa, 20, 49600 Benavente, Zamora</t>
  </si>
  <si>
    <t>Flores Conchy</t>
  </si>
  <si>
    <t>Calle Derecha, 11, 47680 Mayorga, Valladolid</t>
  </si>
  <si>
    <t>Mayorga</t>
  </si>
  <si>
    <t>670 75 17 71</t>
  </si>
  <si>
    <t>A. Floristeria raquel</t>
  </si>
  <si>
    <t>Av. León, 27, 47100 Tordesillas, Valladolid</t>
  </si>
  <si>
    <t>Tordesillas</t>
  </si>
  <si>
    <t>983 77 01 85</t>
  </si>
  <si>
    <t>FLORES TEO</t>
  </si>
  <si>
    <t>Calle de la Mota, 6, 49600 Benavente, Zamora</t>
  </si>
  <si>
    <t>floresteo.es</t>
  </si>
  <si>
    <t>980 63 13 25</t>
  </si>
  <si>
    <t>info@floresteo.es</t>
  </si>
  <si>
    <t>Calle Armas, 3, 47800 Medina de Rioseco, Valladolid</t>
  </si>
  <si>
    <t>Medina de Rioseco</t>
  </si>
  <si>
    <t>983 70 01 38</t>
  </si>
  <si>
    <t>Floristería La Toresana</t>
  </si>
  <si>
    <t>Calle Corredera, 24, 49800 Toro, Zamora</t>
  </si>
  <si>
    <t>Toro</t>
  </si>
  <si>
    <t>floristerialatoresana.es</t>
  </si>
  <si>
    <t>980 69 33 40</t>
  </si>
  <si>
    <t>Flores Mera</t>
  </si>
  <si>
    <t>Calle Becerro de Bengoa, 2, 34001 Palencia</t>
  </si>
  <si>
    <t>floristeriamerapalencia.com</t>
  </si>
  <si>
    <t>979 75 20 70</t>
  </si>
  <si>
    <t>Sánchez Arte Floral</t>
  </si>
  <si>
    <t>Calle Alfonso X el Sabio, 7, 34002 Palencia</t>
  </si>
  <si>
    <t>sanchezartefloral.es</t>
  </si>
  <si>
    <t>979 16 59 16</t>
  </si>
  <si>
    <t>Roberto@sanchezartefloral.es</t>
  </si>
  <si>
    <t>Floristeria Jardinflor</t>
  </si>
  <si>
    <t>Calle Valverde, nº8, 34002 Palencia</t>
  </si>
  <si>
    <t>jardinflor.es</t>
  </si>
  <si>
    <t>979 74 37 89</t>
  </si>
  <si>
    <t>jardinflor@hotmail.com</t>
  </si>
  <si>
    <t>Av. Modesto Lafuente, 2, 34002 Palencia</t>
  </si>
  <si>
    <t>979 72 60 60</t>
  </si>
  <si>
    <t>Floristería LoreFlor</t>
  </si>
  <si>
    <t>Av. San Telmo, 27, 34004 Palencia</t>
  </si>
  <si>
    <t>979 00 30 08</t>
  </si>
  <si>
    <t>Floristería - Bambu - arte floral - Palencia</t>
  </si>
  <si>
    <t>Calle Colón, 25, 34002 Palencia</t>
  </si>
  <si>
    <t>bambu-artefloral.es</t>
  </si>
  <si>
    <t>979 74 30 24</t>
  </si>
  <si>
    <t>Av. Simón Nieto, 37, 34005 Palencia</t>
  </si>
  <si>
    <t>floristeriairispalencia.com</t>
  </si>
  <si>
    <t>979 74 49 35</t>
  </si>
  <si>
    <t>Sabatini</t>
  </si>
  <si>
    <t>Av. Valladolid, 37, 34004 Palencia</t>
  </si>
  <si>
    <t>floristeriasabatini.es</t>
  </si>
  <si>
    <t>979 72 60 99</t>
  </si>
  <si>
    <t>sabatini699@gmail.com</t>
  </si>
  <si>
    <t>Floristería Conchi</t>
  </si>
  <si>
    <t>Av. Santander, 5, 34003 Palencia</t>
  </si>
  <si>
    <t>979 75 00 87</t>
  </si>
  <si>
    <t>Floristería Fotosíntesis</t>
  </si>
  <si>
    <t>Calle Jose María Hernandez,, Exterior Plaza de Abastos, Cubo de Cristal 2, 34001 Palencia</t>
  </si>
  <si>
    <t>669 01 33 83</t>
  </si>
  <si>
    <t>Floristería Sabadell</t>
  </si>
  <si>
    <t>Plaza San Miguel, 1, 34005 Palencia</t>
  </si>
  <si>
    <t>floristeriasabadellpalencia.es</t>
  </si>
  <si>
    <t>979 74 03 23</t>
  </si>
  <si>
    <t>asabadell@gmail.com</t>
  </si>
  <si>
    <t>Vivaldi Floristas</t>
  </si>
  <si>
    <t>Calle Mayor Principal, 16, 34001 Palencia</t>
  </si>
  <si>
    <t>979 74 03 35</t>
  </si>
  <si>
    <t>Las Mercedes Floristas</t>
  </si>
  <si>
    <t>Calle Empedrada, 1, 34002 Palencia</t>
  </si>
  <si>
    <t>979 74 17 26</t>
  </si>
  <si>
    <t>ILUNION Tienda de prensa, regalos y flores (HOSPITAL RIO CARRION - PALENCIA)</t>
  </si>
  <si>
    <t>Av. Donantes de Sangre, s/n, 34005 Palencia</t>
  </si>
  <si>
    <t>979 72 38 51</t>
  </si>
  <si>
    <t>Floristería Quirce</t>
  </si>
  <si>
    <t>Calle Federico Mayo, 1, 34200 Venta de Baños, Palencia</t>
  </si>
  <si>
    <t>Venta de Baños</t>
  </si>
  <si>
    <t>floristeriaquirce.es</t>
  </si>
  <si>
    <t>979 77 02 21</t>
  </si>
  <si>
    <t>floristeriaquirce@gmail.com</t>
  </si>
  <si>
    <t>Comercial vena</t>
  </si>
  <si>
    <t>Calle Lope de Vega, 6, 34001 Palencia</t>
  </si>
  <si>
    <t>Floristería Garrido</t>
  </si>
  <si>
    <t>Calle Arija Merino, 2, 34120 Carrión de los Condes, Palencia</t>
  </si>
  <si>
    <t>Carrión de los Condes</t>
  </si>
  <si>
    <t>979 88 07 20</t>
  </si>
  <si>
    <t>Floristería Eden Floristas Valladolid</t>
  </si>
  <si>
    <t>47010 35B, Av. Palencia, 47010 Valladolid</t>
  </si>
  <si>
    <t>floristeriaseden.es</t>
  </si>
  <si>
    <t>983 26 06 06</t>
  </si>
  <si>
    <t>Flores Domi</t>
  </si>
  <si>
    <t>Calle las Huertas, 5, 34100 Saldaña, Palencia</t>
  </si>
  <si>
    <t>Saldaña</t>
  </si>
  <si>
    <t>979 89 05 79</t>
  </si>
  <si>
    <t>Floristeria La Rosa</t>
  </si>
  <si>
    <t>Calle Peral, Plaza de Toros, 6, 47007 Valladolid</t>
  </si>
  <si>
    <t>floristerialarosa.es</t>
  </si>
  <si>
    <t>983 51 94 27</t>
  </si>
  <si>
    <t>Floristería Villa-Adda</t>
  </si>
  <si>
    <t>Plaza Mayor, 7, 34340 Villada, Palencia</t>
  </si>
  <si>
    <t>Villada</t>
  </si>
  <si>
    <t>682 27 91 11</t>
  </si>
  <si>
    <t>Floristería Magnolia Guardo(Palencia)</t>
  </si>
  <si>
    <t>Calle Mayor, 73, bajo, 34880 Guardo, Palencia</t>
  </si>
  <si>
    <t>979 85 00 84</t>
  </si>
  <si>
    <t>Av. Asturias, 4, 34880 Guardo, Palencia</t>
  </si>
  <si>
    <t>979 85 18 80</t>
  </si>
  <si>
    <t>Floristería Flor de Luna de la Rosa Valladolid</t>
  </si>
  <si>
    <t>Calle de Santa Clara, 5, 47010 Valladolid</t>
  </si>
  <si>
    <t>983 31 06 35</t>
  </si>
  <si>
    <t>Supertienda- Floristeria Lucy</t>
  </si>
  <si>
    <t>Calle Mercado Viejo, 4, 47300 Peñafiel, Valladolid</t>
  </si>
  <si>
    <t>Peñafiel</t>
  </si>
  <si>
    <t>983 88 03 05</t>
  </si>
  <si>
    <t>Flores Kentya</t>
  </si>
  <si>
    <t>Plaza de San Juan, 6, 47002 Valladolid</t>
  </si>
  <si>
    <t>983 39 52 35</t>
  </si>
  <si>
    <t>Calle Labradores, 5, 34840 Cervera de Pisuerga, Palencia</t>
  </si>
  <si>
    <t>Cervera de Pisuerga</t>
  </si>
  <si>
    <t>979 87 04 28</t>
  </si>
  <si>
    <t>Floristería Amarantus</t>
  </si>
  <si>
    <t>Calle de Mateo Seoane Sobral, 2, 47014 Valladolid</t>
  </si>
  <si>
    <t>amarantusfloristas.es</t>
  </si>
  <si>
    <t>983 34 03 76</t>
  </si>
  <si>
    <t>Floristería Ikebana Valladolid</t>
  </si>
  <si>
    <t>Paseo de Zorrilla, 85, 47007 Valladolid, Guadalajara</t>
  </si>
  <si>
    <t>ikebanavalladolid.es</t>
  </si>
  <si>
    <t>983 23 41 42</t>
  </si>
  <si>
    <t>Alfar C. B</t>
  </si>
  <si>
    <t>Calle Sta. Bárbara, 3, 34880 Guardo, Palencia</t>
  </si>
  <si>
    <t>699 97 14 16</t>
  </si>
  <si>
    <t>Floristería Ana Sabadell</t>
  </si>
  <si>
    <t>Paseo de Zorrilla, 9, 47007 Valladolid</t>
  </si>
  <si>
    <t>983 23 40 86</t>
  </si>
  <si>
    <t>Floristas Sandra</t>
  </si>
  <si>
    <t>Calle Gral. Shelly, nº 16, 47013 Valladolid</t>
  </si>
  <si>
    <t>sandrafloristas.negocio.site</t>
  </si>
  <si>
    <t>983 47 85 77</t>
  </si>
  <si>
    <t>Garden Center Campo Grande</t>
  </si>
  <si>
    <t>km 2, Carretera Zaratán, 47610 Zaratán, Valladolid</t>
  </si>
  <si>
    <t>Zaratán</t>
  </si>
  <si>
    <t>campogrande.es</t>
  </si>
  <si>
    <t>983 35 37 47</t>
  </si>
  <si>
    <t>info@campogrande.es</t>
  </si>
  <si>
    <t>Floristeria i Regals Rosa María</t>
  </si>
  <si>
    <t>Carrer de Palència, 9, 08027 Barcelona</t>
  </si>
  <si>
    <t>933 40 98 75</t>
  </si>
  <si>
    <t>Florartdeco Floristería en Salamanca</t>
  </si>
  <si>
    <t>Calle Cuesta del Sancti-Spíritus, 37001 Salamanca</t>
  </si>
  <si>
    <t>florartdecosalamanca.com</t>
  </si>
  <si>
    <t>625 11 49 33</t>
  </si>
  <si>
    <t>FLORES ESPAÑA</t>
  </si>
  <si>
    <t>Av. Campoamor, 15, 17, 37003 Salamanca</t>
  </si>
  <si>
    <t>floresespana.es</t>
  </si>
  <si>
    <t>923 12 39 91</t>
  </si>
  <si>
    <t>floresespana@wanadoo.es</t>
  </si>
  <si>
    <t>Floristería en Salamanca</t>
  </si>
  <si>
    <t>Calle Bermejeros, 12, 37001 Salamanca</t>
  </si>
  <si>
    <t>floristeriasmayo.com</t>
  </si>
  <si>
    <t>923 21 95 36</t>
  </si>
  <si>
    <t>Calle Sol Ote., 12, 37002 Salamanca</t>
  </si>
  <si>
    <t>923 28 15 70</t>
  </si>
  <si>
    <t>Becedas Floristería</t>
  </si>
  <si>
    <t>Calle Van Dyck, 4, 37007 Salamanca</t>
  </si>
  <si>
    <t>becedasfloristeria.es</t>
  </si>
  <si>
    <t>629 27 96 41</t>
  </si>
  <si>
    <t>Floristería Tanatorio Salamanca (Bedunia Tanatos Floral)</t>
  </si>
  <si>
    <t>Av. Obispo Sancho de Castilla, s/n, 37006 Salamanca</t>
  </si>
  <si>
    <t>floristeriasbedunia.com</t>
  </si>
  <si>
    <t>923 13 49 87</t>
  </si>
  <si>
    <t>info@bedunia.com</t>
  </si>
  <si>
    <t>Floristería Bedunia</t>
  </si>
  <si>
    <t>Av. de los Maristas, 2, 37007 Salamanca</t>
  </si>
  <si>
    <t>923 26 43 24</t>
  </si>
  <si>
    <t>Calle Muñoz Torrero, 14, 37007 Salamanca</t>
  </si>
  <si>
    <t>923 26 87 66</t>
  </si>
  <si>
    <t>FLORES HELMÁNTICA</t>
  </si>
  <si>
    <t>37005, Calle Van Dyck, 17, 37005 Salamanca</t>
  </si>
  <si>
    <t>floreshelmantica.com</t>
  </si>
  <si>
    <t>923 60 46 08</t>
  </si>
  <si>
    <t>Mil-hojas floristería</t>
  </si>
  <si>
    <t>Calle García de Quiñones, 19, 21, 37005 Salamanca</t>
  </si>
  <si>
    <t>mil-hojas.com</t>
  </si>
  <si>
    <t>923 60 16 08</t>
  </si>
  <si>
    <t>info@mil-hojas.com</t>
  </si>
  <si>
    <t>Mayo Floristerías</t>
  </si>
  <si>
    <t>Calle Valencia, 18, 37005 Salamanca</t>
  </si>
  <si>
    <t>923 12 50 21</t>
  </si>
  <si>
    <t>36, Av. de Villamayor, 34, 37007 Salamanca</t>
  </si>
  <si>
    <t>floristeriakentiasalamanca.com</t>
  </si>
  <si>
    <t>923 23 43 39</t>
  </si>
  <si>
    <t>alexander.leokadio@gmail.com</t>
  </si>
  <si>
    <t>Diflosal</t>
  </si>
  <si>
    <t>Ctra. Fregeneda, 40, bajo, 37008 Salamanca</t>
  </si>
  <si>
    <t>diflosal.com</t>
  </si>
  <si>
    <t>923 19 10 91</t>
  </si>
  <si>
    <t>info@diflosal.com</t>
  </si>
  <si>
    <t>Flores María Jesús</t>
  </si>
  <si>
    <t>Av. Alfonso IX de León, 30, 37004 Salamanca</t>
  </si>
  <si>
    <t>floresmariajesussalamanca.com</t>
  </si>
  <si>
    <t>923 12 01 92</t>
  </si>
  <si>
    <t>mariajeflor@hotmail.com</t>
  </si>
  <si>
    <t>Florjusa Floristeria</t>
  </si>
  <si>
    <t>Av. de Italia, 67, BAJO(BB2301A, 37007 Salamanca</t>
  </si>
  <si>
    <t>florjusa.com</t>
  </si>
  <si>
    <t>923 25 24 19</t>
  </si>
  <si>
    <t>Mil-hojas Floristería</t>
  </si>
  <si>
    <t>Av. de los Cedros, 34, 37004 Salamanca</t>
  </si>
  <si>
    <t>923 00 30 30</t>
  </si>
  <si>
    <t>Floristeria &amp;quot;OChos&amp;quot; El Corte Ingles Salamanca</t>
  </si>
  <si>
    <t>Calle María Auxiliadora, 71, 37005 Salamanca</t>
  </si>
  <si>
    <t>salamancaflores.com</t>
  </si>
  <si>
    <t>923 28 55 50</t>
  </si>
  <si>
    <t>germanagropet@gmail.com</t>
  </si>
  <si>
    <t>Floristería Tanatorio Salamanca</t>
  </si>
  <si>
    <t>Explanada Cementerio (Floristería, Av. de Luis Camoens, 120, 37007 Salamanca</t>
  </si>
  <si>
    <t>floristeriatanatoriosalamanca.com</t>
  </si>
  <si>
    <t>923 73 12 04</t>
  </si>
  <si>
    <t>info@floristeriatanatoriosalamanca.com</t>
  </si>
  <si>
    <t>Floristería Jara</t>
  </si>
  <si>
    <t>Paseo de la Estación, 76, 37004 Salamanca</t>
  </si>
  <si>
    <t>floristeriajara.com</t>
  </si>
  <si>
    <t>923 22 38 47</t>
  </si>
  <si>
    <t>PLEROMA Flores artificiales y Regalo</t>
  </si>
  <si>
    <t>Paseo del Rollo, Nº16, 37003 Salamanca</t>
  </si>
  <si>
    <t>pleromasalamanca.wixsite.com</t>
  </si>
  <si>
    <t>FLORISTERIA AGRIPAT</t>
  </si>
  <si>
    <t>Calle Alfonso de Castro, 15, 37005 Salamanca</t>
  </si>
  <si>
    <t>923 99 14 34</t>
  </si>
  <si>
    <t>Sara Blume</t>
  </si>
  <si>
    <t>Av. de Salamanca, 52, 37006 Salamanca</t>
  </si>
  <si>
    <t>Sara Blume Estudio floral</t>
  </si>
  <si>
    <t>Av. de Salamanca, 52, 37003 Salamanca</t>
  </si>
  <si>
    <t>Sanchez Sanchez Matias</t>
  </si>
  <si>
    <t>Calle Íscar Peyra, 2, 37002 Salamanca</t>
  </si>
  <si>
    <t>923 26 37 03</t>
  </si>
  <si>
    <t>Aurelio Sabadell García</t>
  </si>
  <si>
    <t>Paseo del Doctor Torres Villarroel, 14, 37005 Salamanca</t>
  </si>
  <si>
    <t>923 26 50 33</t>
  </si>
  <si>
    <t>Amanita Berna Sl</t>
  </si>
  <si>
    <t>Avenida de Portugal, 38, 37004 Salamanca</t>
  </si>
  <si>
    <t>923 25 55 24</t>
  </si>
  <si>
    <t>37007 Salamanca</t>
  </si>
  <si>
    <t>Campánula Floristería y Decoración</t>
  </si>
  <si>
    <t>Plaza Mayor, 2, 37900 Santa Marta de Tormes, Salamanca</t>
  </si>
  <si>
    <t>Santa Marta de Tormes</t>
  </si>
  <si>
    <t>over-blog.com</t>
  </si>
  <si>
    <t>923 13 08 81</t>
  </si>
  <si>
    <t>logo@2x.png</t>
  </si>
  <si>
    <t>Bouquet Salamanca</t>
  </si>
  <si>
    <t>Avenida de Portugal, 135, 37006 Salamanca</t>
  </si>
  <si>
    <t>923 25 13 57</t>
  </si>
  <si>
    <t>Azalea Flores🌼</t>
  </si>
  <si>
    <t>Av. Enrique de Sena, 34, 37900 Santa Marta de Tormes, Salamanca</t>
  </si>
  <si>
    <t>923 13 02 46</t>
  </si>
  <si>
    <t>Viveros y floristerías Villamayor</t>
  </si>
  <si>
    <t>Calle San Miguel, 1, 37185 Villamayor, Salamanca</t>
  </si>
  <si>
    <t>Villamayor</t>
  </si>
  <si>
    <t>923 28 93 39</t>
  </si>
  <si>
    <t>Flowever</t>
  </si>
  <si>
    <t>Paseo Valdelagua,7, 1B, 37900 Santa Marta de Tormes, Salamanca</t>
  </si>
  <si>
    <t>flowever.es</t>
  </si>
  <si>
    <t>923 61 28 43</t>
  </si>
  <si>
    <t>TIENDA ILUNION -HOSPITAL UNIVIVERSITARIO SALAMANCA</t>
  </si>
  <si>
    <t>Paseo de San Vicente, 182, 37007 Salamanca</t>
  </si>
  <si>
    <t>923 26 40 46</t>
  </si>
  <si>
    <t>Rc Flowers</t>
  </si>
  <si>
    <t>37004 Salamanca</t>
  </si>
  <si>
    <t>Floristería Peñaranda</t>
  </si>
  <si>
    <t>Plaza Constitución, 21, 37300 Peñaranda de Bracamonte, Salamanca</t>
  </si>
  <si>
    <t>Peñaranda de Bracamonte</t>
  </si>
  <si>
    <t>floristeriapenaranda.es</t>
  </si>
  <si>
    <t>923 54 07 58</t>
  </si>
  <si>
    <t>info@floristeriapenaranda.com</t>
  </si>
  <si>
    <t>Floristeria diana (flor y huerta)</t>
  </si>
  <si>
    <t>Plaza Mayor, 13, 37600 Tamames, Salamanca</t>
  </si>
  <si>
    <t>Tamames</t>
  </si>
  <si>
    <t>floristeriadiana.es</t>
  </si>
  <si>
    <t>605 88 11 64</t>
  </si>
  <si>
    <t>floryhuerta@gmail.com</t>
  </si>
  <si>
    <t>Sara blume Floristería</t>
  </si>
  <si>
    <t>Plaza Julian coca, 2, Avenida salamanca, 52, 37770 Guijuelo, Salamanca</t>
  </si>
  <si>
    <t>Sara Floristería</t>
  </si>
  <si>
    <t>Calle Gabriel y Galán, 3, 7, 37600 Tamames, Salamanca</t>
  </si>
  <si>
    <t>620 22 58 38</t>
  </si>
  <si>
    <t>Floristería Martina</t>
  </si>
  <si>
    <t>Bajo, Av. de Salamanca, 2, 37300 Peñaranda de Bracamonte, Salamanca</t>
  </si>
  <si>
    <t>923 99 15 86</t>
  </si>
  <si>
    <t>FLORISTERIA BEJAR</t>
  </si>
  <si>
    <t>Calle Mayor de Sánchez Ocaña, 47, 37700 Béjar, Salamanca</t>
  </si>
  <si>
    <t>923 40 00 79</t>
  </si>
  <si>
    <t>Calle de Salamanca, 48, 49028 Zamora</t>
  </si>
  <si>
    <t>980 70 15 91</t>
  </si>
  <si>
    <t>Floristería Mayte</t>
  </si>
  <si>
    <t>Calle Pilar Santiago, 2, 37210 Vitigudino, Salamanca</t>
  </si>
  <si>
    <t>Vitigudino</t>
  </si>
  <si>
    <t>923 50 01 71</t>
  </si>
  <si>
    <t>Carr. de Salamanca, 55, 37500 Cdad. Rodrigo, Salamanca</t>
  </si>
  <si>
    <t>Cdad. Rodrigo</t>
  </si>
  <si>
    <t>floristeria-ana.negocio.site</t>
  </si>
  <si>
    <t>609 08 96 74</t>
  </si>
  <si>
    <t>Flores Toñi (Servicio Online y telefónico)</t>
  </si>
  <si>
    <t>Calle Albéniz, 1, 37500 Cdad. Rodrigo, Salamanca</t>
  </si>
  <si>
    <t>florestoni.com</t>
  </si>
  <si>
    <t>923 46 00 09</t>
  </si>
  <si>
    <t>florestoni@interflora.es</t>
  </si>
  <si>
    <t>Floristería Beatriz</t>
  </si>
  <si>
    <t>Ctra. Estación, 80, 37240 Lumbrales, Salamanca</t>
  </si>
  <si>
    <t>Lumbrales</t>
  </si>
  <si>
    <t>923 51 24 41</t>
  </si>
  <si>
    <t>Floristería Provocateur Roses - Flores a Domicilio Madrid - Especialista en Rosas</t>
  </si>
  <si>
    <t>Calle de Goya, 17, 28001 Madrid</t>
  </si>
  <si>
    <t>provocateurroses.com</t>
  </si>
  <si>
    <t>910 56 31 40</t>
  </si>
  <si>
    <t>info@provocateurroses.com</t>
  </si>
  <si>
    <t>Moss Floristas</t>
  </si>
  <si>
    <t>Calle de Don Ramón de la Cruz, 51, 28001 Madrid</t>
  </si>
  <si>
    <t>mossfloristas.com</t>
  </si>
  <si>
    <t>915 75 95 36</t>
  </si>
  <si>
    <t>info@mossfloristas.com</t>
  </si>
  <si>
    <t>Flores Daguerre</t>
  </si>
  <si>
    <t>Calle de Velázquez, 20, 28001 Madrid</t>
  </si>
  <si>
    <t>floristeriabarriodesalamanca.es</t>
  </si>
  <si>
    <t>914 35 27 76</t>
  </si>
  <si>
    <t>daguerre@interflora.es</t>
  </si>
  <si>
    <t>FLORISTERÍA ANAMÚ</t>
  </si>
  <si>
    <t>Calle del Gral. Pardiñas, 83, 28006 Madrid</t>
  </si>
  <si>
    <t>anamufloristeria.com</t>
  </si>
  <si>
    <t>911 64 87 82</t>
  </si>
  <si>
    <t>Freesia Flores y Plantas</t>
  </si>
  <si>
    <t>Calle de Núñez de Balboa, 57, 28001 Madrid</t>
  </si>
  <si>
    <t>floresfreesia.es</t>
  </si>
  <si>
    <t>915 75 61 41</t>
  </si>
  <si>
    <t>pedidos@floresfreesia.es</t>
  </si>
  <si>
    <t>Muscari Flores</t>
  </si>
  <si>
    <t>Calle de Claudio Coello, 6, 28001 Madrid</t>
  </si>
  <si>
    <t>muscariflores.com</t>
  </si>
  <si>
    <t>910 17 15 79</t>
  </si>
  <si>
    <t>info@muscariflores.com</t>
  </si>
  <si>
    <t>Flor de loto</t>
  </si>
  <si>
    <t>Paseo Conde de Sepúlveda, 24, 40006 Segovia</t>
  </si>
  <si>
    <t>florloto.es</t>
  </si>
  <si>
    <t>622 26 56 65</t>
  </si>
  <si>
    <t>info@florloto.es</t>
  </si>
  <si>
    <t>Floristería El Jardín</t>
  </si>
  <si>
    <t>Calle Cervantes, 3, LOCAL, 40001 Segovia</t>
  </si>
  <si>
    <t>floristeriaeljardin.com</t>
  </si>
  <si>
    <t>921 46 25 58</t>
  </si>
  <si>
    <t>Blumenaria</t>
  </si>
  <si>
    <t>Plaza Gonzalo de Berceo, 1, 40006 Segovia</t>
  </si>
  <si>
    <t>blumenaria.com</t>
  </si>
  <si>
    <t>622 04 77 81</t>
  </si>
  <si>
    <t>contacto@blumenaria.com</t>
  </si>
  <si>
    <t>Av Vicente Aleixandre, 31, 40006 Segovia</t>
  </si>
  <si>
    <t>floristerialilium.es</t>
  </si>
  <si>
    <t>649 75 10 62</t>
  </si>
  <si>
    <t>liliumflor@yahoo.es</t>
  </si>
  <si>
    <t>Floristería El Edén</t>
  </si>
  <si>
    <t>Calle de Jose Zorrilla, 47, 40002 Segovia</t>
  </si>
  <si>
    <t>floristeriaeleden.com</t>
  </si>
  <si>
    <t>921 44 16 40</t>
  </si>
  <si>
    <t>floreseleden@hotmail.com</t>
  </si>
  <si>
    <t>Floristería Osiria</t>
  </si>
  <si>
    <t>Av. del Obispo Quesada, 22, 40006 Segovia</t>
  </si>
  <si>
    <t>629 17 40 32</t>
  </si>
  <si>
    <t>Masqueflores especialistas en bodas</t>
  </si>
  <si>
    <t>mercado municipal Albuera, Calle Andrés Reguera Antón, s/n, 40004 Segovia</t>
  </si>
  <si>
    <t>masqueflores.blogspot.com</t>
  </si>
  <si>
    <t>921 43 12 34</t>
  </si>
  <si>
    <t>mrosscano@gmail.com</t>
  </si>
  <si>
    <t>La Flor de San Lorenzo Floristería</t>
  </si>
  <si>
    <t>Av. Vía Roma, 11, 40003 Segovia</t>
  </si>
  <si>
    <t>laflordesanlorenzo.es</t>
  </si>
  <si>
    <t>625 55 08 58</t>
  </si>
  <si>
    <t>Bel-Flor La Floristeria</t>
  </si>
  <si>
    <t>Calle de los Coches, 15, 40002 Segovia</t>
  </si>
  <si>
    <t>921 92 39 09</t>
  </si>
  <si>
    <t>Arte Floral Nenúfar</t>
  </si>
  <si>
    <t>Av. Padre Claret, 32, 40003 Segovia</t>
  </si>
  <si>
    <t>921 42 66 51</t>
  </si>
  <si>
    <t>Calle, Paseo Conde de Sepúlveda, nº 24, 40006 Real Sitio de San Ildefonso, Segovia</t>
  </si>
  <si>
    <t>Real Sitio de San Ildefonso</t>
  </si>
  <si>
    <t>691 26 41 12</t>
  </si>
  <si>
    <t>Floristería OSIRIA</t>
  </si>
  <si>
    <t>Calle los Tercios Segovianos, 3, 40004 Segovia</t>
  </si>
  <si>
    <t>floristeriasosiria.com</t>
  </si>
  <si>
    <t>921 43 11 43</t>
  </si>
  <si>
    <t>Herederos J Bella Lorente C B</t>
  </si>
  <si>
    <t>Calle Cervantes, 3, 40001 Segovia</t>
  </si>
  <si>
    <t>921 46 22 55</t>
  </si>
  <si>
    <t>LOVING LAVANDA {flores y bodas}</t>
  </si>
  <si>
    <t>Camino de la Losa, 17, 40154 Madrona, Segovia</t>
  </si>
  <si>
    <t>Madrona</t>
  </si>
  <si>
    <t>lovinglavanda.com</t>
  </si>
  <si>
    <t>921 48 52 57</t>
  </si>
  <si>
    <t>info@lovinglavanda.com</t>
  </si>
  <si>
    <t>FLORESTA Flores a Medida</t>
  </si>
  <si>
    <t>Calle de la Cebada, 7, 40420 Navas de Riofrío, Segovia</t>
  </si>
  <si>
    <t>Navas de Riofrío</t>
  </si>
  <si>
    <t>floresta.es</t>
  </si>
  <si>
    <t>629 97 95 92</t>
  </si>
  <si>
    <t>info@floresta.es</t>
  </si>
  <si>
    <t>Flores Acueducto</t>
  </si>
  <si>
    <t>Calle de Jose Zorrilla, 56, 40002 Segovia</t>
  </si>
  <si>
    <t>flores-acueducto.negocio.site</t>
  </si>
  <si>
    <t>Floristeria Y Ceramicas (Coronas) Anais</t>
  </si>
  <si>
    <t>Calle Padre Claret, 40100 Real Sitio de San Ildefonso, Segovia</t>
  </si>
  <si>
    <t>Flora Rústica - Taller floral, plantas y regalos en Turégano</t>
  </si>
  <si>
    <t>Calle Máximo González, nº16, 40370 Turégano, Segovia</t>
  </si>
  <si>
    <t>Turégano</t>
  </si>
  <si>
    <t>florarustica.com</t>
  </si>
  <si>
    <t>699 09 14 52</t>
  </si>
  <si>
    <t>mariaflorarustica@gmail.com</t>
  </si>
  <si>
    <t>Seremillas Plantas y Flores
Mariano Herrero</t>
  </si>
  <si>
    <t>Calle Virgen, 23, 40250 Mozoncillo, Segovia</t>
  </si>
  <si>
    <t>Mozoncillo</t>
  </si>
  <si>
    <t>Floristeria Pinar Jardin</t>
  </si>
  <si>
    <t>Calle Iglesia, 16, 40320 Cantalejo, Segovia</t>
  </si>
  <si>
    <t>Cantalejo</t>
  </si>
  <si>
    <t>921 52 12 26</t>
  </si>
  <si>
    <t>Floristería Viveros Hortplant</t>
  </si>
  <si>
    <t>Plaza Postas, 5, 40280 Navalmanzano, Segovia</t>
  </si>
  <si>
    <t>Navalmanzano</t>
  </si>
  <si>
    <t>921 57 51 84</t>
  </si>
  <si>
    <t>Susana Floristería</t>
  </si>
  <si>
    <t>Calle Trinidad, 19, 40200 Cuéllar, Segovia</t>
  </si>
  <si>
    <t>921 14 10 06</t>
  </si>
  <si>
    <t>María Concepción Herrero Rubio</t>
  </si>
  <si>
    <t>Calle Mariano Aranda, 12, 40480 Coca, Segovia</t>
  </si>
  <si>
    <t>Coca</t>
  </si>
  <si>
    <t>floristería de Esther Riaza</t>
  </si>
  <si>
    <t>Calle José Martínez Velasco, 5, 40500 Riaza, Segovia</t>
  </si>
  <si>
    <t>Riaza</t>
  </si>
  <si>
    <t>lafloristeriadeesther.com</t>
  </si>
  <si>
    <t>678 72 78 72</t>
  </si>
  <si>
    <t>El Espino flores</t>
  </si>
  <si>
    <t>Ctra. Segovia, nº 2, local 1, 40410 San Rafael, Segovia</t>
  </si>
  <si>
    <t>San Rafael</t>
  </si>
  <si>
    <t>elespinoflores.com</t>
  </si>
  <si>
    <t>921 09 34 89</t>
  </si>
  <si>
    <t>info@elespinoflores.com</t>
  </si>
  <si>
    <t>Floristería Floraila</t>
  </si>
  <si>
    <t>Calle Malriega, 8, 40200 Cuéllar, Segovia</t>
  </si>
  <si>
    <t>floraila.com</t>
  </si>
  <si>
    <t>921 14 51 99</t>
  </si>
  <si>
    <t>comercial@floraila.com</t>
  </si>
  <si>
    <t>Floristería El Taller de las Flores</t>
  </si>
  <si>
    <t>Plaza Mayor, 2, 40200 Cuéllar, Segovia</t>
  </si>
  <si>
    <t>921 14 34 78</t>
  </si>
  <si>
    <t>Flores naturales a domicilio</t>
  </si>
  <si>
    <t>Calle Herren, 1, 28410 Manzanares el Real, Madrid</t>
  </si>
  <si>
    <t>Manzanares el Real</t>
  </si>
  <si>
    <t>918 53 90 47</t>
  </si>
  <si>
    <t>AMARANTO</t>
  </si>
  <si>
    <t>Calle Alfonso Senra, 46, 28440 Guadarrama, Madrid</t>
  </si>
  <si>
    <t>Guadarrama</t>
  </si>
  <si>
    <t>portaldetuciudad.com</t>
  </si>
  <si>
    <t>918 54 19 09</t>
  </si>
  <si>
    <t>info@portaldetuciudad.com</t>
  </si>
  <si>
    <t>Floristería Bonsai Floristas</t>
  </si>
  <si>
    <t>Av. Siglo XXI, 9, 28660 Boadilla del Monte, Madrid</t>
  </si>
  <si>
    <t>Boadilla del Monte</t>
  </si>
  <si>
    <t>bonsaifloristas.com</t>
  </si>
  <si>
    <t>916 19 84 32</t>
  </si>
  <si>
    <t>bonsai@bonsaifloristas.com</t>
  </si>
  <si>
    <t>Balcones y Flores</t>
  </si>
  <si>
    <t>Calle Duque de Alba, 1, 28200 San Lorenzo de El Escorial, Madrid</t>
  </si>
  <si>
    <t>San Lorenzo de El Escorial</t>
  </si>
  <si>
    <t>balconesyflores.es</t>
  </si>
  <si>
    <t>912 90 45 50</t>
  </si>
  <si>
    <t>info@balconesyflores.es</t>
  </si>
  <si>
    <t>CC Coronado, Calle Andrés Segovia, 7, Local 28, 28231 Las Rozas de Madrid, Madrid</t>
  </si>
  <si>
    <t>floristerialasdalias.com</t>
  </si>
  <si>
    <t>696 49 47 91</t>
  </si>
  <si>
    <t>info@floristerialasdalias.com</t>
  </si>
  <si>
    <t>Beatriz Fraile Sánchez Y Otros C B</t>
  </si>
  <si>
    <t>Calle Cervantes, 95, 40500 Riaza, Segovia</t>
  </si>
  <si>
    <t>921 55 11 14</t>
  </si>
  <si>
    <t>Flores con Rocío</t>
  </si>
  <si>
    <t>P.º de la Virgen del Puerto, 21, 28005 Madrid</t>
  </si>
  <si>
    <t>669 53 07 13</t>
  </si>
  <si>
    <t>floristeria petalos</t>
  </si>
  <si>
    <t>Ronda de Segovia, 2, b, 28005 Madrid</t>
  </si>
  <si>
    <t>floristeriapetalosmadrid.com</t>
  </si>
  <si>
    <t>913 54 68 44</t>
  </si>
  <si>
    <t>La Fábrica De Regalos</t>
  </si>
  <si>
    <t>Calle la Nava, 3, 28210 Valdemorillo, Madrid</t>
  </si>
  <si>
    <t>Valdemorillo</t>
  </si>
  <si>
    <t>lafabricaderegalos.com</t>
  </si>
  <si>
    <t>918 99 36 57</t>
  </si>
  <si>
    <t>El florista</t>
  </si>
  <si>
    <t>Calle de Almadén, 12, 28014 Madrid</t>
  </si>
  <si>
    <t>elfloristafloristeria.com</t>
  </si>
  <si>
    <t>607 71 20 47</t>
  </si>
  <si>
    <t>elfloristafloristeria@gmail.com</t>
  </si>
  <si>
    <t>Flores Tere</t>
  </si>
  <si>
    <t>Calle de Antonio López, 61, 28019 Madrid</t>
  </si>
  <si>
    <t>florestere.es</t>
  </si>
  <si>
    <t>914 69 00 08</t>
  </si>
  <si>
    <t>info@florestere.es</t>
  </si>
  <si>
    <t>Flores a domicilio - Regalarflores.net Madrid</t>
  </si>
  <si>
    <t>C. de Churruca, 9, 28004 Madrid</t>
  </si>
  <si>
    <t>915 31 41 89</t>
  </si>
  <si>
    <t>Las Mimosas Floristería SL</t>
  </si>
  <si>
    <t>Calle de Labradores, 23, 47004 Valladolid</t>
  </si>
  <si>
    <t>lasmimosasfloristeria.es</t>
  </si>
  <si>
    <t>983 21 19 19</t>
  </si>
  <si>
    <t>LOGO_MIMOSAS_200x@2x.jpg</t>
  </si>
  <si>
    <t>Ctra. de La Coruña, Km 28, 5, 28250 Torrelodones, Madrid</t>
  </si>
  <si>
    <t>Torrelodones</t>
  </si>
  <si>
    <t>918 59 43 99</t>
  </si>
  <si>
    <t>Ulilove</t>
  </si>
  <si>
    <t>Calle de Uruguay, 12 Local 37-38, 28822 Coslada, Madrid</t>
  </si>
  <si>
    <t>Coslada</t>
  </si>
  <si>
    <t>ulilove.es</t>
  </si>
  <si>
    <t>657 26 66 71</t>
  </si>
  <si>
    <t>info@ulilove.es</t>
  </si>
  <si>
    <t>Salon Des Fleurs</t>
  </si>
  <si>
    <t>Calle de Guzmán el Bueno, 106, 28003 Madrid</t>
  </si>
  <si>
    <t>salondesfleurs.es</t>
  </si>
  <si>
    <t>915 35 23 48</t>
  </si>
  <si>
    <t>info@salondesfleurs.es</t>
  </si>
  <si>
    <t>Carr. de Boadilla del Monte, 106, 28220 Majadahonda, Madrid</t>
  </si>
  <si>
    <t>Majadahonda</t>
  </si>
  <si>
    <t>916 39 40 12</t>
  </si>
  <si>
    <t>Calle de Cabeza de Manzaneda, 104, 28023 Madrid</t>
  </si>
  <si>
    <t>910 05 96 36</t>
  </si>
  <si>
    <t>Calle de Jerónimo de la Quintana, 6, 28010 Madrid</t>
  </si>
  <si>
    <t>917 16 87 96</t>
  </si>
  <si>
    <t>Viveros Martínez S. L.</t>
  </si>
  <si>
    <t>SG-342, 10, 40450 Nava de la Asunción, Segovia</t>
  </si>
  <si>
    <t>Nava de la Asunción</t>
  </si>
  <si>
    <t>921 58 10 89</t>
  </si>
  <si>
    <t>Calle Segovia, 16, 41730 Las Cabezas de San Juan, Sevilla</t>
  </si>
  <si>
    <t>Las Cabezas de San Juan</t>
  </si>
  <si>
    <t>955 87 15 89</t>
  </si>
  <si>
    <t>FLORES LIS ARTE FLORAL EN SORIA</t>
  </si>
  <si>
    <t>Carr. de Logroño, 1, 42004 Soria</t>
  </si>
  <si>
    <t>floreslisensoria.com</t>
  </si>
  <si>
    <t>617 39 69 61</t>
  </si>
  <si>
    <t>Av. Valladolid, 37, 42001 Soria</t>
  </si>
  <si>
    <t>floresmonica.es</t>
  </si>
  <si>
    <t>678 98 10 60</t>
  </si>
  <si>
    <t>Mis Flores</t>
  </si>
  <si>
    <t>Calle Linajes, 2, 42003 Soria</t>
  </si>
  <si>
    <t>misflores.net</t>
  </si>
  <si>
    <t>975 23 02 29</t>
  </si>
  <si>
    <t>misflores@misflores.net</t>
  </si>
  <si>
    <t>Floristería Mónica2</t>
  </si>
  <si>
    <t>Paseo Sta. Bárbara, 30, 42005 Soria</t>
  </si>
  <si>
    <t>Floristería Matres</t>
  </si>
  <si>
    <t>Calle Ramillete, 1, 42001 Soria</t>
  </si>
  <si>
    <t>floristeriamatres.es</t>
  </si>
  <si>
    <t>975 22 47 65</t>
  </si>
  <si>
    <t>monteycanela@outlook.es</t>
  </si>
  <si>
    <t>Mis Plantas</t>
  </si>
  <si>
    <t>Nº, Calle F, 3, 42005 Soria</t>
  </si>
  <si>
    <t>975 21 21 25</t>
  </si>
  <si>
    <t>Arte Floral la Villa</t>
  </si>
  <si>
    <t>6 Avenida Salazar y Torre, 42200 Almazán, Soria</t>
  </si>
  <si>
    <t>Almazán</t>
  </si>
  <si>
    <t>arteflorallavilla.es</t>
  </si>
  <si>
    <t>975 30 19 42</t>
  </si>
  <si>
    <t>artefloral.lavilla@gmail.com</t>
  </si>
  <si>
    <t>Silvia Cid Floristeria Regalos</t>
  </si>
  <si>
    <t>Plaza Mayor, 6, 42200 Almazán, Soria</t>
  </si>
  <si>
    <t>615 50 95 74</t>
  </si>
  <si>
    <t>Floristería Lindo</t>
  </si>
  <si>
    <t>Calle de Manuel Cámara Rodrigo, 39, 42157 Covaleda, Soria</t>
  </si>
  <si>
    <t>Covaleda</t>
  </si>
  <si>
    <t>975 37 00 51</t>
  </si>
  <si>
    <t>Floristería Art Flor</t>
  </si>
  <si>
    <t>Calle Mayor, 20, 42300 El Burgo de Osma, Soria</t>
  </si>
  <si>
    <t>975 34 06 18</t>
  </si>
  <si>
    <t>Floristería Hiedra</t>
  </si>
  <si>
    <t>Calle Real, 1, 42140 S. Leonardo de Yagüe, Soria</t>
  </si>
  <si>
    <t>S. Leonardo de Yagüe</t>
  </si>
  <si>
    <t>Floristería Trébol</t>
  </si>
  <si>
    <t>Calle Venerable, 14, 42100 Ágreda, Soria</t>
  </si>
  <si>
    <t>Ágreda</t>
  </si>
  <si>
    <t>976 64 70 16</t>
  </si>
  <si>
    <t>Ohfloremio</t>
  </si>
  <si>
    <t>Calle Mayor, 12, 18, 42330 San Esteban de Gormaz, Soria</t>
  </si>
  <si>
    <t>San Esteban de Gormaz</t>
  </si>
  <si>
    <t>ohfloremio.com</t>
  </si>
  <si>
    <t>975 35 13 08</t>
  </si>
  <si>
    <t>ohfloremio@gmail.com</t>
  </si>
  <si>
    <t>Araceli Balsa Soria</t>
  </si>
  <si>
    <t>Calle Felipe V, 81, 50100 Almunia de Doña Godina (la), Zaragoza</t>
  </si>
  <si>
    <t>976 81 23 91</t>
  </si>
  <si>
    <t>El Jardín de Clara</t>
  </si>
  <si>
    <t>Carr. de Maranchón, 14, 42250 Arcos de Jalón, Soria</t>
  </si>
  <si>
    <t>Arcos de Jalón</t>
  </si>
  <si>
    <t>flornatur.es</t>
  </si>
  <si>
    <t>685 19 99 50</t>
  </si>
  <si>
    <t>info@lamodernaruralshop.com</t>
  </si>
  <si>
    <t>Floristería los Soportales</t>
  </si>
  <si>
    <t>Calle Serrano Sanz, 3, 19250 Sigüenza, Guadalajara</t>
  </si>
  <si>
    <t>Sigüenza</t>
  </si>
  <si>
    <t>949 39 32 52</t>
  </si>
  <si>
    <t>Floristería La Jara Valladolid</t>
  </si>
  <si>
    <t>Paseo de Zorrilla, 44, 47006 Valladolid</t>
  </si>
  <si>
    <t>floresenvalladolid.es</t>
  </si>
  <si>
    <t>983 33 88 72</t>
  </si>
  <si>
    <t>Elisabet Arte floral</t>
  </si>
  <si>
    <t>Calle López Gómez, 15, 47002 Valladolid</t>
  </si>
  <si>
    <t>elisabetartefloral.com</t>
  </si>
  <si>
    <t>983 39 25 43</t>
  </si>
  <si>
    <t>info@elisabetartefloral.com</t>
  </si>
  <si>
    <t>Calle Ultramar, 4, 47006 Valladolid</t>
  </si>
  <si>
    <t>floresazahar.com</t>
  </si>
  <si>
    <t>983 23 41 20</t>
  </si>
  <si>
    <t>Floristería Bio</t>
  </si>
  <si>
    <t>Calle Miguel de Unamuno s/n, (Junto a Farmacia), 47008 Valladolid</t>
  </si>
  <si>
    <t>floristeriavalladolid.com.es</t>
  </si>
  <si>
    <t>983 24 87 62</t>
  </si>
  <si>
    <t>Flor de Holanda</t>
  </si>
  <si>
    <t>Paseo de Zorrilla, 68, 47006 Valladolid</t>
  </si>
  <si>
    <t>flordeholanda.com</t>
  </si>
  <si>
    <t>983 23 07 70</t>
  </si>
  <si>
    <t>clientes@flordeholanda.com</t>
  </si>
  <si>
    <t>Calle Val, 7, 47003 Valladolid</t>
  </si>
  <si>
    <t>Calle Platería, 2, 47002 Valladolid</t>
  </si>
  <si>
    <t>983 34 60 51</t>
  </si>
  <si>
    <t>MARY FLORISTAS</t>
  </si>
  <si>
    <t>maryfloristas.com</t>
  </si>
  <si>
    <t>983 35 17 82</t>
  </si>
  <si>
    <t>Floristeria Lidia</t>
  </si>
  <si>
    <t>Calle Campiña del Carmen, 10, 47011 Valladolid</t>
  </si>
  <si>
    <t>643 86 80 04</t>
  </si>
  <si>
    <t>Plaza Gutiérrez Semprún, 47012 Valladolid</t>
  </si>
  <si>
    <t>983 39 71 52</t>
  </si>
  <si>
    <t>Floristeria Bergamota</t>
  </si>
  <si>
    <t>Calle Veinte de Febrero, 1, 47001 Valladolid</t>
  </si>
  <si>
    <t>bergamotaflores.com</t>
  </si>
  <si>
    <t>983 09 71 88</t>
  </si>
  <si>
    <t>info@bergamotaflores.com</t>
  </si>
  <si>
    <t>Flores Chiti</t>
  </si>
  <si>
    <t>Calle Tudela, 10, 47002 Valladolid</t>
  </si>
  <si>
    <t>chitiflores.com</t>
  </si>
  <si>
    <t>983 30 04 98</t>
  </si>
  <si>
    <t>info@chitiflores.es</t>
  </si>
  <si>
    <t>Paseo de Zorrilla, 130, 47007 Valladolid</t>
  </si>
  <si>
    <t>983 27 45 98</t>
  </si>
  <si>
    <t>Floristería Nova Flor</t>
  </si>
  <si>
    <t>Calle del Pelícano, 11, 47012 Valladolid</t>
  </si>
  <si>
    <t>983 30 22 54</t>
  </si>
  <si>
    <t>Floristería Nines</t>
  </si>
  <si>
    <t>Calle Gabriel y Galan, 20, 47005 Valladolid</t>
  </si>
  <si>
    <t>983 29 43 42</t>
  </si>
  <si>
    <t>Floristería Medina Azahara</t>
  </si>
  <si>
    <t>Camino Viejo de Simancas, km 3,2, 47008 Valladolid</t>
  </si>
  <si>
    <t>floristeriamedinaazahara.com</t>
  </si>
  <si>
    <t>983 23 77 20</t>
  </si>
  <si>
    <t>info@floristeriamedinaazahara.com</t>
  </si>
  <si>
    <t>Floristería Carmen Gimeno</t>
  </si>
  <si>
    <t>Av. de Gijón, 77, 47009 Valladolid</t>
  </si>
  <si>
    <t>carmengimeno.com</t>
  </si>
  <si>
    <t>983 20 32 79</t>
  </si>
  <si>
    <t>info@carmengimeno.com</t>
  </si>
  <si>
    <t>Flores Arum</t>
  </si>
  <si>
    <t>Calle Aurora, 1, 47007 Valladolid</t>
  </si>
  <si>
    <t>983 23 40 18</t>
  </si>
  <si>
    <t>Calle Fidel Recio, 3, 47002 Valladolid</t>
  </si>
  <si>
    <t>arteflorvalladolid.jimdo.com</t>
  </si>
  <si>
    <t>605 85 16 92</t>
  </si>
  <si>
    <t>Floristería Yerba</t>
  </si>
  <si>
    <t>Calle Dársena, 8, 47009 Valladolid</t>
  </si>
  <si>
    <t>983 35 39 52</t>
  </si>
  <si>
    <t>María Martínez Floristas</t>
  </si>
  <si>
    <t>Paseo de Zorrilla, 350, 47008 Valladolid</t>
  </si>
  <si>
    <t>floristeriamariamartinez.com</t>
  </si>
  <si>
    <t>983 11 19 11</t>
  </si>
  <si>
    <t>Floristería Los girasoles</t>
  </si>
  <si>
    <t>Calle Perú, 1, 47004 Valladolid</t>
  </si>
  <si>
    <t>615 86 77 37</t>
  </si>
  <si>
    <t>Camino Viejo de Simancas, Km 3,2, 47008 Valladolid</t>
  </si>
  <si>
    <t>Flores Luly</t>
  </si>
  <si>
    <t>Plaza Circular, 8, 47005 Valladolid</t>
  </si>
  <si>
    <t>Parqueflor</t>
  </si>
  <si>
    <t>Calle Amadeo Arias, 10, 47014 Valladolid</t>
  </si>
  <si>
    <t>983 37 19 19</t>
  </si>
  <si>
    <t>ORQUIDEA FLORISTERIA</t>
  </si>
  <si>
    <t>Calle Divina Pastora, 4, 47004 Valladolid</t>
  </si>
  <si>
    <t>609 70 39 62</t>
  </si>
  <si>
    <t>Rebeca Floristas</t>
  </si>
  <si>
    <t>Calle de las Angustias, 15, 47003 Valladolid</t>
  </si>
  <si>
    <t>floresrebeca.com</t>
  </si>
  <si>
    <t>983 25 10 66</t>
  </si>
  <si>
    <t>linecontact@example.com</t>
  </si>
  <si>
    <t>Calle Madre de Dios, 2A, 47011 Valladolid</t>
  </si>
  <si>
    <t>Floristería Garoe</t>
  </si>
  <si>
    <t>983 20 97 30</t>
  </si>
  <si>
    <t>Floristería y Plantas Carmen</t>
  </si>
  <si>
    <t>Av. del Estadio, 17, 47140 Laguna de Duero, Valladolid</t>
  </si>
  <si>
    <t>Laguna de Duero</t>
  </si>
  <si>
    <t>983 54 56 64</t>
  </si>
  <si>
    <t>Syldavia Floristas</t>
  </si>
  <si>
    <t>Carr. de Rueda, 37, 47008 Valladolid</t>
  </si>
  <si>
    <t>syldaviafloristas.com</t>
  </si>
  <si>
    <t>983 11 46 45</t>
  </si>
  <si>
    <t>syldavia@syldaviafloristas.es</t>
  </si>
  <si>
    <t>Flores y Plantas Madre Selva</t>
  </si>
  <si>
    <t>Calle del Santuario, 22, 47002 Valladolid</t>
  </si>
  <si>
    <t>floresmadreselva.com</t>
  </si>
  <si>
    <t>983 21 00 74</t>
  </si>
  <si>
    <t>María Asunción Fernández Perrino</t>
  </si>
  <si>
    <t>María Ángeles Benito Hernández</t>
  </si>
  <si>
    <t>Calle Gabriel y Galan, 47005 Valladolid</t>
  </si>
  <si>
    <t>Adalia</t>
  </si>
  <si>
    <t>983 29 44 34</t>
  </si>
  <si>
    <t>Poveda Plantas S.L.</t>
  </si>
  <si>
    <t>Calle Pirita, 69, 47012 Valladolid</t>
  </si>
  <si>
    <t>povedaplantas.es</t>
  </si>
  <si>
    <t>983 30 56 77</t>
  </si>
  <si>
    <t>info@povedaplantas.es</t>
  </si>
  <si>
    <t>Arias Benito S</t>
  </si>
  <si>
    <t>Camino Viejo de Renedo, 31, 47011 Valladolid</t>
  </si>
  <si>
    <t>983 25 88 10</t>
  </si>
  <si>
    <t>FLORISTERÍA VIDA</t>
  </si>
  <si>
    <t>Calle del Mulhacén, 17, 47013 Valladolid</t>
  </si>
  <si>
    <t>floristeriavida.es</t>
  </si>
  <si>
    <t>605 60 82 92</t>
  </si>
  <si>
    <t>tu.floristeriavida@gmail.com</t>
  </si>
  <si>
    <t>Flores Jesús</t>
  </si>
  <si>
    <t>Camino de Los Santos, 47011 Valladolid</t>
  </si>
  <si>
    <t>627 05 25 60</t>
  </si>
  <si>
    <t>La Ventana Natural</t>
  </si>
  <si>
    <t>laventananatural.com</t>
  </si>
  <si>
    <t>contacto@laventananatural.com</t>
  </si>
  <si>
    <t>Flores carmen</t>
  </si>
  <si>
    <t>Av. del Estadio, 15, 47140 Laguna de Duero, Valladolid</t>
  </si>
  <si>
    <t>Fadrique Rojo Sl</t>
  </si>
  <si>
    <t>Plaza Cruz Verde, 2, 47002 Valladolid</t>
  </si>
  <si>
    <t>983 30 55 67</t>
  </si>
  <si>
    <t>Junco Floristas</t>
  </si>
  <si>
    <t>Calle San Juan Bautista, 4, 47140 Laguna de Duero, Valladolid</t>
  </si>
  <si>
    <t>juncofloristas.com</t>
  </si>
  <si>
    <t>983 54 00 43</t>
  </si>
  <si>
    <t>info@juncofloristas.com</t>
  </si>
  <si>
    <t>By me Taller Floral</t>
  </si>
  <si>
    <t>Calle Castillejo, 2, 47193 Cistérniga, Valladolid</t>
  </si>
  <si>
    <t>Cistérniga</t>
  </si>
  <si>
    <t>bymeflores.es</t>
  </si>
  <si>
    <t>675 88 94 74</t>
  </si>
  <si>
    <t>olivE</t>
  </si>
  <si>
    <t>Calle Castilla, 11, 47140 Laguna de Duero, Valladolid</t>
  </si>
  <si>
    <t>722 29 88 27</t>
  </si>
  <si>
    <t>Flores del Soto</t>
  </si>
  <si>
    <t>Ribera de Vítores, Nave 25, Poligono Soto de Medinilla, 47010 Valladolid</t>
  </si>
  <si>
    <t>639 75 52 34</t>
  </si>
  <si>
    <t>ILUNION Tienda de prensa, regalos y flores (HOSPITAL UNIVERSITARIO RIO HORTEGA)</t>
  </si>
  <si>
    <t>Calle Dulzaina, 2, 47012 Valladolid</t>
  </si>
  <si>
    <t>983 31 50 47</t>
  </si>
  <si>
    <t>Tijuana Grow Shop Valladolid</t>
  </si>
  <si>
    <t>Camino Martillete, Nave 22, Nave 1, 47011 Valladolid</t>
  </si>
  <si>
    <t>tijuanagrowshop.com</t>
  </si>
  <si>
    <t>983 15 69 13</t>
  </si>
  <si>
    <t>bioshivagrow@gmail.com</t>
  </si>
  <si>
    <t>Floristeria &amp;quot;Desde la Raíz&amp;quot;</t>
  </si>
  <si>
    <t>C/ La Plazuela, 12, 47161 Herrera de Duero, Valladolid</t>
  </si>
  <si>
    <t>Herrera de Duero</t>
  </si>
  <si>
    <t>686 66 01 44</t>
  </si>
  <si>
    <t>Floristería El Tejar</t>
  </si>
  <si>
    <t>Ctra. de la Parrilla, 27, Bajo, 47320 Tudela de Duero, Valladolid</t>
  </si>
  <si>
    <t>Tudela de Duero</t>
  </si>
  <si>
    <t>983 52 26 67</t>
  </si>
  <si>
    <t>Floristería El Lagar</t>
  </si>
  <si>
    <t>Av. de Valladolid, 19, 47320 Tudela de Duero, Valladolid</t>
  </si>
  <si>
    <t>floristeriaellagar.com</t>
  </si>
  <si>
    <t>983 52 21 97</t>
  </si>
  <si>
    <t>INFO@FLORISTERIAELLAGAR.COM</t>
  </si>
  <si>
    <t>Ricardo Rodriguea Caviedes</t>
  </si>
  <si>
    <t>Calle Reina María de Hungría, 27, 47270 Cigales, Valladolid</t>
  </si>
  <si>
    <t>Cigales</t>
  </si>
  <si>
    <t>983 58 66 71</t>
  </si>
  <si>
    <t>Floristería Y Viveros Carmen</t>
  </si>
  <si>
    <t>Calle Lázaro Alonso, 3, 47800 Medina de Rioseco, Valladolid</t>
  </si>
  <si>
    <t>floristeriayviveroscarmen.com</t>
  </si>
  <si>
    <t>983 70 02 14</t>
  </si>
  <si>
    <t>info@floristeriayviveroscarmen.com</t>
  </si>
  <si>
    <t>Flores Goyi</t>
  </si>
  <si>
    <t>Calle Vasijeros, 65, 47160 Arrabal de Portillo, Valladolid</t>
  </si>
  <si>
    <t>Arrabal de Portillo</t>
  </si>
  <si>
    <t>floresgoyi.es</t>
  </si>
  <si>
    <t>983 04 21 01</t>
  </si>
  <si>
    <t>Flors Antón Ramón S. L.</t>
  </si>
  <si>
    <t>Calle Turquesa, 67, 47012 Valladolid</t>
  </si>
  <si>
    <t>983 39 94 44</t>
  </si>
  <si>
    <t>Floristería Toñi</t>
  </si>
  <si>
    <t>Calle Eras, 15, 47420 Íscar, Valladolid</t>
  </si>
  <si>
    <t>Íscar</t>
  </si>
  <si>
    <t>floristeriaiscar.com</t>
  </si>
  <si>
    <t>983 61 24 70</t>
  </si>
  <si>
    <t>Floristería Chris</t>
  </si>
  <si>
    <t>Calle Ramón y Cajal, 6, 47500 Nava del Rey, Valladolid</t>
  </si>
  <si>
    <t>Nava del Rey</t>
  </si>
  <si>
    <t>983 85 01 24</t>
  </si>
  <si>
    <t>Floristería Jeucar</t>
  </si>
  <si>
    <t>Plaza Mayor de la Hispanidad, 42, 47400 Medina del Campo, Valladolid</t>
  </si>
  <si>
    <t>Medina del Campo</t>
  </si>
  <si>
    <t>jeucar.com</t>
  </si>
  <si>
    <t>983 80 12 41</t>
  </si>
  <si>
    <t>info@jeucar.com</t>
  </si>
  <si>
    <t>La Vieja Olma Floristería</t>
  </si>
  <si>
    <t>Plaza Mayor, 8 bis, 47410 Olmedo, Valladolid</t>
  </si>
  <si>
    <t>Olmedo</t>
  </si>
  <si>
    <t>983 60 11 06</t>
  </si>
  <si>
    <t>La Flor de mi Besana</t>
  </si>
  <si>
    <t>Calle Pozo Bueno, 3, 47430 Pedrajas de San Esteban, Valladolid</t>
  </si>
  <si>
    <t>Pedrajas de San Esteban</t>
  </si>
  <si>
    <t>676 83 83 81</t>
  </si>
  <si>
    <t>Chic Diseño Natural</t>
  </si>
  <si>
    <t>Calle Padilla, 30, 47400 Medina del Campo, Valladolid</t>
  </si>
  <si>
    <t>607 42 83 52</t>
  </si>
  <si>
    <t>Calle Claudio Moyano, 6, 47400 Medina del Campo, Valladolid</t>
  </si>
  <si>
    <t>983 81 02 66</t>
  </si>
  <si>
    <t>Calle Portugal, 11, 47420 Íscar, Valladolid</t>
  </si>
  <si>
    <t>983 61 11 98</t>
  </si>
  <si>
    <t>La flor del Mercado</t>
  </si>
  <si>
    <t>Plaza del Mercado, 11, 47400 Medina del Campo, Valladolid</t>
  </si>
  <si>
    <t>616 67 44 46</t>
  </si>
  <si>
    <t>Floristería Armonía</t>
  </si>
  <si>
    <t>Plaza San Miguel de Reoyo, 9, 47300 Peñafiel, Valladolid</t>
  </si>
  <si>
    <t>floristeriaarmonia.es</t>
  </si>
  <si>
    <t>983 88 02 18</t>
  </si>
  <si>
    <t>Mayte Flor</t>
  </si>
  <si>
    <t>Calle de las Farolas Antigua Angel Molina, 24, 47400 Medina del Campo, Valladolid</t>
  </si>
  <si>
    <t>983 83 76 24</t>
  </si>
  <si>
    <t>Floristería Pili Casado</t>
  </si>
  <si>
    <t>Calle Amargura, 7, 49630 Villalpando, Zamora</t>
  </si>
  <si>
    <t>Villalpando</t>
  </si>
  <si>
    <t>980 66 04 25</t>
  </si>
  <si>
    <t>Floristerias Giraflores</t>
  </si>
  <si>
    <t>Calle Cordel de Valladolid, 6, 28400 Collado Villalba, Madrid</t>
  </si>
  <si>
    <t>Collado Villalba</t>
  </si>
  <si>
    <t>giraflores.com</t>
  </si>
  <si>
    <t>633 27 77 07</t>
  </si>
  <si>
    <t>Florart Floristería</t>
  </si>
  <si>
    <t>Calle Quince de Junio, 21, 49159 Villaralbo, Zamora</t>
  </si>
  <si>
    <t>677 01 11 85</t>
  </si>
  <si>
    <t>CLAVELITOS TALLER FLORAL</t>
  </si>
  <si>
    <t>Calle Pablo Morillo, 31, 49011 Zamora</t>
  </si>
  <si>
    <t>clavelitos.com</t>
  </si>
  <si>
    <t>980 51 01 01</t>
  </si>
  <si>
    <t>Flores Pandora Diseño Verde</t>
  </si>
  <si>
    <t>Calle de la Libertad, 5, 49007 Zamora</t>
  </si>
  <si>
    <t>florespandora.com</t>
  </si>
  <si>
    <t>625 46 75 97</t>
  </si>
  <si>
    <t>FLORES MARTA</t>
  </si>
  <si>
    <t>CALLE SAN ATILANO Nº4 BJ, 49003 Zamora</t>
  </si>
  <si>
    <t>980 53 19 96</t>
  </si>
  <si>
    <t>Floristeria Olilo</t>
  </si>
  <si>
    <t>Calle de Villalpando, 28, 49005 Zamora</t>
  </si>
  <si>
    <t>floristeriaolilo.com</t>
  </si>
  <si>
    <t>615 99 34 07</t>
  </si>
  <si>
    <t>Floricultura Castilla</t>
  </si>
  <si>
    <t>Av. de Leopoldo Alas Clarín, 2, 49018 Zamora</t>
  </si>
  <si>
    <t>floriculturacastilla.com</t>
  </si>
  <si>
    <t>980 51 65 21</t>
  </si>
  <si>
    <t>montsemartinf@hotmail.com</t>
  </si>
  <si>
    <t>Floristería Vanessa</t>
  </si>
  <si>
    <t>(FRENTE A PISCINA CLIMATIZADA) C/ Villalpando 7, 49005 Zamora</t>
  </si>
  <si>
    <t>980 51 12 82</t>
  </si>
  <si>
    <t>Floristeria Los Jazmines</t>
  </si>
  <si>
    <t>Calle de Fray Toribio de Motolinia, 24, 49007 Zamora</t>
  </si>
  <si>
    <t>980 51 85 63</t>
  </si>
  <si>
    <t>Plaza Mercado, 21, 49003 Zamora</t>
  </si>
  <si>
    <t>980 53 29 43</t>
  </si>
  <si>
    <t>FLORISTERIA MIGUEL</t>
  </si>
  <si>
    <t>Nº, Calle Santiago, 2, 49004 Zamora</t>
  </si>
  <si>
    <t>653 91 20 05</t>
  </si>
  <si>
    <t>Floristería Mi Tierra</t>
  </si>
  <si>
    <t>Calle de Arapiles, 1, 49019 Zamora</t>
  </si>
  <si>
    <t>655 67 30 03</t>
  </si>
  <si>
    <t>Zamogrow</t>
  </si>
  <si>
    <t>Plaza Cuartel Viejo, 7, bajo 3, 49006 Zamora</t>
  </si>
  <si>
    <t>980 98 25 54</t>
  </si>
  <si>
    <t>FLORISTERIA JEREMY</t>
  </si>
  <si>
    <t>Calle Pozo Tapia, 28, 49410 Fuentelapeña, Zamora</t>
  </si>
  <si>
    <t>Fuentelapeña</t>
  </si>
  <si>
    <t>654 33 75 72</t>
  </si>
  <si>
    <t>flores angelita</t>
  </si>
  <si>
    <t>Calle de los Herreros, 17, 49600 Benavente, Zamora</t>
  </si>
  <si>
    <t>980 63 15 92</t>
  </si>
  <si>
    <t>Miniplant</t>
  </si>
  <si>
    <t>Calle El Cristo, 41, 49624 Abraveses de Tera, Zamora</t>
  </si>
  <si>
    <t>Abraveses de Tera</t>
  </si>
  <si>
    <t>miniplant.mex.tl</t>
  </si>
  <si>
    <t>630 70 75 01</t>
  </si>
  <si>
    <t>milaminiplant@gmail.com</t>
  </si>
  <si>
    <t>Floristería Comércio Olga</t>
  </si>
  <si>
    <t>Calle Alto Sta. Colomba, 4, 49220 Fermoselle, Zamora</t>
  </si>
  <si>
    <t>Fermoselle</t>
  </si>
  <si>
    <t>980 61 30 07</t>
  </si>
  <si>
    <t>Flores Bibi</t>
  </si>
  <si>
    <t>Ctra. Toro, 10, 49400 Fuentesaúco, Zamora</t>
  </si>
  <si>
    <t>Fuentesaúco</t>
  </si>
  <si>
    <t>980 60 02 37</t>
  </si>
  <si>
    <t>flores fuentelapeña</t>
  </si>
  <si>
    <t>Calle Samaniego, 12, 49410 Fuentelapeña, Zamora</t>
  </si>
  <si>
    <t>Agrocentro Turiel S L</t>
  </si>
  <si>
    <t>Carr. Rabanales, 6, 49500 Alcañices, Zamora</t>
  </si>
  <si>
    <t>Alcañices</t>
  </si>
  <si>
    <t>agrocentroturiel.es</t>
  </si>
  <si>
    <t>980 68 00 54</t>
  </si>
  <si>
    <t>info@agrocentroturiel.com</t>
  </si>
  <si>
    <t>Floristería Drácena</t>
  </si>
  <si>
    <t>Av. de Zamora, 148, 32005 Ourense, Province of Ourense</t>
  </si>
  <si>
    <t>Orense</t>
  </si>
  <si>
    <t>Province of Ourense</t>
  </si>
  <si>
    <t>floristeriadracena.es</t>
  </si>
  <si>
    <t>988 23 96 68</t>
  </si>
  <si>
    <t>info@floristeriadracena.es</t>
  </si>
  <si>
    <t>Flores Miguel</t>
  </si>
  <si>
    <t>Calle de Hortaleza, 75, 28004 Madrid</t>
  </si>
  <si>
    <t>floresmiguel.com</t>
  </si>
  <si>
    <t>913 19 07 95</t>
  </si>
  <si>
    <t>Las Flores de Arturo</t>
  </si>
  <si>
    <t>Cl. de Antonio Zamora, 85, 28011 Madrid</t>
  </si>
  <si>
    <t>lasfloresdearturo.com</t>
  </si>
  <si>
    <t>675 98 29 72</t>
  </si>
  <si>
    <t>lasfloresdearturo@gmail.com</t>
  </si>
  <si>
    <t>Floraría Campanilla</t>
  </si>
  <si>
    <t>Rúa Zamora, 63, 36203 Vigo, PO</t>
  </si>
  <si>
    <t>Vigo</t>
  </si>
  <si>
    <t>PO</t>
  </si>
  <si>
    <t>606 16 09 92</t>
  </si>
  <si>
    <t>Floristería Acacia Mérida - Florista Maribel</t>
  </si>
  <si>
    <t>Calle Alonso Zamora Vicente, 5, 06800 Mérida, Badajoz</t>
  </si>
  <si>
    <t>Mérida</t>
  </si>
  <si>
    <t>floristeriaacaciamerida.com</t>
  </si>
  <si>
    <t>670 96 78 24</t>
  </si>
  <si>
    <t>acaciainterflora@hotmail.com</t>
  </si>
  <si>
    <t>Alea Floristerías</t>
  </si>
  <si>
    <t>Rúa de Barcelona, 83, 36211 Vigo, Pontevedra</t>
  </si>
  <si>
    <t>Pontevedra</t>
  </si>
  <si>
    <t>aleaflores.com</t>
  </si>
  <si>
    <t>986 13 88 60</t>
  </si>
  <si>
    <t>Estrada Vella de Santiago, 112, 27004 Lugo</t>
  </si>
  <si>
    <t>Lugo</t>
  </si>
  <si>
    <t>Av. del Cinca, 3, 22300 Barbastro, Huesca</t>
  </si>
  <si>
    <t>974 30 64 11</t>
  </si>
  <si>
    <t>Zamora Floristas</t>
  </si>
  <si>
    <t>Avinguda Meridiana, 374, 08030 Barcelona</t>
  </si>
  <si>
    <t>933 60 15 24</t>
  </si>
  <si>
    <t>Floristería Navarro</t>
  </si>
  <si>
    <t>Carrer de València, 320, 08009 Barcelona</t>
  </si>
  <si>
    <t>floristeriasnavarro.com</t>
  </si>
  <si>
    <t>932 07 36 61</t>
  </si>
  <si>
    <t>⭐ Floristería en Barcelona Ladyflor Servicio Interflora flores a domicilio</t>
  </si>
  <si>
    <t>C/ de Bailèn, 169, 08037 Barcelona</t>
  </si>
  <si>
    <t>ladyflor.com</t>
  </si>
  <si>
    <t>932 07 51 77</t>
  </si>
  <si>
    <t>info@ladyflor.com</t>
  </si>
  <si>
    <t>FLORSTER: Flores a domicilio en bici con video en Barcelona</t>
  </si>
  <si>
    <t>Carrer de Laforja, 61, 08021 Barcelona</t>
  </si>
  <si>
    <t>florster.com</t>
  </si>
  <si>
    <t>671 15 76 73</t>
  </si>
  <si>
    <t>pedidos@florster.com</t>
  </si>
  <si>
    <t>🌷 Flores a domicilio Herbs Barcelona</t>
  </si>
  <si>
    <t>Carrer de Balmes, 171, 08006 Barcelona</t>
  </si>
  <si>
    <t>herbs.es</t>
  </si>
  <si>
    <t>934 15 13 77</t>
  </si>
  <si>
    <t>info@herbs.es</t>
  </si>
  <si>
    <t>Au nom de la rose Barcelona</t>
  </si>
  <si>
    <t>Carrer de València, 203, 08007 Barcelona</t>
  </si>
  <si>
    <t>aunomdelarose.es</t>
  </si>
  <si>
    <t>934 51 16 50</t>
  </si>
  <si>
    <t>barcelonagranados@aunomdelarose.com</t>
  </si>
  <si>
    <t>🌹 Floristeria EMI Barcelona</t>
  </si>
  <si>
    <t>Carrer de las Navas de Tolosa, 300, 08027 Barcelona</t>
  </si>
  <si>
    <t>floristeriaemi.net</t>
  </si>
  <si>
    <t>932 99 40 16</t>
  </si>
  <si>
    <t>info@floristeriaemi.com</t>
  </si>
  <si>
    <t>Floristeria Paris</t>
  </si>
  <si>
    <t>Carrer de París, 50, BAJO, 08029 Barcelona</t>
  </si>
  <si>
    <t>floristeriaparis.com</t>
  </si>
  <si>
    <t>933 22 78 03</t>
  </si>
  <si>
    <t>jorperis@hotmail.com</t>
  </si>
  <si>
    <t>Floristeria Olimpia</t>
  </si>
  <si>
    <t>Ronda de Sant Pau, 17, 08015 Barcelona</t>
  </si>
  <si>
    <t>floristeriaolimpia.com</t>
  </si>
  <si>
    <t>934 41 40 75</t>
  </si>
  <si>
    <t>olimpia@floristeriaolimpia.com</t>
  </si>
  <si>
    <t>Navarro Florista</t>
  </si>
  <si>
    <t>Carrer de Sancho de Ávila, 7, 08018 Barcelona</t>
  </si>
  <si>
    <t>floristanavarro.com</t>
  </si>
  <si>
    <t>933 00 26 29</t>
  </si>
  <si>
    <t>Floristería Jovi</t>
  </si>
  <si>
    <t>Carrer de València, 666, 08026 Barcelona</t>
  </si>
  <si>
    <t>floristeriajovi.com</t>
  </si>
  <si>
    <t>933 49 82 57</t>
  </si>
  <si>
    <t>Floristeria Jacaranda Barcelona</t>
  </si>
  <si>
    <t>Travessera de Dalt, 21, 08024 Barcelona</t>
  </si>
  <si>
    <t>flowerstobarcelona.com</t>
  </si>
  <si>
    <t>932 84 18 66</t>
  </si>
  <si>
    <t>info@flowerstobarcelona.com</t>
  </si>
  <si>
    <t>Flores Navarro</t>
  </si>
  <si>
    <t>Mercat de la Concepció, Carrer de València, 332, Parada, 1E, 08009 Barcelona</t>
  </si>
  <si>
    <t>floresnavarro.com</t>
  </si>
  <si>
    <t>934 57 40 99</t>
  </si>
  <si>
    <t>sylvia.navarro@flores-navarro.com</t>
  </si>
  <si>
    <t>🌷Ramos de flores HERBS BARCELONA</t>
  </si>
  <si>
    <t>Carrer de Bergara, 10, 08002 Barcelona</t>
  </si>
  <si>
    <t>Floristeria Racó Verd Barcelona</t>
  </si>
  <si>
    <t>Carrer de la Diputació, 222, 08011 Barcelona</t>
  </si>
  <si>
    <t>652 84 36 17</t>
  </si>
  <si>
    <t>Floristería Fiori - Venta de Flores a Domicilio</t>
  </si>
  <si>
    <t>C/ d&amp;apos;Entença, 126, 08015 Barcelona</t>
  </si>
  <si>
    <t>floristeriafiori.com</t>
  </si>
  <si>
    <t>934 30 01 35</t>
  </si>
  <si>
    <t>fiori@floristeriafioribcn.com</t>
  </si>
  <si>
    <t>Flors floristeria- Floresinternet.es</t>
  </si>
  <si>
    <t>Via Augusta, 120, 08006 Barcelona</t>
  </si>
  <si>
    <t>floresinternet.es</t>
  </si>
  <si>
    <t>932 37 15 92</t>
  </si>
  <si>
    <t>info@floresinternet.es</t>
  </si>
  <si>
    <t>Floristeria Agarimo Barcelona</t>
  </si>
  <si>
    <t>Carrer de Violant d&amp;apos;Hongria Reina d&amp;apos;Aragó, 93, 08028 Barcelona</t>
  </si>
  <si>
    <t>934 90 63 33</t>
  </si>
  <si>
    <t>Floristería Lloveras</t>
  </si>
  <si>
    <t>Carrer de Pau Claris, 188, 08037 Barcelona</t>
  </si>
  <si>
    <t>florslloveras.com</t>
  </si>
  <si>
    <t>932 15 50 00</t>
  </si>
  <si>
    <t>info@florslloveras.com</t>
  </si>
  <si>
    <t>🌷 Floristería a domicilio Herbs Barcelona</t>
  </si>
  <si>
    <t>Carrer Major de Sarrià, 72, 08017 Barcelona</t>
  </si>
  <si>
    <t>931 19 98 24</t>
  </si>
  <si>
    <t>Flors Sabadell</t>
  </si>
  <si>
    <t>Passeig de Fabra i Puig, 264, 08031 Barcelona</t>
  </si>
  <si>
    <t>lasabadell.com</t>
  </si>
  <si>
    <t>934 08 64 06</t>
  </si>
  <si>
    <t>hola@lasabadell.com</t>
  </si>
  <si>
    <t>Flors Sant Gervasi</t>
  </si>
  <si>
    <t>Avinguda de la República Argentina, 248, 08023 Barcelona</t>
  </si>
  <si>
    <t>florssantgervasi.com</t>
  </si>
  <si>
    <t>934 18 58 46</t>
  </si>
  <si>
    <t>Floristería Barcelona el Jardi de Maragall</t>
  </si>
  <si>
    <t>Passeig de Maragall, 43, 08041 Barcelona</t>
  </si>
  <si>
    <t>floristeriaeljardidemaragall.online</t>
  </si>
  <si>
    <t>640 57 24 38</t>
  </si>
  <si>
    <t>Floristería Cattleya BCN</t>
  </si>
  <si>
    <t>Carrer del Comte d&amp;apos;Urgell, 169, Local, 08036 Barcelona</t>
  </si>
  <si>
    <t>floristeriacattleyabcn.es</t>
  </si>
  <si>
    <t>933 80 06 72</t>
  </si>
  <si>
    <t>hola@floristeriacattleyabcn.es</t>
  </si>
  <si>
    <t>Floristeria iris</t>
  </si>
  <si>
    <t>Carrer del Treball, 255, 08020 Barcelona</t>
  </si>
  <si>
    <t>floristeriesiris.com</t>
  </si>
  <si>
    <t>933 14 60 20</t>
  </si>
  <si>
    <t>Muguet</t>
  </si>
  <si>
    <t>Carrer de Puigmartí, 5, 08012 Barcelona</t>
  </si>
  <si>
    <t>muguetflorista.com</t>
  </si>
  <si>
    <t>932 10 50 14</t>
  </si>
  <si>
    <t>Laura flors</t>
  </si>
  <si>
    <t>C. del Consell de Cent, 103, 08015 Barcelona</t>
  </si>
  <si>
    <t>lauraflors.com</t>
  </si>
  <si>
    <t>933 25 21 59</t>
  </si>
  <si>
    <t>admin@lauraflors.com</t>
  </si>
  <si>
    <t>Floristeria Berta</t>
  </si>
  <si>
    <t>Carrer de València, 147, 08011 Barcelona</t>
  </si>
  <si>
    <t>floristeriaberta.com</t>
  </si>
  <si>
    <t>934 54 59 79</t>
  </si>
  <si>
    <t>Floristería Tamarindo</t>
  </si>
  <si>
    <t>Carrer de Rossend Arús, 18, Bajo, 08014 Barcelona</t>
  </si>
  <si>
    <t>tamarindo.cat</t>
  </si>
  <si>
    <t>931 27 77 40</t>
  </si>
  <si>
    <t>floristeria@tamarindo.cat</t>
  </si>
  <si>
    <t>Floristeria NUNE</t>
  </si>
  <si>
    <t>Carrer de Sant Antoni Maria Claret, 42, 08025 Barcelona</t>
  </si>
  <si>
    <t>nuneflor.com</t>
  </si>
  <si>
    <t>931 56 19 11</t>
  </si>
  <si>
    <t>info@nuneflor.com</t>
  </si>
  <si>
    <t>Flors &amp;amp; GO!</t>
  </si>
  <si>
    <t>Avinguda Diagonal, 557, 08029 Barcelona</t>
  </si>
  <si>
    <t>florsandgo.com</t>
  </si>
  <si>
    <t>934 39 02 09</t>
  </si>
  <si>
    <t>Tundra Flors, Floristeria</t>
  </si>
  <si>
    <t>C/ d&amp;apos;Aragó, 458, 08013 Barcelona</t>
  </si>
  <si>
    <t>tundraflors.com</t>
  </si>
  <si>
    <t>932 46 17 26</t>
  </si>
  <si>
    <t>shop@tundraflors.com</t>
  </si>
  <si>
    <t>Floristeria Díaz</t>
  </si>
  <si>
    <t>Carrer de Cantàbria, 10-12, 08020 Barcelona</t>
  </si>
  <si>
    <t>floristeriadiaz.com</t>
  </si>
  <si>
    <t>933 14 25 33</t>
  </si>
  <si>
    <t>Floristeria La Primula</t>
  </si>
  <si>
    <t>Carrer de Sardenya, 497, 08025 Barcelona</t>
  </si>
  <si>
    <t>655 90 11 17</t>
  </si>
  <si>
    <t>Floristeria Al Detall S.L.</t>
  </si>
  <si>
    <t>Carrer de Viladomat, 60, 08015 Barcelona</t>
  </si>
  <si>
    <t>933 25 04 00</t>
  </si>
  <si>
    <t>Floristeria María</t>
  </si>
  <si>
    <t>Pg. de Sant Joan, 23, 08010 Barcelona</t>
  </si>
  <si>
    <t>685 01 77 19</t>
  </si>
  <si>
    <t>FLORISTERÍA BOUQUETS &amp;amp; Co.</t>
  </si>
  <si>
    <t>Carrer de los Castillejos, 250, local 2, 08013 Barcelona</t>
  </si>
  <si>
    <t>bouquetsandco.com</t>
  </si>
  <si>
    <t>930 42 64 83</t>
  </si>
  <si>
    <t>info@bouquetsandco.com</t>
  </si>
  <si>
    <t>UkeFlors &amp;amp; BonBee: Flores a Domicilio en Barcelona</t>
  </si>
  <si>
    <t>Carrer de Pi i Margall, 1, 08024 Barcelona</t>
  </si>
  <si>
    <t>gobonbee.com</t>
  </si>
  <si>
    <t>932 13 09 44</t>
  </si>
  <si>
    <t>info@gobonbee.com</t>
  </si>
  <si>
    <t>Travessera de Dalt, 98, 08024 Barcelona</t>
  </si>
  <si>
    <t>696 60 22 84</t>
  </si>
  <si>
    <t>Floristeria La Plata</t>
  </si>
  <si>
    <t>Carrer de Ramon Turró, 160, 08005 Barcelona</t>
  </si>
  <si>
    <t>600 59 28 72</t>
  </si>
  <si>
    <t>Floristeria Lloveras Barceló</t>
  </si>
  <si>
    <t>Carrer de Sants, 5, 08014 Barcelona</t>
  </si>
  <si>
    <t>934 21 47 39</t>
  </si>
  <si>
    <t>Floristeria M. Soler</t>
  </si>
  <si>
    <t>Carrer dels Garrofers, 36, 08016 Barcelona</t>
  </si>
  <si>
    <t>933 54 85 03</t>
  </si>
  <si>
    <t>ANNABEL Floristeria</t>
  </si>
  <si>
    <t>Carrer Gran de Gràcia, 125, 08012 Barcelona</t>
  </si>
  <si>
    <t>932 18 34 80</t>
  </si>
  <si>
    <t>Floristeria Emmy Sants</t>
  </si>
  <si>
    <t>Carrer de Sant Medir, 5, 08028 Barcelona</t>
  </si>
  <si>
    <t>floristeriaemmysants.com</t>
  </si>
  <si>
    <t>931 06 74 71</t>
  </si>
  <si>
    <t>floristeria-sants-logo_100x@2x.jpg</t>
  </si>
  <si>
    <t>floristeria Petitmuguet Barcelona</t>
  </si>
  <si>
    <t>Pg. de Sant Joan, 190, 08037 Barcelona</t>
  </si>
  <si>
    <t>934 76 24 89</t>
  </si>
  <si>
    <t>Sarria Flors</t>
  </si>
  <si>
    <t>Carrer del Dr. Fleming, 29, 08017 Barcelona</t>
  </si>
  <si>
    <t>sarriaflorsbcn.com</t>
  </si>
  <si>
    <t>932 01 99 78</t>
  </si>
  <si>
    <t>Avinguda Diagonal, 167, 08018 Barcelona</t>
  </si>
  <si>
    <t>ikebanadiagonal.com</t>
  </si>
  <si>
    <t>934 85 16 83</t>
  </si>
  <si>
    <t>Magda Flor SL</t>
  </si>
  <si>
    <t>Carrer de Sepúlveda, 133, 08011 Barcelona</t>
  </si>
  <si>
    <t>magdaflor.com</t>
  </si>
  <si>
    <t>934 54 76 68</t>
  </si>
  <si>
    <t>info@magdaflor.com</t>
  </si>
  <si>
    <t>Floristeria Margaret</t>
  </si>
  <si>
    <t>Carrer de València, 567, 08026 Barcelona</t>
  </si>
  <si>
    <t>floristeriamargaret.com</t>
  </si>
  <si>
    <t>931 79 94 00</t>
  </si>
  <si>
    <t>Petit Jardí</t>
  </si>
  <si>
    <t>Carrer Comtal, 26, 08002 Barcelona</t>
  </si>
  <si>
    <t>petitjardi.com</t>
  </si>
  <si>
    <t>933 02 48 28</t>
  </si>
  <si>
    <t>contacte@petitjardi.com</t>
  </si>
  <si>
    <t>Floristeria Laura</t>
  </si>
  <si>
    <t>Local 2,, Passeig de Maragall, 227, 08032 Barcelona</t>
  </si>
  <si>
    <t>635 10 79 84</t>
  </si>
  <si>
    <t>flors &amp;amp; GO! Rambla del Prat</t>
  </si>
  <si>
    <t>Rambla de Prat, 12, 08012 Barcelona</t>
  </si>
  <si>
    <t>933 68 58 65</t>
  </si>
  <si>
    <t>info@florsandgo.com</t>
  </si>
  <si>
    <t>Floristeria Arantza (Art Floral Roba i Complements)</t>
  </si>
  <si>
    <t>Carrer de Biscaia, 329, 08027 Barcelona</t>
  </si>
  <si>
    <t>625 13 60 36</t>
  </si>
  <si>
    <t>Floristeria Las 3 Orquídias</t>
  </si>
  <si>
    <t>Carrer del Bisbe Sivilla, 15, 08022 Barcelona</t>
  </si>
  <si>
    <t>654 11 16 44</t>
  </si>
  <si>
    <t>Flors i Plantes Maruja</t>
  </si>
  <si>
    <t>Carrer de Pinar del Rio, 70, 08027 Barcelona</t>
  </si>
  <si>
    <t>933 51 75 60</t>
  </si>
  <si>
    <t>FLORISTERÍa THE LOTUS FLOWER</t>
  </si>
  <si>
    <t>Carrer de la Indústria, 171, 08025 Barcelona</t>
  </si>
  <si>
    <t>617 09 34 65</t>
  </si>
  <si>
    <t>Floristeria Vitamina Natura</t>
  </si>
  <si>
    <t>Ronda del Guinardó, 147, 08041 Barcelona</t>
  </si>
  <si>
    <t>616 38 46 29</t>
  </si>
  <si>
    <t>Lola Floristeria</t>
  </si>
  <si>
    <t>Carrer del Baluard, 44, 08003 Barcelona</t>
  </si>
  <si>
    <t>932 21 44 48</t>
  </si>
  <si>
    <t>Floristeria Ogima</t>
  </si>
  <si>
    <t>Carrer del Concili de Trento, 55, 08018 Barcelona</t>
  </si>
  <si>
    <t>ogimafloristeria.com</t>
  </si>
  <si>
    <t>933 07 30 95</t>
  </si>
  <si>
    <t>Fflors</t>
  </si>
  <si>
    <t>Carrer de Barcelona, 7, 08901 L&amp;apos;Hospitalet de Llobregat, Barcelona</t>
  </si>
  <si>
    <t>Hospitalet de Llobregat</t>
  </si>
  <si>
    <t>fflors.com</t>
  </si>
  <si>
    <t>933 37 88 58</t>
  </si>
  <si>
    <t>info@fflors.com</t>
  </si>
  <si>
    <t>Flores Fortuño</t>
  </si>
  <si>
    <t>Passeig de Fabra i Puig, 270, 08031 Barcelona</t>
  </si>
  <si>
    <t>floresfortuno.com</t>
  </si>
  <si>
    <t>934 29 11 58</t>
  </si>
  <si>
    <t>florestfortuno@gmail.com</t>
  </si>
  <si>
    <t>Doan Flores y Plantas</t>
  </si>
  <si>
    <t>Carrer de la Mare de Déu de Port, 262, 08038 Barcelona</t>
  </si>
  <si>
    <t>933 32 68 08</t>
  </si>
  <si>
    <t>Floristeria Flora</t>
  </si>
  <si>
    <t>Carrer del Santuari, 24, 08032 Barcelona</t>
  </si>
  <si>
    <t>regalabien.com</t>
  </si>
  <si>
    <t>932 13 07 10</t>
  </si>
  <si>
    <t>info@regalabien.com</t>
  </si>
  <si>
    <t>Floristería Flortique</t>
  </si>
  <si>
    <t>Carrer de Sant Quintí, 108, 08041 Barcelona</t>
  </si>
  <si>
    <t>934 36 28 76</t>
  </si>
  <si>
    <t>Noves Flors</t>
  </si>
  <si>
    <t>Carrer de Casanova, 189, 08036 Barcelona</t>
  </si>
  <si>
    <t>novesflors.com</t>
  </si>
  <si>
    <t>934 39 75 97</t>
  </si>
  <si>
    <t>Carrer Gran de Sant Andreu, 223, 08030 Barcelona</t>
  </si>
  <si>
    <t>933 45 04 27</t>
  </si>
  <si>
    <t>Floristería Serrano Desde 1971</t>
  </si>
  <si>
    <t>Carrer de Pablo Iglesias, 8, 08016 Barcelona</t>
  </si>
  <si>
    <t>933 54 44 30</t>
  </si>
  <si>
    <t>Kanna Flors</t>
  </si>
  <si>
    <t>Carrer de les Semoleres, 8, 08003 Barcelona</t>
  </si>
  <si>
    <t>933 10 16 77</t>
  </si>
  <si>
    <t>Floristeria Hesp</t>
  </si>
  <si>
    <t>Carrer de Mallorca, 452, 08013 Barcelona</t>
  </si>
  <si>
    <t>932 46 44 75</t>
  </si>
  <si>
    <t>Floristeria Martínez</t>
  </si>
  <si>
    <t>Carrer del Tajo, 73, 08032 Barcelona</t>
  </si>
  <si>
    <t>934 29 51 22</t>
  </si>
  <si>
    <t>Pasanau Flors</t>
  </si>
  <si>
    <t>Carrer del Rosselló, 114, 08036 Barcelona</t>
  </si>
  <si>
    <t>florspasanau.cat</t>
  </si>
  <si>
    <t>933 23 34 30</t>
  </si>
  <si>
    <t>info@florspasanau.cat</t>
  </si>
  <si>
    <t>La Florería</t>
  </si>
  <si>
    <t>Carrer de la Pescateria, 2, 08003 Barcelona</t>
  </si>
  <si>
    <t>lafloreria.net</t>
  </si>
  <si>
    <t>639 31 61 62</t>
  </si>
  <si>
    <t>info@lafloreria.net</t>
  </si>
  <si>
    <t>Floristeria Cari</t>
  </si>
  <si>
    <t>Merca 2, Rambla de la Marina, 151, 153, 08907 L&amp;apos;Hospitalet de Llobregat, Barcelona</t>
  </si>
  <si>
    <t>florescari.com</t>
  </si>
  <si>
    <t>933 35 68 02</t>
  </si>
  <si>
    <t>SAUVAGE</t>
  </si>
  <si>
    <t>Carrer de Floridablanca, 3, Local 2, 08015 Barcelona</t>
  </si>
  <si>
    <t>estudiosauvage.com</t>
  </si>
  <si>
    <t>633 40 22 45</t>
  </si>
  <si>
    <t>info@estudiosauvage.com</t>
  </si>
  <si>
    <t>Taller Floral Cami de Roses - Arte Floral</t>
  </si>
  <si>
    <t>Carrer de Pablo Iglesias, 117, 08016 Barcelona</t>
  </si>
  <si>
    <t>669 41 32 96</t>
  </si>
  <si>
    <t>Noval Noval Plantas Y Flores</t>
  </si>
  <si>
    <t>Carrer Nou de la Rambla, 108, 08001 Barcelona</t>
  </si>
  <si>
    <t>933 29 43 46</t>
  </si>
  <si>
    <t>Floristeria Grow</t>
  </si>
  <si>
    <t>Carrer de Sant Bartomeu, 24, 26, 08913 Badalona, Barcelona</t>
  </si>
  <si>
    <t>Badalona</t>
  </si>
  <si>
    <t>933 83 07 39</t>
  </si>
  <si>
    <t>Flors Margarita</t>
  </si>
  <si>
    <t>Plaça de Sant Bernat Calbó, 6, 7, 08005 Barcelona</t>
  </si>
  <si>
    <t>florsmargarita.com</t>
  </si>
  <si>
    <t>627 51 30 20</t>
  </si>
  <si>
    <t>Carrer de Calaf, 19, 08021 Barcelona</t>
  </si>
  <si>
    <t>floristeriamartinez.com</t>
  </si>
  <si>
    <t>932 09 53 29</t>
  </si>
  <si>
    <t>info@floristeriamartinez.com</t>
  </si>
  <si>
    <t>Floristerías Neus II</t>
  </si>
  <si>
    <t>Plaza Mercat De Collblanc, Calle Baquer, 57-58, 08901 L&amp;apos;Hospitalet de Llobregat, Barcelona</t>
  </si>
  <si>
    <t>934 40 08 27</t>
  </si>
  <si>
    <t>Acanto Floristería Taller</t>
  </si>
  <si>
    <t>Carrer de Sant Gervasi de Cassoles, 56, 08022 Barcelona</t>
  </si>
  <si>
    <t>floresacanto.com</t>
  </si>
  <si>
    <t>934 18 53 18</t>
  </si>
  <si>
    <t>info@floresacanto.com</t>
  </si>
  <si>
    <t>Flores y Plantas Bertrán</t>
  </si>
  <si>
    <t>Carrer de Muntaner, 333, 08021 Barcelona</t>
  </si>
  <si>
    <t>florsiplantesbertran.com</t>
  </si>
  <si>
    <t>932 00 21 77</t>
  </si>
  <si>
    <t>florsbertran@tresipunt.com</t>
  </si>
  <si>
    <t>Floristeria Contxa Márquez</t>
  </si>
  <si>
    <t>C/ d&amp;apos;Aragó, 124, 08011 Barcelona</t>
  </si>
  <si>
    <t>contxamarquez.com</t>
  </si>
  <si>
    <t>933 23 91 78</t>
  </si>
  <si>
    <t>Floristería M. Carmen</t>
  </si>
  <si>
    <t>C. del Consell de Cent, 468, 08013 Barcelona</t>
  </si>
  <si>
    <t>932 65 59 25</t>
  </si>
  <si>
    <t>Floristeria Ballester FB</t>
  </si>
  <si>
    <t>Carrer de València, 414, 08013 Barcelona</t>
  </si>
  <si>
    <t>932 07 54 83</t>
  </si>
  <si>
    <t>Carrer de Coroleu, 2, 08030 Barcelona</t>
  </si>
  <si>
    <t>933 11 47 04</t>
  </si>
  <si>
    <t>MAYFLOWER</t>
  </si>
  <si>
    <t>Travessera de Gràcia, 67, 08006 Barcelona</t>
  </si>
  <si>
    <t>mayflower.cat</t>
  </si>
  <si>
    <t>932 18 73 48</t>
  </si>
  <si>
    <t>info@mayflower.cat</t>
  </si>
  <si>
    <t>Jardí Flors</t>
  </si>
  <si>
    <t>Carrer del Bogatell, 34, 08930 Sant Adrià de Besòs, Barcelona</t>
  </si>
  <si>
    <t>San Adrián del Besós</t>
  </si>
  <si>
    <t>jardiflors.com</t>
  </si>
  <si>
    <t>933 81 13 58</t>
  </si>
  <si>
    <t>info@jardiflors.com</t>
  </si>
  <si>
    <t>Floristeria Neus</t>
  </si>
  <si>
    <t>C. Enginyer Moncunill, 62, 08905 L&amp;apos;Hospitalet de Llobregat, Barcelona</t>
  </si>
  <si>
    <t>934 40 15 55</t>
  </si>
  <si>
    <t>FLORS PRAT, S.L.</t>
  </si>
  <si>
    <t>Plaça de la Bonanova, 1, 08022 Barcelona</t>
  </si>
  <si>
    <t>pratbonanova.com</t>
  </si>
  <si>
    <t>932 12 10 14</t>
  </si>
  <si>
    <t>Carolina</t>
  </si>
  <si>
    <t>La Rambla, 93, 08002 Barcelona</t>
  </si>
  <si>
    <t>933 02 30 28</t>
  </si>
  <si>
    <t>Ares Flors</t>
  </si>
  <si>
    <t>Carrer de Sepúlveda, 55, 08015 Barcelona</t>
  </si>
  <si>
    <t>933 25 99 75</t>
  </si>
  <si>
    <t>Flors Zinnia</t>
  </si>
  <si>
    <t>Av. de Pau Casals, 22, 08021 Barcelona</t>
  </si>
  <si>
    <t>zinniaflors.com</t>
  </si>
  <si>
    <t>932 09 45 18</t>
  </si>
  <si>
    <t>zinnia@zinniaflors.com</t>
  </si>
  <si>
    <t>Regalarflores.net Barcelona</t>
  </si>
  <si>
    <t>Carrer de París, 50, 08029 Barcelona</t>
  </si>
  <si>
    <t>652 40 78 03</t>
  </si>
  <si>
    <t>Floristería A. Navarro Pérez</t>
  </si>
  <si>
    <t>Ronda del General Mitre, 129, 08022 Barcelona</t>
  </si>
  <si>
    <t>934 18 58 68</t>
  </si>
  <si>
    <t>Anabel Floristeria</t>
  </si>
  <si>
    <t>Carrer d&amp;apos;Astúries, 13, 08012 Barcelona</t>
  </si>
  <si>
    <t>932 37 09 40</t>
  </si>
  <si>
    <t>Floristeria Cottage</t>
  </si>
  <si>
    <t>Carrer del Parlament, 10, 08015 Barcelona</t>
  </si>
  <si>
    <t>cottage.cat</t>
  </si>
  <si>
    <t>931 29 55 95</t>
  </si>
  <si>
    <t>info@cottage.cat</t>
  </si>
  <si>
    <t>Floristeria El Jardinet del Clot</t>
  </si>
  <si>
    <t>Plaça del Mercat, 9, 08018 Barcelona</t>
  </si>
  <si>
    <t>eljardinetdelclot.com</t>
  </si>
  <si>
    <t>935 33 05 06</t>
  </si>
  <si>
    <t>info@eljardinetdelclot.com</t>
  </si>
  <si>
    <t>Floristería Cyca&amp;apos;s</t>
  </si>
  <si>
    <t>Carrer de Sant Ramon, 24, BAJO, 08922 Santa Coloma de Gramenet, Barcelona</t>
  </si>
  <si>
    <t>Sta Coloma de Gramanet</t>
  </si>
  <si>
    <t>floristeriacycas.com</t>
  </si>
  <si>
    <t>933 86 20 04</t>
  </si>
  <si>
    <t>cycas@interflora.es</t>
  </si>
  <si>
    <t>Botanicum Atelier Floral</t>
  </si>
  <si>
    <t>Carrer dels Banys Vells, 7, 08003 Barcelona</t>
  </si>
  <si>
    <t>botanicumatelierfloral.com</t>
  </si>
  <si>
    <t>938 07 18 00</t>
  </si>
  <si>
    <t>La Flor de la Rambla</t>
  </si>
  <si>
    <t>La Rambla, 65, 08002 Barcelona</t>
  </si>
  <si>
    <t>933 02 50 22</t>
  </si>
  <si>
    <t>Flors Yuca</t>
  </si>
  <si>
    <t>Carrer de Sants Esquina Rambla de Badal, 259, 08028 Barcelona</t>
  </si>
  <si>
    <t>floristeriayuca.com</t>
  </si>
  <si>
    <t>934 32 35 98</t>
  </si>
  <si>
    <t>info@floristeriayuca.com</t>
  </si>
  <si>
    <t>Floristeria Herba</t>
  </si>
  <si>
    <t>Avinguda de la República Argentina, 190, 08022 Barcelona</t>
  </si>
  <si>
    <t>934 17 22 88</t>
  </si>
  <si>
    <t>Greenflor</t>
  </si>
  <si>
    <t>Plaça d&amp;apos;Alfonso Comín, 3, 08023 Barcelona</t>
  </si>
  <si>
    <t>floristeriagreenflor.com</t>
  </si>
  <si>
    <t>934 17 71 96</t>
  </si>
  <si>
    <t>Floristeria Soriano</t>
  </si>
  <si>
    <t>Avinguda de Gaudí, 6, 08025 Barcelona</t>
  </si>
  <si>
    <t>sorianofloristeria.com</t>
  </si>
  <si>
    <t>934 36 85 71</t>
  </si>
  <si>
    <t>Floristería Ricart</t>
  </si>
  <si>
    <t>Carrer Gran de Sant Andreu, 187, 08030 Barcelona</t>
  </si>
  <si>
    <t>Flowers by Bornay</t>
  </si>
  <si>
    <t>Carrer de Melcior de Palau, 36, 08028 Barcelona</t>
  </si>
  <si>
    <t>bornay.ws</t>
  </si>
  <si>
    <t>935 19 06 15</t>
  </si>
  <si>
    <t>info@bornay.ws</t>
  </si>
  <si>
    <t>Funeflor - Floristería para entierros y funerales</t>
  </si>
  <si>
    <t>Av. de Joan XXIII, 17, 08028 Barcelona</t>
  </si>
  <si>
    <t>funeflor.com</t>
  </si>
  <si>
    <t>900 102 285</t>
  </si>
  <si>
    <t>centro@globalflor.es</t>
  </si>
  <si>
    <t>Floristeria Emmy</t>
  </si>
  <si>
    <t>Av. de la Generalitat, 6, 08921 Santa Coloma de Gramenet, Barcelona</t>
  </si>
  <si>
    <t>602 37 76 47</t>
  </si>
  <si>
    <t>Floristeria Carrasco</t>
  </si>
  <si>
    <t>Carrer del Llobregós, 149, 08032 Barcelona</t>
  </si>
  <si>
    <t>934 20 64 76</t>
  </si>
  <si>
    <t>Floristeria Mari-Rosse Magallón</t>
  </si>
  <si>
    <t>Carrer d&amp;apos;Aragó, 313-317 Mercat de la Concepció - Parada, 2E, 08009 Barcelona</t>
  </si>
  <si>
    <t>laconcepcio.cat</t>
  </si>
  <si>
    <t>934 58 75 67</t>
  </si>
  <si>
    <t>info@laconcepcio.cat</t>
  </si>
  <si>
    <t>Art d&amp;apos;Horta Floristes</t>
  </si>
  <si>
    <t>Carrer d&amp;apos;Horta, 43, 08031 Barcelona</t>
  </si>
  <si>
    <t>932 50 41 24</t>
  </si>
  <si>
    <t>Flors Dolors</t>
  </si>
  <si>
    <t>Carrer de la Creu Coberta, 93, 08014 Barcelona</t>
  </si>
  <si>
    <t>933 32 78 90</t>
  </si>
  <si>
    <t>Floristeria El Jardí d&amp;apos;en Pep</t>
  </si>
  <si>
    <t>Carrer de Viladomat, 293, 08029 Barcelona</t>
  </si>
  <si>
    <t>floristeriaeljardidenpep.com</t>
  </si>
  <si>
    <t>934 30 77 62</t>
  </si>
  <si>
    <t>ROS Barcelona - Arte Floral</t>
  </si>
  <si>
    <t>C. de Villarroel, 71, 08011 Barcelona</t>
  </si>
  <si>
    <t>tiendaonline.rosbarcelona.com</t>
  </si>
  <si>
    <t>934 51 27 13</t>
  </si>
  <si>
    <t>pedidos@rosbarcelona.com</t>
  </si>
  <si>
    <t>Floristería Chavi Piñero</t>
  </si>
  <si>
    <t>Carrer de la Mare de Déu de Port, 252, 08038 Barcelona</t>
  </si>
  <si>
    <t>934 32 35 23</t>
  </si>
  <si>
    <t>Floristeria Endrina</t>
  </si>
  <si>
    <t>Carrer d&amp;apos;Hondures, 72, 08027 Barcelona</t>
  </si>
  <si>
    <t>652 47 61 77</t>
  </si>
  <si>
    <t>ART FLORAL BARCELONA</t>
  </si>
  <si>
    <t>Carrer d&amp;apos;Aribau, 312, 08006 Barcelona</t>
  </si>
  <si>
    <t>934 88 66 86</t>
  </si>
  <si>
    <t>Floristería ARTE JAPONÉS</t>
  </si>
  <si>
    <t>Carrer de l&amp;apos;Escorial, 139, 143, 08024 Barcelona</t>
  </si>
  <si>
    <t>floristeriaartejapones.com</t>
  </si>
  <si>
    <t>932 84 30 98</t>
  </si>
  <si>
    <t>esperanza@floristeriaartejapones.com</t>
  </si>
  <si>
    <t>pètals</t>
  </si>
  <si>
    <t>Carrer de Casp, 174, 08013 Barcelona</t>
  </si>
  <si>
    <t>932 45 69 56</t>
  </si>
  <si>
    <t>Jardí Marina</t>
  </si>
  <si>
    <t>Carrer de Lluçà, 34, 08028 Barcelona</t>
  </si>
  <si>
    <t>jardimarina.com</t>
  </si>
  <si>
    <t>933 30 17 83</t>
  </si>
  <si>
    <t>Floristeria Laray</t>
  </si>
  <si>
    <t>Avinguda Meridiana, 336, Pasillo Interior, 08027 Barcelona</t>
  </si>
  <si>
    <t>floristeria-laray.negocio.site</t>
  </si>
  <si>
    <t>933 11 71 02</t>
  </si>
  <si>
    <t>La Merçe</t>
  </si>
  <si>
    <t>Carrer de Cabanes, 38, 08004 Barcelona</t>
  </si>
  <si>
    <t>645 35 42 66</t>
  </si>
  <si>
    <t>Mitre &amp;amp; Mandri Flors</t>
  </si>
  <si>
    <t>Ronda del General Mitre, 100, 08021 Barcelona</t>
  </si>
  <si>
    <t>mitremandriflors.com</t>
  </si>
  <si>
    <t>666 28 88 78</t>
  </si>
  <si>
    <t>INFO@MITREMANDRIFLORS.COM</t>
  </si>
  <si>
    <t>Is a boutique floral design company based in Barcelona.</t>
  </si>
  <si>
    <t>Carrer d&amp;apos;Orellana, 3, 08017 Barcelona</t>
  </si>
  <si>
    <t>gangandthewool.com</t>
  </si>
  <si>
    <t>652 57 09 79</t>
  </si>
  <si>
    <t>Flors Farrés</t>
  </si>
  <si>
    <t>Carrer de Roger de Llúria, 80, 08009 Barcelona</t>
  </si>
  <si>
    <t>934 57 64 13</t>
  </si>
  <si>
    <t>Floristeria Sanjuan</t>
  </si>
  <si>
    <t>Passeig de la Vall d&amp;apos;Hebron, 58, 08023 Barcelona</t>
  </si>
  <si>
    <t>934 34 03 21</t>
  </si>
  <si>
    <t>Floristeria Safua</t>
  </si>
  <si>
    <t>Carrer de Santa Amèlia, 45 Esquina, 08034 Barcelona</t>
  </si>
  <si>
    <t>floristeria-safua.negocio.site</t>
  </si>
  <si>
    <t>691 49 20 18</t>
  </si>
  <si>
    <t>Floristería Ainhoa</t>
  </si>
  <si>
    <t>Abrera</t>
  </si>
  <si>
    <t>ainhoafloristas.com</t>
  </si>
  <si>
    <t>902 36 44 07</t>
  </si>
  <si>
    <t>Floristería Arte Japonés</t>
  </si>
  <si>
    <t>Carrer de l&amp;apos;Escorial, 139, 08024 Barcelona</t>
  </si>
  <si>
    <t>Floristería Carlos Poles</t>
  </si>
  <si>
    <t>Carrer de Mandri, 25, 08022 Barcelona</t>
  </si>
  <si>
    <t>934 17 11 63</t>
  </si>
  <si>
    <t>Flores Manolo</t>
  </si>
  <si>
    <t>Carrer de la Mare de Déu de Port, 12, 08038 Barcelona</t>
  </si>
  <si>
    <t>932 23 16 73</t>
  </si>
  <si>
    <t>Mr. Florist Barcelona</t>
  </si>
  <si>
    <t>Carrer de Viladomat, 144, 08015 Barcelona</t>
  </si>
  <si>
    <t>mrflorist.eu</t>
  </si>
  <si>
    <t>931 46 06 09</t>
  </si>
  <si>
    <t>Herbs Floristería</t>
  </si>
  <si>
    <t>Carrer del Rec, 28, 08003 Barcelona</t>
  </si>
  <si>
    <t>La Torreta</t>
  </si>
  <si>
    <t>Carrer de Lope de Vega, 85, 08005 Barcelona</t>
  </si>
  <si>
    <t>floristerialatorreta.es</t>
  </si>
  <si>
    <t>933 07 70 16</t>
  </si>
  <si>
    <t>Floristería Bogas</t>
  </si>
  <si>
    <t>Avinguda del Marquès de Sant Morí, 103, 08913 Badalona, Barcelona</t>
  </si>
  <si>
    <t>933 99 77 33</t>
  </si>
  <si>
    <t>Pajareria Floristeria Rodriguez</t>
  </si>
  <si>
    <t>Carrer d&amp;apos;Alfons el Magnànim, 11, 08019 Barcelona</t>
  </si>
  <si>
    <t>933 05 10 01</t>
  </si>
  <si>
    <t>TIËSTO</t>
  </si>
  <si>
    <t>Carrer de Balmes, 435, 08022 Barcelona</t>
  </si>
  <si>
    <t>tiesto-bcn.com</t>
  </si>
  <si>
    <t>932 53 02 75</t>
  </si>
  <si>
    <t>AMAZONICA de GISELAFLORS</t>
  </si>
  <si>
    <t>Carrer d&amp;apos;Astúries, 34, 08012 Barcelona</t>
  </si>
  <si>
    <t>amazonicaflors.net</t>
  </si>
  <si>
    <t>932 37 87 80</t>
  </si>
  <si>
    <t>giselaflors@telefonica.net</t>
  </si>
  <si>
    <t>Flores Grol</t>
  </si>
  <si>
    <t>Carrer del Marquès de Sentmenat, 91, 08029 Barcelona</t>
  </si>
  <si>
    <t>Rambla de Sant Sebastià, 39, 08921 Santa Coloma de Gramenet, Barcelona</t>
  </si>
  <si>
    <t>Plantas Pili</t>
  </si>
  <si>
    <t>Carrer d&amp;apos;Eduardo Conde, 48, 08034 Barcelona</t>
  </si>
  <si>
    <t>932 04 25 94</t>
  </si>
  <si>
    <t>Floristería Sala</t>
  </si>
  <si>
    <t>Carrer del Montseny, 51, 08903 L&amp;apos;Hospitalet de Llobregat, Barcelona</t>
  </si>
  <si>
    <t>floristeriasala.com</t>
  </si>
  <si>
    <t>934 49 69 50</t>
  </si>
  <si>
    <t>Floristería Marín</t>
  </si>
  <si>
    <t>Carrer d&amp;apos;En Singuerlin, 54, 08924 Santa Coloma de Gramenet, Barcelona</t>
  </si>
  <si>
    <t>933 92 67 04</t>
  </si>
  <si>
    <t>Floristería Flowers Bcn</t>
  </si>
  <si>
    <t>Carrer de Sant Antoni Maria Claret, 100, 08025 Barcelona</t>
  </si>
  <si>
    <t>floristeriaflowersbcn.com</t>
  </si>
  <si>
    <t>635 46 28 19</t>
  </si>
  <si>
    <t>flowersfloristeriabcn@gmail.com</t>
  </si>
  <si>
    <t>Vellut Floristes</t>
  </si>
  <si>
    <t>Avinguda de la Riera de Cassoles, 33, 08012 Barcelona</t>
  </si>
  <si>
    <t>932 18 02 45</t>
  </si>
  <si>
    <t>FLORS PADUA josepadillon@hotmail.com</t>
  </si>
  <si>
    <t>Avinguda de la República Argentina, 19, 08023 Barcelona</t>
  </si>
  <si>
    <t>683 27 24 74</t>
  </si>
  <si>
    <t>Alblanc atelier</t>
  </si>
  <si>
    <t>Carrer de Badajoz, 90, 08005 Barcelona</t>
  </si>
  <si>
    <t>alblancatelier.com</t>
  </si>
  <si>
    <t>640 87 00 89</t>
  </si>
  <si>
    <t>hola@alblancatelier.com</t>
  </si>
  <si>
    <t>Flowerswill (Horario Especial)</t>
  </si>
  <si>
    <t>Carrer de Laforja, 25, 08006 Barcelona</t>
  </si>
  <si>
    <t>flowerswill.com</t>
  </si>
  <si>
    <t>655 47 63 69</t>
  </si>
  <si>
    <t>delivery@flowerswill.com</t>
  </si>
  <si>
    <t>Singular Envit</t>
  </si>
  <si>
    <t>Carrer de Manuel de Falla, 27, 08034 Barcelona</t>
  </si>
  <si>
    <t>singularenvit.shop</t>
  </si>
  <si>
    <t>932 00 32 25</t>
  </si>
  <si>
    <t>info@singularenvit.shop</t>
  </si>
  <si>
    <t>OhFlor</t>
  </si>
  <si>
    <t>Carrer del Rosselló, 439, 08025 Barcelona</t>
  </si>
  <si>
    <t>ohflor.com</t>
  </si>
  <si>
    <t>contact@ohflor.com</t>
  </si>
  <si>
    <t>Zelinda Milano</t>
  </si>
  <si>
    <t>Carrer de Milà i Fontanals, 28, 08012 Barcelona</t>
  </si>
  <si>
    <t>zelindamilano.com</t>
  </si>
  <si>
    <t>692 95 76 23</t>
  </si>
  <si>
    <t>zelinda.milano@gmail.com</t>
  </si>
  <si>
    <t>Marea Verde - Laboratorio Botánico</t>
  </si>
  <si>
    <t>Ronda de Sant Pere, 40, 08010 Barcelona</t>
  </si>
  <si>
    <t>mareaverdetienda.com</t>
  </si>
  <si>
    <t>634 63 36 39</t>
  </si>
  <si>
    <t>FLORISTERÍA SANCHO DE ÁVILA</t>
  </si>
  <si>
    <t>Carrer dels Almogàvers, 93, 08018 Barcelona</t>
  </si>
  <si>
    <t>Plantas Bazar Oriental</t>
  </si>
  <si>
    <t>Carrer de Galileu, 130, 08028 Barcelona</t>
  </si>
  <si>
    <t>FLORES PARA EL RECUERDO</t>
  </si>
  <si>
    <t>floresparaelrecuerdo.com</t>
  </si>
  <si>
    <t>recepcion@floresparaelrecuerdo.com</t>
  </si>
  <si>
    <t>Floristeria Rosa Ma</t>
  </si>
  <si>
    <t>Carrer de Bofarull, 25, 08027 Barcelona</t>
  </si>
  <si>
    <t>Bausà Flors s.l.u</t>
  </si>
  <si>
    <t>bausaflors.barcelona</t>
  </si>
  <si>
    <t>bausaflors@hotmail.com</t>
  </si>
  <si>
    <t>Tavola Floral Design</t>
  </si>
  <si>
    <t>Carrer de Rafael Batlle, 26, 08017 Barcelona</t>
  </si>
  <si>
    <t>tavola.es</t>
  </si>
  <si>
    <t>931 59 29 76</t>
  </si>
  <si>
    <t>tavola@tavola.es</t>
  </si>
  <si>
    <t>Rillo Suministros de Floristería</t>
  </si>
  <si>
    <t>Lugar Mercat Central de la Flor, 30, 08040 Barcelona</t>
  </si>
  <si>
    <t>935 56 81 08</t>
  </si>
  <si>
    <t>flors &amp;amp; GO!</t>
  </si>
  <si>
    <t>Atmosfera Barcelona</t>
  </si>
  <si>
    <t>Plaça del Sol, 17, 08012 Barcelona</t>
  </si>
  <si>
    <t>atmosferabarcelona.com</t>
  </si>
  <si>
    <t>670 51 54 09</t>
  </si>
  <si>
    <t>atmosfera@atmosferabarcelona.com</t>
  </si>
  <si>
    <t>Floristería Tasha</t>
  </si>
  <si>
    <t>Carrer de Juan Valera, 78-82, 08914 Badalona, Barcelona</t>
  </si>
  <si>
    <t>933 99 16 59</t>
  </si>
  <si>
    <t>Delivrt. Comida a domicilio. Flores, Restaurantes, Moda, Fruta, etc</t>
  </si>
  <si>
    <t>Carrer de Vilamarí, 51, 2º - 4ª, 08015 Barcelona</t>
  </si>
  <si>
    <t>delivrt.com</t>
  </si>
  <si>
    <t>Floristeria i jardineria El Gorg</t>
  </si>
  <si>
    <t>Carrer de Joaquim Ruyra, 1, 08918 Badalona, Barcelona</t>
  </si>
  <si>
    <t>elgorg.com</t>
  </si>
  <si>
    <t>933 83 44 51</t>
  </si>
  <si>
    <t>info@elgorg.com</t>
  </si>
  <si>
    <t>Floristería L&amp;apos;Espigol Interflora</t>
  </si>
  <si>
    <t>Carrer del 8 de Març, 40, BAJO, 08950 Esplugues de Llobregat, Barcelona</t>
  </si>
  <si>
    <t>Esplugas de Llobregat</t>
  </si>
  <si>
    <t>lespigol.es</t>
  </si>
  <si>
    <t>933 71 39 26</t>
  </si>
  <si>
    <t>Flores Laia</t>
  </si>
  <si>
    <t>Carrer del Clavell, 42, 08110 Montcada i Reixac, Barcelona</t>
  </si>
  <si>
    <t>Moncada y Reixach</t>
  </si>
  <si>
    <t>935 64 64 65</t>
  </si>
  <si>
    <t>Floraqueen</t>
  </si>
  <si>
    <t>Carrer de Frederic Mompou, 3, 08960 Sant Just Desvern, Barcelona</t>
  </si>
  <si>
    <t>San Justo Desvern</t>
  </si>
  <si>
    <t>floraqueen.es</t>
  </si>
  <si>
    <t>931 22 96 29</t>
  </si>
  <si>
    <t>Sarai Floristerías</t>
  </si>
  <si>
    <t>nº7-9, Carrer de Rosa Ribas i Parellada, 08820 El Prat de Llobregat, Barcelona</t>
  </si>
  <si>
    <t>El Prat de Llobregat</t>
  </si>
  <si>
    <t>933 79 75 04</t>
  </si>
  <si>
    <t>FloraChic</t>
  </si>
  <si>
    <t>Carrer de Frederic Mompou, 3, 08960 Barcelona</t>
  </si>
  <si>
    <t>florachic.com</t>
  </si>
  <si>
    <t>931 22 72 19</t>
  </si>
  <si>
    <t>Floristeria Daymo</t>
  </si>
  <si>
    <t>Av. de Cornellà, 76, 08950 Esplugues de Llobregat, Barcelona</t>
  </si>
  <si>
    <t>930 02 11 44</t>
  </si>
  <si>
    <t>Carrer del Riu Llobregat, 56, 08820 Prat De Llobregat ( El ), Barcelona</t>
  </si>
  <si>
    <t>934 78 67 40</t>
  </si>
  <si>
    <t>Trencadissa Art Floral</t>
  </si>
  <si>
    <t>Carrer de Guifré, 156, 08912 Badalona, Barcelona</t>
  </si>
  <si>
    <t>trencadissa.com</t>
  </si>
  <si>
    <t>933 99 18 04</t>
  </si>
  <si>
    <t>info@trencadissa.com</t>
  </si>
  <si>
    <t>Floristeria Clara</t>
  </si>
  <si>
    <t>Carrer de Galícia, 12, 08970 Sant Joan Despí, Barcelona</t>
  </si>
  <si>
    <t>San Juan Despí</t>
  </si>
  <si>
    <t>933 73 44 02</t>
  </si>
  <si>
    <t>Floristeria Morera</t>
  </si>
  <si>
    <t>Avinguda de Catalunya, 35, 08290 Cerdanyola del Vallès, Barcelona</t>
  </si>
  <si>
    <t>Cerdanyola</t>
  </si>
  <si>
    <t>floristeriamorera.net</t>
  </si>
  <si>
    <t>936 92 11 89</t>
  </si>
  <si>
    <t>info@floristeriamorera.net</t>
  </si>
  <si>
    <t>Loreak Espai Floral | Floristería Badalona</t>
  </si>
  <si>
    <t>Carrer d&amp;apos;En Prim, 105, 08911 Badalona, Barcelona</t>
  </si>
  <si>
    <t>loreak.cat</t>
  </si>
  <si>
    <t>933 84 83 98</t>
  </si>
  <si>
    <t>Floristeria Tropik</t>
  </si>
  <si>
    <t>Carrer de Josep Fiter i Inglès, 50, 08940 Cornellà de Llobregat, Barcelona</t>
  </si>
  <si>
    <t>934 71 39 85</t>
  </si>
  <si>
    <t>Carrer de la Independència, 231, 08915 Badalona, Barcelona</t>
  </si>
  <si>
    <t>934 60 15 18</t>
  </si>
  <si>
    <t>Floristeria S Ventura SA</t>
  </si>
  <si>
    <t>Plaça de Pep Ventura, 13, 08912 Badalona, Barcelona</t>
  </si>
  <si>
    <t>sventura.com</t>
  </si>
  <si>
    <t>933 87 17 95</t>
  </si>
  <si>
    <t>Floristería La Miranda</t>
  </si>
  <si>
    <t>Carrer de la Miranda, 56, 08940 Cornellà de Llobregat, Barcelona</t>
  </si>
  <si>
    <t>933 76 43 57</t>
  </si>
  <si>
    <t>Floristeria Blooms</t>
  </si>
  <si>
    <t>Rambla del Celler, 15, 08190 Sant Cugat del Vallès, Barcelona</t>
  </si>
  <si>
    <t>Sant Cugat del Vallès</t>
  </si>
  <si>
    <t>floristeriasantcugat.com</t>
  </si>
  <si>
    <t>936 74 46 46</t>
  </si>
  <si>
    <t>Marta Majó Flors</t>
  </si>
  <si>
    <t>Carrer Pou de Sant Pere, 24, 08980 Sant Feliu de Llobregat, Barcelona</t>
  </si>
  <si>
    <t>San Felíu de Llobregat</t>
  </si>
  <si>
    <t>martamajoflors.com</t>
  </si>
  <si>
    <t>936 66 15 52</t>
  </si>
  <si>
    <t>948info@martamajoflors.com</t>
  </si>
  <si>
    <t>Floristeria Moshi</t>
  </si>
  <si>
    <t>Carrer Major, 30, 08172 Sant Cugat del Vallès, Barcelona</t>
  </si>
  <si>
    <t>moshi-floristeria.com</t>
  </si>
  <si>
    <t>935 87 82 76</t>
  </si>
  <si>
    <t>moshi@moshi-floristeria.com</t>
  </si>
  <si>
    <t>FLOWERS SHOP BARCELONA</t>
  </si>
  <si>
    <t>Carretera Antigua de Valencia, 1, 08830 Sant Boi de Llobregat, Barcelona</t>
  </si>
  <si>
    <t>San Baudilio de Llobregat</t>
  </si>
  <si>
    <t>935 56 81 25</t>
  </si>
  <si>
    <t>BOUQUET</t>
  </si>
  <si>
    <t>Carretera Antiga de Valencia, 1, 08830 Sant Boi de Llobregat, Barcelona</t>
  </si>
  <si>
    <t>bouquetbcn.com</t>
  </si>
  <si>
    <t>936 30 13 23</t>
  </si>
  <si>
    <t>bouquet@bouquetbcn.com</t>
  </si>
  <si>
    <t>Flors Núria Armengol</t>
  </si>
  <si>
    <t>Carrer de Laureà Miró, 141, 08980 Sant Feliu de Llobregat, Barcelona</t>
  </si>
  <si>
    <t>florsnuriaarmengol.com</t>
  </si>
  <si>
    <t>936 66 03 39</t>
  </si>
  <si>
    <t>Floristeria Reig</t>
  </si>
  <si>
    <t>Carrer d&amp;apos;Ignasi Iglésias, 8, 08750 Molins de Rei, Barcelona</t>
  </si>
  <si>
    <t>Molins de Rey</t>
  </si>
  <si>
    <t>936 68 18 89</t>
  </si>
  <si>
    <t>Floristeria Martinez</t>
  </si>
  <si>
    <t>Carrer de Milà i Fontanals, 4, 08191 Rubí, Barcelona</t>
  </si>
  <si>
    <t>Rubí</t>
  </si>
  <si>
    <t>936 99 03 11</t>
  </si>
  <si>
    <t>Valls Flors</t>
  </si>
  <si>
    <t>Carrer Rafael de Casanova, 22, 08750 Molins de Rei, Barcelona</t>
  </si>
  <si>
    <t>vallsflors.com</t>
  </si>
  <si>
    <t>936 68 00 51</t>
  </si>
  <si>
    <t>vallsflors@vallsflors.com</t>
  </si>
  <si>
    <t>Kiosko de las flores</t>
  </si>
  <si>
    <t>Francesc Vila 18. Nave 4. Pol. Ind. Can Magí, 08173 Sant cugat, Barcelona</t>
  </si>
  <si>
    <t>kioskodelasflores.com</t>
  </si>
  <si>
    <t>606 95 56 85</t>
  </si>
  <si>
    <t>Floristeria Roser</t>
  </si>
  <si>
    <t>Carrer Mossèn Antoni Solanas, 17, 08830 Sant Boi de Llobregat, Barcelona</t>
  </si>
  <si>
    <t>936 54 48 01</t>
  </si>
  <si>
    <t>Mainada</t>
  </si>
  <si>
    <t>Ctra. de Mataró, 107, local 1, 08390 Montgat, Barcelona</t>
  </si>
  <si>
    <t>Montgat</t>
  </si>
  <si>
    <t>goo.gl</t>
  </si>
  <si>
    <t>934 69 35 65</t>
  </si>
  <si>
    <t>Carrer de Girona, 21, 08830 Sant Boi de Llobregat, Barcelona</t>
  </si>
  <si>
    <t>934 61 08 60</t>
  </si>
  <si>
    <t>Mercado Floral</t>
  </si>
  <si>
    <t>Carrer del Rosselló, 232, 5º 1ª, 08008 Barcelona</t>
  </si>
  <si>
    <t>659 14 58 52</t>
  </si>
  <si>
    <t>Floristeria Quiosco &amp;quot;La Plaça&amp;quot;</t>
  </si>
  <si>
    <t>Plaça Catalunya, 08830 Sant Boi de Llobregat, Barcelona</t>
  </si>
  <si>
    <t>678 60 90 33</t>
  </si>
  <si>
    <t>Floristería Torrents</t>
  </si>
  <si>
    <t>Carrer Lluís Pascual Roca, 81, 08830 Sant Boi de Llobregat, Barcelona</t>
  </si>
  <si>
    <t>floristeriasensanboidellobregat.com</t>
  </si>
  <si>
    <t>936 54 15 01</t>
  </si>
  <si>
    <t>info@floristeriasensanboidellobregat.com</t>
  </si>
  <si>
    <t>Floristeria MOMENTUM</t>
  </si>
  <si>
    <t>Carrer de Doctor Maximí Fornés, 64, 08191 Rubí, Barcelona</t>
  </si>
  <si>
    <t>935 88 44 90</t>
  </si>
  <si>
    <t>El Niu D’en Joan (Floristería)</t>
  </si>
  <si>
    <t>Carrer Pau Claris, 25, 08780 Pallejà, Barcelona</t>
  </si>
  <si>
    <t>Pallejá</t>
  </si>
  <si>
    <t>936 63 41 84</t>
  </si>
  <si>
    <t>Flors Joan</t>
  </si>
  <si>
    <t>Calle Duran i Xaus, 10, 08328 Alella DO, Barcelona</t>
  </si>
  <si>
    <t>Alella</t>
  </si>
  <si>
    <t>florsjoan.com</t>
  </si>
  <si>
    <t>615 86 08 22</t>
  </si>
  <si>
    <t>comandes@florsjoan.com</t>
  </si>
  <si>
    <t>Celinda detalls amb flors</t>
  </si>
  <si>
    <t>Flores AVRIL (+34936375082)</t>
  </si>
  <si>
    <t>Carrer de Lluís Companys, 1, 08840 Viladecans, Barcelona</t>
  </si>
  <si>
    <t>Viladecans</t>
  </si>
  <si>
    <t>flores-avril.negocio.site</t>
  </si>
  <si>
    <t>678 79 87 10</t>
  </si>
  <si>
    <t>Floristería Cari</t>
  </si>
  <si>
    <t>Av. de l&amp;apos;Eramprunyà, 14, 08850 Gavà, Barcelona</t>
  </si>
  <si>
    <t>Gavá</t>
  </si>
  <si>
    <t>floristeriacari.com</t>
  </si>
  <si>
    <t>936 38 32 87</t>
  </si>
  <si>
    <t>floristeriacari@floristeriacari.com</t>
  </si>
  <si>
    <t>florestore - Flores a Domicilio Barcelona</t>
  </si>
  <si>
    <t>Ronda de Zamenhof, 112, Local 1, 08208 Sabadell, Barcelona</t>
  </si>
  <si>
    <t>Sabadell</t>
  </si>
  <si>
    <t>florestore.com</t>
  </si>
  <si>
    <t>937 23 84 49</t>
  </si>
  <si>
    <t>info@florestore.com</t>
  </si>
  <si>
    <t>Floristeria &amp;quot;el jardincito&amp;quot;</t>
  </si>
  <si>
    <t>Carrer de Montflorit, 151, 08850 Gavà, Barcelona</t>
  </si>
  <si>
    <t>931 85 44 73</t>
  </si>
  <si>
    <t>FLORISTALIA</t>
  </si>
  <si>
    <t>Carrer de Pi i Margall, 10, 08755 Castellbisbal, Barcelona</t>
  </si>
  <si>
    <t>Castellbisbal</t>
  </si>
  <si>
    <t>floristalia.com</t>
  </si>
  <si>
    <t>933 37 12 56</t>
  </si>
  <si>
    <t>info@floristalia.com</t>
  </si>
  <si>
    <t>Lider Flor</t>
  </si>
  <si>
    <t>Carrer de la Ciència, 25, 08850 Gavà, Barcelona</t>
  </si>
  <si>
    <t>liderflor.com</t>
  </si>
  <si>
    <t>936 38 91 33</t>
  </si>
  <si>
    <t>info@lidexgroup.com</t>
  </si>
  <si>
    <t>Flors i plantes Ara</t>
  </si>
  <si>
    <t>Carrer dels Marquesos de Barberà, 123, 08210 Barberà del Vallès, Barcelona</t>
  </si>
  <si>
    <t>Barberà del Vallés</t>
  </si>
  <si>
    <t>flors per a tu</t>
  </si>
  <si>
    <t>Ronda de Zamenhof, 112, 08208 Sabadell, Barcelona</t>
  </si>
  <si>
    <t>florsperatu.com</t>
  </si>
  <si>
    <t>florsperatu@florsperatu.com</t>
  </si>
  <si>
    <t>FLOR ALBI, SA</t>
  </si>
  <si>
    <t>Carrer de Roís de Corella, 1, 08205 Sabadell, Barcelona</t>
  </si>
  <si>
    <t>floralbi.com</t>
  </si>
  <si>
    <t>937 11 70 00</t>
  </si>
  <si>
    <t>info@floralbi.com</t>
  </si>
  <si>
    <t>Valentina Nero Taller Floral</t>
  </si>
  <si>
    <t>Carrer de Caresmar, 114, 08205 Sabadell, Barcelona</t>
  </si>
  <si>
    <t>valentinanero.es</t>
  </si>
  <si>
    <t>637 32 21 12</t>
  </si>
  <si>
    <t>info@valentinanero.es</t>
  </si>
  <si>
    <t>Roc Flors - Floristeria en Terrassa</t>
  </si>
  <si>
    <t>Carrer de Sicília, 55, 08224 Terrassa, Barcelona</t>
  </si>
  <si>
    <t>Tarrasa</t>
  </si>
  <si>
    <t>rocflors.com</t>
  </si>
  <si>
    <t>937 80 61 04</t>
  </si>
  <si>
    <t>Info@rocflors.com</t>
  </si>
  <si>
    <t>BON ART FLORISTERIA</t>
  </si>
  <si>
    <t>Carrer Portalet, 7, 08401 Granollers, Barcelona</t>
  </si>
  <si>
    <t>Granollers</t>
  </si>
  <si>
    <t>bonartfloristeria.com</t>
  </si>
  <si>
    <t>686 16 74 18</t>
  </si>
  <si>
    <t>info@bonartfloristeria.com</t>
  </si>
  <si>
    <t>Original Flor</t>
  </si>
  <si>
    <t>originalflor.es</t>
  </si>
  <si>
    <t>616 48 40 85</t>
  </si>
  <si>
    <t>info@originalflor.es</t>
  </si>
  <si>
    <t>Oliveras Floristes</t>
  </si>
  <si>
    <t>Carrer del Nord, 62, 08221 Terrassa, Barcelona</t>
  </si>
  <si>
    <t>oliverasfloristes.es</t>
  </si>
  <si>
    <t>937 83 39 27</t>
  </si>
  <si>
    <t>web@oliverasfloristes.es</t>
  </si>
  <si>
    <t>Florista y decoración de bodas y eventos Barcelona 🌹 𝐉𝐮𝐝𝐢𝐭𝐡 𝐉𝐨𝐫𝐝à</t>
  </si>
  <si>
    <t>Carrer de Sant Cugat, 50, 08302 Mataró, Barcelona</t>
  </si>
  <si>
    <t>Mataró</t>
  </si>
  <si>
    <t>judithjorda.com</t>
  </si>
  <si>
    <t>679 33 11 44</t>
  </si>
  <si>
    <t>El Pi Taller de Flors</t>
  </si>
  <si>
    <t>Carrer Marquès de Gelida, 9, 08790 Gelida, Barcelona</t>
  </si>
  <si>
    <t>Gelida</t>
  </si>
  <si>
    <t>931 31 81 01</t>
  </si>
  <si>
    <t>Art Floral Penélope</t>
  </si>
  <si>
    <t>Avinguda de Pi i Margall, 98, 08140 Caldes de Montbui, Barcelona</t>
  </si>
  <si>
    <t>Caldas de Montbui</t>
  </si>
  <si>
    <t>938 62 60 79</t>
  </si>
  <si>
    <t>Floristeria Nani</t>
  </si>
  <si>
    <t>Ronda de Sant Oleguer, 74, 08304 Mataró, Barcelona</t>
  </si>
  <si>
    <t>floristerianani.es</t>
  </si>
  <si>
    <t>937 57 87 46</t>
  </si>
  <si>
    <t>Mercabarna Flor</t>
  </si>
  <si>
    <t>Carretera antigua de Valencia, 1, 08830 Sant Boi de Llobregat, Barcelona</t>
  </si>
  <si>
    <t>mercabarna.es</t>
  </si>
  <si>
    <t>935 56 32 42</t>
  </si>
  <si>
    <t>Floristeria Kentia</t>
  </si>
  <si>
    <t>Carrer Bonastruc de Porta, 21, 17001 Girona</t>
  </si>
  <si>
    <t>Gerona</t>
  </si>
  <si>
    <t>Girona</t>
  </si>
  <si>
    <t>floristeriakentia.com</t>
  </si>
  <si>
    <t>972 22 02 12</t>
  </si>
  <si>
    <t>botiga@floristeriakentia.com</t>
  </si>
  <si>
    <t>Flors Jumel</t>
  </si>
  <si>
    <t>Carrer de la Creu, 42, 17002 Girona</t>
  </si>
  <si>
    <t>florsjumel.com</t>
  </si>
  <si>
    <t>972 20 95 86</t>
  </si>
  <si>
    <t>La Floristeria</t>
  </si>
  <si>
    <t>Avinguda de França, 42, 17007 Girona</t>
  </si>
  <si>
    <t>lafloristeriagirona.com</t>
  </si>
  <si>
    <t>972 21 44 67</t>
  </si>
  <si>
    <t>Floristeria La Foule</t>
  </si>
  <si>
    <t>Carrer de Joan Maragall, 34, 17002 Girona</t>
  </si>
  <si>
    <t>floristeriagirona.es</t>
  </si>
  <si>
    <t>972 21 16 91</t>
  </si>
  <si>
    <t>contact@site.com</t>
  </si>
  <si>
    <t>Flors Santa Clara</t>
  </si>
  <si>
    <t>Carrer de Santa Clara, 4, 17001 Girona</t>
  </si>
  <si>
    <t>972 20 05 48</t>
  </si>
  <si>
    <t>Floristeria Deflors</t>
  </si>
  <si>
    <t>Ronda Sant Antoni Maria Claret, 21, 17002 Girona</t>
  </si>
  <si>
    <t>floristeriadeflors.com</t>
  </si>
  <si>
    <t>972 20 00 19</t>
  </si>
  <si>
    <t>mariona@floristeriadeflors.com</t>
  </si>
  <si>
    <t>Boutique d&amp;apos;art floral Toc de Flor</t>
  </si>
  <si>
    <t>Carrer Migdia, 59, 17003 Girona</t>
  </si>
  <si>
    <t>tocdeflor.com</t>
  </si>
  <si>
    <t>972 29 65 73</t>
  </si>
  <si>
    <t>info@tocdeflor.com</t>
  </si>
  <si>
    <t>Floristeria Sant Narcís</t>
  </si>
  <si>
    <t>Carrer d&amp;apos;Empúries, 42, 17005 Girona</t>
  </si>
  <si>
    <t>972 40 16 72</t>
  </si>
  <si>
    <t>Floristería Fontajau</t>
  </si>
  <si>
    <t>Rambla de Xavier Cugat, 19, 17007 Girona</t>
  </si>
  <si>
    <t>667 37 67 08</t>
  </si>
  <si>
    <t>Floristeria Nenufar</t>
  </si>
  <si>
    <t>Carrer de Santa Eugènia, 43, 17006 Girona</t>
  </si>
  <si>
    <t>620 16 61 02</t>
  </si>
  <si>
    <t>Gremi Professional de Floristes de Girona</t>
  </si>
  <si>
    <t>Plaça Calvet i Rubalcaba, 17001 Girona</t>
  </si>
  <si>
    <t>florsdegirona.com</t>
  </si>
  <si>
    <t>info@florsdegirona.com</t>
  </si>
  <si>
    <t>les flors de l&amp;apos;alba</t>
  </si>
  <si>
    <t>Av. de Sant Francesc, 32, 17001 Girona</t>
  </si>
  <si>
    <t>972 91 17 71</t>
  </si>
  <si>
    <t>Marta Tarrés López</t>
  </si>
  <si>
    <t>Plaça Calvet i Rubalcaba, 0, 17001 Girona</t>
  </si>
  <si>
    <t>mercatlleo.cat</t>
  </si>
  <si>
    <t>972 20 39 76</t>
  </si>
  <si>
    <t>info@mercatlleo.cat</t>
  </si>
  <si>
    <t>Floristeria Flor a punt</t>
  </si>
  <si>
    <t>Plaça del Vi, 5, 17004 Girona</t>
  </si>
  <si>
    <t>626 14 03 05</t>
  </si>
  <si>
    <t>Lourdes Arnau Creadora Artística Floral</t>
  </si>
  <si>
    <t>Carrer de la Barca, 19, 17004 Girona</t>
  </si>
  <si>
    <t>lourdesarnau.com</t>
  </si>
  <si>
    <t>615 18 85 89</t>
  </si>
  <si>
    <t>arnaucreacions@gmail.c</t>
  </si>
  <si>
    <t>Florist Mimosa</t>
  </si>
  <si>
    <t>17005 Gerona, Girona</t>
  </si>
  <si>
    <t>Flors Romaní</t>
  </si>
  <si>
    <t>Carrer del Firal, 1, 3, 17840 Sarrià de Dalt, Girona</t>
  </si>
  <si>
    <t>Sarrià de Dalt</t>
  </si>
  <si>
    <t>florsromani.com</t>
  </si>
  <si>
    <t>615 32 10 30</t>
  </si>
  <si>
    <t>info@florsromani.com</t>
  </si>
  <si>
    <t>Plantes I Flors Isabel</t>
  </si>
  <si>
    <t>Carrer del Guadiana, 17, 17004 Girona</t>
  </si>
  <si>
    <t>619 01 38 94</t>
  </si>
  <si>
    <t>ARP NUTRISOME / GIRONA</t>
  </si>
  <si>
    <t>Carrer de Sarrià de Ter, 15, 17005 Girona</t>
  </si>
  <si>
    <t>arpgirona.com</t>
  </si>
  <si>
    <t>972 23 89 61</t>
  </si>
  <si>
    <t>Kimi Flors i Detalls</t>
  </si>
  <si>
    <t>Passeig dels Països Catalans, 192, 17190 Salt, Girona</t>
  </si>
  <si>
    <t>Salt</t>
  </si>
  <si>
    <t>872 50 43 81</t>
  </si>
  <si>
    <t>La Cooperativa del Veïnat</t>
  </si>
  <si>
    <t>Carrer Major, 78, 17190 Salt, Girona</t>
  </si>
  <si>
    <t>972 23 43 36</t>
  </si>
  <si>
    <t>Orquidies y Exoticas S.L</t>
  </si>
  <si>
    <t>Carrer del Pla de Salt, 14, 17190 Salt, Girona</t>
  </si>
  <si>
    <t>639 64 76 09</t>
  </si>
  <si>
    <t>Floristeria Rosmelia</t>
  </si>
  <si>
    <t>Carrer Rocacorba, 24, 17190 Salt, Girona</t>
  </si>
  <si>
    <t>Jardineria El Sitjar sl</t>
  </si>
  <si>
    <t>Camí del Sitjar s/n, 17190 Salt, Girona</t>
  </si>
  <si>
    <t>elsitjar.com</t>
  </si>
  <si>
    <t>972 24 41 45</t>
  </si>
  <si>
    <t>info@elsitjar.com</t>
  </si>
  <si>
    <t>Mangata flowers &amp;amp; happiness</t>
  </si>
  <si>
    <t>Carrer del Riu Güell, 25, 17005 Girona</t>
  </si>
  <si>
    <t>mangatatocados.com</t>
  </si>
  <si>
    <t>hola@mangatatocados.com</t>
  </si>
  <si>
    <t>Floristería Lavanda</t>
  </si>
  <si>
    <t>Carrer d&amp;apos;Aumet, 48, 17460 Celrà, Girona</t>
  </si>
  <si>
    <t>Celrá</t>
  </si>
  <si>
    <t>972 49 34 30</t>
  </si>
  <si>
    <t>Las Flores Prohibidas Grow Shop</t>
  </si>
  <si>
    <t>17242 Quart, Girona</t>
  </si>
  <si>
    <t>Quart</t>
  </si>
  <si>
    <t>María Teresa Campasol I Torra</t>
  </si>
  <si>
    <t>Carrer Coromina, 41, 17162 Bescanó, Girona</t>
  </si>
  <si>
    <t>Bescanó</t>
  </si>
  <si>
    <t>972 44 03 50</t>
  </si>
  <si>
    <t>Art Floral - Floristería</t>
  </si>
  <si>
    <t>Carrer del Molí, 44, 17244 Cassà de la Selva, Girona</t>
  </si>
  <si>
    <t>Cassá de la Selva</t>
  </si>
  <si>
    <t>artfloralmd.com</t>
  </si>
  <si>
    <t>972 46 18 83</t>
  </si>
  <si>
    <t>info@artfloralmd.com</t>
  </si>
  <si>
    <t>Floristeria Flor i Jardí</t>
  </si>
  <si>
    <t>Carrer del Raval, 60, 17244 Cassà de la Selva, Girona</t>
  </si>
  <si>
    <t>972 46 33 51</t>
  </si>
  <si>
    <t>ARROYO FLORISTERIA</t>
  </si>
  <si>
    <t>Avinguda de Balmes, 23, 25006 Lleida</t>
  </si>
  <si>
    <t>arroyofloristeria.com</t>
  </si>
  <si>
    <t>973 23 27 69</t>
  </si>
  <si>
    <t>Floristeria Art Floral Lleida</t>
  </si>
  <si>
    <t>Avinguda de Rosa Parks, 29, 25005 Lleida</t>
  </si>
  <si>
    <t>artflorallleida.com</t>
  </si>
  <si>
    <t>973 23 91 29</t>
  </si>
  <si>
    <t>artflorallleida@gmail.com</t>
  </si>
  <si>
    <t>Floristeria Enrechs</t>
  </si>
  <si>
    <t>Carrer de la Mariola, 2, 25003 Lleida</t>
  </si>
  <si>
    <t>floreslleida.com</t>
  </si>
  <si>
    <t>973 26 00 15</t>
  </si>
  <si>
    <t>enrechlogo_225x@2x.png</t>
  </si>
  <si>
    <t>Floristería Flor Luxe</t>
  </si>
  <si>
    <t>Carrer Ramon y Cajal, 24, 25003 Lleida</t>
  </si>
  <si>
    <t>floristeriaflorluxe.com</t>
  </si>
  <si>
    <t>973 26 74 13</t>
  </si>
  <si>
    <t>florluxe@gmail.com</t>
  </si>
  <si>
    <t>Floristería Clívia</t>
  </si>
  <si>
    <t>Avinguda, Carrer Dr. Combelles, 36, 25003 Lleida</t>
  </si>
  <si>
    <t>floristeriaclivia.es</t>
  </si>
  <si>
    <t>973 28 18 65</t>
  </si>
  <si>
    <t>cliviaflor@gmail.com</t>
  </si>
  <si>
    <t>Floristería Verd</t>
  </si>
  <si>
    <t>Carrer de la Unió, 17, Bajo, 25002 Lleida</t>
  </si>
  <si>
    <t>floristeriaverd.com</t>
  </si>
  <si>
    <t>973 28 26 81</t>
  </si>
  <si>
    <t>Floristeria Sisor</t>
  </si>
  <si>
    <t>Gran Passeig de Ronda, 130, 25008 Lleida</t>
  </si>
  <si>
    <t>973 24 58 87</t>
  </si>
  <si>
    <t>Floristeria Arrufat</t>
  </si>
  <si>
    <t>Rambla de Ferran, 23, 25007 Lleida</t>
  </si>
  <si>
    <t>973 23 75 16</t>
  </si>
  <si>
    <t>Floristeries Flaires i Flors</t>
  </si>
  <si>
    <t>Av. de les Garrigues, 27, 29, 25001 Lleida</t>
  </si>
  <si>
    <t>flairesiflors.es</t>
  </si>
  <si>
    <t>973 20 54 00</t>
  </si>
  <si>
    <t>carme@flairesiflors.es</t>
  </si>
  <si>
    <t>Floristería Piñol</t>
  </si>
  <si>
    <t>Av. Alcalde Porqueres, 34, 25008 Lleida</t>
  </si>
  <si>
    <t>floristeriapiñol.es</t>
  </si>
  <si>
    <t>973 23 80 30</t>
  </si>
  <si>
    <t>Flaires Disseny Floral</t>
  </si>
  <si>
    <t>Carrer Baró de Maials, 5, 25005 Lleida</t>
  </si>
  <si>
    <t>flairesiflors.com</t>
  </si>
  <si>
    <t>973 22 51 82</t>
  </si>
  <si>
    <t>L&amp;apos;Oceller Floristería y Mascotas</t>
  </si>
  <si>
    <t>Avinguda d&amp;apos;Artesa, 7, 25001 Lleida</t>
  </si>
  <si>
    <t>657 98 17 26</t>
  </si>
  <si>
    <t>Flors Reyes S C C L</t>
  </si>
  <si>
    <t>Carrer Camp de Mart, 1, 25006 Lleida</t>
  </si>
  <si>
    <t>florsreyes.business.site</t>
  </si>
  <si>
    <t>973 24 66 19</t>
  </si>
  <si>
    <t>Carrer Bisbe Torres, 7, 25002 Lleida</t>
  </si>
  <si>
    <t>973 26 59 67</t>
  </si>
  <si>
    <t>La Floristeria Anna Balañà</t>
  </si>
  <si>
    <t>Carrer Magí Morera, 19, 25006 Lleida</t>
  </si>
  <si>
    <t>973 28 13 55</t>
  </si>
  <si>
    <t>Flors Carol</t>
  </si>
  <si>
    <t>Carrer Democràcia, 9, 25007 Lleida</t>
  </si>
  <si>
    <t>roundme.com</t>
  </si>
  <si>
    <t>973 24 98 95</t>
  </si>
  <si>
    <t>Floristería Orteu</t>
  </si>
  <si>
    <t>Av. Prat de la Riba, 45, 25008 Lleida</t>
  </si>
  <si>
    <t>973 24 77 40</t>
  </si>
  <si>
    <t>BONSAI</t>
  </si>
  <si>
    <t>Avinguda de Balmes, 1, 25006 Lleida</t>
  </si>
  <si>
    <t>floristeriabonsai.com</t>
  </si>
  <si>
    <t>973 26 82 32</t>
  </si>
  <si>
    <t>Carrer Lluís Companys, 25, 25003 Lleida</t>
  </si>
  <si>
    <t>973 30 25 08</t>
  </si>
  <si>
    <t>Bambú Flors</t>
  </si>
  <si>
    <t>Carrer Cavallers, 14, 25002 Lleida</t>
  </si>
  <si>
    <t>bambuflors.business.site</t>
  </si>
  <si>
    <t>973 26 15 24</t>
  </si>
  <si>
    <t>Factoría Flor.</t>
  </si>
  <si>
    <t>Av. de Sant Ruf, 43, bajos, 25004 Lleida</t>
  </si>
  <si>
    <t>factoriaflor.com</t>
  </si>
  <si>
    <t>670 31 77 35</t>
  </si>
  <si>
    <t>Flors Aglana Sl</t>
  </si>
  <si>
    <t>Av. de Madrid, 26, 25002 Lleida</t>
  </si>
  <si>
    <t>Floristeria ROMA</t>
  </si>
  <si>
    <t>Carrer Cristófol de Boleda, 1, 25006 Lleida</t>
  </si>
  <si>
    <t>973 26 81 85</t>
  </si>
  <si>
    <t>L&amp;apos;espiral</t>
  </si>
  <si>
    <t>Carrer de Lérida-Colòmbia, 16, 25005 Lleida</t>
  </si>
  <si>
    <t>973 22 82 29</t>
  </si>
  <si>
    <t>Flors Sanmartinet S.L.</t>
  </si>
  <si>
    <t>Carrer del Camí de Corbins, 27, 25005 Lleida</t>
  </si>
  <si>
    <t>973 22 10 96</t>
  </si>
  <si>
    <t>El Racó de la Sol</t>
  </si>
  <si>
    <t>Carrer Alcalde Costa, 10, 25002 Lleida</t>
  </si>
  <si>
    <t>973 26 67 56</t>
  </si>
  <si>
    <t>Jomai Flors i Jardins</t>
  </si>
  <si>
    <t>Carrer Segrià, 35, 25006 Lleida</t>
  </si>
  <si>
    <t>973 26 69 12</t>
  </si>
  <si>
    <t>José María Florista Izquierdo</t>
  </si>
  <si>
    <t>Av. Alcalde Rovira Roure, 5, 25006 Lleida</t>
  </si>
  <si>
    <t>973 23 44 99</t>
  </si>
  <si>
    <t>Canal Flor S L</t>
  </si>
  <si>
    <t>Carrer d&amp;apos;en Ramon Argilès, 40, 25005 Lleida</t>
  </si>
  <si>
    <t>973 22 11 96</t>
  </si>
  <si>
    <t>JARDIMASCOT</t>
  </si>
  <si>
    <t>Josep Torra Borda</t>
  </si>
  <si>
    <t>Carrer Ramon Llull, 6, 25008 Lleida</t>
  </si>
  <si>
    <t>973 45 00 64</t>
  </si>
  <si>
    <t>Francisco Semis Freire</t>
  </si>
  <si>
    <t>Carrer Mossèn Reig, 5, 25008 Lleida</t>
  </si>
  <si>
    <t>973 24 94 05</t>
  </si>
  <si>
    <t>Ileflor</t>
  </si>
  <si>
    <t>Partida Montcada, 21, 25196 Lleida</t>
  </si>
  <si>
    <t>973 24 88 65</t>
  </si>
  <si>
    <t>Naturviva Mascotas</t>
  </si>
  <si>
    <t>Carrer Baró de Maials, 94, 25005 Lleida</t>
  </si>
  <si>
    <t>floristerianaturviva.com</t>
  </si>
  <si>
    <t>973 22 02 57</t>
  </si>
  <si>
    <t>info@floristerianaturviva.com</t>
  </si>
  <si>
    <t>La Confiança</t>
  </si>
  <si>
    <t>Carrer del Corregidor Escofet, 22, 25005 Lleida</t>
  </si>
  <si>
    <t>973 24 40 69</t>
  </si>
  <si>
    <t>AGROCENTER LLEIDA</t>
  </si>
  <si>
    <t>Pol. Ind. Camí dels Frares c/A - Bloc 3 - Nau 3, 25190 Lleida</t>
  </si>
  <si>
    <t>agrocenter.cat</t>
  </si>
  <si>
    <t>973 52 59 30</t>
  </si>
  <si>
    <t>info@agrocenter.cat</t>
  </si>
  <si>
    <t>Teresa Montull Puigdomenech</t>
  </si>
  <si>
    <t>Lugar Urbanització Miranda, 0 S N, 25110 Alpicat, Lleida</t>
  </si>
  <si>
    <t>Alpicat</t>
  </si>
  <si>
    <t>973 73 77 15</t>
  </si>
  <si>
    <t>Carme Flors</t>
  </si>
  <si>
    <t>Carrer Joan Maragall, 7, 25180 Alcarràs, Lleida</t>
  </si>
  <si>
    <t>Alcarrás</t>
  </si>
  <si>
    <t>973 78 40 30</t>
  </si>
  <si>
    <t>Flors El Celleret</t>
  </si>
  <si>
    <t>Carrer Lleida, 14, 25133 Vilanova de Segrià, Lleida</t>
  </si>
  <si>
    <t>Vilanova de Segriá</t>
  </si>
  <si>
    <t>973 77 77 85</t>
  </si>
  <si>
    <t>Floristeria Alguaire: Flors i Plantes Adelina</t>
  </si>
  <si>
    <t>Carrer Mossèn Ramon Artigues, 4, 25125 Alguaire, Lleida</t>
  </si>
  <si>
    <t>Alguaire</t>
  </si>
  <si>
    <t>607 36 70 01</t>
  </si>
  <si>
    <t>FLORES COMESTIBLES</t>
  </si>
  <si>
    <t>Pda/ Eral, s/n, 25125 Alguaire, Lleida</t>
  </si>
  <si>
    <t>652 69 99 34</t>
  </si>
  <si>
    <t>Carme Floristes</t>
  </si>
  <si>
    <t>Carrer Major, 2, 25100 Almacelles, Lleida</t>
  </si>
  <si>
    <t>Almacellas</t>
  </si>
  <si>
    <t>973 74 12 92</t>
  </si>
  <si>
    <t>Flors Deli</t>
  </si>
  <si>
    <t>Carrer La Bassa, 24, 25180 Alcarràs, Lleida</t>
  </si>
  <si>
    <t>973 79 08 36</t>
  </si>
  <si>
    <t>Floristeria La Poncella i Macro-Jardi</t>
  </si>
  <si>
    <t>25230, Carrer Sant Jaume, 25-27, 25230 Mollerussa, Lleida</t>
  </si>
  <si>
    <t>Mollerusa</t>
  </si>
  <si>
    <t>laponcella.com</t>
  </si>
  <si>
    <t>973 60 08 57</t>
  </si>
  <si>
    <t>Floristeria Mes Ke Flors</t>
  </si>
  <si>
    <t>Av. del Canal, 8, A, 25230 Mollerussa, Lleida</t>
  </si>
  <si>
    <t>973 98 73 73</t>
  </si>
  <si>
    <t>El Racó de Enrique, floristeria verduleria</t>
  </si>
  <si>
    <t>Carrer Major, nº 51, 25100 Almacelles, Lleida</t>
  </si>
  <si>
    <t>973 74 20 31</t>
  </si>
  <si>
    <t>Floristería Montse</t>
  </si>
  <si>
    <t>Avinguda de Catalunya, 14, 25230 Mollerussa, Lleida</t>
  </si>
  <si>
    <t>973 71 06 74</t>
  </si>
  <si>
    <t>TEST I LLAVOR</t>
  </si>
  <si>
    <t>Partida Rovinals, 25110 Alpicat, Lleida</t>
  </si>
  <si>
    <t>cotiledoon.com</t>
  </si>
  <si>
    <t>973 19 75 07</t>
  </si>
  <si>
    <t>Jardí</t>
  </si>
  <si>
    <t>Carretera Lleida Vall D&amp;apos;Arán, 15, 25126 Almenar, Lleida</t>
  </si>
  <si>
    <t>Abella de la Conca</t>
  </si>
  <si>
    <t>973 77 00 35</t>
  </si>
  <si>
    <t>EUROHOGAR Carme Yuste</t>
  </si>
  <si>
    <t>Carrer Major, 36, 25690 Alcoletge, Lleida</t>
  </si>
  <si>
    <t>Alcoletge</t>
  </si>
  <si>
    <t>973 19 72 72</t>
  </si>
  <si>
    <t>Floristeria i Jardineria TERRALL</t>
  </si>
  <si>
    <t>Passeig del Terrall, 5, 25400 Les Borges Blanques, Lleida</t>
  </si>
  <si>
    <t>Borjas Blancas</t>
  </si>
  <si>
    <t>jardineriaterrall.cat</t>
  </si>
  <si>
    <t>973 14 27 05</t>
  </si>
  <si>
    <t>jardineriaterrall@jardineriaterrall.cat</t>
  </si>
  <si>
    <t>Floristería Art i Flor</t>
  </si>
  <si>
    <t>Carrer Marquès d&amp;apos;Olivart, 8, 25400 Les Borges Blanques, Lleida</t>
  </si>
  <si>
    <t>973 14 29 78</t>
  </si>
  <si>
    <t>Gineste&amp;apos;s</t>
  </si>
  <si>
    <t>Carrer Onze de Setembre, 8, 25140 Arbeca, Lleida</t>
  </si>
  <si>
    <t>Arbeca</t>
  </si>
  <si>
    <t>973 14 91 73</t>
  </si>
  <si>
    <t>Rapiplant Floristes</t>
  </si>
  <si>
    <t>Carrer de Sant Lluís, 61, 25600 Balaguer, Lleida</t>
  </si>
  <si>
    <t>Balaguer</t>
  </si>
  <si>
    <t>rapiplantfloristes.com</t>
  </si>
  <si>
    <t>973 44 92 59</t>
  </si>
  <si>
    <t>rapiplantfloristes@gmail.com</t>
  </si>
  <si>
    <t>FLORISTERÍA CASTELL</t>
  </si>
  <si>
    <t>Calle Reverendo, Carrer de Marc Comes, 8, BAJO, 25600 Balaguer, Lleida</t>
  </si>
  <si>
    <t>floristeriacastell.es</t>
  </si>
  <si>
    <t>973 45 01 38</t>
  </si>
  <si>
    <t>info@floristeriacastell.es</t>
  </si>
  <si>
    <t>Flors</t>
  </si>
  <si>
    <t>Ronda Sant Pere, 25230 Mollerussa, Lleida</t>
  </si>
  <si>
    <t>Can Gessé</t>
  </si>
  <si>
    <t>Carrer Major, 25100 Almacelles, Lleida</t>
  </si>
  <si>
    <t>cangesse.com</t>
  </si>
  <si>
    <t>640 57 00 96</t>
  </si>
  <si>
    <t>Floristeria Ginesta</t>
  </si>
  <si>
    <t>Carrer del Dr. Fleming, 42, 25600 Balaguer, Lleida</t>
  </si>
  <si>
    <t>floristeriaginesta.com</t>
  </si>
  <si>
    <t>625 34 15 44</t>
  </si>
  <si>
    <t>flors_ginesta@hotmail.com</t>
  </si>
  <si>
    <t>Minguell Floristería</t>
  </si>
  <si>
    <t>Carrer de Sant Roc, 2, 25250 Bellpuig, Lleida</t>
  </si>
  <si>
    <t>973 32 03 33</t>
  </si>
  <si>
    <t>Icafa 1477 S L U</t>
  </si>
  <si>
    <t>Carrer Amadeu Vives, 3, 25243 El Palau d&amp;apos;Anglesola, Lleida</t>
  </si>
  <si>
    <t>Palau de Anglesola</t>
  </si>
  <si>
    <t>973 60 11 46</t>
  </si>
  <si>
    <t>Planet Flor</t>
  </si>
  <si>
    <t>Carrer Jacint Verdaguer, 12, 25614 Gerb, Lleida</t>
  </si>
  <si>
    <t>Gerb</t>
  </si>
  <si>
    <t>planetflor.com</t>
  </si>
  <si>
    <t>687 44 78 46</t>
  </si>
  <si>
    <t>imma@planetflor.com</t>
  </si>
  <si>
    <t>Ilerflor S.l.</t>
  </si>
  <si>
    <t>Calle Vall d&amp;apos;Aran, km 3, 25196 Lleida</t>
  </si>
  <si>
    <t>ilerflor.com</t>
  </si>
  <si>
    <t>973 24 86 56</t>
  </si>
  <si>
    <t>comercial@ilerflor.com</t>
  </si>
  <si>
    <t>Floristeria-Herbodietètica PEPA PLANTA</t>
  </si>
  <si>
    <t>Av. Catalunya, 11, 25250 Bellpuig, Lleida</t>
  </si>
  <si>
    <t>Bellpuig</t>
  </si>
  <si>
    <t>973 32 23 08</t>
  </si>
  <si>
    <t>Floristería Pepita</t>
  </si>
  <si>
    <t>Carrer de l&amp;apos;Ermita, 2, 25260 Ivars d&amp;apos;Urgell, Lleida</t>
  </si>
  <si>
    <t>Ibars de Urgel</t>
  </si>
  <si>
    <t>973 58 01 21</t>
  </si>
  <si>
    <t>Casa Magrí</t>
  </si>
  <si>
    <t>Carrer de Pau Casals, 8, 25120 Alfarràs, Lleida</t>
  </si>
  <si>
    <t>Alfarrás</t>
  </si>
  <si>
    <t>973 76 00 55</t>
  </si>
  <si>
    <t>Flors Julita</t>
  </si>
  <si>
    <t>Carrer Rius I Tarroja, 1, 25332 La Fuliola, Lleida</t>
  </si>
  <si>
    <t>Fuliola</t>
  </si>
  <si>
    <t>Jardi de la Nimfa</t>
  </si>
  <si>
    <t>Manuel bertran 6 Baix esquerra, 25230 Mollerussa, Lleida</t>
  </si>
  <si>
    <t>658 12 31 89</t>
  </si>
  <si>
    <t>L&amp;apos;Hort D&amp;apos;en Bori</t>
  </si>
  <si>
    <t>Carrer Pompeu Fabra, 32, 25250 Bellpuig, Lleida</t>
  </si>
  <si>
    <t>616 67 84 15</t>
  </si>
  <si>
    <t>Floristeria Aquil·lea</t>
  </si>
  <si>
    <t>Carrer d&amp;apos;Àngel Guimerà, 10, 25310 Agramunt, Lleida</t>
  </si>
  <si>
    <t>Agramunt</t>
  </si>
  <si>
    <t>aquileajardin.es</t>
  </si>
  <si>
    <t>973 39 03 52</t>
  </si>
  <si>
    <t>info@aquileajardin.es</t>
  </si>
  <si>
    <t>Floristería Gili</t>
  </si>
  <si>
    <t>Carrer d&amp;apos;Àngel Guimerà, 22, 25310 Agramunt, Lleida</t>
  </si>
  <si>
    <t>973 39 16 41</t>
  </si>
  <si>
    <t>Flors Angels</t>
  </si>
  <si>
    <t>Carrer de Sant Pelegrí, 37, 25300 Tàrrega, Lleida</t>
  </si>
  <si>
    <t>Tárrega</t>
  </si>
  <si>
    <t>973 31 12 70</t>
  </si>
  <si>
    <t>Vilodi</t>
  </si>
  <si>
    <t>Carrer de Santa Anna, 10, 25300 Tàrrega, Lleida</t>
  </si>
  <si>
    <t>973 31 01 42</t>
  </si>
  <si>
    <t>Flors Montserrat</t>
  </si>
  <si>
    <t>Carrer Burgos, 33, 25200 Cervera, Lleida</t>
  </si>
  <si>
    <t>Cervera</t>
  </si>
  <si>
    <t>973 53 05 32</t>
  </si>
  <si>
    <t>Sercris La Botiga</t>
  </si>
  <si>
    <t>Av. Catalunya, 32, 25320 Anglesola, Lleida</t>
  </si>
  <si>
    <t>Anglesola</t>
  </si>
  <si>
    <t>973 30 82 56</t>
  </si>
  <si>
    <t>Floristería Estilflor</t>
  </si>
  <si>
    <t>Carrer de Barcelona, 46, 25600 Balaguer, Lleida</t>
  </si>
  <si>
    <t>973 44 76 80</t>
  </si>
  <si>
    <t>Floristeria El Ram</t>
  </si>
  <si>
    <t>Carrer del Pare Sanahüja, 24, 25600 Balaguer, Lleida</t>
  </si>
  <si>
    <t>floristeriaelram.com</t>
  </si>
  <si>
    <t>973 44 97 42</t>
  </si>
  <si>
    <t>raquel@floristeriaelram.com</t>
  </si>
  <si>
    <t>Productos Flower S.A. / Tecnologias verdes aplicadas S.L.</t>
  </si>
  <si>
    <t>Polígono Industrial la Canaleta s/n, 25300, Lleida</t>
  </si>
  <si>
    <t>productosflower.com</t>
  </si>
  <si>
    <t>973 50 01 88</t>
  </si>
  <si>
    <t>info@productosflower.com</t>
  </si>
  <si>
    <t>Floristeria Arrels</t>
  </si>
  <si>
    <t>Carrer Fluvià, 4, 25210 Guissona, Lleida</t>
  </si>
  <si>
    <t>Guisona</t>
  </si>
  <si>
    <t>649 59 66 25</t>
  </si>
  <si>
    <t>Floristeria Les Flors</t>
  </si>
  <si>
    <t>Avinguda Font de Valldans, 11, Baixos, 25740 Ponts, Lleida</t>
  </si>
  <si>
    <t>Ponts</t>
  </si>
  <si>
    <t>676 30 46 17</t>
  </si>
  <si>
    <t>Floristeria Florstil</t>
  </si>
  <si>
    <t>Passeig del Vall, 17, 25620 Tremp, Lleida</t>
  </si>
  <si>
    <t>Tremp</t>
  </si>
  <si>
    <t>florstiltremp.com</t>
  </si>
  <si>
    <t>973 65 11 03</t>
  </si>
  <si>
    <t>floristeriaflorstil@gmail.com</t>
  </si>
  <si>
    <t>Floristería Tot Flor</t>
  </si>
  <si>
    <t>Carrer Doctor Casanovas, 3, 25500 Pobla de Segur (la), Lleida</t>
  </si>
  <si>
    <t>973 66 00 14</t>
  </si>
  <si>
    <t>Flors Català</t>
  </si>
  <si>
    <t>Carrer de Sant Pelegrí, 4, 25300 Tàrrega, Lleida</t>
  </si>
  <si>
    <t>florscatala.com</t>
  </si>
  <si>
    <t>973 31 02 55</t>
  </si>
  <si>
    <t>elseuemail@exemple.com</t>
  </si>
  <si>
    <t>Floristeria Pètals Torredembarra</t>
  </si>
  <si>
    <t>Carrer de Lleida, 3, 43830 Torredembarra, Tarragona</t>
  </si>
  <si>
    <t>Torredembarra</t>
  </si>
  <si>
    <t>Tarragona</t>
  </si>
  <si>
    <t>floristeriapetals.cat</t>
  </si>
  <si>
    <t>977 64 01 27</t>
  </si>
  <si>
    <t>info@floristeriapetals.cat</t>
  </si>
  <si>
    <t>Flors Olivia</t>
  </si>
  <si>
    <t>km 94, Carretera C13, 25516 Sant Joan de Vinyafrescal, Lleida</t>
  </si>
  <si>
    <t>San Juan de Viñafrescal</t>
  </si>
  <si>
    <t>973 65 03 80</t>
  </si>
  <si>
    <t>Hort Calvís, S.L.</t>
  </si>
  <si>
    <t>Carrer Carretera Vella, 15, 25241 Golmés, Lleida</t>
  </si>
  <si>
    <t>Golmés</t>
  </si>
  <si>
    <t>hortcalvis.com</t>
  </si>
  <si>
    <t>973 60 15 56</t>
  </si>
  <si>
    <t>hortcalvis@gmail.com</t>
  </si>
  <si>
    <t>Floristeria Cal Ros</t>
  </si>
  <si>
    <t>Plaça de N&amp;apos;Antoni Guitart, 25280 Solsona, Lleida</t>
  </si>
  <si>
    <t>Solsona</t>
  </si>
  <si>
    <t>973 48 24 06</t>
  </si>
  <si>
    <t>Floristeria L‘Orquídea</t>
  </si>
  <si>
    <t>C/ del General Güell, 13, 25200 Cervera, Lleida</t>
  </si>
  <si>
    <t>973 53 27 90</t>
  </si>
  <si>
    <t>Foristería Flors i Plantes Mercè</t>
  </si>
  <si>
    <t>Carrer del Monestir de Lavaix, 14, 25520 El Pont de Suert, Lleida</t>
  </si>
  <si>
    <t>Pont de Suert</t>
  </si>
  <si>
    <t>elpontdesuert-pirineus.com</t>
  </si>
  <si>
    <t>973 69 02 76</t>
  </si>
  <si>
    <t>Floristería la Molinera</t>
  </si>
  <si>
    <t>Av. Sant Miquel del Pui, 21, 25500 La Pobla de Segur, Lleida</t>
  </si>
  <si>
    <t>Puebla de Segur</t>
  </si>
  <si>
    <t>Floristeria La Serra</t>
  </si>
  <si>
    <t>Plaça del Patalin, 2, baixos, 25700 La Seu d&amp;apos;Urgell, Lleida</t>
  </si>
  <si>
    <t>Seo de Urgel</t>
  </si>
  <si>
    <t>973 35 09 44</t>
  </si>
  <si>
    <t>Floristeria Florstil Pobla</t>
  </si>
  <si>
    <t>Av. Verdaguer, 8, 25500 La Pobla de Segur, Lleida</t>
  </si>
  <si>
    <t>609 76 46 10</t>
  </si>
  <si>
    <t>Floristería Balbina</t>
  </si>
  <si>
    <t>Carrer Major, 45, BAJO, 25700 La Seu d&amp;apos;Urgell, Lleida</t>
  </si>
  <si>
    <t>floristeriabalbina.es</t>
  </si>
  <si>
    <t>973 35 40 60</t>
  </si>
  <si>
    <t>info@floristeriabalbina.es</t>
  </si>
  <si>
    <t>Artiflor</t>
  </si>
  <si>
    <t>Carrer Soldevila, 23, 25620 Tremp, Lleida</t>
  </si>
  <si>
    <t>973 65 01 93</t>
  </si>
  <si>
    <t>7 de flors- Parisi flors</t>
  </si>
  <si>
    <t>Passeig de Prim, 13, 43202 Reus, Tarragona</t>
  </si>
  <si>
    <t>Reus</t>
  </si>
  <si>
    <t>7deflors.com</t>
  </si>
  <si>
    <t>977 32 32 02</t>
  </si>
  <si>
    <t>georgia@7deflors.com</t>
  </si>
  <si>
    <t>Bambú</t>
  </si>
  <si>
    <t>Avinguda de l&amp;apos;Alt Urgell, 1, 25790 Oliana, Lleida</t>
  </si>
  <si>
    <t>Oliana</t>
  </si>
  <si>
    <t>973 47 01 54</t>
  </si>
  <si>
    <t>ETH Jardinet</t>
  </si>
  <si>
    <t>Carrèr deth Rosèr, 13, 25530 Viella, Lleida</t>
  </si>
  <si>
    <t>Viella</t>
  </si>
  <si>
    <t>667 64 26 04</t>
  </si>
  <si>
    <t>Jerónimo Lozano Flores</t>
  </si>
  <si>
    <t>Carrer Francesc Gumà Ferran, 11, 43800 Valls, Tarragona</t>
  </si>
  <si>
    <t>Valls</t>
  </si>
  <si>
    <t>977 60 64 26</t>
  </si>
  <si>
    <t>Floristeria Canales</t>
  </si>
  <si>
    <t>Av. Huesca, 6, 22200 Sariñena, Huesca</t>
  </si>
  <si>
    <t>Sariñena</t>
  </si>
  <si>
    <t>974 57 07 30</t>
  </si>
  <si>
    <t>Georgia Flors</t>
  </si>
  <si>
    <t>Via Roma, 25, 43840 Salou, Tarragona</t>
  </si>
  <si>
    <t>Salou</t>
  </si>
  <si>
    <t>977 38 11 78</t>
  </si>
  <si>
    <t>La Diferencia</t>
  </si>
  <si>
    <t>938 14 11 11</t>
  </si>
  <si>
    <t>4 Estacions Floristeria</t>
  </si>
  <si>
    <t>Plaça Portal, 1, 25720 Bellver de Cerdanya, Lleida</t>
  </si>
  <si>
    <t>Bellver de Cerdaña</t>
  </si>
  <si>
    <t>973 51 01 35</t>
  </si>
  <si>
    <t>Jardí Flors i Plantes S C P</t>
  </si>
  <si>
    <t>Avinguda de la Generalitat, 9, 25560 Sort, Lleida</t>
  </si>
  <si>
    <t>Sort</t>
  </si>
  <si>
    <t>973 62 08 23</t>
  </si>
  <si>
    <t>Sitges Flower Shop -Luxury Flower Delivery Service To Sitges</t>
  </si>
  <si>
    <t>sitges-flowers.com</t>
  </si>
  <si>
    <t>603 22 86 50</t>
  </si>
  <si>
    <t>info@sitges-flowers.com</t>
  </si>
  <si>
    <t>Floristería El Roser</t>
  </si>
  <si>
    <t>Rambla Josep Maria Martí, 17, 17520 Puigcerdà, Girona</t>
  </si>
  <si>
    <t>Puigcerdá</t>
  </si>
  <si>
    <t>972 14 15 05</t>
  </si>
  <si>
    <t>Floristeria Fontanillas</t>
  </si>
  <si>
    <t>Carrer Major, 37, 08470 Sant Celoni, Barcelona</t>
  </si>
  <si>
    <t>San Celoni</t>
  </si>
  <si>
    <t>fontanillas.com</t>
  </si>
  <si>
    <t>938 67 03 99</t>
  </si>
  <si>
    <t>Germinova</t>
  </si>
  <si>
    <t>Polígon Industrial, Av. de Barcelona, 13-15, 08739 Sant Pere Molanta, Barcelona</t>
  </si>
  <si>
    <t>San Pedro Molanta</t>
  </si>
  <si>
    <t>germinova.cat</t>
  </si>
  <si>
    <t>938 92 31 61</t>
  </si>
  <si>
    <t>info@terrabit.cat</t>
  </si>
  <si>
    <t>My Bouquet - Envía Ramos de Flores a Domicilio</t>
  </si>
  <si>
    <t>Plaça Major, 5, 46600 Alzira, Valencia</t>
  </si>
  <si>
    <t>Alcira</t>
  </si>
  <si>
    <t>mybouquet.es</t>
  </si>
  <si>
    <t>960 01 93 03</t>
  </si>
  <si>
    <t>hola@mybouquet.es</t>
  </si>
  <si>
    <t>Floristería Más qué flores - Cappont - Lleida</t>
  </si>
  <si>
    <t>Carrer del Bruc, 19, 25001 Lleida</t>
  </si>
  <si>
    <t>973 83 16 96</t>
  </si>
  <si>
    <t>Floralium</t>
  </si>
  <si>
    <t>Carrer de Reding, 7, 43001 Tarragona</t>
  </si>
  <si>
    <t>floralium.es</t>
  </si>
  <si>
    <t>877 06 27 67</t>
  </si>
  <si>
    <t>info@floralium.es</t>
  </si>
  <si>
    <t>Floristería Mari &amp;amp; tusfloresonline</t>
  </si>
  <si>
    <t>Bloc Sant Mateu, 43007 Tarragona</t>
  </si>
  <si>
    <t>tusfloresonline.es</t>
  </si>
  <si>
    <t>654 51 94 14</t>
  </si>
  <si>
    <t>Floristeria Garden Flors Tarragona</t>
  </si>
  <si>
    <t>Carrer de López Peláez, 14, 43002 Tarragona</t>
  </si>
  <si>
    <t>tarragonagardenflors.com</t>
  </si>
  <si>
    <t>977 23 52 11</t>
  </si>
  <si>
    <t>Floristeria J.Pros</t>
  </si>
  <si>
    <t>Carrer de Sant Agustí, 1, 43003 Tarragona</t>
  </si>
  <si>
    <t>florspros.com</t>
  </si>
  <si>
    <t>977 23 44 20</t>
  </si>
  <si>
    <t>info@florspros.com</t>
  </si>
  <si>
    <t>Flors Carrió</t>
  </si>
  <si>
    <t>Rambla Nova, 67, 43003 Tarragona</t>
  </si>
  <si>
    <t>florscarrio.com</t>
  </si>
  <si>
    <t>977 23 42 25</t>
  </si>
  <si>
    <t>florscarrio@gmail.com</t>
  </si>
  <si>
    <t>5 The Fucking Flower Shop</t>
  </si>
  <si>
    <t>Rambla Nova, 25, 43001 Tarragona</t>
  </si>
  <si>
    <t>977 22 85 99</t>
  </si>
  <si>
    <t>&amp;quot;Tot en flors&amp;quot; Carmen Carrio</t>
  </si>
  <si>
    <t>Carrer del Governador González, 13, 43001 Tarragona</t>
  </si>
  <si>
    <t>totenflorscarmencarrio.com</t>
  </si>
  <si>
    <t>977 23 43 97</t>
  </si>
  <si>
    <t>carmen.florscarrio@gmail.com</t>
  </si>
  <si>
    <t>Floristeria Romeu</t>
  </si>
  <si>
    <t>Plaça de Mossèn Cinto Verdaguer, 10, 43003 Tarragona</t>
  </si>
  <si>
    <t>floristeriaromeu.cat</t>
  </si>
  <si>
    <t>977 23 06 96</t>
  </si>
  <si>
    <t>info@floristeriaromeu.com</t>
  </si>
  <si>
    <t>Monceau Fleurs</t>
  </si>
  <si>
    <t>Av. Prat de la Riba, 33, 43001 Tarragona</t>
  </si>
  <si>
    <t>monceaufleurstarragona.com</t>
  </si>
  <si>
    <t>977 23 21 03</t>
  </si>
  <si>
    <t>Floristeria Canyes</t>
  </si>
  <si>
    <t>Carrer de Falset, 21, 43006 Tarragona</t>
  </si>
  <si>
    <t>977 54 04 60</t>
  </si>
  <si>
    <t>Flors Magda</t>
  </si>
  <si>
    <t>Chalet, Carrer del Monestir de Poblet, 31, 43002 Tarragona</t>
  </si>
  <si>
    <t>977 22 28 97</t>
  </si>
  <si>
    <t>Ctra. del Cementerio, 5, 43007 Tarragona</t>
  </si>
  <si>
    <t>floristeriaromeu.com</t>
  </si>
  <si>
    <t>977 22 63 55</t>
  </si>
  <si>
    <t>Flors Esther</t>
  </si>
  <si>
    <t>Avinguda del Doctor Santiago Ramón y Cajal, 35, 43001 Tarragona</t>
  </si>
  <si>
    <t>Aiguamúrcia</t>
  </si>
  <si>
    <t>florsesther.com</t>
  </si>
  <si>
    <t>977 22 05 12</t>
  </si>
  <si>
    <t>Llorenç Floristería</t>
  </si>
  <si>
    <t>Carrer Major, 25, 43003 Tarragona</t>
  </si>
  <si>
    <t>977 23 92 28</t>
  </si>
  <si>
    <t>Rosa Roca flors i plantas</t>
  </si>
  <si>
    <t>Edifici Equador, 3B, 43007 Tarragona</t>
  </si>
  <si>
    <t>Spanish Decorative Flower Co</t>
  </si>
  <si>
    <t>Carrer Valls, 0, 43006 Tarragona</t>
  </si>
  <si>
    <t>977 68 77 75</t>
  </si>
  <si>
    <t>Floristería Vecchio Scp</t>
  </si>
  <si>
    <t>Plaça dels Sedassos, 32, 43003 Tarragona</t>
  </si>
  <si>
    <t>Art - Floristeria</t>
  </si>
  <si>
    <t>Carrer Cristòfor Colom, 17, 43001 Tarragona</t>
  </si>
  <si>
    <t>Romeu</t>
  </si>
  <si>
    <t>Carrer de la Reina Maria Cristina, 14, 43002 Tarragona</t>
  </si>
  <si>
    <t>María Pineda Alcove Graset</t>
  </si>
  <si>
    <t>Carrer de Sant Pere, 34, 43004 Tarragona</t>
  </si>
  <si>
    <t>fercatarragona.com</t>
  </si>
  <si>
    <t>977 39 11 46</t>
  </si>
  <si>
    <t>Flors Encarna</t>
  </si>
  <si>
    <t>Carrer Dr. Mallafré Guasch, 4, 43007 Tarragona</t>
  </si>
  <si>
    <t>Floristeria Artesaniaflorae</t>
  </si>
  <si>
    <t>Carrer Major, 24, 43480 Vila-seca, Tarragona</t>
  </si>
  <si>
    <t>Vilaseca</t>
  </si>
  <si>
    <t>artesaniaflorae.com</t>
  </si>
  <si>
    <t>977 39 09 32</t>
  </si>
  <si>
    <t>jukka@artesaniaflorae.com</t>
  </si>
  <si>
    <t>Pinsos I Flors</t>
  </si>
  <si>
    <t>43007 Tarragona</t>
  </si>
  <si>
    <t>Animaladas</t>
  </si>
  <si>
    <t>Carrer dels Rebolledo, 19, 43004 Tarragona</t>
  </si>
  <si>
    <t>animaladas.jimdosite.com</t>
  </si>
  <si>
    <t>630 04 29 58</t>
  </si>
  <si>
    <t>El Taller de Les Flors</t>
  </si>
  <si>
    <t>Carrer de la Font, 48, 43480 Vila-seca, Tarragona</t>
  </si>
  <si>
    <t>eltallerdelesflors.com</t>
  </si>
  <si>
    <t>977 39 14 84</t>
  </si>
  <si>
    <t>Comercial Esteles</t>
  </si>
  <si>
    <t>Calle d&amp;apos;Antoni, Carrer Rovira i Virgili, 40, bajos, 43002 Tarragona</t>
  </si>
  <si>
    <t>977 24 93 19</t>
  </si>
  <si>
    <t>Flors Patricia</t>
  </si>
  <si>
    <t>Calle Sant Vicent, 4 -6-, 43001 Tarragona</t>
  </si>
  <si>
    <t>977 66 00 30</t>
  </si>
  <si>
    <t>Las Mil y Una Flor</t>
  </si>
  <si>
    <t>Carrer Major, 60, 43840 Salou, Tarragona</t>
  </si>
  <si>
    <t>977 35 12 30</t>
  </si>
  <si>
    <t>Estrella Lainez</t>
  </si>
  <si>
    <t>Carrer de València, 11, 43840 Salou, Tarragona</t>
  </si>
  <si>
    <t>estrellalainez.com</t>
  </si>
  <si>
    <t>977 38 12 77</t>
  </si>
  <si>
    <t>hola@estrellalainez.com</t>
  </si>
  <si>
    <t>Flors i Plantes Montserrat</t>
  </si>
  <si>
    <t>Carrer Joan Maragall, s/n, 43760 El Morell, Tarragona</t>
  </si>
  <si>
    <t>El Morell</t>
  </si>
  <si>
    <t>977 84 08 97</t>
  </si>
  <si>
    <t>Floristeria Gesi</t>
  </si>
  <si>
    <t>Av. del President Companys, 20, 43201 Reus, Tarragona</t>
  </si>
  <si>
    <t>florsgesi.com</t>
  </si>
  <si>
    <t>977 31 24 21</t>
  </si>
  <si>
    <t>monika@floresreus.com</t>
  </si>
  <si>
    <t>Art floral Vallribera</t>
  </si>
  <si>
    <t>Av. del President Macià, 7, 43204 Reus, Tarragona</t>
  </si>
  <si>
    <t>artfloralvallribera.com</t>
  </si>
  <si>
    <t>877 07 31 42</t>
  </si>
  <si>
    <t>logo-interflora@2x-e1537283039452.png</t>
  </si>
  <si>
    <t>El Racó de los Flors</t>
  </si>
  <si>
    <t>Avinguda de la Salle, 7, 43205 Reus, Tarragona</t>
  </si>
  <si>
    <t>977 30 17 66</t>
  </si>
  <si>
    <t>Flors Cort Floristería.</t>
  </si>
  <si>
    <t>Raval de Robuster, 33, 43204 Reus, Tarragona</t>
  </si>
  <si>
    <t>flors-cort-reus.business.site</t>
  </si>
  <si>
    <t>977 34 01 05</t>
  </si>
  <si>
    <t>Floristería Romy</t>
  </si>
  <si>
    <t>Raval del Pallol, 4, 43201 Reus, Tarragona</t>
  </si>
  <si>
    <t>romy.es</t>
  </si>
  <si>
    <t>977 34 17 04</t>
  </si>
  <si>
    <t>info@romy.es</t>
  </si>
  <si>
    <t>Floresit</t>
  </si>
  <si>
    <t>Carrer de la Vicaria, 15, BAJOS, 43205 Reus, Tarragona</t>
  </si>
  <si>
    <t>floresit.com</t>
  </si>
  <si>
    <t>977 75 64 82</t>
  </si>
  <si>
    <t>floresit@slave.com</t>
  </si>
  <si>
    <t>Romy Disseny Floral</t>
  </si>
  <si>
    <t>Arrabal Pallol, 4, 43201 Reus, Tarragona</t>
  </si>
  <si>
    <t>FLORS PER TU</t>
  </si>
  <si>
    <t>AV dr.vilaseca n°14 bj 3 cantonada rogert del belfort, 43202 Reus, Tarragona</t>
  </si>
  <si>
    <t>florspertu.com</t>
  </si>
  <si>
    <t>977 78 15 31</t>
  </si>
  <si>
    <t>florspertureus@gmail.com</t>
  </si>
  <si>
    <t>Floristería Gessami</t>
  </si>
  <si>
    <t>Avenida De Bellissens, 3 - Local (Hospital Sant Joan de Reus), 43206 Reus, Tarragona</t>
  </si>
  <si>
    <t>977 33 22 22</t>
  </si>
  <si>
    <t>Jaime Heras Llobet</t>
  </si>
  <si>
    <t>Carrer de la Sardana, 12, 43760 Morell (El), Tarragona</t>
  </si>
  <si>
    <t>977 84 01 63</t>
  </si>
  <si>
    <t>Andreea&amp;apos;s Roses / Cajas de flores preservadas y de jabon, Ramo novia, Copas novios, Centros de mesa</t>
  </si>
  <si>
    <t>Carrer de la Galera, 10, 43201 Reus, Tarragona</t>
  </si>
  <si>
    <t>andreeasroses.com</t>
  </si>
  <si>
    <t>663 34 48 38</t>
  </si>
  <si>
    <t>andreeasroses@gmail.com</t>
  </si>
  <si>
    <t>Centre Botanic S L</t>
  </si>
  <si>
    <t>Camí de Riudoms, 7, 43201 Reus, Tarragona</t>
  </si>
  <si>
    <t>centrebotanic-reus.com</t>
  </si>
  <si>
    <t>649 83 35 88</t>
  </si>
  <si>
    <t>Comercial Gesi</t>
  </si>
  <si>
    <t>977 31 22 42</t>
  </si>
  <si>
    <t>Floristeria Trevol</t>
  </si>
  <si>
    <t>Carrer d&amp;apos;Antoni Fabra i Ribas, 2, 43205 Reus, Tarragona</t>
  </si>
  <si>
    <t>floristeriatrevol.com</t>
  </si>
  <si>
    <t>977 77 31 01</t>
  </si>
  <si>
    <t>info@floristeriatrevol.com</t>
  </si>
  <si>
    <t>Artbreda</t>
  </si>
  <si>
    <t>Carrer Gaudí, 4, 43760 El Morell, Tarragona</t>
  </si>
  <si>
    <t>artbreda.blog</t>
  </si>
  <si>
    <t>686 46 73 24</t>
  </si>
  <si>
    <t>Corts Duaso</t>
  </si>
  <si>
    <t>Carrer de Sant Elies, 5, 43201 Reus, Tarragona</t>
  </si>
  <si>
    <t>977 31 50 53</t>
  </si>
  <si>
    <t>Ea7</t>
  </si>
  <si>
    <t>Carrer dels Muntanyals, 43481 Platja de la Pineda, Tarragona</t>
  </si>
  <si>
    <t>La Pineda</t>
  </si>
  <si>
    <t>Jaime Estalella Canals</t>
  </si>
  <si>
    <t>Vicente Leoncio García Marqués</t>
  </si>
  <si>
    <t>Avenida Jaume I, 53, 43205 Reus, Tarragona</t>
  </si>
  <si>
    <t>977 75 79 70</t>
  </si>
  <si>
    <t>Floristería Myosotis Art Floral</t>
  </si>
  <si>
    <t>Carrer del General Moragues, 74, Bajos, 43203 Reus, Tarragona</t>
  </si>
  <si>
    <t>myosotisartfloral.es</t>
  </si>
  <si>
    <t>977 31 96 10</t>
  </si>
  <si>
    <t>artfloralmyosotis@hotmail.com</t>
  </si>
  <si>
    <t>Pupi Flors</t>
  </si>
  <si>
    <t>Carrer de Joan Güell, 13, bajos, 43830 Torredembarra, Tarragona</t>
  </si>
  <si>
    <t>977 64 44 17</t>
  </si>
  <si>
    <t>Edmond Fortuny Pintaluba</t>
  </si>
  <si>
    <t>Carrer Major, 29, 43470 Selva Del Camp ( La ), Tarragona</t>
  </si>
  <si>
    <t>La Selva del Campo</t>
  </si>
  <si>
    <t>977 84 41 40</t>
  </si>
  <si>
    <t>Esther Huguet Ferrant</t>
  </si>
  <si>
    <t>Carrer dels Molins Nous, 1, 43330 Riudoms, Tarragona</t>
  </si>
  <si>
    <t>Riudoms</t>
  </si>
  <si>
    <t>977 85 06 20</t>
  </si>
  <si>
    <t>Art Floral Vallribera</t>
  </si>
  <si>
    <t>Ctra. Riudoms - Cambrils, km.1 Crta, TV-3142, 43330 Riudoms, Tarragona</t>
  </si>
  <si>
    <t>877 00 10 72</t>
  </si>
  <si>
    <t>Centre de jardineria pobla plant</t>
  </si>
  <si>
    <t>Carretera km 2,5, La Pobla de Montornès</t>
  </si>
  <si>
    <t>Pobla de Montornés</t>
  </si>
  <si>
    <t>La Pobla de Montornès</t>
  </si>
  <si>
    <t>650 04 94 70</t>
  </si>
  <si>
    <t>Projectes Florals Riudoms</t>
  </si>
  <si>
    <t>Carrer de Sant Bonifaci, 4, 43330 Riudoms, Tarragona</t>
  </si>
  <si>
    <t>gavaldapf.blogspot.com.es</t>
  </si>
  <si>
    <t>652 61 24 34</t>
  </si>
  <si>
    <t>gavaldapf@gmail.com</t>
  </si>
  <si>
    <t>floristeria punt verd</t>
  </si>
  <si>
    <t>Carrer de Sant Vicenç, 39, 43201 Reus, Tarragona</t>
  </si>
  <si>
    <t>977 34 00 37</t>
  </si>
  <si>
    <t>Flors Ramon Abellà</t>
  </si>
  <si>
    <t>Carrer de Ramon Llull, 29, 43850 Cambrils, Tarragona</t>
  </si>
  <si>
    <t>Cambrils</t>
  </si>
  <si>
    <t>deflorenflor.es</t>
  </si>
  <si>
    <t>977 36 06 31</t>
  </si>
  <si>
    <t>Floristeria Valls</t>
  </si>
  <si>
    <t>Carrer Vapor de Maó, 13, 43800 Valls, Tarragona</t>
  </si>
  <si>
    <t>floristeriavalls.com</t>
  </si>
  <si>
    <t>666 69 87 08</t>
  </si>
  <si>
    <t>info@floristeriavalls.com</t>
  </si>
  <si>
    <t>Hiver Gavaldà S L</t>
  </si>
  <si>
    <t>977 85 00 23</t>
  </si>
  <si>
    <t>Vivers I Jardinera Jordis S L</t>
  </si>
  <si>
    <t>Carrer de Sant Antoni, 13, 43330 Riudoms, Tarragona</t>
  </si>
  <si>
    <t>977 85 00 05</t>
  </si>
  <si>
    <t>Plantes i Flors Nino</t>
  </si>
  <si>
    <t>Av. del Fornàs, 14, BAJO, 43800 Valls, Tarragona</t>
  </si>
  <si>
    <t>floristerianino.com</t>
  </si>
  <si>
    <t>977 61 31 08</t>
  </si>
  <si>
    <t>floristerianino@gmail.com</t>
  </si>
  <si>
    <t>Floristeria Miquel Roca</t>
  </si>
  <si>
    <t>Carrer Jacint Verdaguer, 1, 43800 Valls, Tarragona</t>
  </si>
  <si>
    <t>609 02 14 15</t>
  </si>
  <si>
    <t>Plaça Font de la Manxa, 1, 43800 Valls, Tarragona</t>
  </si>
  <si>
    <t>686 36 56 33</t>
  </si>
  <si>
    <t>Flores Elisabeth Roselló</t>
  </si>
  <si>
    <t>Pol Ind Avenar, Carrer Comerç, 3, 43883 Roda de Berà, Tarragona</t>
  </si>
  <si>
    <t>elisabethrosello.com</t>
  </si>
  <si>
    <t>977 65 78 29</t>
  </si>
  <si>
    <t>MOMENTS Garden Urba</t>
  </si>
  <si>
    <t>Carrer Vapor de Maó, 11, 43800 Valls, Tarragona</t>
  </si>
  <si>
    <t>Ingrid virgili floral art &amp;amp; events</t>
  </si>
  <si>
    <t>Avinguda Sant Jordi, 12, 43883 Roda de Berà, Tarragona</t>
  </si>
  <si>
    <t>Roda de Bará</t>
  </si>
  <si>
    <t>633 23 25 74</t>
  </si>
  <si>
    <t>Anna Abellà Floristes</t>
  </si>
  <si>
    <t>Carrer de Sant Isidre, 7, 43850 Cambrils, Tarragona</t>
  </si>
  <si>
    <t>ubcambrils.com</t>
  </si>
  <si>
    <t>977 36 07 04</t>
  </si>
  <si>
    <t>ubc@ubcambrils.com</t>
  </si>
  <si>
    <t>Silva Garden</t>
  </si>
  <si>
    <t>silvagarden.com</t>
  </si>
  <si>
    <t>649 90 74 40</t>
  </si>
  <si>
    <t>jardineria@silvagarden.com</t>
  </si>
  <si>
    <t>Els 4 Cantons</t>
  </si>
  <si>
    <t>Carrer del Rec, 16, 43460 Alcover, Tarragona</t>
  </si>
  <si>
    <t>Alcover</t>
  </si>
  <si>
    <t>977 84 60 44</t>
  </si>
  <si>
    <t>Floristeria Sanromà &amp;quot;El Vendrell&amp;quot; Porta la Rosa de Sant Jordi a Casa</t>
  </si>
  <si>
    <t>Carrer de Montserrat, 14, 43700 El Vendrell, Tarragona</t>
  </si>
  <si>
    <t>El Vendrell</t>
  </si>
  <si>
    <t>floristeriasanroma.blogspot.com</t>
  </si>
  <si>
    <t>977 66 29 49</t>
  </si>
  <si>
    <t>floristeriasanroma@gmail.com</t>
  </si>
  <si>
    <t>Flor Àuria</t>
  </si>
  <si>
    <t>Carrer del Bisbe Barberà, 2, 43460 Alcover, Tarragona</t>
  </si>
  <si>
    <t>florauria.com</t>
  </si>
  <si>
    <t>630 55 63 91</t>
  </si>
  <si>
    <t>atelier@florauria.com</t>
  </si>
  <si>
    <t>Floristería Fl Marcé</t>
  </si>
  <si>
    <t>Avinguda de Barcelona, 41, 43892 Miami Platja, Tarragona</t>
  </si>
  <si>
    <t>Miami Playa</t>
  </si>
  <si>
    <t>977 17 06 10</t>
  </si>
  <si>
    <t>Flors Duende</t>
  </si>
  <si>
    <t>Carrer de la Indústria, 50, 43700 El Vendrell, Tarragona</t>
  </si>
  <si>
    <t>Floristería Lylium</t>
  </si>
  <si>
    <t>Carrer de Tivissa, 10, 43890 Hospitalet de L&amp;apos;Infant (L&amp;apos;), Tarragona</t>
  </si>
  <si>
    <t>Hospitalet del Infante</t>
  </si>
  <si>
    <t>floristerialylium.cat</t>
  </si>
  <si>
    <t>628 81 96 60</t>
  </si>
  <si>
    <t>soniasaezdeguinoa@gmail.com</t>
  </si>
  <si>
    <t>Floristeria Kursaal</t>
  </si>
  <si>
    <t>Carrer Major, 11, 13, 43400 Montblanc, Tarragona</t>
  </si>
  <si>
    <t>Montblanc</t>
  </si>
  <si>
    <t>floristeriakursaal.com</t>
  </si>
  <si>
    <t>977 86 11 89</t>
  </si>
  <si>
    <t>kursaalfloristeria@gmail.com</t>
  </si>
  <si>
    <t>Floristería En Cunit (Floristería Alex)</t>
  </si>
  <si>
    <t>Av. de Tarragona, 17, 43881 Cunit, Tarragona</t>
  </si>
  <si>
    <t>Cunit</t>
  </si>
  <si>
    <t>floresonlinealex.com</t>
  </si>
  <si>
    <t>633 64 10 74</t>
  </si>
  <si>
    <t>Agroquimica Recasens s.l.</t>
  </si>
  <si>
    <t>Carrer Sant Antoni, 59, 43800 Valls, Tarragona</t>
  </si>
  <si>
    <t>agroquimicarecasens.com</t>
  </si>
  <si>
    <t>977 61 36 03</t>
  </si>
  <si>
    <t>agroquimicarecasens@gmail.com</t>
  </si>
  <si>
    <t>Jardinería Santi</t>
  </si>
  <si>
    <t>Calle Narcís, 43 (Urb, 43882 Valldemar, Tarragona</t>
  </si>
  <si>
    <t>Segur de Calafell</t>
  </si>
  <si>
    <t>620 37 25 44</t>
  </si>
  <si>
    <t>Agroconca floristeria jardineria</t>
  </si>
  <si>
    <t>Muralla de Sta. Tecla, 79, 43400 Montblanc, Tarragona</t>
  </si>
  <si>
    <t>agroconca.com</t>
  </si>
  <si>
    <t>977 86 07 59</t>
  </si>
  <si>
    <t>agroconca@agroconca.com</t>
  </si>
  <si>
    <t>Av. del Priorat, 3, 43730 Falset, Tarragona</t>
  </si>
  <si>
    <t>Falset</t>
  </si>
  <si>
    <t>lafloristeriafalset.com</t>
  </si>
  <si>
    <t>977 78 86 48</t>
  </si>
  <si>
    <t>Espai Natural</t>
  </si>
  <si>
    <t>Carrer Noguera, 19, 43440 L&amp;apos;Espluga de Francolí, Tarragona</t>
  </si>
  <si>
    <t>Espluga de Francolí</t>
  </si>
  <si>
    <t>977 87 07 20</t>
  </si>
  <si>
    <t>Floristeria Pagès</t>
  </si>
  <si>
    <t>Carrer de (El, La Rambla, 5, 43700 El Vendrell, Tarragona</t>
  </si>
  <si>
    <t>pagesfloristesbymarina.es</t>
  </si>
  <si>
    <t>977 66 07 39</t>
  </si>
  <si>
    <t>pagesfloristesbymarina@gmail.com</t>
  </si>
  <si>
    <t>Garden Masia Vallense / Masia Vallense studio Floral</t>
  </si>
  <si>
    <t>ctra N-240, Km 18,400, 43800 Valls, Tarragona</t>
  </si>
  <si>
    <t>gardenmasiavallense.com</t>
  </si>
  <si>
    <t>977 60 47 66</t>
  </si>
  <si>
    <t>garden@gardenmasiavallense.com</t>
  </si>
  <si>
    <t>Floristeria Jardimar</t>
  </si>
  <si>
    <t>Carrer Sant Roc, 27, 43860 L&amp;apos;Ametlla de Mar, Tarragona</t>
  </si>
  <si>
    <t>La Ametlla de Mar</t>
  </si>
  <si>
    <t>977 49 36 67</t>
  </si>
  <si>
    <t>Floristeria 1808 L´Arboç</t>
  </si>
  <si>
    <t>Av. dels Herois de 1808, nº61, 43720 L&amp;apos;Arboç, Tarragona</t>
  </si>
  <si>
    <t>Arbós</t>
  </si>
  <si>
    <t>977 16 76 40</t>
  </si>
  <si>
    <t>Flores Monserrat</t>
  </si>
  <si>
    <t>Calle Major, 16 -18, 43429 Aguiló, Tarragona</t>
  </si>
  <si>
    <t>977 88 11 30</t>
  </si>
  <si>
    <t>Agrocamp Floristes</t>
  </si>
  <si>
    <t>Carrer Dr. Peris, 26, Local B, 43740 Móra d&amp;apos;Ebre, Tarragona</t>
  </si>
  <si>
    <t>Mora de Ebro</t>
  </si>
  <si>
    <t>977 40 19 24</t>
  </si>
  <si>
    <t>Mercamasos c.b.</t>
  </si>
  <si>
    <t>Carrer Major, 68, 43770 Móra la Nova, Tarragona</t>
  </si>
  <si>
    <t>Mora la Nueva</t>
  </si>
  <si>
    <t>977 40 31 75</t>
  </si>
  <si>
    <t>El Jardinet</t>
  </si>
  <si>
    <t>Carrer Major, 43750 Flix, Tarragona</t>
  </si>
  <si>
    <t>Flix</t>
  </si>
  <si>
    <t>977 41 22 15</t>
  </si>
  <si>
    <t>Carrer Major, 55, 43580 Deltebre, Tarragona</t>
  </si>
  <si>
    <t>Deltebre</t>
  </si>
  <si>
    <t>977 48 01 52</t>
  </si>
  <si>
    <t>Punt Verd Plantes I Flors</t>
  </si>
  <si>
    <t>Carrer de Bonaire, 80, 43740 Móra d&amp;apos;Ebre, Tarragona</t>
  </si>
  <si>
    <t>Floristeria El Trèvol</t>
  </si>
  <si>
    <t>Tel 687507220, Carrer Major, 6, 43780 Gandesa, Tarragona</t>
  </si>
  <si>
    <t>Gandesa</t>
  </si>
  <si>
    <t>977 42 07 22</t>
  </si>
  <si>
    <t>La Flor De La Llar</t>
  </si>
  <si>
    <t>Carrer Major, 22, 43520 Roquetes, Tarragona</t>
  </si>
  <si>
    <t>Roquetas</t>
  </si>
  <si>
    <t>soldebre.es</t>
  </si>
  <si>
    <t>977 58 10 20</t>
  </si>
  <si>
    <t>soldebre@soldebre.es</t>
  </si>
  <si>
    <t>NOVA ART INTERIORISME+FLORS</t>
  </si>
  <si>
    <t>Av. de Catalunya, 10, 43750 Flix, Tarragona</t>
  </si>
  <si>
    <t>977 41 00 21</t>
  </si>
  <si>
    <t>Blanca Panisello Sentís</t>
  </si>
  <si>
    <t>Av. Catalunya, 15, 43580 Deltebre, Tarragona</t>
  </si>
  <si>
    <t>977 48 94 16</t>
  </si>
  <si>
    <t>Domingo Ranis Monclús</t>
  </si>
  <si>
    <t>Av. de Catalunya, 15, 43750 Flix, Tarragona</t>
  </si>
  <si>
    <t>Flors Miriam</t>
  </si>
  <si>
    <t>Carrer de Mossèn Manyà, 2, 43780 Gandesa, Tarragona</t>
  </si>
  <si>
    <t>977 42 05 94</t>
  </si>
  <si>
    <t>Neus Espinós Molí</t>
  </si>
  <si>
    <t>Carrer Doctor Fleming, 15, 43896 L&amp;apos;Aldea, Tarragona</t>
  </si>
  <si>
    <t>La Aldea</t>
  </si>
  <si>
    <t>977 45 00 05</t>
  </si>
  <si>
    <t>Flors Naturals</t>
  </si>
  <si>
    <t>Carrer Góngora, 73, 43870 Amposta, Tarragona</t>
  </si>
  <si>
    <t>Amposta</t>
  </si>
  <si>
    <t>977 70 33 13</t>
  </si>
  <si>
    <t>Flors Ana</t>
  </si>
  <si>
    <t>Passeig del Canal, 41, 43870 Amposta, Tarragona</t>
  </si>
  <si>
    <t>977 70 60 82</t>
  </si>
  <si>
    <t>Flors I Violes</t>
  </si>
  <si>
    <t>Carrer d&amp;apos;en Gorria, 16, 43540 Sant Carles de la Ràpita, Tarragona</t>
  </si>
  <si>
    <t>San Carlos de la Rápita</t>
  </si>
  <si>
    <t>977 74 24 90</t>
  </si>
  <si>
    <t>A el taller. Flor. Floristeria</t>
  </si>
  <si>
    <t>Passeig del Canal, 9, 43870 Amposta, Tarragona</t>
  </si>
  <si>
    <t>679 68 89 20</t>
  </si>
  <si>
    <t>Antonio Lara Santos</t>
  </si>
  <si>
    <t>Carrer de la Parra, 5, 43500 Tortosa, Tarragona</t>
  </si>
  <si>
    <t>Tortosa</t>
  </si>
  <si>
    <t>977 44 43 16</t>
  </si>
  <si>
    <t>Carrer Sant Isidre, 7, 43540 Sant Carles de la Ràpita, Tarragona</t>
  </si>
  <si>
    <t>977 74 13 89</t>
  </si>
  <si>
    <t>Dos Estels</t>
  </si>
  <si>
    <t>Carrer Lluís Companys, 13, 43519 El Perelló, Tarragona</t>
  </si>
  <si>
    <t>El Perelló</t>
  </si>
  <si>
    <t>637 80 57 38</t>
  </si>
  <si>
    <t>FLORISTERIA IRIS</t>
  </si>
  <si>
    <t>Passatge Fluvià, 1, 08812 Sant Pere de Ribes, Barcelona</t>
  </si>
  <si>
    <t>San Pedro de Ribas</t>
  </si>
  <si>
    <t>938 14 54 10</t>
  </si>
  <si>
    <t>Flors y plantes Astrid</t>
  </si>
  <si>
    <t>43700 El Vendrell, Tarragona</t>
  </si>
  <si>
    <t>977 66 83 97</t>
  </si>
  <si>
    <t>AMAL 14 SCCL</t>
  </si>
  <si>
    <t>Avenida Del Polígono Industrial, 31, 43750 Flix, Tarragona</t>
  </si>
  <si>
    <t>977 41 00 42</t>
  </si>
  <si>
    <t>Lluna Plena Flors</t>
  </si>
  <si>
    <t>Carrer de l&amp;apos;Aigua, 38, 08800 Vilanova i la Geltrú, Barcelona</t>
  </si>
  <si>
    <t>Villanueva y Geltrú</t>
  </si>
  <si>
    <t>938 14 26 35</t>
  </si>
  <si>
    <t>Floristería Art Tupiari</t>
  </si>
  <si>
    <t>Carrer d&amp;apos;Ignasi Iglesias, 30, 08720 Vilafranca del Penedès, Barcelona</t>
  </si>
  <si>
    <t>Villafranca del Panadés</t>
  </si>
  <si>
    <t>arttupiari.com</t>
  </si>
  <si>
    <t>938 90 06 45</t>
  </si>
  <si>
    <t>Floristería Neus</t>
  </si>
  <si>
    <t>Carrer Sant Antoni, 20, 43560 La Sénia, Tarragona</t>
  </si>
  <si>
    <t>La Sénia</t>
  </si>
  <si>
    <t>977 71 38 29</t>
  </si>
  <si>
    <t>Tost Floristes</t>
  </si>
  <si>
    <t>Carrer de Teodor González, 30, 43500 Tortosa, Tarragona</t>
  </si>
  <si>
    <t>tostfloristes.com</t>
  </si>
  <si>
    <t>977 44 03 37</t>
  </si>
  <si>
    <t>Gonflor Floristería</t>
  </si>
  <si>
    <t>Carrer Ajuntament, 3, BAJO, 08810 Sant Pere de Ribes, Barcelona</t>
  </si>
  <si>
    <t>gonflor.com</t>
  </si>
  <si>
    <t>938 96 05 76</t>
  </si>
  <si>
    <t>Floristeria Roses d&amp;apos;Abril</t>
  </si>
  <si>
    <t>Carrer Major, 53, 43570 Santa Bàrbara, Tarragona</t>
  </si>
  <si>
    <t>Santa Bárbara</t>
  </si>
  <si>
    <t>977 71 87 05</t>
  </si>
  <si>
    <t>Floristería L´ Arrel , Flores a domicilio</t>
  </si>
  <si>
    <t>Avinguda de la Constitució, 13, 43530 Alcanar, Tarragona</t>
  </si>
  <si>
    <t>Alcanar</t>
  </si>
  <si>
    <t>977 73 11 40</t>
  </si>
  <si>
    <t>Joan Coll Olivé S.L.</t>
  </si>
  <si>
    <t>gamma.es</t>
  </si>
  <si>
    <t>977 83 08 95</t>
  </si>
  <si>
    <t>johndoe@domain.com</t>
  </si>
  <si>
    <t>Floristerías Los Claveles</t>
  </si>
  <si>
    <t>Calle Romero Córdoba, 14, 51002 Ceuta</t>
  </si>
  <si>
    <t>Ceuta</t>
  </si>
  <si>
    <t>956 50 81 53</t>
  </si>
  <si>
    <t>Abselam Mohamed Salah</t>
  </si>
  <si>
    <t>Calle Fajardo Martínez, 15, 51002 Ceuta</t>
  </si>
  <si>
    <t>956 50 93 86</t>
  </si>
  <si>
    <t>Plaza de los Reyes, s/n, 51001 Ceuta</t>
  </si>
  <si>
    <t>floristerialara.es</t>
  </si>
  <si>
    <t>956 51 48 17</t>
  </si>
  <si>
    <t>javilaraceuta@hotmail.es</t>
  </si>
  <si>
    <t>Av. Alcalde José Victori Goñalons, 4, 51001 Ceuta</t>
  </si>
  <si>
    <t>956 51 89 84</t>
  </si>
  <si>
    <t>Floristería Goyo</t>
  </si>
  <si>
    <t>Mercado Central Abastos de, Plaza de la Constitución, 11, Escalera izquierda, 51001 Ceuta</t>
  </si>
  <si>
    <t>floristeriagoyo.es</t>
  </si>
  <si>
    <t>956 51 05 27</t>
  </si>
  <si>
    <t>Mohamed Salah, A.</t>
  </si>
  <si>
    <t>Calle Vallejo Benítez, 20, 51002 Ceuta</t>
  </si>
  <si>
    <t>956 50 23 15</t>
  </si>
  <si>
    <t>ARLETT ARTESANIA FLORAL - Floristerías Alicante-Tienda Online. Entrega a Domicilio</t>
  </si>
  <si>
    <t>Avenida Pintor Xavier Soler, 03015 Alacant, Alicante</t>
  </si>
  <si>
    <t>Alicante (Alacant)</t>
  </si>
  <si>
    <t>arlettartesaniafloral.com</t>
  </si>
  <si>
    <t>966 35 90 76</t>
  </si>
  <si>
    <t>Floristería Buccaro Alicante</t>
  </si>
  <si>
    <t>Plaza 25 de Mayo - Mercado Central, 03004 Alicante</t>
  </si>
  <si>
    <t>buccaroalicante.es</t>
  </si>
  <si>
    <t>629 35 88 45</t>
  </si>
  <si>
    <t>hola@buccaroalicante.es</t>
  </si>
  <si>
    <t>Floristería Los Claveles Alicante, San Vicente y San Juan</t>
  </si>
  <si>
    <t>Placa de los Luceros, 11, 03005 Alacant, Alicante</t>
  </si>
  <si>
    <t>floristerialosclaveles.com</t>
  </si>
  <si>
    <t>965 92 50 08</t>
  </si>
  <si>
    <t>info.flores@floristerialosclaveles.com</t>
  </si>
  <si>
    <t>FLORISTERÍA SAN BLAS ALICANTE. Ramos ,rosas,centros florales, orquídeas, bodas,eventos,</t>
  </si>
  <si>
    <t>Av. de los Condes de Soto Ameno, 30, 03005 Alicante</t>
  </si>
  <si>
    <t>657 21 61 52</t>
  </si>
  <si>
    <t>Art i Flors Diseño Floral - Floristeria Alicante</t>
  </si>
  <si>
    <t>Calle Padre Recaredo de Los Rios, 57, Local 7, 03005 Alicante</t>
  </si>
  <si>
    <t>artiflors.com</t>
  </si>
  <si>
    <t>965 10 07 91</t>
  </si>
  <si>
    <t>info@artiflors.com</t>
  </si>
  <si>
    <t>Av. Historiador Vicente Ramos, 28, Local 19, 03540 Alicante</t>
  </si>
  <si>
    <t>latrastiendafloristeria.com</t>
  </si>
  <si>
    <t>966 14 54 23</t>
  </si>
  <si>
    <t>info@latrastiendafloristeria.com</t>
  </si>
  <si>
    <t>Agrojardin</t>
  </si>
  <si>
    <t>Av. Padre Espla, 24, 03013 Alicante</t>
  </si>
  <si>
    <t>965 20 53 97</t>
  </si>
  <si>
    <t>Floristería en Alicante TOMAJARDIN FLORISTAS [Flores a domicilio en Alicante]</t>
  </si>
  <si>
    <t>Av. del Padre Ángel Escapa, 40, 03016 Alicante</t>
  </si>
  <si>
    <t>tomajardin.es</t>
  </si>
  <si>
    <t>689 56 75 05</t>
  </si>
  <si>
    <t>florymas</t>
  </si>
  <si>
    <t>Avinguda Periodista Rodolfo de Salazar, 56, 03013 Alacant</t>
  </si>
  <si>
    <t>Alacant</t>
  </si>
  <si>
    <t>florymas.com</t>
  </si>
  <si>
    <t>966 35 84 00</t>
  </si>
  <si>
    <t>info@florymas.com</t>
  </si>
  <si>
    <t>Floristería FlorArte Alicante, Bodas</t>
  </si>
  <si>
    <t>Calle México, 30, 03008 Alicante</t>
  </si>
  <si>
    <t>florarte.es</t>
  </si>
  <si>
    <t>644 25 41 20</t>
  </si>
  <si>
    <t>comercial@florarte.es</t>
  </si>
  <si>
    <t>El Taller de la Flor</t>
  </si>
  <si>
    <t>Carrer Jerusalem, 10, 03001 Alacant, Alicante</t>
  </si>
  <si>
    <t>965 98 11 34</t>
  </si>
  <si>
    <t>Flores a domicilio - Floristería Flormoments</t>
  </si>
  <si>
    <t>Av. la Rambla, 57, 03550 Sant Joan d&amp;apos;Alacant, Alicante</t>
  </si>
  <si>
    <t>San Juan de Alicante</t>
  </si>
  <si>
    <t>flormoments.com</t>
  </si>
  <si>
    <t>965 02 80 52</t>
  </si>
  <si>
    <t>ayuda@flormoments.com</t>
  </si>
  <si>
    <t>Tina Floristas</t>
  </si>
  <si>
    <t>Calle del Maestro Alonso, 134, 03012 Alicante</t>
  </si>
  <si>
    <t>965 25 25 53</t>
  </si>
  <si>
    <t>Milflores Alicante</t>
  </si>
  <si>
    <t>Avinguda Periodista Rodolfo de Salazar, 54, 03013 Alacant, Alicante</t>
  </si>
  <si>
    <t>637 60 31 84</t>
  </si>
  <si>
    <t>Floristería El Jardín del Cabo</t>
  </si>
  <si>
    <t>Avinguda Goleta, 3, local 1, 03540 Alicante</t>
  </si>
  <si>
    <t>eljardindelcabo.es</t>
  </si>
  <si>
    <t>965 15 21 82</t>
  </si>
  <si>
    <t>info@eljardindelcabo.es</t>
  </si>
  <si>
    <t>Floristería Domenech</t>
  </si>
  <si>
    <t>Av. de la Libertad, 11, 03690 Sant Vicent del Raspeig, Alicante</t>
  </si>
  <si>
    <t>San Vicente del Raspeig</t>
  </si>
  <si>
    <t>floristeriadomenech.com</t>
  </si>
  <si>
    <t>965 66 99 94</t>
  </si>
  <si>
    <t>Mise Floristería Y Decoración</t>
  </si>
  <si>
    <t>Avinguda de Jijona, 10, 03012 Alicante</t>
  </si>
  <si>
    <t>misefloristeria.com</t>
  </si>
  <si>
    <t>966 59 27 07</t>
  </si>
  <si>
    <t>info@misefloristeria.com</t>
  </si>
  <si>
    <t>Alma de Selva - Floristeria Alicante</t>
  </si>
  <si>
    <t>Carrer Carlet, 1, 03007 Alacant, Alicante</t>
  </si>
  <si>
    <t>607 93 52 62</t>
  </si>
  <si>
    <t>Floristería Gemma</t>
  </si>
  <si>
    <t>Carrer Dr. Just, 23, 03007 Alacant, Alicante</t>
  </si>
  <si>
    <t>699 43 55 82</t>
  </si>
  <si>
    <t>Floristería Teresa Escribano</t>
  </si>
  <si>
    <t>Plaza Cementerio, 10, BAJO, 03006 Alicante</t>
  </si>
  <si>
    <t>floristeriateresaescribano.com</t>
  </si>
  <si>
    <t>965 28 05 54</t>
  </si>
  <si>
    <t>pablolluch05@yahoo.es</t>
  </si>
  <si>
    <t>Calle Cándida Jimeno Gargallo, 4, 03001 Alicante</t>
  </si>
  <si>
    <t>965 21 42 85</t>
  </si>
  <si>
    <t>Floristería las Rosas C.B.</t>
  </si>
  <si>
    <t>Plaza Cementerio, 5, 03006 Alicante</t>
  </si>
  <si>
    <t>965 28 97 31</t>
  </si>
  <si>
    <t>Flores y Plantas Gloria</t>
  </si>
  <si>
    <t>floresgloria.com</t>
  </si>
  <si>
    <t>965 65 40 47</t>
  </si>
  <si>
    <t>tienda@floresgloria.es</t>
  </si>
  <si>
    <t>Agulló Floristas</t>
  </si>
  <si>
    <t>Carrer Calderón de la Barca, 8, 03004 Alacant, Alicante</t>
  </si>
  <si>
    <t>bit.ly</t>
  </si>
  <si>
    <t>966 11 43 33</t>
  </si>
  <si>
    <t>EL JULI CREATIVE FLOWERS</t>
  </si>
  <si>
    <t>n10, Calle Manuel Antón, 03004 Alicante</t>
  </si>
  <si>
    <t>622 06 06 01</t>
  </si>
  <si>
    <t>Flores Ade</t>
  </si>
  <si>
    <t>Calle Teniente Aguado, 26, 03009 Alicante</t>
  </si>
  <si>
    <t>floresade.es</t>
  </si>
  <si>
    <t>965 24 89 52</t>
  </si>
  <si>
    <t>adela@floresade.es</t>
  </si>
  <si>
    <t>Floristería Mari</t>
  </si>
  <si>
    <t>Av. Esportista Miriam Blasco, 18, 03540 Alacant, Alicante</t>
  </si>
  <si>
    <t>965 15 44 50</t>
  </si>
  <si>
    <t>Orquídea Haus</t>
  </si>
  <si>
    <t>Carrer Italia, 6, 03003 Alacant, Alicante</t>
  </si>
  <si>
    <t>orquideahaus.es</t>
  </si>
  <si>
    <t>965 92 67 49</t>
  </si>
  <si>
    <t>floristeria@orquideahaus.es</t>
  </si>
  <si>
    <t>Floristería Sentiments</t>
  </si>
  <si>
    <t>Avenida Santander, 25 Local 8 ( Dentro del Centro Comercial Garden, 03540 Alicante</t>
  </si>
  <si>
    <t>floristeriasentiments.com</t>
  </si>
  <si>
    <t>600 92 80 27</t>
  </si>
  <si>
    <t>info@floristeriasentiments.com</t>
  </si>
  <si>
    <t>EVENTS LA TARDOR</t>
  </si>
  <si>
    <t>Carrer del Mercat, 22, 03550 Sant Joan d&amp;apos;Alacant, Alicante</t>
  </si>
  <si>
    <t>latardor.es</t>
  </si>
  <si>
    <t>965 65 64 70</t>
  </si>
  <si>
    <t>floristeria@latardor.es</t>
  </si>
  <si>
    <t>El Rocío Floristas</t>
  </si>
  <si>
    <t>C. Dr. Sapena, 27, 03013 Alacant, Alicante</t>
  </si>
  <si>
    <t>965 20 13 96</t>
  </si>
  <si>
    <t>Flores Valles</t>
  </si>
  <si>
    <t>Av. Dr. Jiménez Díaz, 4, 03005 Alicante</t>
  </si>
  <si>
    <t>floresvalles.com</t>
  </si>
  <si>
    <t>913 58 18 18</t>
  </si>
  <si>
    <t>informacion@floresvalles.com</t>
  </si>
  <si>
    <t>FLORISTAS SANT JOAN S.L.U</t>
  </si>
  <si>
    <t>Plaça de la Constitución, 3, 03550 Sant Joan d&amp;apos;Alacant, Alicante</t>
  </si>
  <si>
    <t>678 68 66 08</t>
  </si>
  <si>
    <t>TINA FLORISTAS MERCADO</t>
  </si>
  <si>
    <t>Mercado Central ( Puesto de Flores Plaza 25 de Mayo, 03002 Alicante</t>
  </si>
  <si>
    <t>620 84 01 05</t>
  </si>
  <si>
    <t>José Daniel Agulló Guillén</t>
  </si>
  <si>
    <t>Plaza Cementerio, 8, 03006 Alicante</t>
  </si>
  <si>
    <t>965 28 19 19</t>
  </si>
  <si>
    <t>La casa de las Flores Alicante</t>
  </si>
  <si>
    <t>Carrer Pintor Aparicio, 34, 03003 Alacant, Alicante</t>
  </si>
  <si>
    <t>865 80 30 29</t>
  </si>
  <si>
    <t>Floristería Los Angeles</t>
  </si>
  <si>
    <t>Calle Rosalía de Castro, 03010 Alicante</t>
  </si>
  <si>
    <t>965 17 18 84</t>
  </si>
  <si>
    <t>Plaza Cementerio, 5, 1, 03006 Alicante</t>
  </si>
  <si>
    <t>FLORISTAS SANT JOAN</t>
  </si>
  <si>
    <t>Plaça de la Constitución, 4, 03550 Sant Joan d&amp;apos;Alacant, Alicante</t>
  </si>
  <si>
    <t>Calle San Juan, 27, 03002 Alicante</t>
  </si>
  <si>
    <t>Av. Mare Nostrum, 6, 03007 Alacant, Alicante</t>
  </si>
  <si>
    <t>FIORI E MAGIA</t>
  </si>
  <si>
    <t>Calle Capitán Torregrosa, 20 Bis, 03690 Sant Vicent del Raspeig, Alicante</t>
  </si>
  <si>
    <t>865 52 20 97</t>
  </si>
  <si>
    <t>Plaza 25 de Mayo, 03004 Alicante</t>
  </si>
  <si>
    <t>697 21 31 12</t>
  </si>
  <si>
    <t>Besos de Flores</t>
  </si>
  <si>
    <t>Carrer Poeta Carmelo Calvo, 2, 03004 Alacant, Alicante</t>
  </si>
  <si>
    <t>besos-de-flores.business.site</t>
  </si>
  <si>
    <t>655 48 30 83</t>
  </si>
  <si>
    <t>Flores Azucena</t>
  </si>
  <si>
    <t>cementerio de alicante, Plaza Cementerio, Puerta trasera, 03006 Alicante</t>
  </si>
  <si>
    <t>646 98 04 93</t>
  </si>
  <si>
    <t>Mg Salón De Flores</t>
  </si>
  <si>
    <t>Av. Poeta Zorrilla, 27, 03012 Alicante</t>
  </si>
  <si>
    <t>La Federica Studio</t>
  </si>
  <si>
    <t>Calle Manuel Domínguez Margarit, 6, 03690 Sant Vicent del Raspeig, Alicante</t>
  </si>
  <si>
    <t>lafedericafloresyeventos.com</t>
  </si>
  <si>
    <t>hola@lafederica.info</t>
  </si>
  <si>
    <t>Pulidos Flores</t>
  </si>
  <si>
    <t>Av. Conde de Lumiares, 33, 03010 Alicante</t>
  </si>
  <si>
    <t>689 62 43 43</t>
  </si>
  <si>
    <t>La flor de Lis</t>
  </si>
  <si>
    <t>Carrer Colon, 21, 03001 Alacant, Alicante</t>
  </si>
  <si>
    <t>Floristería Sandy Sweet</t>
  </si>
  <si>
    <t>Av. Esportista Miriam Blasco, 18, local 4, 03540 Alicante</t>
  </si>
  <si>
    <t>622 89 72 91</t>
  </si>
  <si>
    <t>Floristería Chorlit</t>
  </si>
  <si>
    <t>Calle Dr. Fleming, 35, 03690 Sant Vicent del Raspeig, Alicante</t>
  </si>
  <si>
    <t>965 66 84 29</t>
  </si>
  <si>
    <t>Flor Y Fulles</t>
  </si>
  <si>
    <t>Calle Beniardá, 8, 03570 Plans, Alicante</t>
  </si>
  <si>
    <t>966 85 22 75</t>
  </si>
  <si>
    <t>Re</t>
  </si>
  <si>
    <t>Calle Sevilla, 121, 03012 Alicante</t>
  </si>
  <si>
    <t>SuShe Creaciones</t>
  </si>
  <si>
    <t>Av. Dr. Jiménez Díaz, 26, 03005 Alicante</t>
  </si>
  <si>
    <t>sushe.es</t>
  </si>
  <si>
    <t>684 25 61 73</t>
  </si>
  <si>
    <t>infosuhe@yahoo.com</t>
  </si>
  <si>
    <t>Selles Arabi</t>
  </si>
  <si>
    <t>Calle Bailén, 21, 03001 Alicante</t>
  </si>
  <si>
    <t>965 21 05 83</t>
  </si>
  <si>
    <t>Germán Brotons García</t>
  </si>
  <si>
    <t>Partida Salt, 1, 03550 Sant Joan d&amp;apos;Alacant, Alicante</t>
  </si>
  <si>
    <t>965 65 37 29</t>
  </si>
  <si>
    <t>03006, Alicante</t>
  </si>
  <si>
    <t>Grow Shop Pura Terreta Alicante</t>
  </si>
  <si>
    <t>Calle Santo Domingo, 34, 03005 Alicante</t>
  </si>
  <si>
    <t>puraterreta.com</t>
  </si>
  <si>
    <t>966 08 46 08</t>
  </si>
  <si>
    <t>info@puraterreta.es</t>
  </si>
  <si>
    <t>Diademas Silvestres</t>
  </si>
  <si>
    <t>Calle Mayor, 19, 03002 Alicante</t>
  </si>
  <si>
    <t>653 68 75 88</t>
  </si>
  <si>
    <t>Floristería El Lenguaje de las Flores - servicio a domicilio</t>
  </si>
  <si>
    <t>C. Sant Bartomeu, 53, 03560 El Campello, Alicante</t>
  </si>
  <si>
    <t>Campello</t>
  </si>
  <si>
    <t>ellenguajedelasflores.es</t>
  </si>
  <si>
    <t>647 34 97 46</t>
  </si>
  <si>
    <t>Av. de la Generalitat, 43, 03560 El Campello, Alicante</t>
  </si>
  <si>
    <t>floristeriatere.com</t>
  </si>
  <si>
    <t>965 63 38 04</t>
  </si>
  <si>
    <t>Floristería Tropical Sara</t>
  </si>
  <si>
    <t>Carrer del Metre, 5, 03560 El Campello, Alicante</t>
  </si>
  <si>
    <t>965 63 04 48</t>
  </si>
  <si>
    <t>Distribuidora de Agrosuministros del Levante S A</t>
  </si>
  <si>
    <t>N-340, km. 732, 5, 03195 L&amp;apos;Altet, Alicante</t>
  </si>
  <si>
    <t>El Altet</t>
  </si>
  <si>
    <t>965 68 37 99</t>
  </si>
  <si>
    <t>Floristería Leo</t>
  </si>
  <si>
    <t>Av. de Illice, 55, BAJO, 03320 Torre del Pla, Alicante</t>
  </si>
  <si>
    <t>Torrellano</t>
  </si>
  <si>
    <t>floristerialeo.com</t>
  </si>
  <si>
    <t>965 68 09 86</t>
  </si>
  <si>
    <t>info@floristerialeo.com</t>
  </si>
  <si>
    <t>Regalateate</t>
  </si>
  <si>
    <t>Avinguda Sant Francesc, 64, 03195 L&amp;apos;Altet, Alicante</t>
  </si>
  <si>
    <t>644 98 13 47</t>
  </si>
  <si>
    <t>Agrojardin Sala</t>
  </si>
  <si>
    <t>Av. de Alicante, 19, 03110 Mutxamel, Alicante</t>
  </si>
  <si>
    <t>Mutxamel</t>
  </si>
  <si>
    <t>todohuertoyjardin.es</t>
  </si>
  <si>
    <t>965 95 13 52</t>
  </si>
  <si>
    <t>Entre Flores</t>
  </si>
  <si>
    <t>03110 Mutxamel, Alicante</t>
  </si>
  <si>
    <t>El Jardí Plantas</t>
  </si>
  <si>
    <t>Carrer Lavendimia, 20, 03320 Torre del Pla, Alicante</t>
  </si>
  <si>
    <t>eljardi.net</t>
  </si>
  <si>
    <t>621 26 47 56</t>
  </si>
  <si>
    <t>Piensos San Vicente</t>
  </si>
  <si>
    <t>Calle Artesanos, 2, 03690 Sant Vicent del Raspeig, Alicante</t>
  </si>
  <si>
    <t>965 66 35 85</t>
  </si>
  <si>
    <t>Kiosco Floristeria - Kiosk Florist - FREE! Shipping to Gran Alacant, Arenales y El Altet - Make your FLOWERS order by Whatsapp at 684 25 61 73</t>
  </si>
  <si>
    <t>Av. D&amp;apos;Escandinàvia, 31, 03130 el Gran Alacant, Alicante</t>
  </si>
  <si>
    <t>Gran Alacant</t>
  </si>
  <si>
    <t>Floristería Crisalida</t>
  </si>
  <si>
    <t>Carrer d&amp;apos;Il·licità Absent, 17, 03202 Elx, Alicante</t>
  </si>
  <si>
    <t>Elche</t>
  </si>
  <si>
    <t>floristeriacrisalida.es</t>
  </si>
  <si>
    <t>635 84 50 48</t>
  </si>
  <si>
    <t>Floristería Edelflor</t>
  </si>
  <si>
    <t>Carrer Fra Pere Balaguer, 12, 03202 Elx, Alicante</t>
  </si>
  <si>
    <t>965 42 44 39</t>
  </si>
  <si>
    <t>Floristería Tripiana</t>
  </si>
  <si>
    <t>Carrer del Salvador, 3, 03203 Elx, Alicante</t>
  </si>
  <si>
    <t>tripianafloristas.com</t>
  </si>
  <si>
    <t>965 45 96 17</t>
  </si>
  <si>
    <t>ejemplo@tripianafloristas.com</t>
  </si>
  <si>
    <t>Floristería Margarita</t>
  </si>
  <si>
    <t>Calle Federico García Lorca, 14, Carrer la Torre, 1, 03204 Elche, Alicante</t>
  </si>
  <si>
    <t>floristeriamargarita.com</t>
  </si>
  <si>
    <t>965 44 51 83</t>
  </si>
  <si>
    <t>Los Rosales</t>
  </si>
  <si>
    <t>Carrer d&amp;apos;Elx, 41, 03130 Santa Pola, Alicante</t>
  </si>
  <si>
    <t>Santa Pola</t>
  </si>
  <si>
    <t>965 41 24 75</t>
  </si>
  <si>
    <t>Floristería Cadafal</t>
  </si>
  <si>
    <t>Carrer del Filet de Fora, 33, 03203 Elx, Alicante</t>
  </si>
  <si>
    <t>966 61 34 51</t>
  </si>
  <si>
    <t>Angela Floristas</t>
  </si>
  <si>
    <t>C. Vicent Andrés Estellés, 14, 03202 Elx, Alicante</t>
  </si>
  <si>
    <t>angelaflorista.com</t>
  </si>
  <si>
    <t>965 42 71 07</t>
  </si>
  <si>
    <t>info@angelaflorista.com</t>
  </si>
  <si>
    <t>Floristería Barcelona</t>
  </si>
  <si>
    <t>Carrer Hermanos Gonzálvez Selva, 52, 03206 Elx, Alicante</t>
  </si>
  <si>
    <t>966 66 06 08</t>
  </si>
  <si>
    <t>Flores Magda</t>
  </si>
  <si>
    <t>Carrer Vicente Blasco Ibáñez, 53, 03201 Elx, Alicante</t>
  </si>
  <si>
    <t>965 46 50 13</t>
  </si>
  <si>
    <t>Flores y Plantas</t>
  </si>
  <si>
    <t>Carrer de la Diagonal, 22, 03206 Elx, Alicante</t>
  </si>
  <si>
    <t>Floristería las Palmeras</t>
  </si>
  <si>
    <t>Av. Ausiàs March, 21, 03206 Elx, Alicante</t>
  </si>
  <si>
    <t>966 66 06 47</t>
  </si>
  <si>
    <t>Lilium Floristería</t>
  </si>
  <si>
    <t>Carrer José Díez Mora, 30, 03205 Elx, Alicante</t>
  </si>
  <si>
    <t>liliumfloristeriaelche.com</t>
  </si>
  <si>
    <t>966 44 93 17</t>
  </si>
  <si>
    <t>hola@liliumfloristeriaelche.com</t>
  </si>
  <si>
    <t>Floristería Margarita 2</t>
  </si>
  <si>
    <t>Carrer Mariano Benlliure, 13, 03201 Elx, Alicante</t>
  </si>
  <si>
    <t>floristeriamargarita2.com</t>
  </si>
  <si>
    <t>965 43 23 41</t>
  </si>
  <si>
    <t>Floristería Paco</t>
  </si>
  <si>
    <t>Calle Reyes Católicos, 1, 03670 Monforte del Cid, Alicante</t>
  </si>
  <si>
    <t>floristeriapaco.com</t>
  </si>
  <si>
    <t>965 62 10 77</t>
  </si>
  <si>
    <t>info@floristeriapaco.com</t>
  </si>
  <si>
    <t>FLORISTERIA PURA</t>
  </si>
  <si>
    <t>Av. de Navarra, 20, 03680 Aspe, Alicante</t>
  </si>
  <si>
    <t>Aspe</t>
  </si>
  <si>
    <t>floristeriapura.blogspot.com.es</t>
  </si>
  <si>
    <t>965 49 47 19</t>
  </si>
  <si>
    <t>jrgmarco@hotmail.com</t>
  </si>
  <si>
    <t>Floristería María Luisa</t>
  </si>
  <si>
    <t>Calle Alfonso XII, 32, 03660 Novelda, Alicante</t>
  </si>
  <si>
    <t>Novelda</t>
  </si>
  <si>
    <t>965 60 79 02</t>
  </si>
  <si>
    <t>Floristería la Orquídea</t>
  </si>
  <si>
    <t>Carrer José García Ferrández, 6, 03205 Elx, Alicante</t>
  </si>
  <si>
    <t>622 06 46 33</t>
  </si>
  <si>
    <t>Los Madriles</t>
  </si>
  <si>
    <t>Carrer Poeta Miguel Hernandez, 119, bajo, 03201 Elx, Alicante</t>
  </si>
  <si>
    <t>floristerialosmadriles.com</t>
  </si>
  <si>
    <t>965 46 25 38</t>
  </si>
  <si>
    <t>contacto@floristerialosmadriles.com</t>
  </si>
  <si>
    <t>Av. de la Constitución, 30, 03660 Novelda, Alicante</t>
  </si>
  <si>
    <t>965 60 41 38</t>
  </si>
  <si>
    <t>Josefa Pérez Flores</t>
  </si>
  <si>
    <t>Carrer Castelló de la Plana, 12, 03680 Aspe, Alicante</t>
  </si>
  <si>
    <t>966 67 88 90</t>
  </si>
  <si>
    <t>Flower shop</t>
  </si>
  <si>
    <t>Avinguda en Joan Carles I, 35, 03202 Elx, Alicante</t>
  </si>
  <si>
    <t>647 65 43 89</t>
  </si>
  <si>
    <t>El Trebol Floristeria</t>
  </si>
  <si>
    <t>Carrer Jaime Soler Urriós, 12, 03570 La Vila Joiosa, Alicante</t>
  </si>
  <si>
    <t>Villajoyosa</t>
  </si>
  <si>
    <t>965 89 06 41</t>
  </si>
  <si>
    <t>Floristería Naturaleza Tropical</t>
  </si>
  <si>
    <t>Carrer Gabriel Payà, 32, 03610 Petrer, Alicante</t>
  </si>
  <si>
    <t>Petrer</t>
  </si>
  <si>
    <t>floristerianaturalezatropical.com</t>
  </si>
  <si>
    <t>965 37 01 84</t>
  </si>
  <si>
    <t>Floristeria Ramón Cajal</t>
  </si>
  <si>
    <t>Carrer Ramón y Cajal, 13, 03570 La Vila Joiosa, Alicante</t>
  </si>
  <si>
    <t>965 89 49 65</t>
  </si>
  <si>
    <t>Ramón Andrés Gomis Orts</t>
  </si>
  <si>
    <t>Carrer de Père Joan Perpinyà, 36, 03204 Elx, Alicante</t>
  </si>
  <si>
    <t>966 63 55 55</t>
  </si>
  <si>
    <t>Peñalver</t>
  </si>
  <si>
    <t>Carrer Hermanos Gonzálvez Selva, 33, 03206 Elx, Alicante</t>
  </si>
  <si>
    <t>floresyrosasadomicilio.com</t>
  </si>
  <si>
    <t>965 43 90 89</t>
  </si>
  <si>
    <t>info@floresyrosasadomicilio.com</t>
  </si>
  <si>
    <t>Calle Antonino Vera, 24, 03600 Elda, Alicante</t>
  </si>
  <si>
    <t>Elda</t>
  </si>
  <si>
    <t>960 70 21 87</t>
  </si>
  <si>
    <t>Miromar Floristería</t>
  </si>
  <si>
    <t>Carrer el Salvador, 9, 03440 Ibi, Alicante</t>
  </si>
  <si>
    <t>Ibi</t>
  </si>
  <si>
    <t>966 55 19 96</t>
  </si>
  <si>
    <t>Floristería Criviflor</t>
  </si>
  <si>
    <t>Av. de Madrid, 23, 03330 Crevillent, Alicante</t>
  </si>
  <si>
    <t>Crevillente</t>
  </si>
  <si>
    <t>965 40 04 43</t>
  </si>
  <si>
    <t>Floristería Elisa</t>
  </si>
  <si>
    <t>Calle Gran Vía, 5, 03630 Sax, Alicante</t>
  </si>
  <si>
    <t>Sax</t>
  </si>
  <si>
    <t>965 47 46 75</t>
  </si>
  <si>
    <t>Floristería Crisángel</t>
  </si>
  <si>
    <t>Carrer del Mercat, 1, 03501 Benidorm, Alicante</t>
  </si>
  <si>
    <t>Benidorm</t>
  </si>
  <si>
    <t>floristeriabenidorm.com</t>
  </si>
  <si>
    <t>637 48 56 61</t>
  </si>
  <si>
    <t>Carrer Sant Tomas, 3, 03330 Crevillent, Alicante</t>
  </si>
  <si>
    <t>Floristería Agulló</t>
  </si>
  <si>
    <t>Carrer Lluís Vives, 18, 03804 Alcoi, Alicante</t>
  </si>
  <si>
    <t>Alcoy</t>
  </si>
  <si>
    <t>965 52 00 54</t>
  </si>
  <si>
    <t>Floristeria Maruja</t>
  </si>
  <si>
    <t>Carrer Camí Vell d&amp;apos;Elda, 18, 03610 Petrer, Alicante</t>
  </si>
  <si>
    <t>616 17 74 39</t>
  </si>
  <si>
    <t>Calle Maestro Guerrero, 2, 03630 Sax, Alicante</t>
  </si>
  <si>
    <t>966 96 79 43</t>
  </si>
  <si>
    <t>Floristeria Mar - La Orquidea Phanalopsis</t>
  </si>
  <si>
    <t>Avenida de los Limones, 2, local 4, 03501 Benidorm, Alicante</t>
  </si>
  <si>
    <t>laorquideabenidorm.com</t>
  </si>
  <si>
    <t>965 86 18 43</t>
  </si>
  <si>
    <t>EDF. Maria Paula, Av. Rei Jaume I, nº 7, local 7, 03502 Benidorm, Alicante</t>
  </si>
  <si>
    <t>floristerialaorquidea.es</t>
  </si>
  <si>
    <t>965 85 60 37</t>
  </si>
  <si>
    <t>Flovimar S L</t>
  </si>
  <si>
    <t>Partida Algorós, 96 Lugar, 03293 Elche, Alicante</t>
  </si>
  <si>
    <t>flovimar.es</t>
  </si>
  <si>
    <t>966 63 00 95</t>
  </si>
  <si>
    <t>Floristería Miramar - Interflora</t>
  </si>
  <si>
    <t>Calle Ibiza, 11, LOCAL 8, 03503 Benidorm, Alicante</t>
  </si>
  <si>
    <t>floristeriamiramar.com</t>
  </si>
  <si>
    <t>965 86 58 84</t>
  </si>
  <si>
    <t>Floristería Regina</t>
  </si>
  <si>
    <t>Carrer Sant Emigdi, 26, 03140 Guardamar del Segura, Alicante</t>
  </si>
  <si>
    <t>Guardamar del Segura</t>
  </si>
  <si>
    <t>646 81 81 58</t>
  </si>
  <si>
    <t>Maite Floristas</t>
  </si>
  <si>
    <t>Ctra. Quatre Cantons, 13, 03501 Benidorm, Alicante</t>
  </si>
  <si>
    <t>665 41 33 38</t>
  </si>
  <si>
    <t>Floristería la Rosa</t>
  </si>
  <si>
    <t>Carrer el Camí, 18, 03801 Alcoi, Alicante</t>
  </si>
  <si>
    <t>larosaalcoi.com</t>
  </si>
  <si>
    <t>965 54 33 48</t>
  </si>
  <si>
    <t>info@larosaalcoi.com</t>
  </si>
  <si>
    <t>La Eldense</t>
  </si>
  <si>
    <t>Calle Nueva, 3, 03600 Elda, Alicante</t>
  </si>
  <si>
    <t>965 38 41 90</t>
  </si>
  <si>
    <t>Floristería Roser</t>
  </si>
  <si>
    <t>Plaça Jaume I, 4, 03580 l&amp;apos;Alfàs del Pi, Alicante</t>
  </si>
  <si>
    <t>Alfaz del Pi</t>
  </si>
  <si>
    <t>floristeriaroser.com</t>
  </si>
  <si>
    <t>965 88 94 00</t>
  </si>
  <si>
    <t>roserfloristeria@gmail.com</t>
  </si>
  <si>
    <t>Floristeria Liliana</t>
  </si>
  <si>
    <t>Calle Mayor, 47, 03188 La Mata, Alicante</t>
  </si>
  <si>
    <t>La Mata</t>
  </si>
  <si>
    <t>650 77 16 14</t>
  </si>
  <si>
    <t>Floristería Rosa Mary</t>
  </si>
  <si>
    <t>Carrer Santa Rosa, 25, 03802 Alcoi, Alicante</t>
  </si>
  <si>
    <t>floristeriarosamary.com</t>
  </si>
  <si>
    <t>965 52 31 32</t>
  </si>
  <si>
    <t>correo@floristeriarosamary.com</t>
  </si>
  <si>
    <t>Floristeria Marien</t>
  </si>
  <si>
    <t>Calle Fortuna, 20, bajo, 03340 Albatera, Alicante</t>
  </si>
  <si>
    <t>Albatera</t>
  </si>
  <si>
    <t>966 10 88 94</t>
  </si>
  <si>
    <t>Floristería Myself</t>
  </si>
  <si>
    <t>Av. d&amp;apos;Europa, 123, 03581 l&amp;apos;Alfàs del Pi, Alicante</t>
  </si>
  <si>
    <t>floristeria-myself.ueniweb.com</t>
  </si>
  <si>
    <t>629 51 80 45</t>
  </si>
  <si>
    <t>marijose.villar@hotmail.com</t>
  </si>
  <si>
    <t>El Jardí D&amp;apos; Ainara</t>
  </si>
  <si>
    <t>Carrer Juan Gil Albert, 29, 03804 Alcoi, Alicante</t>
  </si>
  <si>
    <t>617 92 72 62</t>
  </si>
  <si>
    <t>Floristería Castalla. Antonio Vicent Diseño Floral.</t>
  </si>
  <si>
    <t>Carrer Jaume I, 52, 03420 Castalla, Alicante</t>
  </si>
  <si>
    <t>Castalla</t>
  </si>
  <si>
    <t>antoniovicent.es</t>
  </si>
  <si>
    <t>644 10 49 02</t>
  </si>
  <si>
    <t>info@antoniovicent.es</t>
  </si>
  <si>
    <t>Antisana Fiori Sl</t>
  </si>
  <si>
    <t>Calle Abogado Andres Charques, 10, 03006 Alicante</t>
  </si>
  <si>
    <t>966 14 13 11</t>
  </si>
  <si>
    <t>FLORISTERÍA LA PÉRGOLA</t>
  </si>
  <si>
    <t>Calle Amparo Quiles, 14, 03160 Almoradí, Alicante</t>
  </si>
  <si>
    <t>Almoradí</t>
  </si>
  <si>
    <t>la-pergola.es</t>
  </si>
  <si>
    <t>966 78 00 98</t>
  </si>
  <si>
    <t>info@la-pergola.es</t>
  </si>
  <si>
    <t>Av. d&amp;apos;Europa, nº 123, 03580 l&amp;apos;Alfàs del Pi, Alicante</t>
  </si>
  <si>
    <t>Floristería l&amp;apos;art</t>
  </si>
  <si>
    <t>C/ Sant Francesc, 37, 03510 Callosa d&amp;apos;en Sarrià, Alicante</t>
  </si>
  <si>
    <t>Callosa de Ensarriá</t>
  </si>
  <si>
    <t>619 33 86 85</t>
  </si>
  <si>
    <t>Alberto Pomares Mira</t>
  </si>
  <si>
    <t>Carrer Juan Ramón Jiménez, 8, 03203 Elche, Alicante</t>
  </si>
  <si>
    <t>Floristería Azahar Altea</t>
  </si>
  <si>
    <t>Av. Valencia, 23, 03590 Altea, Alicante</t>
  </si>
  <si>
    <t>Altea</t>
  </si>
  <si>
    <t>floristeriaazaharaltea.es</t>
  </si>
  <si>
    <t>646 92 27 83</t>
  </si>
  <si>
    <t>Top Flors</t>
  </si>
  <si>
    <t>Ctra. d&amp;apos;Alcoi, 14, 03510 Callosa d&amp;apos;en Sarrià, Alicante</t>
  </si>
  <si>
    <t>965 88 07 59</t>
  </si>
  <si>
    <t>Enchanted Florist and gifts</t>
  </si>
  <si>
    <t>Calle Europa, 2, Bajo 2, 03158 Catral, Alicante</t>
  </si>
  <si>
    <t>Catral</t>
  </si>
  <si>
    <t>enchantedfloristandgifts.shop</t>
  </si>
  <si>
    <t>603 12 95 34</t>
  </si>
  <si>
    <t>Av. de la Constitución, 12, 03360 Callosa de Segura, Alicante</t>
  </si>
  <si>
    <t>Callosa de Segura</t>
  </si>
  <si>
    <t>966 75 63 42</t>
  </si>
  <si>
    <t>Floristeria Ivars</t>
  </si>
  <si>
    <t>nº 6, Carrer Corbeta, 03710 Calp, Alicante</t>
  </si>
  <si>
    <t>Calpe</t>
  </si>
  <si>
    <t>floristeriaivars.negocio.site</t>
  </si>
  <si>
    <t>965 83 04 60</t>
  </si>
  <si>
    <t>Floristería en Torrevieja - Martí</t>
  </si>
  <si>
    <t>Calle José Martínez Ruiz Azorín, 52, 03181 Torrevieja, Alicante</t>
  </si>
  <si>
    <t>Torrevieja</t>
  </si>
  <si>
    <t>966 70 52 62</t>
  </si>
  <si>
    <t>Floristería La Horticulflor</t>
  </si>
  <si>
    <t>Calle Caballero de Rodas, 37, 03181 Torrevieja, Alicante</t>
  </si>
  <si>
    <t>965 71 03 71</t>
  </si>
  <si>
    <t>El café de las Flores- Pinoso</t>
  </si>
  <si>
    <t>Calle Baden de Rico Lucas, 22, 03650 Pinoso, Alicante</t>
  </si>
  <si>
    <t>Pinoso</t>
  </si>
  <si>
    <t>636 91 71 63</t>
  </si>
  <si>
    <t>Diamond Flores</t>
  </si>
  <si>
    <t>Calle Turismo. local 1L, 03170 Cdad. Quesada, Alicante</t>
  </si>
  <si>
    <t>Cdad. Quesada</t>
  </si>
  <si>
    <t>diamondfloresspain.com</t>
  </si>
  <si>
    <t>966 71 65 53</t>
  </si>
  <si>
    <t>diamondflores1@yahoo.co.uk</t>
  </si>
  <si>
    <t>Av. Valencia, 11, 03710 Calp, Alicante</t>
  </si>
  <si>
    <t>floristeriaalicia.com</t>
  </si>
  <si>
    <t>965 83 05 97</t>
  </si>
  <si>
    <t>info@floristeriaalicia.com</t>
  </si>
  <si>
    <t>Lola Floristas</t>
  </si>
  <si>
    <t>Av. Diego Ramírez Pastor, 138, 03181 Torrevieja, Alicante</t>
  </si>
  <si>
    <t>lolafloristas.es</t>
  </si>
  <si>
    <t>966 70 57 19</t>
  </si>
  <si>
    <t>contact@website.com</t>
  </si>
  <si>
    <t>Flores Alfonso</t>
  </si>
  <si>
    <t>C/ General Perón esq. Benito Pérez Galdós, 03190 Pilar de la Horadada, Alicante</t>
  </si>
  <si>
    <t>Pilar de la Horadada</t>
  </si>
  <si>
    <t>647 44 38 91</t>
  </si>
  <si>
    <t>FLORISTERIA KIKO</t>
  </si>
  <si>
    <t>C/ Sant Domènec, 4, 03801 Alcoi, Alicante</t>
  </si>
  <si>
    <t>646 33 67 52</t>
  </si>
  <si>
    <t>Mercado Central Elda</t>
  </si>
  <si>
    <t>Calle Juan Carlos I, 41, 03600 Elda, Alicante</t>
  </si>
  <si>
    <t>elda.es</t>
  </si>
  <si>
    <t>965 38 04 02</t>
  </si>
  <si>
    <t>ayuntamiento@elda.es</t>
  </si>
  <si>
    <t>Tagua Floristas</t>
  </si>
  <si>
    <t>Lomas de, Calle Cabo Roca, Local Numero 11, 03189 Cabo Roig, Alicante</t>
  </si>
  <si>
    <t>Cabo Roig</t>
  </si>
  <si>
    <t>floristeriatagua.es.tl</t>
  </si>
  <si>
    <t>650 20 58 03</t>
  </si>
  <si>
    <t>floristeriatagua@gmail.com</t>
  </si>
  <si>
    <t>Calle Mayor, 31, 03190 Pilar de la Horadada, Alicante</t>
  </si>
  <si>
    <t>floristeriapetunia.es</t>
  </si>
  <si>
    <t>966 76 64 48</t>
  </si>
  <si>
    <t>info@floristeriapetunia.es</t>
  </si>
  <si>
    <t>Agrogarden Terra</t>
  </si>
  <si>
    <t>C/ Hermanos Montez Nº1, 3 y 5, 03340 Albatera, Alicante</t>
  </si>
  <si>
    <t>agrogardenterra.es</t>
  </si>
  <si>
    <t>675 68 90 13</t>
  </si>
  <si>
    <t>Heidi Francis Flowers</t>
  </si>
  <si>
    <t>03727 Jalón, Alicante</t>
  </si>
  <si>
    <t>Jalón</t>
  </si>
  <si>
    <t>heidifrancis.com</t>
  </si>
  <si>
    <t>966 48 03 24</t>
  </si>
  <si>
    <t>Mandarina Floristería Denia</t>
  </si>
  <si>
    <t>Carrer Vicent Andrés Estellés, 4, 03700 Dénia, Alicante</t>
  </si>
  <si>
    <t>Denia</t>
  </si>
  <si>
    <t>965 78 18 56</t>
  </si>
  <si>
    <t>Qué bonitas son las flores.</t>
  </si>
  <si>
    <t>Carrer d&amp;apos;Alcalà Galiano, 5, 12100 El Grao de Castellón, Castelló</t>
  </si>
  <si>
    <t>El Grao de Castellón</t>
  </si>
  <si>
    <t>Castelló</t>
  </si>
  <si>
    <t>677 05 56 63</t>
  </si>
  <si>
    <t>Floristería La Botiga de la Flor</t>
  </si>
  <si>
    <t>Av. del Port, 249, 12100, Castelló</t>
  </si>
  <si>
    <t>labotigadelaflor.com</t>
  </si>
  <si>
    <t>964 28 68 00</t>
  </si>
  <si>
    <t>info@labotigadelaflor.com</t>
  </si>
  <si>
    <t>Floristería La Orquídea Castellón</t>
  </si>
  <si>
    <t>Plaça de Santa Clara, 1, 12001 Castelló de la Plana, Castelló</t>
  </si>
  <si>
    <t>Castellón de la Plana</t>
  </si>
  <si>
    <t>laorquideacastellon.es</t>
  </si>
  <si>
    <t>900 102 075</t>
  </si>
  <si>
    <t>info@laorquideacastellon.es</t>
  </si>
  <si>
    <t>La Rosella</t>
  </si>
  <si>
    <t>Blvd Vicente Blasco Ibáñez, 2, 12003 Castelló de la Plana, Castelló</t>
  </si>
  <si>
    <t>964 22 47 00</t>
  </si>
  <si>
    <t>MUSCARI FLORISTERIA CHABRERA</t>
  </si>
  <si>
    <t>Plaça de Santa Clara, 0, 12001 Castelló de la Plana, Castelló</t>
  </si>
  <si>
    <t>floristeriachabrera.es</t>
  </si>
  <si>
    <t>964 22 34 51</t>
  </si>
  <si>
    <t>info@floristeriachabrera.es</t>
  </si>
  <si>
    <t>Floristería Espai Vegetal (Castellón)</t>
  </si>
  <si>
    <t>Carrer d&amp;apos;Alloza, 60, 12001 Castelló de la Plana, Castelló</t>
  </si>
  <si>
    <t>espaivegetal.com</t>
  </si>
  <si>
    <t>964 25 52 88</t>
  </si>
  <si>
    <t>info@espaivegetal.com</t>
  </si>
  <si>
    <t>Floristería Rosa by Espai Vegetal</t>
  </si>
  <si>
    <t>Plaça de Santa Clara, 3, 12001 Castelló de la Plana, Castelló</t>
  </si>
  <si>
    <t>964 23 29 01</t>
  </si>
  <si>
    <t>Floristería Serviflor</t>
  </si>
  <si>
    <t>Carrer d&amp;apos;Alacant, 22, 12006 Castelló de la Plana, Castelló</t>
  </si>
  <si>
    <t>639 82 70 59</t>
  </si>
  <si>
    <t>Orquiflor Floristería La Orquídea</t>
  </si>
  <si>
    <t>Local, Carrer del Ceramista Godofredo Buenosaires, 5, 12005 Castelló de la Plana, Castelló</t>
  </si>
  <si>
    <t>orquiflor.com</t>
  </si>
  <si>
    <t>637 64 12 72</t>
  </si>
  <si>
    <t>Carrer de Santa Cruz de Teijeiro, 10, 12005 Castelló de la Plana, Castelló</t>
  </si>
  <si>
    <t>floristeriayedra.es</t>
  </si>
  <si>
    <t>964 23 61 79</t>
  </si>
  <si>
    <t>elenafabregat@hotmail.com</t>
  </si>
  <si>
    <t>Floristería Los Claveles</t>
  </si>
  <si>
    <t>Plaça de Santa Clara, S/N, 12001 Castelló de la Plana, Castelló</t>
  </si>
  <si>
    <t>losclavelesfloristerias.es</t>
  </si>
  <si>
    <t>964 26 02 48</t>
  </si>
  <si>
    <t>La Rosa Blanca</t>
  </si>
  <si>
    <t>Plaza Bisbe Pont i Gol , 8, 12003 Castellón de la Plana, Castellón</t>
  </si>
  <si>
    <t>Castellón</t>
  </si>
  <si>
    <t>larosablanca.eu</t>
  </si>
  <si>
    <t>964 23 71 42</t>
  </si>
  <si>
    <t>Floristería Cottê D&amp;apos;Aimé</t>
  </si>
  <si>
    <t>Carrer Gobernador, 34 (entresuelo C, 12003 Castelló de la Plana, Castelló</t>
  </si>
  <si>
    <t>606 52 00 48</t>
  </si>
  <si>
    <t>Verdeflor Floristas</t>
  </si>
  <si>
    <t>Av. de València, 10, BAJO, 12006 Castellón de la Plana, Castellón</t>
  </si>
  <si>
    <t>mercaflores.es</t>
  </si>
  <si>
    <t>669 76 33 83</t>
  </si>
  <si>
    <t>FLORISTERIA LA ORQUIDEA ORQUIFLOR</t>
  </si>
  <si>
    <t>Avinguda del Cardenal Costa, 35, 12004 Castelló de la Plana, Castelló</t>
  </si>
  <si>
    <t>964 24 30 30</t>
  </si>
  <si>
    <t>Bloomtuin</t>
  </si>
  <si>
    <t>Carrer de Sant Vicent, 38, 12002 Castelló de la Plana, Castelló</t>
  </si>
  <si>
    <t>964 25 69 31</t>
  </si>
  <si>
    <t>Floristería El Nardo</t>
  </si>
  <si>
    <t>Avinguda del Cardenal Costa, 25, 12006 Castelló de la Plana, Castelló</t>
  </si>
  <si>
    <t>floristeriaelnardo.com</t>
  </si>
  <si>
    <t>964 21 90 25</t>
  </si>
  <si>
    <t>info@floristeriaelnardo.com</t>
  </si>
  <si>
    <t>Avinguda del Cardenal Costa, 13, 12004 Castelló de la Plana, Castelló</t>
  </si>
  <si>
    <t>964 21 69 65</t>
  </si>
  <si>
    <t>MADAME LE FLEUR</t>
  </si>
  <si>
    <t>Carrer d&amp;apos;Herrero, 54, 12005 Castelló de la Plana, Castelló</t>
  </si>
  <si>
    <t>madamelefleur.com</t>
  </si>
  <si>
    <t>964 63 42 51</t>
  </si>
  <si>
    <t>E-MAIL.madamelefleur@hotmail.com</t>
  </si>
  <si>
    <t>Avinguda del Cardenal Costa, 13, 12004 El Grao de Castellón, Castelló</t>
  </si>
  <si>
    <t>Floristeria Elena</t>
  </si>
  <si>
    <t>Carrer del Riu Xúquer, 4, 12006 Castelló de la Plana, Castelló</t>
  </si>
  <si>
    <t>664 72 00 54</t>
  </si>
  <si>
    <t>Rosa Flor</t>
  </si>
  <si>
    <t>Avinguda del Cardenal Costa, 1, 12004 Castelló de la Plana, Castelló</t>
  </si>
  <si>
    <t>964 20 51 02</t>
  </si>
  <si>
    <t>Un Mon de Flors</t>
  </si>
  <si>
    <t>Carrer de la Constitució Espanyola, 13, 12550 Almassora, Castelló</t>
  </si>
  <si>
    <t>Almazora</t>
  </si>
  <si>
    <t>964 56 09 75</t>
  </si>
  <si>
    <t>Ramos Artificiales - Ronda</t>
  </si>
  <si>
    <t>Ronda de la Magdalena, 93, 12004 Castelló de la Plana, Castelló</t>
  </si>
  <si>
    <t>ramosartificiales.es</t>
  </si>
  <si>
    <t>964 05 80 59</t>
  </si>
  <si>
    <t>Calle Francisco Pizarro, 65, 12550 Almassora, Castellón</t>
  </si>
  <si>
    <t>964 56 27 97</t>
  </si>
  <si>
    <t>Casteflor</t>
  </si>
  <si>
    <t>Lugar Mercado de Abastos, 4, 12006 Castellón de la Plana</t>
  </si>
  <si>
    <t>964 73 04 17</t>
  </si>
  <si>
    <t>Ana María Espada Hervás</t>
  </si>
  <si>
    <t>Carrer de Campoamor, 10, 12001 Castelló de la Plana, Castelló</t>
  </si>
  <si>
    <t>964 22 77 75</t>
  </si>
  <si>
    <t>Monfort</t>
  </si>
  <si>
    <t>Carrer Sant Salvador, 50, 12550 Almassora, Castelló</t>
  </si>
  <si>
    <t>964 55 07 44</t>
  </si>
  <si>
    <t>Floristeria Om Blanc</t>
  </si>
  <si>
    <t>Carrer Sant Salvador, 24, 12550 Almassora, Castelló</t>
  </si>
  <si>
    <t>floristeriaomblanc.com</t>
  </si>
  <si>
    <t>649 64 83 78</t>
  </si>
  <si>
    <t>florsomblanc@gmail.com</t>
  </si>
  <si>
    <t>Carrer Sant Tomàs, 39, 12560 Benicàssim, Castelló</t>
  </si>
  <si>
    <t>Benicasim</t>
  </si>
  <si>
    <t>964 30 43 00</t>
  </si>
  <si>
    <t>Floristeria Pilar Galindo</t>
  </si>
  <si>
    <t>Calle de la Virgen de Gracia, 43, 12550 Villarreal, Castellón</t>
  </si>
  <si>
    <t>Villarreal</t>
  </si>
  <si>
    <t>Flores De Abril</t>
  </si>
  <si>
    <t>12001 Castellón de la Plana, Castellón</t>
  </si>
  <si>
    <t>Flors Floristería</t>
  </si>
  <si>
    <t>Carrer Mare de Déu de la Misericòrdia, 1, bajo, 12530 Borriana, Castellón</t>
  </si>
  <si>
    <t>Burriana</t>
  </si>
  <si>
    <t>florsfloristeria.wordpress.com</t>
  </si>
  <si>
    <t>637 33 75 79</t>
  </si>
  <si>
    <t>info@florsfloristeria.com</t>
  </si>
  <si>
    <t>María Dolores Martí Barrera</t>
  </si>
  <si>
    <t>Carrer Dr. Portolés, 3, 12190 Borriol, Castelló</t>
  </si>
  <si>
    <t>Borriol</t>
  </si>
  <si>
    <t>vimarfloristeria.es</t>
  </si>
  <si>
    <t>964 32 11 94</t>
  </si>
  <si>
    <t>Floristeria Centre Flor S.L.</t>
  </si>
  <si>
    <t>Carrer Nàpols, 7, 12540 Vila-real, Castelló</t>
  </si>
  <si>
    <t>964 53 11 51</t>
  </si>
  <si>
    <t>Floristería P. Galindo</t>
  </si>
  <si>
    <t>Carrer Mare de Déu de Gràcia, 43, 12540 Vila-real, Castelló</t>
  </si>
  <si>
    <t>Ana y Jesús Floristas S.L.</t>
  </si>
  <si>
    <t>Carrer l&amp;apos;Escorredor, 60, 12530 Borriana, Castelló</t>
  </si>
  <si>
    <t>964 57 01 57</t>
  </si>
  <si>
    <t>Carrer Valėncia, 5, 12540 Vila-real, Castelló</t>
  </si>
  <si>
    <t>964 53 81 30</t>
  </si>
  <si>
    <t>Carrer Ermita, 173, 12540 Vila-real, Castelló</t>
  </si>
  <si>
    <t>964 52 16 97</t>
  </si>
  <si>
    <t>Floristería Pètals</t>
  </si>
  <si>
    <t>Carrer Cor de Jesús, 2, 12530 Borriana, Castelló</t>
  </si>
  <si>
    <t>964 05 29 02</t>
  </si>
  <si>
    <t>Floristería Mariola</t>
  </si>
  <si>
    <t>Plaza Mayor, 5, BAJO, 12539 Les Alqueries, Castelló</t>
  </si>
  <si>
    <t>Alquerías del Niño Perdido</t>
  </si>
  <si>
    <t>964 51 04 26</t>
  </si>
  <si>
    <t>Floristeria Signia</t>
  </si>
  <si>
    <t>Carrer Raval del Carme, 51, 12540 Vila-real, Castelló</t>
  </si>
  <si>
    <t>964 52 01 19</t>
  </si>
  <si>
    <t>Floristería Oroagro</t>
  </si>
  <si>
    <t>Carrer de Ferran d&amp;apos;Antequera, 57, 12594 Orpesa, Castelló</t>
  </si>
  <si>
    <t>Oropesa</t>
  </si>
  <si>
    <t>floristeriajardineriaoroagro.es</t>
  </si>
  <si>
    <t>964 31 29 33</t>
  </si>
  <si>
    <t>oroagro@gmail.com</t>
  </si>
  <si>
    <t>Floristeria La Floris</t>
  </si>
  <si>
    <t>bajo, Plaça Sant Roc, 9, 12110 L&amp;apos;Alcora, Castellón</t>
  </si>
  <si>
    <t>Alcora</t>
  </si>
  <si>
    <t>lafloris.com</t>
  </si>
  <si>
    <t>964 36 04 36</t>
  </si>
  <si>
    <t>sonia@lafloris.com</t>
  </si>
  <si>
    <t>Floristería Milia Rosa</t>
  </si>
  <si>
    <t>Carrer Sant Pasqual, 57, 12540 Vila-real, Castelló</t>
  </si>
  <si>
    <t>floristeriamiliarosa.com</t>
  </si>
  <si>
    <t>964 52 68 64</t>
  </si>
  <si>
    <t>info@floristeriamiliarosa.com</t>
  </si>
  <si>
    <t>Tulipans, Art en Flor i Regals</t>
  </si>
  <si>
    <t>Carrer Beranger, 31, 12520 Nules, Castelló</t>
  </si>
  <si>
    <t>Nules</t>
  </si>
  <si>
    <t>623 10 36 36</t>
  </si>
  <si>
    <t>Vicenta Castelló Martínez</t>
  </si>
  <si>
    <t>Av. Castelló, 26, 12520 Nules, Castelló</t>
  </si>
  <si>
    <t>964 67 26 14</t>
  </si>
  <si>
    <t>Ondaflor</t>
  </si>
  <si>
    <t>Calle San Luis, 12, 12200 Onda, Castellón</t>
  </si>
  <si>
    <t>Onda</t>
  </si>
  <si>
    <t>ondaflor.es</t>
  </si>
  <si>
    <t>964 60 11 83</t>
  </si>
  <si>
    <t>floristeria@ondaflor.es</t>
  </si>
  <si>
    <t>Floristería Lola</t>
  </si>
  <si>
    <t>Carrer Menéndez Pelayo, 6, 12530 Borriana, Castelló</t>
  </si>
  <si>
    <t>964 51 80 59</t>
  </si>
  <si>
    <t>COCO FLOWERS</t>
  </si>
  <si>
    <t>C/ Velázquez, 31 (Bajo comercial, 12594 Oropesa del Mar, Castellón</t>
  </si>
  <si>
    <t>964 31 22 46</t>
  </si>
  <si>
    <t>Marí Carmen París Roca</t>
  </si>
  <si>
    <t>Carrer Poncio Torrella, 27, 12180 Cabanes, Castellón</t>
  </si>
  <si>
    <t>Cabanes</t>
  </si>
  <si>
    <t>964 33 14 69</t>
  </si>
  <si>
    <t>Carrer Salvador Barri, 23, 12200 Onda, Castelló</t>
  </si>
  <si>
    <t>floristeria-sonia.ueniweb.com</t>
  </si>
  <si>
    <t>605 52 98 24</t>
  </si>
  <si>
    <t>alba.apc@icloud.com</t>
  </si>
  <si>
    <t>Calle TENIENTE GRAL, Calle Federico Michavila, 2, 12110 L&amp;apos;Alcora, Castellón</t>
  </si>
  <si>
    <t>621 32 53 76</t>
  </si>
  <si>
    <t>Flors Adrián</t>
  </si>
  <si>
    <t>Carrer de Sant Blai, 3, 12200 Onda, Castelló</t>
  </si>
  <si>
    <t>667 41 00 18</t>
  </si>
  <si>
    <t>Floristería Roses</t>
  </si>
  <si>
    <t>Calle Ramón Pallarés, 5, 12600 la Vall d&amp;apos;Uixó, Castellón</t>
  </si>
  <si>
    <t>Vall de Uxó</t>
  </si>
  <si>
    <t>678 07 38 82</t>
  </si>
  <si>
    <t>Flor &amp;amp; Drap</t>
  </si>
  <si>
    <t>Plaça de la Constitució, 3, 12593 Moncofa, Castelló</t>
  </si>
  <si>
    <t>Moncófar</t>
  </si>
  <si>
    <t>flordrap.business.site</t>
  </si>
  <si>
    <t>964 58 06 15</t>
  </si>
  <si>
    <t>El jardin de Elena</t>
  </si>
  <si>
    <t>Plaza Sinagoga, 12200 Onda, Castellón</t>
  </si>
  <si>
    <t>672 47 59 95</t>
  </si>
  <si>
    <t>Carrer Benigafull, 5, 12600 La Vall d&amp;apos;Uixó, Castelló</t>
  </si>
  <si>
    <t>964 66 07 44</t>
  </si>
  <si>
    <t>Floristeria la rosa negra</t>
  </si>
  <si>
    <t>Carrer del Pare Melià, 22, 12600 La Vall d&amp;apos;Uixó, Castelló</t>
  </si>
  <si>
    <t>654 14 73 66</t>
  </si>
  <si>
    <t>Floristería Lourdes</t>
  </si>
  <si>
    <t>Carrer José Bartrina, 13, 12520 Nules, Castelló</t>
  </si>
  <si>
    <t>floristerialourdes.es</t>
  </si>
  <si>
    <t>964 67 00 28</t>
  </si>
  <si>
    <t>Carrer de la Cisterna, 17, 12590 Almenara, Castelló</t>
  </si>
  <si>
    <t>Almenara</t>
  </si>
  <si>
    <t>609 17 82 74</t>
  </si>
  <si>
    <t>Bazar la Torre</t>
  </si>
  <si>
    <t>n1 bajo, Plaça de la Torre, 12190 Borriol, Castellón</t>
  </si>
  <si>
    <t>964 32 11 72</t>
  </si>
  <si>
    <t>Crisel floristería</t>
  </si>
  <si>
    <t>Av. Catalunya, 25, 12200 Onda, Castelló</t>
  </si>
  <si>
    <t>964 86 27 35</t>
  </si>
  <si>
    <t>Jesús Jer</t>
  </si>
  <si>
    <t>Mercado municipal, Plaza de España, 1, 12200 Onda, Castellón</t>
  </si>
  <si>
    <t>678 11 26 10</t>
  </si>
  <si>
    <t>Avenida Teniente General, Calle Federico Michavila, 2, 12110 L&amp;apos;Alcora, Castellón</t>
  </si>
  <si>
    <t>964 36 24 53</t>
  </si>
  <si>
    <t>Regalar Flores On Line S L</t>
  </si>
  <si>
    <t>Carrer del Romerar, 1, 12579 Alcossebre, Castelló</t>
  </si>
  <si>
    <t>Alcocéber</t>
  </si>
  <si>
    <t>964 41 41 47</t>
  </si>
  <si>
    <t>Petals</t>
  </si>
  <si>
    <t>Carrer de Mossen Vicent, 23, 12130 Sant Joan de Moró, Castelló</t>
  </si>
  <si>
    <t>San Juan de Moró</t>
  </si>
  <si>
    <t>964 70 13 39</t>
  </si>
  <si>
    <t>Flores y Regalos Delfi</t>
  </si>
  <si>
    <t>Plaza San Miguel, 13, 12410 Altura, Castellón</t>
  </si>
  <si>
    <t>Altura</t>
  </si>
  <si>
    <t>964 14 64 14</t>
  </si>
  <si>
    <t>Floristería La Gardenia S L</t>
  </si>
  <si>
    <t>Carrer del Romerar, 13, 12579 Alcossebre, Castelló</t>
  </si>
  <si>
    <t>El JARDIN DE POKI</t>
  </si>
  <si>
    <t>Calle José Escrig, 57, 12400 Segorbe, Castellón</t>
  </si>
  <si>
    <t>Segorbe</t>
  </si>
  <si>
    <t>eljardindepoki.blogspot.com.es</t>
  </si>
  <si>
    <t>653 12 20 47</t>
  </si>
  <si>
    <t>B1a@39.5037093</t>
  </si>
  <si>
    <t>Flors i Regals</t>
  </si>
  <si>
    <t>Calle Sagdo Corazón, 39, 12150 Vilafranca, Castellón</t>
  </si>
  <si>
    <t>Villafranca del Cid</t>
  </si>
  <si>
    <t>687 62 78 52</t>
  </si>
  <si>
    <t>Floristería Ramón Mundo Jardín</t>
  </si>
  <si>
    <t>Av. España, 99, 12400 Segorbe, Castellón</t>
  </si>
  <si>
    <t>mundojardin.net</t>
  </si>
  <si>
    <t>964 71 32 73</t>
  </si>
  <si>
    <t>Decoflor</t>
  </si>
  <si>
    <t>Carrer dels Llauradors, Plaça de Sant Isidre, 9, 1 bajo, 12598 Peníscola, Castelló</t>
  </si>
  <si>
    <t>Peñíscola</t>
  </si>
  <si>
    <t>669 74 66 78</t>
  </si>
  <si>
    <t>Av. Suroeste, 22, 12600 la Vall d&amp;apos;Uixó, Castellón</t>
  </si>
  <si>
    <t>Floristeria Trebol SC</t>
  </si>
  <si>
    <t>Carrer de Vicent Ramon Alòs, 6, bajo, 12593 Moncofa, Castelló</t>
  </si>
  <si>
    <t>675 25 20 96</t>
  </si>
  <si>
    <t>Floristería Nayra</t>
  </si>
  <si>
    <t>Bajos, Carrer Traval, 14, 12500 Vinaròs, Castelló</t>
  </si>
  <si>
    <t>Vinaroz</t>
  </si>
  <si>
    <t>floristerianayra.es</t>
  </si>
  <si>
    <t>639 76 57 33</t>
  </si>
  <si>
    <t>support@support.com</t>
  </si>
  <si>
    <t>Domingo Flores S C P</t>
  </si>
  <si>
    <t>Carrer del Doctor Ricardo Santos, 3, 12500 Vinaròs, Castelló</t>
  </si>
  <si>
    <t>964 45 22 76</t>
  </si>
  <si>
    <t>Carrer de la Cort, 15, 12170 Sant Mateu, Castelló</t>
  </si>
  <si>
    <t>San Mateo</t>
  </si>
  <si>
    <t>Segorflor</t>
  </si>
  <si>
    <t>Calle Castellón, 3, 12400 Segorbe, Castellón</t>
  </si>
  <si>
    <t>segorflor.com</t>
  </si>
  <si>
    <t>675 81 14 25</t>
  </si>
  <si>
    <t>Floristería La Gardenia</t>
  </si>
  <si>
    <t>Carrer de Terol, 45, 12185 Coves De Vinroma ( Les ), Castelló</t>
  </si>
  <si>
    <t>Cuevas de Vinromá</t>
  </si>
  <si>
    <t>964 42 60 93</t>
  </si>
  <si>
    <t>Ramón Mundo Flores</t>
  </si>
  <si>
    <t>Avenida Mediterráneo, 0 S/N, 12400 Segorbe</t>
  </si>
  <si>
    <t>619 07 01 53</t>
  </si>
  <si>
    <t>L&amp;apos;Herbari</t>
  </si>
  <si>
    <t>Carrer de la Marquesa de Fuente el Sol, 11, 12300 Morella, Castellón, Castellón</t>
  </si>
  <si>
    <t>Morella</t>
  </si>
  <si>
    <t>617 34 74 05</t>
  </si>
  <si>
    <t>Floristería El Tulipán Maribel</t>
  </si>
  <si>
    <t>Puesto de flores, Plaça de l&amp;apos;Ajuntament, nº 4, 46002 València, Valencia</t>
  </si>
  <si>
    <t>floristeriaeltulipan.es</t>
  </si>
  <si>
    <t>963 52 62 32</t>
  </si>
  <si>
    <t>eltulipanmaribel@gmail.com</t>
  </si>
  <si>
    <t>Flores Marí Tere</t>
  </si>
  <si>
    <t>Plaça dels Tres Reis, 15, 12500 Vinaròs, Castelló</t>
  </si>
  <si>
    <t>floristeriamaritere.online</t>
  </si>
  <si>
    <t>964 45 28 74</t>
  </si>
  <si>
    <t>Floristeria Sonya Faura</t>
  </si>
  <si>
    <t>Carrer de Santa Bàrbara, 37, 46512 Faura, Valencia</t>
  </si>
  <si>
    <t>Faura</t>
  </si>
  <si>
    <t>676 40 23 79</t>
  </si>
  <si>
    <t>Flores La Eliana El jardín de Chelo</t>
  </si>
  <si>
    <t>Carrer València, 23, 46183 L&amp;apos;Eliana, Valencia</t>
  </si>
  <si>
    <t>eljardindechelo.es</t>
  </si>
  <si>
    <t>962 02 73 81</t>
  </si>
  <si>
    <t>Floristería Feliu</t>
  </si>
  <si>
    <t>Carrer de Vinaròs, 1, 12580 Benicarló, Castelló</t>
  </si>
  <si>
    <t>Benicarló</t>
  </si>
  <si>
    <t>964 47 17 95</t>
  </si>
  <si>
    <t>Floristeria Inma</t>
  </si>
  <si>
    <t>Carrer del Pare Ildefonso Aleu, 11, 12170 Sant Mateu, Castelló</t>
  </si>
  <si>
    <t>funerariasantmateu.com</t>
  </si>
  <si>
    <t>639 77 02 16</t>
  </si>
  <si>
    <t>info@funerariasantmateu.com</t>
  </si>
  <si>
    <t>Estils Flor</t>
  </si>
  <si>
    <t>Carrer del Pla, 5, 46270 Vilanova de Castelló, Valencia</t>
  </si>
  <si>
    <t>Villanueva de Castellón</t>
  </si>
  <si>
    <t>962 45 42 66</t>
  </si>
  <si>
    <t>Viveros Alcossebre</t>
  </si>
  <si>
    <t>km 2, CV-142, 12579 Alcossebre, Castellón</t>
  </si>
  <si>
    <t>viverosalcossebre.es</t>
  </si>
  <si>
    <t>964 41 49 23</t>
  </si>
  <si>
    <t>info@viverosalcossebre.es</t>
  </si>
  <si>
    <t>Ademuz</t>
  </si>
  <si>
    <t>Floristería Valenciana - Flores a domicilio Valencia</t>
  </si>
  <si>
    <t>Carrer de la Vall de la Ballestera, 67, 46015 València, Valencia</t>
  </si>
  <si>
    <t>floristeriavalenciana.com</t>
  </si>
  <si>
    <t>963 46 72 42</t>
  </si>
  <si>
    <t>Flores Feliu</t>
  </si>
  <si>
    <t>Carrer del Cronista Carreres, 3, 46003 València, Valencia</t>
  </si>
  <si>
    <t>floristeriafeliu.com</t>
  </si>
  <si>
    <t>963 51 89 90</t>
  </si>
  <si>
    <t>info@floristeriafeliu.com</t>
  </si>
  <si>
    <t>Flores Fela Hijo</t>
  </si>
  <si>
    <t>Av. d&amp;apos;Aragó, 8, 46021 València, Valencia</t>
  </si>
  <si>
    <t>floresfela.com</t>
  </si>
  <si>
    <t>963 37 11 44</t>
  </si>
  <si>
    <t>Flores Fela - Lliso</t>
  </si>
  <si>
    <t>Carrer de Llorca, 10, 46018 València, Valencia</t>
  </si>
  <si>
    <t>floresfelalliso.com</t>
  </si>
  <si>
    <t>963 84 54 67</t>
  </si>
  <si>
    <t>lorca@floresfelalliso.com</t>
  </si>
  <si>
    <t>Flores a domicilio Valencia</t>
  </si>
  <si>
    <t>Carrer de la Pobla de Farnals, 41, 46022 València, Valencia</t>
  </si>
  <si>
    <t>Floristería La Violeta</t>
  </si>
  <si>
    <t>Plaça de l&amp;apos;Ajuntament, 2, 46002 València</t>
  </si>
  <si>
    <t>València</t>
  </si>
  <si>
    <t>floreslavioleta.com</t>
  </si>
  <si>
    <t>656 47 56 20</t>
  </si>
  <si>
    <t>Floristería Artis</t>
  </si>
  <si>
    <t>Camino Viejo Picassent, S/N, 46017 Valencia</t>
  </si>
  <si>
    <t>flores-valencia.com</t>
  </si>
  <si>
    <t>687 73 83 63</t>
  </si>
  <si>
    <t>info@flores-valencia.com</t>
  </si>
  <si>
    <t>🌹💐Floristería Flores de Jacqueline 🌻🌷 Flores a Domicilio Valencia 🌼🌺</t>
  </si>
  <si>
    <t>Av. de Campanar, 51, 46009 València, Valencia</t>
  </si>
  <si>
    <t>floresdejacqueline.es</t>
  </si>
  <si>
    <t>960 06 30 63</t>
  </si>
  <si>
    <t>tienda@floresdejacqueline.es</t>
  </si>
  <si>
    <t>Floristería Denis</t>
  </si>
  <si>
    <t>Carrer de Lluís Oliag, 29, 46006 València, Valencia</t>
  </si>
  <si>
    <t>floristeriadenis.com</t>
  </si>
  <si>
    <t>660 07 69 26</t>
  </si>
  <si>
    <t>FLORISTERIA BENITO HERRERA</t>
  </si>
  <si>
    <t>Carrer de la Serradora, 17, 46022 València, Valencia</t>
  </si>
  <si>
    <t>benitoherrera.es</t>
  </si>
  <si>
    <t>963 30 77 90</t>
  </si>
  <si>
    <t>flores@benitoherrera.es</t>
  </si>
  <si>
    <t>Floristería Vitalflora</t>
  </si>
  <si>
    <t>Carrer de Pere Cabanes, 102, 46025 València, Valencia</t>
  </si>
  <si>
    <t>vitalflora.com</t>
  </si>
  <si>
    <t>677 70 62 43</t>
  </si>
  <si>
    <t>vitalflora2020@gmail.com</t>
  </si>
  <si>
    <t>Floristeria sandy</t>
  </si>
  <si>
    <t>Carrer José María Mortes Lerma, 33, 46014 València</t>
  </si>
  <si>
    <t>floresdesandy.com</t>
  </si>
  <si>
    <t>963 77 73 21</t>
  </si>
  <si>
    <t>info@floresdesandy.com</t>
  </si>
  <si>
    <t>Floristeria en Valencia a domicilio ValenFlor</t>
  </si>
  <si>
    <t>valenflor.com</t>
  </si>
  <si>
    <t>960 04 96 45</t>
  </si>
  <si>
    <t>SUECA13 Floristería Ruzafa</t>
  </si>
  <si>
    <t>Carrer de Sueca, 13, 46006 València, Valencia</t>
  </si>
  <si>
    <t>sueca13flores.com</t>
  </si>
  <si>
    <t>629 91 44 24</t>
  </si>
  <si>
    <t>floressueca13@gmail.com</t>
  </si>
  <si>
    <t>Dazzle Floral Design - Floristería en Valencia</t>
  </si>
  <si>
    <t>dazzlefloraldesign.com</t>
  </si>
  <si>
    <t>686 00 69 77</t>
  </si>
  <si>
    <t>FLORES BENITO HERRERA</t>
  </si>
  <si>
    <t>Carrer del Clariano, 8, 46021 Valencia</t>
  </si>
  <si>
    <t>963 62 29 27</t>
  </si>
  <si>
    <t>Flores Lliso</t>
  </si>
  <si>
    <t>Carrer de Quart, 74, 46008 València, Valencia</t>
  </si>
  <si>
    <t>963 91 19 83</t>
  </si>
  <si>
    <t>Avinguda Regne de Valencia, 36, 46005 València, Valencia</t>
  </si>
  <si>
    <t>685 10 53 12</t>
  </si>
  <si>
    <t>Floristería Azahar y Flores</t>
  </si>
  <si>
    <t>Carrer del Poeta Altet, 11, Bajo Izq, 46020 Valencia</t>
  </si>
  <si>
    <t>azaharyflores.com</t>
  </si>
  <si>
    <t>962 01 16 75</t>
  </si>
  <si>
    <t>info@azaharyflores.com</t>
  </si>
  <si>
    <t>Floristería en Valencia &amp;quot;Torres&amp;quot;</t>
  </si>
  <si>
    <t>642 84 48 31</t>
  </si>
  <si>
    <t>Flores Lantana</t>
  </si>
  <si>
    <t>Carrer de Santa Maria Micaela, 2, 46008 València, Valencia</t>
  </si>
  <si>
    <t>floreslantana.com</t>
  </si>
  <si>
    <t>963 84 69 13</t>
  </si>
  <si>
    <t>floreslantana@floreslantana.com</t>
  </si>
  <si>
    <t>Capriccio Floristería</t>
  </si>
  <si>
    <t>Carrer de Polo y Peyrolón, 20, 46021 València, Valencia</t>
  </si>
  <si>
    <t>floristeriacapriccio.es</t>
  </si>
  <si>
    <t>963 69 25 80</t>
  </si>
  <si>
    <t>Flores MEBE</t>
  </si>
  <si>
    <t>Plaza del ayuntamiento puesto nº11, 46002 Valencia</t>
  </si>
  <si>
    <t>floresmebe.es</t>
  </si>
  <si>
    <t>963 51 00 24</t>
  </si>
  <si>
    <t>floresmebe@gmail.com</t>
  </si>
  <si>
    <t>FLORISTERIA VALEN FLORISTAS</t>
  </si>
  <si>
    <t>Av. del Camí Nou, 75, 46950 Xirivella, Valencia</t>
  </si>
  <si>
    <t>Chirivella</t>
  </si>
  <si>
    <t>valenfloristas.com</t>
  </si>
  <si>
    <t>963 79 12 03</t>
  </si>
  <si>
    <t>%20info@valenfloristas.com</t>
  </si>
  <si>
    <t>FLORISTERÍA LA SALUD</t>
  </si>
  <si>
    <t>Carrer de la Pobla de Farnals, 40, 46021 València, Valencia</t>
  </si>
  <si>
    <t>floristerialasalud.es</t>
  </si>
  <si>
    <t>963 62 78 99</t>
  </si>
  <si>
    <t>Atelier de la Flor</t>
  </si>
  <si>
    <t>Carrer de Misser Mascó, 34, 46010 València, Valencia</t>
  </si>
  <si>
    <t>atelierdelaflor.com</t>
  </si>
  <si>
    <t>963 25 60 67</t>
  </si>
  <si>
    <t>Av. del Dr. Peset Aleixandre, 92, 46025 València, Valencia</t>
  </si>
  <si>
    <t>963 48 91 35</t>
  </si>
  <si>
    <t>Flors Sorolla</t>
  </si>
  <si>
    <t>Plaza de la Armada Española, 3, 46011 Valencia</t>
  </si>
  <si>
    <t>florsorolla.negocio.site</t>
  </si>
  <si>
    <t>963 67 49 37</t>
  </si>
  <si>
    <t>Floristería Lucía Monforte</t>
  </si>
  <si>
    <t>Carrer de Sant Carles, 9, 46920 Mislata, Valencia</t>
  </si>
  <si>
    <t>Mislata</t>
  </si>
  <si>
    <t>floristeriamonforte.com</t>
  </si>
  <si>
    <t>963 79 30 82</t>
  </si>
  <si>
    <t>Flors i Plantes Sole Vida</t>
  </si>
  <si>
    <t>Camí del Cabanyal, 36, 46022 València, Valencia</t>
  </si>
  <si>
    <t>963 71 22 61</t>
  </si>
  <si>
    <t>Floristeria La Sirena</t>
  </si>
  <si>
    <t>Carrer de Rodrigo de Pertegás, 17, 46023 València, Valencia</t>
  </si>
  <si>
    <t>floristerialasirena.com</t>
  </si>
  <si>
    <t>679 97 81 42</t>
  </si>
  <si>
    <t>info@floristerialasirena.com</t>
  </si>
  <si>
    <t>Flores Pedrós</t>
  </si>
  <si>
    <t>Carrer d&amp;apos;Aiora, 5, 46018 València, Valencia</t>
  </si>
  <si>
    <t>florespedros.negocio.site</t>
  </si>
  <si>
    <t>963 85 27 77</t>
  </si>
  <si>
    <t>Floristería Cobre</t>
  </si>
  <si>
    <t>Carrer de les Tres Forques, 71, 46018 València, Valencia</t>
  </si>
  <si>
    <t>963 78 03 30</t>
  </si>
  <si>
    <t>Floristería Silvani</t>
  </si>
  <si>
    <t>Av. de Gaspar Aguilar, 79, 46017 València, Valencia</t>
  </si>
  <si>
    <t>silvanifloristeria.es</t>
  </si>
  <si>
    <t>660 67 00 38</t>
  </si>
  <si>
    <t>info@silvanifloristeria.es</t>
  </si>
  <si>
    <t>Amanda Flores Y Plantas Naturales SL</t>
  </si>
  <si>
    <t>Carrer de Roger de Llòria, 8, 46002 València, Valencia</t>
  </si>
  <si>
    <t>floramanda.com</t>
  </si>
  <si>
    <t>963 51 48 07</t>
  </si>
  <si>
    <t>comercial@floramanda.com</t>
  </si>
  <si>
    <t>mas que flor</t>
  </si>
  <si>
    <t>Carrer de la Reina, 228, 46011 València, Valencia</t>
  </si>
  <si>
    <t>masqueflor.negocio.site</t>
  </si>
  <si>
    <t>963 55 68 52</t>
  </si>
  <si>
    <t>Carrer d&amp;apos;Enric Navarro, 27, 46020 València, Valencia</t>
  </si>
  <si>
    <t>floresparanovia.com</t>
  </si>
  <si>
    <t>963 93 48 49</t>
  </si>
  <si>
    <t>Suviflor</t>
  </si>
  <si>
    <t>Plaza Del Ayuntamiento Puesto Flores n9, 46002 Valencia</t>
  </si>
  <si>
    <t>suviflor.negocio.site</t>
  </si>
  <si>
    <t>963 51 80 44</t>
  </si>
  <si>
    <t>Casa Verde Floristería</t>
  </si>
  <si>
    <t>Carrer de Francisco Moreno Usedo, 31, 46018 València, Valencia</t>
  </si>
  <si>
    <t>casaverdeflores.wordpress.com</t>
  </si>
  <si>
    <t>607 38 17 99</t>
  </si>
  <si>
    <t>LA BELLA ELISA -flores y eventos</t>
  </si>
  <si>
    <t>Calle Joaquín Costa,30 bj dcha (casi esquina con, Carrer de Borriana, 46005 Valencia</t>
  </si>
  <si>
    <t>labellaelisa.es</t>
  </si>
  <si>
    <t>687 83 02 96</t>
  </si>
  <si>
    <t>info@labellaelisa.es</t>
  </si>
  <si>
    <t>Flores Vendrell</t>
  </si>
  <si>
    <t>Av. de Burjassot, 166, 46025 València, Valencia</t>
  </si>
  <si>
    <t>floresvendrell.com</t>
  </si>
  <si>
    <t>963 48 84 49</t>
  </si>
  <si>
    <t>info@floresvendrell.com</t>
  </si>
  <si>
    <t>Carrer de Fra Juníper Serra, 78, 46014 València, Valencia</t>
  </si>
  <si>
    <t>644 19 13 26</t>
  </si>
  <si>
    <t>Floristería lavanda</t>
  </si>
  <si>
    <t>Carrer de Totana, 1, 46018 València, Valencia</t>
  </si>
  <si>
    <t>960 81 25 82</t>
  </si>
  <si>
    <t>Art Natural Floristería</t>
  </si>
  <si>
    <t>Carrer de Crisòstom Martínez, 3, 46035 València, Valencia</t>
  </si>
  <si>
    <t>enviarfloresdomicilio.net</t>
  </si>
  <si>
    <t>961 93 39 46</t>
  </si>
  <si>
    <t>info@enviarfloresdomicilio.net</t>
  </si>
  <si>
    <t>VALENCIA VERDA FLORISTERIA</t>
  </si>
  <si>
    <t>Carrer de València, 57, 46910 Sedaví, Valencia</t>
  </si>
  <si>
    <t>Sedaví</t>
  </si>
  <si>
    <t>valenciaverda.com</t>
  </si>
  <si>
    <t>639 97 36 65</t>
  </si>
  <si>
    <t>flores@valenciaverda.com</t>
  </si>
  <si>
    <t>Flores Fombuena s.l</t>
  </si>
  <si>
    <t>Puerto de Santa Maria, Av. del General Avilés, 2, Esq, 46015 Valencia</t>
  </si>
  <si>
    <t>963 49 17 87</t>
  </si>
  <si>
    <t>Flores Carmen Galán</t>
  </si>
  <si>
    <t>Carrer del Marí Sirera, 2, 46011 València, Valencia</t>
  </si>
  <si>
    <t>687 70 83 37</t>
  </si>
  <si>
    <t>Sabela Arte Floral</t>
  </si>
  <si>
    <t>Carrer de l&amp;apos;Escultor José Capuz, 46, 46006 València, Valencia</t>
  </si>
  <si>
    <t>963 74 94 14</t>
  </si>
  <si>
    <t>Flores Rosa Mari</t>
  </si>
  <si>
    <t>Plaça de l&amp;apos;Ajuntament, 0, 46001 València, Valencia</t>
  </si>
  <si>
    <t>963 51 22 95</t>
  </si>
  <si>
    <t>Sibila Arte Floral</t>
  </si>
  <si>
    <t>Avinguda de Peris i Valero, 181, 46005 València, Valencia</t>
  </si>
  <si>
    <t>sibilaartefloral.com</t>
  </si>
  <si>
    <t>622 18 73 77</t>
  </si>
  <si>
    <t>Roser Florista</t>
  </si>
  <si>
    <t>Carrer de Salamanca, 40, 46005 València, Valencia</t>
  </si>
  <si>
    <t>floristeriaroser.es</t>
  </si>
  <si>
    <t>963 81 57 27</t>
  </si>
  <si>
    <t>minabofill@yahoo.es</t>
  </si>
  <si>
    <t>Daniel Fombuena - Florista.</t>
  </si>
  <si>
    <t>Carrer de la Redempció, 1, 46002 València, Valencia</t>
  </si>
  <si>
    <t>626 76 14 46</t>
  </si>
  <si>
    <t>PETIT VIOLET</t>
  </si>
  <si>
    <t>Carrer de Cieza, 4, bajo derecha, 46014 València, Valencia</t>
  </si>
  <si>
    <t>petitviolet.es</t>
  </si>
  <si>
    <t>963 30 78 15</t>
  </si>
  <si>
    <t>Ceres Floristas Malvarrosa</t>
  </si>
  <si>
    <t>Avinguda de la Malva-Rosa, 113, 46011 València, Valencia</t>
  </si>
  <si>
    <t>963 38 79 58</t>
  </si>
  <si>
    <t>Floristería La Violeta by Lolin Benimaclet</t>
  </si>
  <si>
    <t>Carrer d&amp;apos;Ismael Merlo, 7, 46020 València, Valencia</t>
  </si>
  <si>
    <t>637 16 29 95</t>
  </si>
  <si>
    <t>Flores Paula</t>
  </si>
  <si>
    <t>Plaça de l&amp;apos;Ajuntament, puesto numero 7, 46001 Valencia</t>
  </si>
  <si>
    <t>puestoflorespaula.es</t>
  </si>
  <si>
    <t>963 52 88 89</t>
  </si>
  <si>
    <t>2@4x.png</t>
  </si>
  <si>
    <t>Amparo Jordá Floristas</t>
  </si>
  <si>
    <t>Carrer de Quart, 128, 46008 Valencia</t>
  </si>
  <si>
    <t>floristeriaamparojorda.es</t>
  </si>
  <si>
    <t>960 88 47 57</t>
  </si>
  <si>
    <t>info@floristeriaamparojorda.es</t>
  </si>
  <si>
    <t>Floristeria Araceli</t>
  </si>
  <si>
    <t>Camí de Montcada, 72, 46019 València, Valencia</t>
  </si>
  <si>
    <t>963 66 56 00</t>
  </si>
  <si>
    <t>Flor de Taronger</t>
  </si>
  <si>
    <t>Carrer d&amp;apos;Oltà, 37, 46006 València, Valencia</t>
  </si>
  <si>
    <t>963 95 40 33</t>
  </si>
  <si>
    <t>Flores Ulises. Flower4u</t>
  </si>
  <si>
    <t>Facultad Psicología, Av. de Blasco Ibáñez, 21, 46010 València, Valencia</t>
  </si>
  <si>
    <t>601 19 94 65</t>
  </si>
  <si>
    <t>Ceres Floristas</t>
  </si>
  <si>
    <t>Carrer de Ciscar, 65, 46005 València, Valencia</t>
  </si>
  <si>
    <t>ceresfloristas.es</t>
  </si>
  <si>
    <t>963 34 00 58</t>
  </si>
  <si>
    <t>La Casa de les Flors</t>
  </si>
  <si>
    <t>C. de Jeroni Munyós, 15, bajo, 46007 València, Valencia</t>
  </si>
  <si>
    <t>963 28 11 45</t>
  </si>
  <si>
    <t>El Jardín de Teresa</t>
  </si>
  <si>
    <t>Carrer del Poeta Andrés Cabrelles, 6, 46022 València, Valencia</t>
  </si>
  <si>
    <t>eljardindeteresa.com</t>
  </si>
  <si>
    <t>963 32 45 54</t>
  </si>
  <si>
    <t>Floristería Mercedes M. Joli</t>
  </si>
  <si>
    <t>Camino Viejo de Valencia, 30, 46100 Burjassot, Valencia</t>
  </si>
  <si>
    <t>Burjasot</t>
  </si>
  <si>
    <t>653 80 41 95</t>
  </si>
  <si>
    <t>Floristería Deli</t>
  </si>
  <si>
    <t>Carrer de Vicent Puchol, 37, 46026 València, Valencia</t>
  </si>
  <si>
    <t>961 11 87 40</t>
  </si>
  <si>
    <t>Floristería Teruel</t>
  </si>
  <si>
    <t>Calle Santo Domingo de Guzmán, 8, 46017 Valencia</t>
  </si>
  <si>
    <t>963 77 37 46</t>
  </si>
  <si>
    <t>Flors la Caseta</t>
  </si>
  <si>
    <t>Av. de Gaspar Aguilar, 103, 46017 València, Valencia</t>
  </si>
  <si>
    <t>as.com</t>
  </si>
  <si>
    <t>963 78 55 82</t>
  </si>
  <si>
    <t>reloj@2x.png</t>
  </si>
  <si>
    <t>Flores Montañana S.L.</t>
  </si>
  <si>
    <t>Carrer Major, 16, 46920 Mislata, Valencia</t>
  </si>
  <si>
    <t>floresmontanana.es</t>
  </si>
  <si>
    <t>963 79 37 71</t>
  </si>
  <si>
    <t>info@floresmontanana.es</t>
  </si>
  <si>
    <t>Plaza Santo Domingo De Guzmán, 5, 46017 València, Valencia</t>
  </si>
  <si>
    <t>963 78 25 39</t>
  </si>
  <si>
    <t>Flores Joypi</t>
  </si>
  <si>
    <t>Carrer Major, 4, 46950 Xirivella, Valencia</t>
  </si>
  <si>
    <t>963 59 82 17</t>
  </si>
  <si>
    <t>FloristeriaJ.Feliu</t>
  </si>
  <si>
    <t>Calle Santo Domingo de Guzmán, 7, 46017 Valencia</t>
  </si>
  <si>
    <t>floristeriajfeliu.negocio.site</t>
  </si>
  <si>
    <t>963 77 35 80</t>
  </si>
  <si>
    <t>Floristería Antonia Mata</t>
  </si>
  <si>
    <t>Plaça de l&amp;apos;Ajuntament, 14, 46002 València, Valencia</t>
  </si>
  <si>
    <t>963 52 11 12</t>
  </si>
  <si>
    <t>Floristería Cala Voro</t>
  </si>
  <si>
    <t>Carrer de Sagunt, 17, 46009 València, Valencia</t>
  </si>
  <si>
    <t>floristeriacalavoro.com</t>
  </si>
  <si>
    <t>963 48 20 50</t>
  </si>
  <si>
    <t>Adela&amp;amp;Co</t>
  </si>
  <si>
    <t>Carrer de Cirilo Amorós, 24, 46004 València, Valencia</t>
  </si>
  <si>
    <t>adelaandco.com</t>
  </si>
  <si>
    <t>608 38 79 07</t>
  </si>
  <si>
    <t>hola@adelaandco.com</t>
  </si>
  <si>
    <t>Floristería Rubio</t>
  </si>
  <si>
    <t>Antic Carrer la Font, 2, 46930 Quart de Poblet, Valencia</t>
  </si>
  <si>
    <t>Cuart de Poblet</t>
  </si>
  <si>
    <t>961 54 77 80</t>
  </si>
  <si>
    <t>La Espina. Flores y plantas</t>
  </si>
  <si>
    <t>Carrer del Comte d&amp;apos;Altea, 3, 46005 València, Valencia</t>
  </si>
  <si>
    <t>laespinafloristeria.com</t>
  </si>
  <si>
    <t>686 16 37 12</t>
  </si>
  <si>
    <t>Corimbo</t>
  </si>
  <si>
    <t>Carrer del Batxiller, 4, 46010 València, Valencia</t>
  </si>
  <si>
    <t>963 69 88 59</t>
  </si>
  <si>
    <t>Absoluta Flora</t>
  </si>
  <si>
    <t>Carrer de Murillo, 44, Bajo Izq, 46001 Valencia</t>
  </si>
  <si>
    <t>absolutaflora.com</t>
  </si>
  <si>
    <t>961 81 08 59</t>
  </si>
  <si>
    <t>info@absolutaflora.com</t>
  </si>
  <si>
    <t>Floristería Alapont</t>
  </si>
  <si>
    <t>Carrer de Tomàs Gisbert, 40, bajo, 46026 Valencia</t>
  </si>
  <si>
    <t>963 96 09 81</t>
  </si>
  <si>
    <t>Carrer Dr. Lanuza, 2, 46120 Alboraia, Valencia</t>
  </si>
  <si>
    <t>Alboraya</t>
  </si>
  <si>
    <t>961 33 80 27</t>
  </si>
  <si>
    <t>Flores Vicenta Martínez</t>
  </si>
  <si>
    <t>Plaça de l&amp;apos;Ajuntament, 2, 46002 València, Valencia</t>
  </si>
  <si>
    <t>963 51 85 40</t>
  </si>
  <si>
    <t>Flores Vicente</t>
  </si>
  <si>
    <t>Carrer de Fontilles, 26, 46024 València, Valencia</t>
  </si>
  <si>
    <t>Las Cuatro Estaciones</t>
  </si>
  <si>
    <t>Carrer de Matias Perelló, 25, 46005 València, Valencia</t>
  </si>
  <si>
    <t>las4estaciones.es</t>
  </si>
  <si>
    <t>las4estaciones@las4estaciones.es</t>
  </si>
  <si>
    <t>Floristeria Choret</t>
  </si>
  <si>
    <t>Carrer Ausiàs March, 44, 46016 Tavernes Blanques, Valencia</t>
  </si>
  <si>
    <t>Tabernes Blanques</t>
  </si>
  <si>
    <t>620 01 56 73</t>
  </si>
  <si>
    <t>Floristería Adrián</t>
  </si>
  <si>
    <t>Carrer del Dr. Marañón, 5, 46920 Mislata, Valencia</t>
  </si>
  <si>
    <t>963 83 27 52</t>
  </si>
  <si>
    <t>Ada Flores E Ilusión</t>
  </si>
  <si>
    <t>C. de Jesús, 50, 46007 València, Valencia</t>
  </si>
  <si>
    <t>961 05 66 75</t>
  </si>
  <si>
    <t>Ilusión</t>
  </si>
  <si>
    <t>Carrer d&amp;apos;Àngel Guimerà, 11, 46001 València, Valencia</t>
  </si>
  <si>
    <t>floresilusion.com</t>
  </si>
  <si>
    <t>963 85 39 90</t>
  </si>
  <si>
    <t>Jardín De La Torreta</t>
  </si>
  <si>
    <t>Plaça de l&amp;apos;Ajuntament, 0 S N, 46001 València</t>
  </si>
  <si>
    <t>648 72 44 31</t>
  </si>
  <si>
    <t>Florisan</t>
  </si>
  <si>
    <t>Plaça del Tossal del Rei, 2, 46019 València, Valencia</t>
  </si>
  <si>
    <t>floristeriaflorisan.es</t>
  </si>
  <si>
    <t>963 65 92 52</t>
  </si>
  <si>
    <t>La Tartana</t>
  </si>
  <si>
    <t>Carrer de Sorní, 25, 46004 València, Valencia</t>
  </si>
  <si>
    <t>floreslatartana.com</t>
  </si>
  <si>
    <t>963 74 91 29</t>
  </si>
  <si>
    <t>hello@floreslatartana.com</t>
  </si>
  <si>
    <t>Floristería Paula Castillo</t>
  </si>
  <si>
    <t>Carrer del Campament, 40, 46035 València, Valencia</t>
  </si>
  <si>
    <t>691 41 15 91</t>
  </si>
  <si>
    <t>Flores Low Cost</t>
  </si>
  <si>
    <t>flores-low-cost.ueniweb.com</t>
  </si>
  <si>
    <t>655 91 12 19</t>
  </si>
  <si>
    <t>abellapsicologia@icloud.com</t>
  </si>
  <si>
    <t>Flores Mari</t>
  </si>
  <si>
    <t>Av. de Gaspar Aguilar, 129, 46017 València, Valencia</t>
  </si>
  <si>
    <t>Floristería Quico Moret</t>
  </si>
  <si>
    <t>Av. del Camí Nou, 171, 46950 Xirivella, Valencia</t>
  </si>
  <si>
    <t>floristeriaquicomoret.com</t>
  </si>
  <si>
    <t>669 48 11 69</t>
  </si>
  <si>
    <t>info@floristeriaquicomoret.com</t>
  </si>
  <si>
    <t>Flores para fallas</t>
  </si>
  <si>
    <t>Carrer de Ramón Asensio, 13, 46020 València, Valencia</t>
  </si>
  <si>
    <t>963 11 19 23</t>
  </si>
  <si>
    <t>Masqueflor</t>
  </si>
  <si>
    <t>615 50 89 50</t>
  </si>
  <si>
    <t>Flores Y Plantas Emi</t>
  </si>
  <si>
    <t>Carrer de José Andreu Alabarta, 9, 46014 València, Valencia</t>
  </si>
  <si>
    <t>Flores Emí puesto8</t>
  </si>
  <si>
    <t>Plaça de l&amp;apos;Ajuntament, 46002 València, Valencia</t>
  </si>
  <si>
    <t>610 64 49 41</t>
  </si>
  <si>
    <t>Flores Pili Paiporta</t>
  </si>
  <si>
    <t>Carrer Antonio Machado, 3, 46200 Paiporta, Valencia</t>
  </si>
  <si>
    <t>Paiporta</t>
  </si>
  <si>
    <t>963 97 10 45</t>
  </si>
  <si>
    <t>Flores Amparo Mira</t>
  </si>
  <si>
    <t>Plaça de l&amp;apos;Ajuntament, 5, 46002 València, Valencia</t>
  </si>
  <si>
    <t>648 02 17 20</t>
  </si>
  <si>
    <t>FLORISTERIA MONFORTE</t>
  </si>
  <si>
    <t>El Consuelo</t>
  </si>
  <si>
    <t>Carrer de Callosa d&amp;apos;En Sarrià, 1, Bajo, 46007 València, Valencia</t>
  </si>
  <si>
    <t>Turia Flor Mayorista de flores-Almacen flor cortada</t>
  </si>
  <si>
    <t>Mercaflor, Nave 4, Mercavalencia, 46013 Valencia</t>
  </si>
  <si>
    <t>turiaflor.es</t>
  </si>
  <si>
    <t>963 67 44 99</t>
  </si>
  <si>
    <t>datos@turiaflor.es</t>
  </si>
  <si>
    <t>L&amp;apos;Andana Flor</t>
  </si>
  <si>
    <t>landanaflor.es</t>
  </si>
  <si>
    <t>Flores de Nata</t>
  </si>
  <si>
    <t>Carrer del Cardenal Benlloch, 50, BAJO-8, 46920 Mislata, Valencia</t>
  </si>
  <si>
    <t>698 35 79 98</t>
  </si>
  <si>
    <t>Ester Bornay, florista</t>
  </si>
  <si>
    <t>Plaza de Jesús Mercado Municipal Jesús Patraix puestos 13-15, 46007 Valencia</t>
  </si>
  <si>
    <t>679 62 31 03</t>
  </si>
  <si>
    <t>Flores Nira</t>
  </si>
  <si>
    <t>Av. Gregorio Gea, 77, 46920 Mislata, Valencia</t>
  </si>
  <si>
    <t>692 67 78 96</t>
  </si>
  <si>
    <t>FLORISTERIACONENCANTO.COM</t>
  </si>
  <si>
    <t>Carrer de Quart, 128, 46008 València, Valencia</t>
  </si>
  <si>
    <t>634 86 91 95</t>
  </si>
  <si>
    <t>Búkaro deco&amp;amp;flowers</t>
  </si>
  <si>
    <t>Carrer de Xiva, 22, 46018 València, Valencia</t>
  </si>
  <si>
    <t>692 36 36 17</t>
  </si>
  <si>
    <t>G.roses</t>
  </si>
  <si>
    <t>Carrer de les Comèdies, 14, 46003 València, Valencia</t>
  </si>
  <si>
    <t>645 57 13 64</t>
  </si>
  <si>
    <t>Vara Piquer</t>
  </si>
  <si>
    <t>florencasa.com</t>
  </si>
  <si>
    <t>info@varapiquer.net</t>
  </si>
  <si>
    <t>Carrer del Foc, 26, 46025 València, Valencia</t>
  </si>
  <si>
    <t>Flores Conchi</t>
  </si>
  <si>
    <t>963 77 33 84</t>
  </si>
  <si>
    <t>Carrer del Mestre Esteban Català, 2, 46010 València, Valencia</t>
  </si>
  <si>
    <t>961 05 98 84</t>
  </si>
  <si>
    <t>FLORISTERIA LA FULLA</t>
  </si>
  <si>
    <t>Carrer de l&amp;apos;Explorador Andrés, 32, 46022 València, Valencia</t>
  </si>
  <si>
    <t>floristerialafulla.com</t>
  </si>
  <si>
    <t>963 44 19 29</t>
  </si>
  <si>
    <t>floristeria@lafulla.com</t>
  </si>
  <si>
    <t>Floristeria &amp;quot;Taller de Fantasias&amp;quot;</t>
  </si>
  <si>
    <t>Avinguda del Port, 131, 46022 Valencia</t>
  </si>
  <si>
    <t>640 08 47 91</t>
  </si>
  <si>
    <t>Flores Aparte</t>
  </si>
  <si>
    <t>Carrer de les Avellanes, 19, 46003 València, Valencia</t>
  </si>
  <si>
    <t>609 64 27 50</t>
  </si>
  <si>
    <t>Tarongina -flores, talleres y eventos-</t>
  </si>
  <si>
    <t>Av. de les Balears, 73, bajo izquierda, 46023 València, Valencia</t>
  </si>
  <si>
    <t>taronginafloristeria.com</t>
  </si>
  <si>
    <t>644 16 58 02</t>
  </si>
  <si>
    <t>info@taronginafloristeria.com</t>
  </si>
  <si>
    <t>El Taller de Clo</t>
  </si>
  <si>
    <t>C. de Gabriel i Galán, 7, 46017 València, Valencia</t>
  </si>
  <si>
    <t>961 02 07 63</t>
  </si>
  <si>
    <t>Taghi Gavanini Mohammadian</t>
  </si>
  <si>
    <t>Carrer de Colón, 27, 46004 València, Valencia</t>
  </si>
  <si>
    <t>963 08 77 08</t>
  </si>
  <si>
    <t>Floristeria Trafalgar</t>
  </si>
  <si>
    <t>46930, Av. Villalba de Lugo, 6, 46930 Quart de Poblet, Valencia</t>
  </si>
  <si>
    <t>floristeriatrafalgar.com</t>
  </si>
  <si>
    <t>961 53 25 56</t>
  </si>
  <si>
    <t>Carrer José María Mortes Lerma, 33, 46014 València, Valencia</t>
  </si>
  <si>
    <t>963 77 77 32</t>
  </si>
  <si>
    <t>Pedro Navarro Estilismo floral y eventos</t>
  </si>
  <si>
    <t>Carrer del Cobertís dels Brodadors, 8, 46001 València, Valencia</t>
  </si>
  <si>
    <t>pedronavarro.es</t>
  </si>
  <si>
    <t>679 16 21 07</t>
  </si>
  <si>
    <t>El Tilo de Sorni</t>
  </si>
  <si>
    <t>Carrer de Sorní, 33, Bajo, 46004 Valencia</t>
  </si>
  <si>
    <t>962 06 65 78</t>
  </si>
  <si>
    <t>Carrer del Ceramista Ros, 4, 46014 València, Valencia</t>
  </si>
  <si>
    <t>963 77 55 96</t>
  </si>
  <si>
    <t>Francisco Feliu Bus</t>
  </si>
  <si>
    <t>Carrer de Just Ramírez, 26, 46009 València, Valencia</t>
  </si>
  <si>
    <t>963 48 55 19</t>
  </si>
  <si>
    <t>Cactus Helmer</t>
  </si>
  <si>
    <t>Carrer de Lluís Peixó, 12, 46011 València, Valencia</t>
  </si>
  <si>
    <t>cactus-helmer.ueniweb.com</t>
  </si>
  <si>
    <t>645 71 87 53</t>
  </si>
  <si>
    <t>HelmerHamza@gmail.com</t>
  </si>
  <si>
    <t>Flores Antonia</t>
  </si>
  <si>
    <t>Carrer de Jorge Juan, 71, 46100 Burjassot, Valencia</t>
  </si>
  <si>
    <t>963 63 80 18</t>
  </si>
  <si>
    <t>Antonio Jordán</t>
  </si>
  <si>
    <t>C. de Sant Vicent Màrtir, 238, 46007 València, Valencia</t>
  </si>
  <si>
    <t>963 44 42 82</t>
  </si>
  <si>
    <t>Carisma</t>
  </si>
  <si>
    <t>Carrer de l&amp;apos;Explorador Andrés, 41, 46022 València, Valencia</t>
  </si>
  <si>
    <t>FLORISTERIA Y JARDINERIA JORGE</t>
  </si>
  <si>
    <t>Carrer Julio Colomer, Nº4, 46910, Valencia</t>
  </si>
  <si>
    <t>658 90 18 12</t>
  </si>
  <si>
    <t>Floristería María Dolores</t>
  </si>
  <si>
    <t>Carrer Nou d&amp;apos;Octubre, 12, 46910 Alfafar, Valencia</t>
  </si>
  <si>
    <t>Alfafar</t>
  </si>
  <si>
    <t>floristeria-mariadolores.com</t>
  </si>
  <si>
    <t>963 76 06 29</t>
  </si>
  <si>
    <t>emran.bd.08@gmail.com</t>
  </si>
  <si>
    <t>Floristería esterlicies</t>
  </si>
  <si>
    <t>Carrer la Senyera, 1, 46210 Picanya, Valencia</t>
  </si>
  <si>
    <t>Picaña</t>
  </si>
  <si>
    <t>floristeriaesterlicies.es</t>
  </si>
  <si>
    <t>961 59 00 13</t>
  </si>
  <si>
    <t>Recurso-13@2x.png</t>
  </si>
  <si>
    <t>Dolores Catala - multiprecio</t>
  </si>
  <si>
    <t>Carrer Sant Antoni, 10, 46200 Paiporta, Valencia</t>
  </si>
  <si>
    <t>961 29 08 20</t>
  </si>
  <si>
    <t>Floristería Tornasol. Flores a domicilio en Valencia. Flores online. Rosa eterna.</t>
  </si>
  <si>
    <t>Av, Carrer Pablo Iglesias, 2, 46970 Alaquàs, Valencia</t>
  </si>
  <si>
    <t>Alacuás</t>
  </si>
  <si>
    <t>floristeriatornasol.com</t>
  </si>
  <si>
    <t>961 50 71 82</t>
  </si>
  <si>
    <t>Le Dije Que Sí</t>
  </si>
  <si>
    <t>tienda.ledijequesi.com</t>
  </si>
  <si>
    <t>651 04 65 17</t>
  </si>
  <si>
    <t>FLORISTERÍA MADRESELVA</t>
  </si>
  <si>
    <t>Carrer de Mendizábal, 44, 46100 Burjassot, Valencia</t>
  </si>
  <si>
    <t>madreselvaflors.com</t>
  </si>
  <si>
    <t>963 90 14 70</t>
  </si>
  <si>
    <t>GARDEN CENTER LA PASCUALETA SL</t>
  </si>
  <si>
    <t>Sèquia Robella, 3A, 46200 Paiporta, Valencia</t>
  </si>
  <si>
    <t>gclapascualeta.com</t>
  </si>
  <si>
    <t>963 97 23 42</t>
  </si>
  <si>
    <t>La Casita de Las Flores</t>
  </si>
  <si>
    <t>Carrer Coladors, 14, 46960 Aldaia, Valencia</t>
  </si>
  <si>
    <t>Aldaya</t>
  </si>
  <si>
    <t>lacasitadelasflores.com</t>
  </si>
  <si>
    <t>961 50 18 87</t>
  </si>
  <si>
    <t>Lily Flores y Regalos - Flores a domicilio Valencia</t>
  </si>
  <si>
    <t>Av. del Primer de Maig, 13, 46980 Paterna, Valencia</t>
  </si>
  <si>
    <t>Paterna</t>
  </si>
  <si>
    <t>floristeriavalencia.com</t>
  </si>
  <si>
    <t>961 38 63 86</t>
  </si>
  <si>
    <t>info@floristeriavalencia.com</t>
  </si>
  <si>
    <t>Av. del Primer de Maig, 89, 46980 Paterna, Valencia</t>
  </si>
  <si>
    <t>961 06 02 20</t>
  </si>
  <si>
    <t>Flor Art María</t>
  </si>
  <si>
    <t>Carrer Els Benlliure, 72, 46970 Alaquàs, Valencia</t>
  </si>
  <si>
    <t>961 50 07 00</t>
  </si>
  <si>
    <t>C. Cuenca, 33, 46970 Alaquàs, Valencia</t>
  </si>
  <si>
    <t>961 51 20 23</t>
  </si>
  <si>
    <t>Floristería y Jardinería Gumbau S.L.</t>
  </si>
  <si>
    <t>Carrer de Mariana Colàs, nº1, 46980 Paterna, Valencia</t>
  </si>
  <si>
    <t>961 37 38 14</t>
  </si>
  <si>
    <t>Floristería Candi</t>
  </si>
  <si>
    <t>Carrer de Mariana Colàs, 24, 46980 Paterna, Valencia</t>
  </si>
  <si>
    <t>961 37 20 03</t>
  </si>
  <si>
    <t>Hydrie arte y flores</t>
  </si>
  <si>
    <t>Carrer Ribarroja, 11, 46940 Manises, Valencia</t>
  </si>
  <si>
    <t>Manises</t>
  </si>
  <si>
    <t>hydriearteyflores.negocio.site</t>
  </si>
  <si>
    <t>960 64 65 80</t>
  </si>
  <si>
    <t>Floristería A. Pinazo</t>
  </si>
  <si>
    <t>Av. de Vicent Mortes Alfonso, 35, 46980 Paterna, Valencia</t>
  </si>
  <si>
    <t>692 66 56 24</t>
  </si>
  <si>
    <t>Laura y Paco</t>
  </si>
  <si>
    <t>Carrer Ramón i Cajal, 76, 46110 Godella, Valencia</t>
  </si>
  <si>
    <t>Godella</t>
  </si>
  <si>
    <t>lauraypaco.com</t>
  </si>
  <si>
    <t>963 63 12 62</t>
  </si>
  <si>
    <t>Flores Jacinto</t>
  </si>
  <si>
    <t>Carrer Ribarroja, 47B, 46940 Manises, Valencia</t>
  </si>
  <si>
    <t>961 54 46 11</t>
  </si>
  <si>
    <t>Luis Hoyo Floristas</t>
  </si>
  <si>
    <t>Calle Mateu Victoriano, 13, 46960 Aldaia, Valencia</t>
  </si>
  <si>
    <t>luishoyofloristas.com</t>
  </si>
  <si>
    <t>961 51 45 63</t>
  </si>
  <si>
    <t>Floristería Talens</t>
  </si>
  <si>
    <t>Carrer Major, 144, 46920 Manises, Valencia</t>
  </si>
  <si>
    <t>floristeriatalens.com</t>
  </si>
  <si>
    <t>961 52 50 50</t>
  </si>
  <si>
    <t>info@floristeriatalens.com</t>
  </si>
  <si>
    <t>FLORES SANTI</t>
  </si>
  <si>
    <t>Carrer Josep Serra Carsí, 4, 46470 Catarroja, Valencia</t>
  </si>
  <si>
    <t>Catarroja</t>
  </si>
  <si>
    <t>floristeriasanti.es</t>
  </si>
  <si>
    <t>665 63 73 67</t>
  </si>
  <si>
    <t>david@floristeriasanti.com</t>
  </si>
  <si>
    <t>Grow Shop Brotes Verdes &amp;amp; Vaper Shop</t>
  </si>
  <si>
    <t>SAN ANTONIO Nº100 Bajo 5, 46920 Mislata, Valencia</t>
  </si>
  <si>
    <t>brotesverdesonline.com</t>
  </si>
  <si>
    <t>961 29 72 73</t>
  </si>
  <si>
    <t>info@brotesverdesonline.com</t>
  </si>
  <si>
    <t>Flores Comos</t>
  </si>
  <si>
    <t>Carrer Miguel Hernández, 30, 46470 Catarroja, Valencia</t>
  </si>
  <si>
    <t>florescomos.com</t>
  </si>
  <si>
    <t>961 26 16 73</t>
  </si>
  <si>
    <t>flores@florescomos.com</t>
  </si>
  <si>
    <t>Flores El Calé MercaValencia</t>
  </si>
  <si>
    <t>Plaça Num 133 Res Urb, 17, 46013 València, Valencia</t>
  </si>
  <si>
    <t>floreselcale.es</t>
  </si>
  <si>
    <t>963 67 71 77</t>
  </si>
  <si>
    <t>info@floreselcale.es</t>
  </si>
  <si>
    <t>floristería PONS</t>
  </si>
  <si>
    <t>Av. Santa María, 45, 46133 Meliana, Valencia</t>
  </si>
  <si>
    <t>Meliana</t>
  </si>
  <si>
    <t>floristeriapons.com</t>
  </si>
  <si>
    <t>685 78 09 77</t>
  </si>
  <si>
    <t>pons@floristeriapons.com</t>
  </si>
  <si>
    <t>Floristería Blanca</t>
  </si>
  <si>
    <t>Avinguda al Vedat, 129, 46900 Torrent, Valencia</t>
  </si>
  <si>
    <t>Torrente</t>
  </si>
  <si>
    <t>blancafloristas.es</t>
  </si>
  <si>
    <t>960 64 27 08</t>
  </si>
  <si>
    <t>Enerenciana Pedrajas Gallardo</t>
  </si>
  <si>
    <t>Carrer Molí de la Llum, 17, 46940 Manises, Valencia</t>
  </si>
  <si>
    <t>637 62 25 73</t>
  </si>
  <si>
    <t>LA PROMETIDA</t>
  </si>
  <si>
    <t>Plaça d&amp;apos;Amèrica, 8, 46900 Torrent, Valencia</t>
  </si>
  <si>
    <t>laprometida.es</t>
  </si>
  <si>
    <t>637 38 90 29</t>
  </si>
  <si>
    <t>support@riiwards.com</t>
  </si>
  <si>
    <t>Flores Mora</t>
  </si>
  <si>
    <t>Carrer de Colom, 67, 46460 Silla, Valencia</t>
  </si>
  <si>
    <t>Silla</t>
  </si>
  <si>
    <t>961 20 09 67</t>
  </si>
  <si>
    <t>Flors Alós</t>
  </si>
  <si>
    <t>Carrer Lluís Vives, 48, 46113 Montcada, Valencia</t>
  </si>
  <si>
    <t>Moncada</t>
  </si>
  <si>
    <t>florsalos.com</t>
  </si>
  <si>
    <t>652 94 27 33</t>
  </si>
  <si>
    <t>florsalos@gmail.com</t>
  </si>
  <si>
    <t>Carrer de Sant Roc, 29, 46460 Silla, Valencia</t>
  </si>
  <si>
    <t>610 75 18 81</t>
  </si>
  <si>
    <t>Celia María Tamarit Cabo</t>
  </si>
  <si>
    <t>Plaça D&amp;apos; Espanya, 15, 46134 Foios, Valencia</t>
  </si>
  <si>
    <t>Foios</t>
  </si>
  <si>
    <t>961 49 45 21</t>
  </si>
  <si>
    <t>ROSALIN FLORISTERÍAS</t>
  </si>
  <si>
    <t>Rambla de la Independència, 71, 46460 Silla, Valencia</t>
  </si>
  <si>
    <t>961 04 61 40</t>
  </si>
  <si>
    <t>Floristería Gumbau S.L.</t>
  </si>
  <si>
    <t>Carrer 16, 35, 46182 La Canyada, Valencia</t>
  </si>
  <si>
    <t>Cañada</t>
  </si>
  <si>
    <t>961 32 02 94</t>
  </si>
  <si>
    <t>Floristería Ptal</t>
  </si>
  <si>
    <t>C/ del Progrés, 36, 46130 Massamagrell, Valencia</t>
  </si>
  <si>
    <t>Masamagrell</t>
  </si>
  <si>
    <t>961 45 25 14</t>
  </si>
  <si>
    <t>Floretes de Farnals</t>
  </si>
  <si>
    <t>Av. País Valencià, 113, 46139 La Pobla de Farnals, Valencia</t>
  </si>
  <si>
    <t>Puebla de Farnáls</t>
  </si>
  <si>
    <t>633 61 60 80</t>
  </si>
  <si>
    <t>Floristeria Poblaflor</t>
  </si>
  <si>
    <t>Avinguda de l&amp;apos;Alcalde Vicent Cremades Alcàcer, nº 15, 46117 Bétera, Valencia</t>
  </si>
  <si>
    <t>Bétera</t>
  </si>
  <si>
    <t>poblaflor.com</t>
  </si>
  <si>
    <t>689 76 71 13</t>
  </si>
  <si>
    <t>Mariam Floristes</t>
  </si>
  <si>
    <t>Calle Escultor Enrique Galarza, 85, 46220 Picassent, Valencia</t>
  </si>
  <si>
    <t>Picasent</t>
  </si>
  <si>
    <t>Floristeria De Viri</t>
  </si>
  <si>
    <t>Carrer de les Alfàbegues, 14, 46117 Bétera, Valencia</t>
  </si>
  <si>
    <t>609 92 42 12</t>
  </si>
  <si>
    <t>Serviflor Valencia</t>
  </si>
  <si>
    <t>Cami la torreta, 1, 46410 Sueca, Valencia</t>
  </si>
  <si>
    <t>Sueca</t>
  </si>
  <si>
    <t>670 41 16 53</t>
  </si>
  <si>
    <t>FLORS DARIA</t>
  </si>
  <si>
    <t>Carrer de Sant Domènec, 46410 Sueca, Valencia</t>
  </si>
  <si>
    <t>961 70 05 86</t>
  </si>
  <si>
    <t>Floristería Decoflor Puzol</t>
  </si>
  <si>
    <t>nº, Avinguda de les Corts Valencianes, 11, 46530 Puçol, Valencia</t>
  </si>
  <si>
    <t>Puzol</t>
  </si>
  <si>
    <t>decoflorpuzol.blogspot.com.es</t>
  </si>
  <si>
    <t>675 96 56 87</t>
  </si>
  <si>
    <t>decoflorpuzol@yahoo.es</t>
  </si>
  <si>
    <t>Flors Natura</t>
  </si>
  <si>
    <t>Carrer del Sequial, 68, 46410 Sueca, Valencia</t>
  </si>
  <si>
    <t>961 70 38 27</t>
  </si>
  <si>
    <t>MercaJardín</t>
  </si>
  <si>
    <t>Camí Reial, 178, 46900 Torrent, Valencia</t>
  </si>
  <si>
    <t>mercajardin.es</t>
  </si>
  <si>
    <t>961 58 95 54</t>
  </si>
  <si>
    <t>ventas@mercajardin.es</t>
  </si>
  <si>
    <t>Delirios Floristas</t>
  </si>
  <si>
    <t>Carr. de Vilamarxant, 109, 46190 Riba-roja de Túria, Valencia</t>
  </si>
  <si>
    <t>Ribarroja de Turia</t>
  </si>
  <si>
    <t>962 77 11 68</t>
  </si>
  <si>
    <t>Feliu Flor Cortada</t>
  </si>
  <si>
    <t>floresfeliu.com</t>
  </si>
  <si>
    <t>963 48 01 93</t>
  </si>
  <si>
    <t>Floristería Santi</t>
  </si>
  <si>
    <t>C. de les Eres, 54, 46185 La Pobla de Vallbona, Valencia</t>
  </si>
  <si>
    <t>Puebla de Vallbona</t>
  </si>
  <si>
    <t>961 66 21 67</t>
  </si>
  <si>
    <t>Floristería Tian</t>
  </si>
  <si>
    <t>Carrer del Duque de la Victoria, 29, 46612 Corbera, Valencia</t>
  </si>
  <si>
    <t>Corbera</t>
  </si>
  <si>
    <t>corbera.es</t>
  </si>
  <si>
    <t>962 97 85 81</t>
  </si>
  <si>
    <t>ajuntament@corbera.es</t>
  </si>
  <si>
    <t>Florclick - Envío de flores a domicilio en 24h</t>
  </si>
  <si>
    <t>florclick.com</t>
  </si>
  <si>
    <t>691 43 06 79</t>
  </si>
  <si>
    <t>info@florclick.com</t>
  </si>
  <si>
    <t>FLORISTERÍA CAROL</t>
  </si>
  <si>
    <t>Plaça Sant Isidre, 7, BAJO, 46400 Cullera, Valencia</t>
  </si>
  <si>
    <t>Cullera</t>
  </si>
  <si>
    <t>961 72 39 91</t>
  </si>
  <si>
    <t>Floristería Feli</t>
  </si>
  <si>
    <t>Avinguda 9 d&amp;apos;Octubre, 63, 46520 Port de Sagunt, Valencia</t>
  </si>
  <si>
    <t>Puerto de Sagunto</t>
  </si>
  <si>
    <t>962 67 25 82</t>
  </si>
  <si>
    <t>Verdissimo</t>
  </si>
  <si>
    <t>Carrer Ciutat de Sevilla, 39, 46988 Paterna, Valencia</t>
  </si>
  <si>
    <t>verdissimo.com</t>
  </si>
  <si>
    <t>961 57 11 61</t>
  </si>
  <si>
    <t>salesusa@verdissimo.com</t>
  </si>
  <si>
    <t>Floristeria Muguet Alzira</t>
  </si>
  <si>
    <t>Carrer Mestre Moscardó, 1, 46600 Alzira, Valencia</t>
  </si>
  <si>
    <t>962 41 80 22</t>
  </si>
  <si>
    <t>Flores Vidal</t>
  </si>
  <si>
    <t>Av. Dr. Palos, 11, 46500 Sagunto, Valencia</t>
  </si>
  <si>
    <t>Sagunto</t>
  </si>
  <si>
    <t>962 66 31 50</t>
  </si>
  <si>
    <t>Andrómeda. Floristería Creativa.</t>
  </si>
  <si>
    <t>Calle Ramón y Cajal, 11, 46370 Chiva, Valencia</t>
  </si>
  <si>
    <t>Chiva</t>
  </si>
  <si>
    <t>andromedafloristeriacreativa.es</t>
  </si>
  <si>
    <t>962 52 02 44</t>
  </si>
  <si>
    <t>info@andromedafloristeriacreativa.es</t>
  </si>
  <si>
    <t>Atelier Flor &amp;amp; Deco</t>
  </si>
  <si>
    <t>Avinguda de Santa Bàrbara, n32, 46196 Catadau, Valencia</t>
  </si>
  <si>
    <t>Catadau</t>
  </si>
  <si>
    <t>atelierflordeco.com</t>
  </si>
  <si>
    <t>644 75 07 22</t>
  </si>
  <si>
    <t>atelierflordeco@gmail.com</t>
  </si>
  <si>
    <t>Floristeria Online Valencia - El Jardí d&amp;apos;Esther</t>
  </si>
  <si>
    <t>Av. Republica Argentina, 21, 46800 Xàtiva, Valencia</t>
  </si>
  <si>
    <t>Játiva</t>
  </si>
  <si>
    <t>eljardidesther.es</t>
  </si>
  <si>
    <t>661 68 20 68</t>
  </si>
  <si>
    <t>info@eljardidesther.es</t>
  </si>
  <si>
    <t>Flors I Plantes L´hort Dels Frares</t>
  </si>
  <si>
    <t>Carrer Hort dels Frares, 52, 46600 Alzira, Valencia</t>
  </si>
  <si>
    <t>962 41 31 97</t>
  </si>
  <si>
    <t>Juan Lluesma</t>
  </si>
  <si>
    <t>Carrer de Julián Ribera, 33, 46740 Carcaixent, Valencia</t>
  </si>
  <si>
    <t>Carcagente</t>
  </si>
  <si>
    <t>juanlluesma.com</t>
  </si>
  <si>
    <t>962 43 30 54</t>
  </si>
  <si>
    <t>info@juanlluesma.com</t>
  </si>
  <si>
    <t>Carrer del Pare Marchena, 32, 46740 Carcaixent, Valencia</t>
  </si>
  <si>
    <t>florsana.es</t>
  </si>
  <si>
    <t>962 43 13 23</t>
  </si>
  <si>
    <t>Floristería Eloisse</t>
  </si>
  <si>
    <t>Carrer Magistrat Català, 23, 46701 Gandia, Valencia</t>
  </si>
  <si>
    <t>Gandía</t>
  </si>
  <si>
    <t>962 87 69 76</t>
  </si>
  <si>
    <t>Floristeria Ribelles</t>
  </si>
  <si>
    <t>Av. del País Valencià, 95, 03820 Cocentaina, Alicante</t>
  </si>
  <si>
    <t>Cocentaina</t>
  </si>
  <si>
    <t>965 59 07 72</t>
  </si>
  <si>
    <t>floristeria blancflor</t>
  </si>
  <si>
    <t>Calle Mayor, 60, 46820 Anna, Valencia</t>
  </si>
  <si>
    <t>Anna</t>
  </si>
  <si>
    <t>658 92 23 24</t>
  </si>
  <si>
    <t>Floristería Adela</t>
  </si>
  <si>
    <t>Plaza, Porta de Sant Francesc, 1, 46800 Xàtiva, Valencia</t>
  </si>
  <si>
    <t>floristeria-adela.es</t>
  </si>
  <si>
    <t>962 27 64 86</t>
  </si>
  <si>
    <t>floresadelaxativa@gmail.com</t>
  </si>
  <si>
    <t>Floristeria Angela</t>
  </si>
  <si>
    <t>Via Sucronense, 15, 46420 Sueca, Valencia</t>
  </si>
  <si>
    <t>net16.net</t>
  </si>
  <si>
    <t>Alicia Giner</t>
  </si>
  <si>
    <t>Calle Dr. Albiñana, 8, 46810 Enguera, Valencia</t>
  </si>
  <si>
    <t>Enguera</t>
  </si>
  <si>
    <t>962 22 57 05</t>
  </si>
  <si>
    <t>Verdnatura Levante SL</t>
  </si>
  <si>
    <t>Avinguda d&amp;apos;Espioca, 100, 46460 Silla, Valencia</t>
  </si>
  <si>
    <t>verdnatura.es</t>
  </si>
  <si>
    <t>963 24 21 00</t>
  </si>
  <si>
    <t>Floristeria Julia</t>
  </si>
  <si>
    <t>Carrer del Pla de l&amp;apos;Arc, 115, 46160 Llíria, Valencia</t>
  </si>
  <si>
    <t>Liria</t>
  </si>
  <si>
    <t>962 79 23 35</t>
  </si>
  <si>
    <t>Floristería Florysem</t>
  </si>
  <si>
    <t>Av. de Elvas, 7, 06006 Badajoz</t>
  </si>
  <si>
    <t>florysem.com</t>
  </si>
  <si>
    <t>924 93 32 48</t>
  </si>
  <si>
    <t>soledadsalgadomontero@gmail.com</t>
  </si>
  <si>
    <t>Floristería Castro</t>
  </si>
  <si>
    <t>Calle Pedro de Valdivia, 16, 06002 Badajoz</t>
  </si>
  <si>
    <t>924 22 29 11</t>
  </si>
  <si>
    <t>Floristería Cedro</t>
  </si>
  <si>
    <t>Plaza Conquistadores, 2, 06005 Badajoz</t>
  </si>
  <si>
    <t>924 23 16 06</t>
  </si>
  <si>
    <t>Floristeria Flores Con Ilusión</t>
  </si>
  <si>
    <t>Calle Godofredo Ortega y Muñoz, 48, BAJO, 06011 Badajoz</t>
  </si>
  <si>
    <t>floresconilusion.com</t>
  </si>
  <si>
    <t>625 55 73 09</t>
  </si>
  <si>
    <t>FLORISTERIA BADAJOZ FLORYSEM</t>
  </si>
  <si>
    <t>C, Av. de Elvas, Nº7, 06006 Badajoz</t>
  </si>
  <si>
    <t>extremaduradavida.com</t>
  </si>
  <si>
    <t>635 62 32 76</t>
  </si>
  <si>
    <t>Floristería Retama</t>
  </si>
  <si>
    <t>Av. Ricardo Carapeto Zambrano, 37, 06008 Badajoz</t>
  </si>
  <si>
    <t>924 24 42 55</t>
  </si>
  <si>
    <t>Floristería Olivia</t>
  </si>
  <si>
    <t>Av. Carolina Coronado, 27, 06006 Badajoz</t>
  </si>
  <si>
    <t>floristeriaolivia.com</t>
  </si>
  <si>
    <t>924 27 01 55</t>
  </si>
  <si>
    <t>floristeriaolivia@floristeriaolivia.com</t>
  </si>
  <si>
    <t>Av. Damián Téllez Lafuente, 13, 06010 Badajoz</t>
  </si>
  <si>
    <t>924 23 63 01</t>
  </si>
  <si>
    <t>Celia Floristería</t>
  </si>
  <si>
    <t>Av. Santa Marina, 36A, 06005 Badajoz</t>
  </si>
  <si>
    <t>924 19 91 72</t>
  </si>
  <si>
    <t>Arte-Flor</t>
  </si>
  <si>
    <t>Calle Menacho, 8, Local 15 (Pasaje, 06001 Badajoz</t>
  </si>
  <si>
    <t>floristeriaarteflor.es</t>
  </si>
  <si>
    <t>924 24 06 25</t>
  </si>
  <si>
    <t>floristeriaarteflor@gmail.com</t>
  </si>
  <si>
    <t>FLORISTERIA FLOR REGALO</t>
  </si>
  <si>
    <t>Calle Corte de Peleas, local 18, c, 06009 Badajoz</t>
  </si>
  <si>
    <t>691 06 89 56</t>
  </si>
  <si>
    <t>Floristería Samantha</t>
  </si>
  <si>
    <t>Av. Tomás Romero de Castilla, 18, 06011 Badajoz</t>
  </si>
  <si>
    <t>924 24 25 47</t>
  </si>
  <si>
    <t>Floristería Cupón Extremadura</t>
  </si>
  <si>
    <t>Calle Vasco Núñez, 18, 06001 Badajoz</t>
  </si>
  <si>
    <t>924 22 14 23</t>
  </si>
  <si>
    <t>Floristería Quinta Verde</t>
  </si>
  <si>
    <t>Av. Jose María Alcaraz y Alenda, 12, 06011 Badajoz</t>
  </si>
  <si>
    <t>quintaverde.com</t>
  </si>
  <si>
    <t>924 26 02 23</t>
  </si>
  <si>
    <t>floristeria@quintaverde.com</t>
  </si>
  <si>
    <t>Kentia Floristería</t>
  </si>
  <si>
    <t>Cardenal Cisneros, 3B, 06007 Badajoz</t>
  </si>
  <si>
    <t>924 27 20 59</t>
  </si>
  <si>
    <t>Www Floresconilusion Com</t>
  </si>
  <si>
    <t>Ctra. de Sevilla, 14, 06009 Badajoz</t>
  </si>
  <si>
    <t>649 82 36 20</t>
  </si>
  <si>
    <t>Calle Fuerte, 30, 06010 Badajoz</t>
  </si>
  <si>
    <t>924 26 12 69</t>
  </si>
  <si>
    <t>Boraita Hermosell, M.I.</t>
  </si>
  <si>
    <t>Azagala</t>
  </si>
  <si>
    <t>Calle Moreno Zancudo, 3, 06002 Badajoz</t>
  </si>
  <si>
    <t>924 23 15 61</t>
  </si>
  <si>
    <t>Marisú Florista</t>
  </si>
  <si>
    <t>Calle Canarias, 12, 06007 Badajoz</t>
  </si>
  <si>
    <t>622 01 12 13</t>
  </si>
  <si>
    <t>Marqués de la Vaca</t>
  </si>
  <si>
    <t>Calle Meléndez Valdés, 30, 06001 Badajoz</t>
  </si>
  <si>
    <t>661 71 67 05</t>
  </si>
  <si>
    <t>Cedro Decoración Floral</t>
  </si>
  <si>
    <t>Av. Villanueva, 8, 06005 Badajoz</t>
  </si>
  <si>
    <t>924 23 11 60</t>
  </si>
  <si>
    <t>Zambujeiro Bajanca Sonia Cristina</t>
  </si>
  <si>
    <t>Calle Canarias, 3, 06007 Badajoz</t>
  </si>
  <si>
    <t>924 27 33 65</t>
  </si>
  <si>
    <t>La bohemia</t>
  </si>
  <si>
    <t>Calle Rey Mudaffar, 6, 06007 Badajoz</t>
  </si>
  <si>
    <t>floristerialabohemiabadajoz.com</t>
  </si>
  <si>
    <t>622 60 18 60</t>
  </si>
  <si>
    <t>labohemiabadajoz@gmail.com</t>
  </si>
  <si>
    <t>Francisco Fernández Ponce</t>
  </si>
  <si>
    <t>Calle del Ebano, 16, 06011 Badajoz</t>
  </si>
  <si>
    <t>floristeria-ramos.ueniweb.com</t>
  </si>
  <si>
    <t>casioweb722@gmail.com</t>
  </si>
  <si>
    <t>Lozano Flores</t>
  </si>
  <si>
    <t>Av. Jose María Alcaraz y Alenda, 2, 06011 Badajoz</t>
  </si>
  <si>
    <t>924 23 36 15</t>
  </si>
  <si>
    <t>Floristería Verde Y Agua</t>
  </si>
  <si>
    <t>Av. Damián Téllez Lafuente, 22C, 06010 Badajoz</t>
  </si>
  <si>
    <t>665 61 79 40</t>
  </si>
  <si>
    <t>Aceitunas Flores y Victoria</t>
  </si>
  <si>
    <t>Ronda Revellín, 06008 Badajoz</t>
  </si>
  <si>
    <t>629 51 95 66</t>
  </si>
  <si>
    <t>Floristería Rosaflor</t>
  </si>
  <si>
    <t>Calle La Viña, 14, 06011 Badajoz</t>
  </si>
  <si>
    <t>924 22 42 25</t>
  </si>
  <si>
    <t>Floristería La Huerta</t>
  </si>
  <si>
    <t>Calle Real, 20, 06140 Talavera la Real, Badajoz</t>
  </si>
  <si>
    <t>Talavera la Real</t>
  </si>
  <si>
    <t>924 44 14 67</t>
  </si>
  <si>
    <t>Floristería Guadalupe</t>
  </si>
  <si>
    <t>Ronda del Pilar, 2, 06100 Olivenza, Badajoz</t>
  </si>
  <si>
    <t>Olivenza</t>
  </si>
  <si>
    <t>924 49 27 47</t>
  </si>
  <si>
    <t>Av. Portugal, 6, 06100 Olivenza, Badajoz</t>
  </si>
  <si>
    <t>617 04 09 13</t>
  </si>
  <si>
    <t>Mapiti Sl</t>
  </si>
  <si>
    <t>Paseo de Extremadura, 14, 06140 Talavera la Real, Badajoz</t>
  </si>
  <si>
    <t>mapiti.es</t>
  </si>
  <si>
    <t>924 44 01 48</t>
  </si>
  <si>
    <t>Floristería Ideas</t>
  </si>
  <si>
    <t>Calle Almagro, 84, 06480 Montijo, Badajoz</t>
  </si>
  <si>
    <t>Montijo</t>
  </si>
  <si>
    <t>924 45 25 94</t>
  </si>
  <si>
    <t>Joaquín Márquez Rodríguez</t>
  </si>
  <si>
    <t>Plaza de la Constitución, 5, 06100 Olivenza, Badajoz</t>
  </si>
  <si>
    <t>924 49 10 02</t>
  </si>
  <si>
    <t>Bapalo Garden</t>
  </si>
  <si>
    <t>Calle Sagunto, 36, 06480 Montijo, Badajoz</t>
  </si>
  <si>
    <t>bapalogarden.com</t>
  </si>
  <si>
    <t>667 45 74 66</t>
  </si>
  <si>
    <t>Floristería Casablanca</t>
  </si>
  <si>
    <t>Av. Emperatriz Eugenia, 12, 06480 Montijo, Badajoz</t>
  </si>
  <si>
    <t>ameliacasablanca.es</t>
  </si>
  <si>
    <t>924 45 45 89</t>
  </si>
  <si>
    <t>Elena Floristería ( Antigua Floristería El Cotito)</t>
  </si>
  <si>
    <t>Ctra. Badajoz, 32, 06160 Barcarrota, Badajoz</t>
  </si>
  <si>
    <t>Barcarrota</t>
  </si>
  <si>
    <t>609 65 78 05</t>
  </si>
  <si>
    <t>Calle Calzada, 9, 06510 Alburquerque, Badajoz</t>
  </si>
  <si>
    <t>Alburquerque</t>
  </si>
  <si>
    <t>924 40 14 93</t>
  </si>
  <si>
    <t>Floristería Tania</t>
  </si>
  <si>
    <t>Calle San Antón, 3, 06510 Alburquerque, Badajoz</t>
  </si>
  <si>
    <t>635 43 63 10</t>
  </si>
  <si>
    <t>Explotaciones Agrarias Fuente Guadiana S L</t>
  </si>
  <si>
    <t>Calle de la Constitución, 54, 06186 Guadiana, Badajoz</t>
  </si>
  <si>
    <t>Guadiana</t>
  </si>
  <si>
    <t>924 47 00 39</t>
  </si>
  <si>
    <t>Flornaturex</t>
  </si>
  <si>
    <t>Av. Vía de la Plata, 10, 06800 Mérida, Badajoz</t>
  </si>
  <si>
    <t>flornaturex.es</t>
  </si>
  <si>
    <t>924 31 11 71</t>
  </si>
  <si>
    <t>FLORISTERIA DECORACION EN ALMENDRALEJO LIS</t>
  </si>
  <si>
    <t>Calle Cruz, Nº 7, 06200 Almendralejo, Badajoz</t>
  </si>
  <si>
    <t>Almendralejo</t>
  </si>
  <si>
    <t>679 07 83 00</t>
  </si>
  <si>
    <t>Floristería Marta</t>
  </si>
  <si>
    <t>Calle el Tercio, 25, 06200 Almendralejo, Badajoz</t>
  </si>
  <si>
    <t>floristeriamarta.es</t>
  </si>
  <si>
    <t>924 66 21 31</t>
  </si>
  <si>
    <t>nuria@floristeriamarta.es</t>
  </si>
  <si>
    <t>El jardín de las Letras</t>
  </si>
  <si>
    <t>Calle Chandavila, 2, 06518 La Codosera, Badajoz</t>
  </si>
  <si>
    <t>La Codosera</t>
  </si>
  <si>
    <t>629 71 84 76</t>
  </si>
  <si>
    <t>Floristería 9 rosas</t>
  </si>
  <si>
    <t>Calle Miguel de Cervantes, 13, 06800 Mérida, Badajoz</t>
  </si>
  <si>
    <t>9rosas.com</t>
  </si>
  <si>
    <t>691 97 07 93</t>
  </si>
  <si>
    <t>floristeria9rosas@gmail.com</t>
  </si>
  <si>
    <t>Calle López de Ayala, 83, 06480 Montijo, Badajoz</t>
  </si>
  <si>
    <t>FLORISTERÍA LA ADELFA</t>
  </si>
  <si>
    <t>Calle Goya, 13, 06207 Aceuchal, Badajoz</t>
  </si>
  <si>
    <t>Aceuchal</t>
  </si>
  <si>
    <t>653 83 49 77</t>
  </si>
  <si>
    <t>Floristeria De Rosas</t>
  </si>
  <si>
    <t>Calle López de Ayala, 19B, 06200 Almendralejo, Badajoz</t>
  </si>
  <si>
    <t>Calle Santiago Ramón Y Cajal, N 22, 06810 Calamonte, Badajoz</t>
  </si>
  <si>
    <t>Calamonte</t>
  </si>
  <si>
    <t>691 48 69 64</t>
  </si>
  <si>
    <t>Holanda Flor</t>
  </si>
  <si>
    <t>A, Ctra. Valverde de Mérida, KM 1, 06800, Badajoz</t>
  </si>
  <si>
    <t>holandaflor.com</t>
  </si>
  <si>
    <t>627 84 80 63</t>
  </si>
  <si>
    <t>donate@opencart.com</t>
  </si>
  <si>
    <t>Mayte Floristería</t>
  </si>
  <si>
    <t>Calle Escribano, 1, 06200 Almendralejo, Badajoz</t>
  </si>
  <si>
    <t>924 66 66 55</t>
  </si>
  <si>
    <t>Calle San Luis, 6, 06800 Mérida, Badajoz</t>
  </si>
  <si>
    <t>924 31 05 31</t>
  </si>
  <si>
    <t>Floristería Birlanga</t>
  </si>
  <si>
    <t>Ctra. Badajoz, S/N, 06500 San Vicente de Alcántara, Badajoz</t>
  </si>
  <si>
    <t>San Vicente de Alcántara</t>
  </si>
  <si>
    <t>699 70 03 55</t>
  </si>
  <si>
    <t>Floristería Vimara</t>
  </si>
  <si>
    <t>Calle Juan Rodríguez, 8, 06500 San Vicente de Alcántara, Badajoz</t>
  </si>
  <si>
    <t>665 50 57 67</t>
  </si>
  <si>
    <t>Calle Ancha, 23, 06370 Burguillos del Cerro, Badajoz</t>
  </si>
  <si>
    <t>Burguillos del Cerro</t>
  </si>
  <si>
    <t>924 54 13 01</t>
  </si>
  <si>
    <t>Floristería My Lady</t>
  </si>
  <si>
    <t>Calle Nueva, 8, 06390 Feria, Badajoz</t>
  </si>
  <si>
    <t>Feria</t>
  </si>
  <si>
    <t>696 35 52 39</t>
  </si>
  <si>
    <t>Acedera</t>
  </si>
  <si>
    <t>927 66 80 06</t>
  </si>
  <si>
    <t>Gladys Floristería</t>
  </si>
  <si>
    <t>Calle Fuente, 14, 06830 Zarza ( La ), Badajoz</t>
  </si>
  <si>
    <t>La Zarza</t>
  </si>
  <si>
    <t>924 36 62 81</t>
  </si>
  <si>
    <t>floristeria lonjas el candil</t>
  </si>
  <si>
    <t>Av. Extremadura, 11, 06510 Alburquerque, Badajoz</t>
  </si>
  <si>
    <t>616 42 78 08</t>
  </si>
  <si>
    <t>MANU FERNÁNDEZ. Flores y Eventos</t>
  </si>
  <si>
    <t>Av. Extremadura, 105, 06150 Sta Marta, Badajoz</t>
  </si>
  <si>
    <t>Sta Marta</t>
  </si>
  <si>
    <t>666 61 65 83</t>
  </si>
  <si>
    <t>Floristería Ceberino</t>
  </si>
  <si>
    <t>Calle Hernando de Soto, 21, 06380 Jerez de los Caballeros, Badajoz</t>
  </si>
  <si>
    <t>Jerez de los Caballeros</t>
  </si>
  <si>
    <t>FloristeríaTereflor</t>
  </si>
  <si>
    <t>Calle, Av. Ntra. Sra. de Guadalupe, 10, 06500 San Vicente de Alcántara, Badajoz</t>
  </si>
  <si>
    <t>646 62 98 14</t>
  </si>
  <si>
    <t>Floristeria ALHELI</t>
  </si>
  <si>
    <t>Calle Hernán Cortés, 39, 06475 Oliva de Mérida, Badajoz</t>
  </si>
  <si>
    <t>Oliva de Mérida</t>
  </si>
  <si>
    <t>669 48 86 68</t>
  </si>
  <si>
    <t>Floristería Cira</t>
  </si>
  <si>
    <t>Calle Ancha, 48, 06370 Burguillos del Cerro, Badajoz</t>
  </si>
  <si>
    <t>924 54 13 44</t>
  </si>
  <si>
    <t>Floristeria Antinio Luis</t>
  </si>
  <si>
    <t>Calle Cava, 38, 06360 Fuente del Maestre, Badajoz</t>
  </si>
  <si>
    <t>Fuente del Maestre</t>
  </si>
  <si>
    <t>Calle Real, 3, Puebla de Sancho Pérez, Badajoz</t>
  </si>
  <si>
    <t>Puebla de Sancho Pérez</t>
  </si>
  <si>
    <t>676 15 73 46</t>
  </si>
  <si>
    <t>Calle Huertas, 15, 06129 Zahínos, Badajoz</t>
  </si>
  <si>
    <t>Zahínos</t>
  </si>
  <si>
    <t>616 44 91 55</t>
  </si>
  <si>
    <t>CERES</t>
  </si>
  <si>
    <t>Travesía San Gregorio, n4, 06470 Guareña, Badajoz</t>
  </si>
  <si>
    <t>Guareña</t>
  </si>
  <si>
    <t>924 35 03 54</t>
  </si>
  <si>
    <t>Batallas Flores S L</t>
  </si>
  <si>
    <t>Calle Zurbarán, 5, 06500 San Vicente de Alcántara, Badajoz</t>
  </si>
  <si>
    <t>924 41 00 61</t>
  </si>
  <si>
    <t>Floristería Castaño</t>
  </si>
  <si>
    <t>Av. Presidente Juan Carlos Rodríguez Ibarra, 81, 06200 Almendralejo, Badajoz</t>
  </si>
  <si>
    <t>924 66 68 55</t>
  </si>
  <si>
    <t>Flores y Decoración La Orquídea</t>
  </si>
  <si>
    <t>Calle Pizarro, 15, 06800 Mérida, Badajoz</t>
  </si>
  <si>
    <t>924 57 72 71</t>
  </si>
  <si>
    <t>Floristería La Soledad</t>
  </si>
  <si>
    <t>Calle Miravete, 18, 06200 Almendralejo, Badajoz</t>
  </si>
  <si>
    <t>floristerialasoledad.es</t>
  </si>
  <si>
    <t>651 18 62 81</t>
  </si>
  <si>
    <t>floristerialasoledad@hotmail.com</t>
  </si>
  <si>
    <t>Floristeria mercedes</t>
  </si>
  <si>
    <t>Calle Sevilla, 53, 06230 Los Santos de Maimona, Badajoz</t>
  </si>
  <si>
    <t>Los Santos de Maimona</t>
  </si>
  <si>
    <t>924 57 18 03</t>
  </si>
  <si>
    <t>Floristería Maribel Almendralejo</t>
  </si>
  <si>
    <t>Calle Moreno Nieto, 14, 06200 Almendralejo, Badajoz</t>
  </si>
  <si>
    <t>924 66 47 55</t>
  </si>
  <si>
    <t>Petite Violette Florista</t>
  </si>
  <si>
    <t>Calle Cerratos, 2, 06830 La Zarza, Badajoz</t>
  </si>
  <si>
    <t>645 34 25 80</t>
  </si>
  <si>
    <t>Floristería Viana</t>
  </si>
  <si>
    <t>Avenida Antonio Campos Hoyos, Local 6, (Frente al hospital), 06800 Mérida</t>
  </si>
  <si>
    <t>floristeriaviana.com</t>
  </si>
  <si>
    <t>924 37 36 27</t>
  </si>
  <si>
    <t>Floristería Oasis</t>
  </si>
  <si>
    <t>Calle Don Diego López, 18, 06470 Guareña, Badajoz</t>
  </si>
  <si>
    <t>924 35 13 27</t>
  </si>
  <si>
    <t>Floristería Nuestra Señora De Fátima</t>
  </si>
  <si>
    <t>Plaza España, 3, 06220 Villafranca de los Barros, Badajoz</t>
  </si>
  <si>
    <t>Villafranca de los Barros</t>
  </si>
  <si>
    <t>924 52 35 12</t>
  </si>
  <si>
    <t>FLORISTERÍA EN ALMENDRALEJO PEDRO NIETO</t>
  </si>
  <si>
    <t>C, Calle Sta. Marta, 44, 06200 Almendralejo, Badajoz</t>
  </si>
  <si>
    <t>671 74 63 51</t>
  </si>
  <si>
    <t>Desin G Flor</t>
  </si>
  <si>
    <t>Calle Carrera Chica, 40, 06230 Los Santos de Maimona, Badajoz</t>
  </si>
  <si>
    <t>924 57 22 02</t>
  </si>
  <si>
    <t>Herrera Pérez, e.</t>
  </si>
  <si>
    <t>Calle Guadajira, 4, 06800 Mérida, Badajoz</t>
  </si>
  <si>
    <t>924 30 22 56</t>
  </si>
  <si>
    <t>Calle Muza, 4, 06800 Mérida, Badajoz</t>
  </si>
  <si>
    <t>floristeriacastaño.es</t>
  </si>
  <si>
    <t>924 31 08 03</t>
  </si>
  <si>
    <t>Floristería Los Sauces</t>
  </si>
  <si>
    <t>Calle Groizard, 2, 06410 Santa Amalia, Badajoz</t>
  </si>
  <si>
    <t>Santa Amalia</t>
  </si>
  <si>
    <t>675 52 20 72</t>
  </si>
  <si>
    <t>Floristería Anavic</t>
  </si>
  <si>
    <t>Nicolas Megias, 23, 06240 Fuente de Cantos, Badajoz</t>
  </si>
  <si>
    <t>Fuente de Cantos</t>
  </si>
  <si>
    <t>666 39 63 23</t>
  </si>
  <si>
    <t>Aralia</t>
  </si>
  <si>
    <t>Av. de los Milagros, 2, 06800 Mérida, Badajoz</t>
  </si>
  <si>
    <t>924 31 18 45</t>
  </si>
  <si>
    <t>Calle José María Álvarez, 8, 06400 Don Benito, Badajoz</t>
  </si>
  <si>
    <t>Don Benito</t>
  </si>
  <si>
    <t>lagardeniafloristeria.es</t>
  </si>
  <si>
    <t>924 80 36 87</t>
  </si>
  <si>
    <t>info@lagardeniafloristeria.es</t>
  </si>
  <si>
    <t>Francis Floristería</t>
  </si>
  <si>
    <t>Calle Ancha, 104, 06400 Don Benito, Badajoz</t>
  </si>
  <si>
    <t>678 46 80 67</t>
  </si>
  <si>
    <t>Calle Canalejas, 7, 06400 Don Benito, Badajoz</t>
  </si>
  <si>
    <t>floristeriamilagrosdb.com</t>
  </si>
  <si>
    <t>924 80 55 90</t>
  </si>
  <si>
    <t>FLORISTERIA VERDELIMON</t>
  </si>
  <si>
    <t>06340 Fregenal de la Sierra, Badajoz</t>
  </si>
  <si>
    <t>Fregenal de la Sierra</t>
  </si>
  <si>
    <t>675 95 32 38</t>
  </si>
  <si>
    <t>Romero</t>
  </si>
  <si>
    <t>Calle Sevilla, 52, 06225 Ribera del Fresno, Badajoz</t>
  </si>
  <si>
    <t>Ribera del Fresno</t>
  </si>
  <si>
    <t>Decoflor Floristería</t>
  </si>
  <si>
    <t>Calle Gerona, 11, b, 06220 Villafranca de los Barros, Badajoz</t>
  </si>
  <si>
    <t>924 52 43 95</t>
  </si>
  <si>
    <t>Calle Pizarro, 1, 06240 Fuente de Cantos, Badajoz</t>
  </si>
  <si>
    <t>floristeriajazminfc.blogspot.com.es</t>
  </si>
  <si>
    <t>691 51 18 49</t>
  </si>
  <si>
    <t>FLORISTERIAS DOANA</t>
  </si>
  <si>
    <t>Av. Antonio Chacón, 7, 06300 Zafra, Badajoz</t>
  </si>
  <si>
    <t>Zafra</t>
  </si>
  <si>
    <t>924 55 07 34</t>
  </si>
  <si>
    <t>Floristería Belén Don Benito</t>
  </si>
  <si>
    <t>Plaza España, 9, 06400 Don Benito, Badajoz</t>
  </si>
  <si>
    <t>floresyregalosbelen.com</t>
  </si>
  <si>
    <t>648 83 06 28</t>
  </si>
  <si>
    <t>info@floresyregalosbelen.com</t>
  </si>
  <si>
    <t>Floristeria Calas</t>
  </si>
  <si>
    <t>Calle Joaquín Tena Artigas, 15, 06420 Castuera, Badajoz</t>
  </si>
  <si>
    <t>Castuera</t>
  </si>
  <si>
    <t>floristeriacalas.com</t>
  </si>
  <si>
    <t>648 92 85 66</t>
  </si>
  <si>
    <t>FLORISTERIA VANESSA</t>
  </si>
  <si>
    <t>Calle Felipe Trigo Sánchez, 10, 06700 Villanueva de la Serena, Badajoz</t>
  </si>
  <si>
    <t>Villanueva de la Serena</t>
  </si>
  <si>
    <t>floristeriavanessa.es</t>
  </si>
  <si>
    <t>924 84 26 15</t>
  </si>
  <si>
    <t>hola@floristeriavanessa.es</t>
  </si>
  <si>
    <t>Floristería Herboflor</t>
  </si>
  <si>
    <t>Calle Fuente de la Villa, 17, 06640 Talarrubias, Badajoz</t>
  </si>
  <si>
    <t>Talarrubias</t>
  </si>
  <si>
    <t>herboflor.com</t>
  </si>
  <si>
    <t>690 39 03 83</t>
  </si>
  <si>
    <t>info@herboflor.com</t>
  </si>
  <si>
    <t>Mundo Flor - Flor Artificial y Decoración del Hogar</t>
  </si>
  <si>
    <t>Calle Pérez Comendador, n2, 06200 Almendralejo, Badajoz</t>
  </si>
  <si>
    <t>mundoflordecoracion.es</t>
  </si>
  <si>
    <t>643 24 81 06</t>
  </si>
  <si>
    <t>almendralejo@mundoflordyd.es</t>
  </si>
  <si>
    <t>Av. Cruz de los Pajares, 5, 10100 Miajadas, Cáceres</t>
  </si>
  <si>
    <t>Miajadas</t>
  </si>
  <si>
    <t>615 65 92 52</t>
  </si>
  <si>
    <t>Flores Cortés Don Benito</t>
  </si>
  <si>
    <t>Calle Marinegra, 5 Polígono San Isidro, 06400 Don Benito, Badajoz</t>
  </si>
  <si>
    <t>florescortes.com</t>
  </si>
  <si>
    <t>924 81 09 15</t>
  </si>
  <si>
    <t>administracion@florescortes.es</t>
  </si>
  <si>
    <t>Floristería Perfumería Pajarería Herboflor</t>
  </si>
  <si>
    <t>Calle Cruz, 20, Bajo, 06600 Cabeza del Buey, Badajoz</t>
  </si>
  <si>
    <t>Cabeza del Buey</t>
  </si>
  <si>
    <t>floristeriaherboflor.com</t>
  </si>
  <si>
    <t>924 60 10 77</t>
  </si>
  <si>
    <t>Flores Bouquet</t>
  </si>
  <si>
    <t>Av. de España, 13, BAJO, 10002 Cáceres</t>
  </si>
  <si>
    <t>floresbouquet.com</t>
  </si>
  <si>
    <t>927 22 19 71</t>
  </si>
  <si>
    <t>info@floresbouquet.com</t>
  </si>
  <si>
    <t>Flores Y Plantas Juanvic</t>
  </si>
  <si>
    <t>KIOSCO FLORES, Paseo Cánovas BAJO, 10002 Cáceres</t>
  </si>
  <si>
    <t>floresjuanvic.es</t>
  </si>
  <si>
    <t>927 22 37 75</t>
  </si>
  <si>
    <t>aaronpulido87vp@gmail.com</t>
  </si>
  <si>
    <t>Amarylis Arte Floral SL</t>
  </si>
  <si>
    <t>Calle Prof. Rodríguez Moñino, 2, BAJO, 10002 Cáceres</t>
  </si>
  <si>
    <t>amarylis.es</t>
  </si>
  <si>
    <t>927 21 33 63</t>
  </si>
  <si>
    <t>info@amarylis.es</t>
  </si>
  <si>
    <t>Floristería Becedas</t>
  </si>
  <si>
    <t>Calle Amberes, 10005 Cáceres</t>
  </si>
  <si>
    <t>927 23 58 37</t>
  </si>
  <si>
    <t>Karmen Arreglos Florales</t>
  </si>
  <si>
    <t>Ronda Puente Vadillo, s/n, 10003 Cáceres</t>
  </si>
  <si>
    <t>627 93 16 09</t>
  </si>
  <si>
    <t>Floristería Cementerio</t>
  </si>
  <si>
    <t>Av. de las Delicias, 19, 10004 Cáceres</t>
  </si>
  <si>
    <t>927 24 09 40</t>
  </si>
  <si>
    <t>Amaranta, animales y flores ( Susana Solís, florista )</t>
  </si>
  <si>
    <t>Calle Marrakech, 7, 10005 Cáceres</t>
  </si>
  <si>
    <t>655 87 39 32</t>
  </si>
  <si>
    <t>Herboristería Plantas Medicinales</t>
  </si>
  <si>
    <t>Av. Virgen de la Montaña, 23, 10002 Cáceres</t>
  </si>
  <si>
    <t>Top-Campo</t>
  </si>
  <si>
    <t>Av. de las Arenas, 51, 10005 Cáceres</t>
  </si>
  <si>
    <t>topcampo.com</t>
  </si>
  <si>
    <t>927 23 02 73</t>
  </si>
  <si>
    <t>Houseplant Cáceres Grow Shop</t>
  </si>
  <si>
    <t>Calle Sta. Apolonia, 2, 10002 Cáceres</t>
  </si>
  <si>
    <t>697 30 98 04</t>
  </si>
  <si>
    <t>El Puente Arte Floral</t>
  </si>
  <si>
    <t>Calle Iglesia, 2, 10910 Malpartida de Cáceres, Cáceres</t>
  </si>
  <si>
    <t>Malpartida de Cáceres</t>
  </si>
  <si>
    <t>927 27 58 03</t>
  </si>
  <si>
    <t>Floristería Esther</t>
  </si>
  <si>
    <t>Plaza de los Toros, 4, 10190 Casar de Cáceres, Cáceres</t>
  </si>
  <si>
    <t>Casar de Cáceres</t>
  </si>
  <si>
    <t>927 29 14 18</t>
  </si>
  <si>
    <t>Arte Y Flor</t>
  </si>
  <si>
    <t>Calle Regajal, 32, 10900 Arroyo de la Luz, Cáceres</t>
  </si>
  <si>
    <t>Arroyo de la Luz</t>
  </si>
  <si>
    <t>927 27 22 11</t>
  </si>
  <si>
    <t>FLORISTERIA La Jara</t>
  </si>
  <si>
    <t>Calle Real, 57, 10160 Alcuéscar, Cáceres</t>
  </si>
  <si>
    <t>Alcuéscar</t>
  </si>
  <si>
    <t>605 96 95 04</t>
  </si>
  <si>
    <t>Floristería Tierra</t>
  </si>
  <si>
    <t>Calle Generales Pacheco, 10160 Alcuéscar, Cáceres</t>
  </si>
  <si>
    <t>699 12 65 84</t>
  </si>
  <si>
    <t>Floristeria Magnolia</t>
  </si>
  <si>
    <t>Calle la Rana, 36, 10830 Torrejoncillo, Cáceres</t>
  </si>
  <si>
    <t>Torrejoncillo</t>
  </si>
  <si>
    <t>floristeriamagnolia.es</t>
  </si>
  <si>
    <t>660 93 76 00</t>
  </si>
  <si>
    <t>contacto@floristeriamagnolia.es</t>
  </si>
  <si>
    <t>La Real Higuera</t>
  </si>
  <si>
    <t>Calle Virgen de Sopetran N° 15, 10132 Almoharín, Cáceres</t>
  </si>
  <si>
    <t>Almoharín</t>
  </si>
  <si>
    <t>677 71 05 23</t>
  </si>
  <si>
    <t>Ctra. Medellín, 0, 10132 Almoharín, Cáceres</t>
  </si>
  <si>
    <t>Abadía</t>
  </si>
  <si>
    <t>927 38 64 06</t>
  </si>
  <si>
    <t>Arte Floral Luz Ma</t>
  </si>
  <si>
    <t>Calle Pozo Concejo, 1, 10100 Miajadas, Cáceres</t>
  </si>
  <si>
    <t>927 34 71 62</t>
  </si>
  <si>
    <t>Plaza De la Paz, 2, 10800 Coria, Cáceres</t>
  </si>
  <si>
    <t>Coria</t>
  </si>
  <si>
    <t>927 50 02 23</t>
  </si>
  <si>
    <t>Flores y Plantas María Eugenia</t>
  </si>
  <si>
    <t>Travesía Alfonso VII, 2, 10800 Coria, Cáceres</t>
  </si>
  <si>
    <t>floristascoria.com</t>
  </si>
  <si>
    <t>927 50 61 32</t>
  </si>
  <si>
    <t>CORONAS FLORES PARA FUNERAL-TANATORIO</t>
  </si>
  <si>
    <t>Ronoa de la Rivera, 30, 10840 Moraleja, Cáceres</t>
  </si>
  <si>
    <t>Moraleja</t>
  </si>
  <si>
    <t>927 51 60 37</t>
  </si>
  <si>
    <t>Calle Concejo, 69, 10880 Zarza la Mayor, Cáceres</t>
  </si>
  <si>
    <t>Zarza la Mayor</t>
  </si>
  <si>
    <t>651 84 30 59</t>
  </si>
  <si>
    <t>Flor Natura</t>
  </si>
  <si>
    <t>10839 Valdencín, Cáceres</t>
  </si>
  <si>
    <t>Valdencín</t>
  </si>
  <si>
    <t>622 34 16 12</t>
  </si>
  <si>
    <t>Floristería Greflor</t>
  </si>
  <si>
    <t>Calle Sócrates, 19, 10810 Montehermoso, Cáceres</t>
  </si>
  <si>
    <t>Montehermoso</t>
  </si>
  <si>
    <t>927 67 51 42</t>
  </si>
  <si>
    <t>Floristería La Camelia , ceremonias</t>
  </si>
  <si>
    <t>Plaza de España, 13, 10840 Moraleja, Cáceres</t>
  </si>
  <si>
    <t>640 65 96 71</t>
  </si>
  <si>
    <t>FLOR y ARTE Decoracion Floral</t>
  </si>
  <si>
    <t>Calle Goicoechea, 12, 10600 Plasencia, Cáceres</t>
  </si>
  <si>
    <t>Plasencia</t>
  </si>
  <si>
    <t>floristeriaenplasencia.es</t>
  </si>
  <si>
    <t>927 41 16 97</t>
  </si>
  <si>
    <t>Floristería Muñoz</t>
  </si>
  <si>
    <t>Calle Gabriel y Galán, 9, 10300 Navalmoral de la Mata, Cáceres</t>
  </si>
  <si>
    <t>Navalmoral de la Mata</t>
  </si>
  <si>
    <t>927 53 13 16</t>
  </si>
  <si>
    <t>Floristería Los Abetos</t>
  </si>
  <si>
    <t>Calle Cementerio, 1, 10300 Navalmoral de la Mata, Cáceres</t>
  </si>
  <si>
    <t>661 51 12 78</t>
  </si>
  <si>
    <t>Floristeria Sara</t>
  </si>
  <si>
    <t>Calle Sgto. Rodríguez, 10300 Navalmoral de la Mata, Cáceres</t>
  </si>
  <si>
    <t>638 00 51 05</t>
  </si>
  <si>
    <t>Floristeria Navalmoral de la Mata Los Abetos</t>
  </si>
  <si>
    <t>Calle Cementerio, N1, 10300 Navalmoral de la Mata, Cáceres</t>
  </si>
  <si>
    <t>Veraflor Floristeria</t>
  </si>
  <si>
    <t>Calle Mérida, 7, 10400 Jaraíz de la Vera, Cáceres</t>
  </si>
  <si>
    <t>Jaraíz de la Vera</t>
  </si>
  <si>
    <t>927 17 07 90</t>
  </si>
  <si>
    <t>Calle Gran Capitán, 3, 10310 Talayuela, Cáceres</t>
  </si>
  <si>
    <t>Talayuela</t>
  </si>
  <si>
    <t>927 55 14 88</t>
  </si>
  <si>
    <t>Floristería El Jardín de la Abuela</t>
  </si>
  <si>
    <t>Calle Río Miño, 2, Bajo, 10300 Navalmoral de la Mata, Cáceres</t>
  </si>
  <si>
    <t>627 00 61 07</t>
  </si>
  <si>
    <t>Viveros y Floristería Becedas</t>
  </si>
  <si>
    <t>Ctra. Malpartida, s/n, 10600 Plasencia, Cáceres</t>
  </si>
  <si>
    <t>927 42 01 08</t>
  </si>
  <si>
    <t>María Acera Pedalejo</t>
  </si>
  <si>
    <t>Paraje Puente Vallecas, 0 S/N, 10700 Hervás, Cáceres</t>
  </si>
  <si>
    <t>Hervás</t>
  </si>
  <si>
    <t>927 47 30 44</t>
  </si>
  <si>
    <t>Floristería La Casita de las Flores</t>
  </si>
  <si>
    <t>Av. Ramón y Cajal, 96, 10612 Jerte, Cáceres</t>
  </si>
  <si>
    <t>Jerte</t>
  </si>
  <si>
    <t>693 03 19 71</t>
  </si>
  <si>
    <t>Av. Magisterio, 8, 10300 Navalmoral de la Mata, Cáceres</t>
  </si>
  <si>
    <t>600 76 00 66</t>
  </si>
  <si>
    <t>Kristianflor</t>
  </si>
  <si>
    <t>Calle el Lagar, 11, 10710 Zarza de Granadilla, Cáceres</t>
  </si>
  <si>
    <t>Zarza de Granadilla</t>
  </si>
  <si>
    <t>kristianflor.com</t>
  </si>
  <si>
    <t>927 48 62 37</t>
  </si>
  <si>
    <t>info@kristianflor.com</t>
  </si>
  <si>
    <t>La Tienda de la Esquina. Floristeria</t>
  </si>
  <si>
    <t>Calle Trujillo, 2, 10600 Plasencia, Cáceres</t>
  </si>
  <si>
    <t>634 84 34 69</t>
  </si>
  <si>
    <t>Fresia</t>
  </si>
  <si>
    <t>Calle Ronda del Salvador, 57, 10600 Plasencia, Cáceres</t>
  </si>
  <si>
    <t>artefloralfresia.com</t>
  </si>
  <si>
    <t>927 41 37 06</t>
  </si>
  <si>
    <t>hola@artefloralfresia.com</t>
  </si>
  <si>
    <t>La flor de cerezo</t>
  </si>
  <si>
    <t>Av. Plasencia, 33, Bajo, 10610 Cabezuela del Valle, Cáceres</t>
  </si>
  <si>
    <t>Cabezuela del Valle</t>
  </si>
  <si>
    <t>laflordecerezo.es</t>
  </si>
  <si>
    <t>650 00 47 53</t>
  </si>
  <si>
    <t>Calle Pizarro, 4, 10840 Moraleja, Cáceres</t>
  </si>
  <si>
    <t>floristeriamiriam.com</t>
  </si>
  <si>
    <t>658 76 26 13</t>
  </si>
  <si>
    <t>Dekogarden</t>
  </si>
  <si>
    <t>C. Antonio M&amp;apos; Concha, 23, 10300 Navalmoral de la Mata, Cáceres</t>
  </si>
  <si>
    <t>dekogarden.es</t>
  </si>
  <si>
    <t>644 46 58 92</t>
  </si>
  <si>
    <t>Floristeria &amp;amp; Loterias Soraya</t>
  </si>
  <si>
    <t>Calle del Agua, 16, 10400 Jaraíz de la Vera, Cáceres</t>
  </si>
  <si>
    <t>927 46 11 47</t>
  </si>
  <si>
    <t>Arte Floral Soriales</t>
  </si>
  <si>
    <t>Rúa Lamas de Prado, 134, 27004 Lugo</t>
  </si>
  <si>
    <t>floristeriasoriales.com</t>
  </si>
  <si>
    <t>982 21 05 65</t>
  </si>
  <si>
    <t>tienda@floristeriasoriales.com</t>
  </si>
  <si>
    <t>JANEIRO FLORISTERIA</t>
  </si>
  <si>
    <t>la bajo, Av. de A Coruña, 422, 27003 Lugo</t>
  </si>
  <si>
    <t>janeiroflor.com</t>
  </si>
  <si>
    <t>982 80 67 69</t>
  </si>
  <si>
    <t>contacto@janeiroflor.com</t>
  </si>
  <si>
    <t>Allium Floristería</t>
  </si>
  <si>
    <t>Plaza Fonte Dos Ranchos, 40 BAJO-IZDA, 27004 Lugo</t>
  </si>
  <si>
    <t>floristeriaallium.com</t>
  </si>
  <si>
    <t>982 21 18 05</t>
  </si>
  <si>
    <t>Atrium Floristeria</t>
  </si>
  <si>
    <t>Rúa Montero Ríos, 78, 80, bajo, 27002 Lugo</t>
  </si>
  <si>
    <t>floristeriaatrium.com</t>
  </si>
  <si>
    <t>982 80 17 38</t>
  </si>
  <si>
    <t>Floristería Kenia</t>
  </si>
  <si>
    <t>Calle Grabador, Rúa Gravador Castro Gil, 4, BAJO, 27004 Lugo</t>
  </si>
  <si>
    <t>982 24 36 52</t>
  </si>
  <si>
    <t>Floristería Penélope</t>
  </si>
  <si>
    <t>Praza da Constitución, S/N, 27002 Lugo</t>
  </si>
  <si>
    <t>florespenelope.com</t>
  </si>
  <si>
    <t>982 22 00 69</t>
  </si>
  <si>
    <t>floristeriapenelopelugo@gmail.com</t>
  </si>
  <si>
    <t>As Camelias Florería</t>
  </si>
  <si>
    <t>Av. de A Coruña, 165, 27003 Lugo</t>
  </si>
  <si>
    <t>ascameliaslugo.com</t>
  </si>
  <si>
    <t>982 81 21 73</t>
  </si>
  <si>
    <t>ascameliaslugo@gmail.com</t>
  </si>
  <si>
    <t>Arume</t>
  </si>
  <si>
    <t>Praza da Soidade, 20, 27001 Lugo</t>
  </si>
  <si>
    <t>982 20 32 32</t>
  </si>
  <si>
    <t>Floristería Faragulla</t>
  </si>
  <si>
    <t>Rúa Quiroga Ballesteros, 27001 Lugo</t>
  </si>
  <si>
    <t>982 22 40 13</t>
  </si>
  <si>
    <t>Floristería Iris 🌼</t>
  </si>
  <si>
    <t>Rúa Pintor Corredoira, 6, 27002 Lugo</t>
  </si>
  <si>
    <t>982 24 44 63</t>
  </si>
  <si>
    <t>Rose Flor</t>
  </si>
  <si>
    <t>Rúa San Roque, 173, 27002 Lugo</t>
  </si>
  <si>
    <t>floristeriaroseflor.es</t>
  </si>
  <si>
    <t>982 22 35 04</t>
  </si>
  <si>
    <t>Teixido Flor</t>
  </si>
  <si>
    <t>Estrada Vella de Santiago, 132, 27004 Lugo</t>
  </si>
  <si>
    <t>grupoteixido.es</t>
  </si>
  <si>
    <t>982 25 33 23</t>
  </si>
  <si>
    <t>guitirizflor@grupoteixido.es</t>
  </si>
  <si>
    <t>Paraíso floral</t>
  </si>
  <si>
    <t>Rúa Nova, 109, 27001 Lugo</t>
  </si>
  <si>
    <t>610 90 69 85</t>
  </si>
  <si>
    <t>Bajo, Rúa Vilalba, 2, 27002 Lugo</t>
  </si>
  <si>
    <t>982 22 08 21</t>
  </si>
  <si>
    <t>Teatro Vegetal</t>
  </si>
  <si>
    <t>Rúa do Camiño Real, 89, 27004 Lugo</t>
  </si>
  <si>
    <t>teatrovegetal.com</t>
  </si>
  <si>
    <t>982 21 24 31</t>
  </si>
  <si>
    <t>Arte Floral Rabel</t>
  </si>
  <si>
    <t>Rúa Río Lor, 23, 27004 Lugo</t>
  </si>
  <si>
    <t>artefloralrabel.com</t>
  </si>
  <si>
    <t>982 20 23 80</t>
  </si>
  <si>
    <t>finafreirelenza@gmail.com</t>
  </si>
  <si>
    <t>Fento Floristería</t>
  </si>
  <si>
    <t>Clérigos 12 (Soportales), Zona Catedral, 27001 Lugo</t>
  </si>
  <si>
    <t>basiliofento.blogspot.com</t>
  </si>
  <si>
    <t>982 24 44 84</t>
  </si>
  <si>
    <t>basiliofento@hotmail.com</t>
  </si>
  <si>
    <t>vania diseño floral</t>
  </si>
  <si>
    <t>Praza Augas Férreas, 8, 27002 Lugo</t>
  </si>
  <si>
    <t>982 04 46 53</t>
  </si>
  <si>
    <t>Diseño Floral D&amp;apos;carmen</t>
  </si>
  <si>
    <t>Ronda das Fontiñas, 207, 27002 Lugo</t>
  </si>
  <si>
    <t>dsfloraldcarmen.com</t>
  </si>
  <si>
    <t>982 81 76 34</t>
  </si>
  <si>
    <t>Md Floristería</t>
  </si>
  <si>
    <t>Estrada Vella de Santiago, 27004 Lugo</t>
  </si>
  <si>
    <t>Club Atrium Floristería</t>
  </si>
  <si>
    <t>Ronda de la Muralla, 20, bajo, 27001, 27001, Lugo</t>
  </si>
  <si>
    <t>982 27 93 98</t>
  </si>
  <si>
    <t>María Luisa Pardo Rodríguez</t>
  </si>
  <si>
    <t>Avenida Infanta Elena Duquesa De Lugo, 31, 27003 Lugo</t>
  </si>
  <si>
    <t>Abadín</t>
  </si>
  <si>
    <t>982 37 77 71</t>
  </si>
  <si>
    <t>El Reino de Los Animales</t>
  </si>
  <si>
    <t>Av. de Magoi, 104, 27002 Lugo</t>
  </si>
  <si>
    <t>elreinodelosanimales.com</t>
  </si>
  <si>
    <t>982 87 14 52</t>
  </si>
  <si>
    <t>Fauna</t>
  </si>
  <si>
    <t>Rúa San Froilán, 4, 27001 Lugo</t>
  </si>
  <si>
    <t>982 24 20 13</t>
  </si>
  <si>
    <t>Verdilugo Flora y Jardin</t>
  </si>
  <si>
    <t>Calle Arieiras, 35, 27297 Lugo</t>
  </si>
  <si>
    <t>verdilugo.es</t>
  </si>
  <si>
    <t>982 22 22 02</t>
  </si>
  <si>
    <t>jardines@verdilugo.es</t>
  </si>
  <si>
    <t>CHELO ARTE FLORAL</t>
  </si>
  <si>
    <t>Lugar San Vicente de Pias, 11, 27290 Lugo</t>
  </si>
  <si>
    <t>982 20 96 70</t>
  </si>
  <si>
    <t>Musa Floristas-Hospital Hula</t>
  </si>
  <si>
    <t>Rúa Dr. Ulises Romero, 1, 27003 Lugo</t>
  </si>
  <si>
    <t>musafloristas.es</t>
  </si>
  <si>
    <t>982 22 77 32</t>
  </si>
  <si>
    <t>Verdilugo</t>
  </si>
  <si>
    <t>Calle Arieiras, Estrada Friol, 35, 27297</t>
  </si>
  <si>
    <t>O Torrón</t>
  </si>
  <si>
    <t>27297</t>
  </si>
  <si>
    <t>982 22 22 35</t>
  </si>
  <si>
    <t>Floristeria Azalea</t>
  </si>
  <si>
    <t>Pr. Mártires de Carral, 9, 27001 Lugo</t>
  </si>
  <si>
    <t>680 55 99 91</t>
  </si>
  <si>
    <t>Floricultura Sande</t>
  </si>
  <si>
    <t>DE VILACHA, 10, 27163 San Julián, Lugo</t>
  </si>
  <si>
    <t>Corgo</t>
  </si>
  <si>
    <t>982 30 04 30</t>
  </si>
  <si>
    <t>Floristerías Luis Iglesias</t>
  </si>
  <si>
    <t>Ctra. de Madrid a Coruña, 27370 Rábade, Lugo</t>
  </si>
  <si>
    <t>Rábade</t>
  </si>
  <si>
    <t>grupoluisiglesias.com</t>
  </si>
  <si>
    <t>982 39 20 20</t>
  </si>
  <si>
    <t>gli@grupoluisiglesias.com</t>
  </si>
  <si>
    <t>Floricultura Terra Cha Sl</t>
  </si>
  <si>
    <t>Calle José Pardo, 5, 27370 Rábade, Lugo</t>
  </si>
  <si>
    <t>982 39 00 99</t>
  </si>
  <si>
    <t>Jorba Flor</t>
  </si>
  <si>
    <t>de Lea, Polígono Industrial Castro de Ribeiras de Lea, Parcela 30, 27260 Castro de Ribeiras, Lugo</t>
  </si>
  <si>
    <t>Castro Riberas</t>
  </si>
  <si>
    <t>jorbaflor.es</t>
  </si>
  <si>
    <t>982 31 04 31</t>
  </si>
  <si>
    <t>Musa Floristas</t>
  </si>
  <si>
    <t>Avenida de Vilalba, nº 96, 27370 Rábade, Lugo</t>
  </si>
  <si>
    <t>982 39 10 95</t>
  </si>
  <si>
    <t>Florista Maricarmen Seijas</t>
  </si>
  <si>
    <t>Rúa Benigno Quiroga, 22, 27360 Láncara, Lugo</t>
  </si>
  <si>
    <t>Láncara</t>
  </si>
  <si>
    <t>Floristeria Verdeflor</t>
  </si>
  <si>
    <t>R. Rosália de Castro, 108, 27120 Castroverde, Lugo</t>
  </si>
  <si>
    <t>Castroverde</t>
  </si>
  <si>
    <t>638 08 70 18</t>
  </si>
  <si>
    <t>Av. de Lugo, 52, 60, 27200 Palas de Rei, Lugo</t>
  </si>
  <si>
    <t>Palas de Rey</t>
  </si>
  <si>
    <t>982 37 40 21</t>
  </si>
  <si>
    <t>Haydée Floristas</t>
  </si>
  <si>
    <t>Rúa do Castiñeiro, 11, 27800 Vilalba, Lugo</t>
  </si>
  <si>
    <t>Villalba</t>
  </si>
  <si>
    <t>982 51 23 12</t>
  </si>
  <si>
    <t>Floristería Divina</t>
  </si>
  <si>
    <t>Rúa de Rosalía de Castro, 19, 27560 Monterroso, Lugo</t>
  </si>
  <si>
    <t>Monterroso</t>
  </si>
  <si>
    <t>982 37 75 63</t>
  </si>
  <si>
    <t>Floristeria Lilium</t>
  </si>
  <si>
    <t>Cordal, 5, Rúa Benxamín Paz, 27800 Vilalba, Lugo</t>
  </si>
  <si>
    <t>982 51 23 66</t>
  </si>
  <si>
    <t>Floristería Teixido</t>
  </si>
  <si>
    <t>Rúa do Concello, 56, 27300 Guitiriz, Lugo</t>
  </si>
  <si>
    <t>Guitiriz</t>
  </si>
  <si>
    <t>982 37 06 25</t>
  </si>
  <si>
    <t>Floristería Mossy-Carreras</t>
  </si>
  <si>
    <t>Rúa Carlos III, 48, 27640 Becerreá, Lugo</t>
  </si>
  <si>
    <t>Becerreá</t>
  </si>
  <si>
    <t>618 81 06 60</t>
  </si>
  <si>
    <t>Flores Diaz</t>
  </si>
  <si>
    <t>Av. da Coruña, 35, 27300 Guitiriz, Lugo</t>
  </si>
  <si>
    <t>FLORISTERÍA JENNIFLOR BECERREÁ</t>
  </si>
  <si>
    <t>Camiño Candela, 27679 Becerreá, Lugo</t>
  </si>
  <si>
    <t>607 89 66 41</t>
  </si>
  <si>
    <t>FLORISTERIA ESTHER</t>
  </si>
  <si>
    <t>Rúa Matías López, 12, 27600 Sarria, Lugo</t>
  </si>
  <si>
    <t>Sarria</t>
  </si>
  <si>
    <t>floristeriaesther.com</t>
  </si>
  <si>
    <t>982 53 01 80</t>
  </si>
  <si>
    <t>Floristería Pili Madeira</t>
  </si>
  <si>
    <t>Calle, Rua Calvo Sotelo, 137, 1, 27600 Sarria, Lugo</t>
  </si>
  <si>
    <t>floristeriamadeira.es</t>
  </si>
  <si>
    <t>982 53 00 15</t>
  </si>
  <si>
    <t>Flores Otilia Chantada</t>
  </si>
  <si>
    <t>Av. de Ourense, 6, 27500 Chantada, Lugo</t>
  </si>
  <si>
    <t>Chantada</t>
  </si>
  <si>
    <t>982 44 11 03</t>
  </si>
  <si>
    <t>Fruteria Floristeria La Rosa</t>
  </si>
  <si>
    <t>Av. de Ourense, 19, 27500 Chantada, Lugo</t>
  </si>
  <si>
    <t>982 44 05 97</t>
  </si>
  <si>
    <t>Flores Buxo</t>
  </si>
  <si>
    <t>Rua Progreso, 11, 27740 Mondoñedo, Lugo</t>
  </si>
  <si>
    <t>Mondoñedo</t>
  </si>
  <si>
    <t>982 52 17 26</t>
  </si>
  <si>
    <t>floristería mossy</t>
  </si>
  <si>
    <t>Rúa Carlos III, 46, 27640 Becerreá, Lugo</t>
  </si>
  <si>
    <t>Floristería Jesma</t>
  </si>
  <si>
    <t>Calle Riocabo, 0 S N, 27240 Meira, Lugo</t>
  </si>
  <si>
    <t>Meira</t>
  </si>
  <si>
    <t>982 33 06 07</t>
  </si>
  <si>
    <t>Cate Floristas</t>
  </si>
  <si>
    <t>Calle, Rúa Inés de Castro, 8, BAJO, 27400 Monforte de Lemos, Lugo</t>
  </si>
  <si>
    <t>Monforte de Lemos</t>
  </si>
  <si>
    <t>catefloristas.com</t>
  </si>
  <si>
    <t>982 40 33 50</t>
  </si>
  <si>
    <t>catefloristas@catefloristas.com</t>
  </si>
  <si>
    <t>Av. Pontevedra, 42, BAJO, 27560 Monterroso, Lugo</t>
  </si>
  <si>
    <t>floresta-lugo.com</t>
  </si>
  <si>
    <t>982 37 73 09</t>
  </si>
  <si>
    <t>Rúa Aviación Española, 8, BAJO, 27550 Taboada Dos Freires, Lugo</t>
  </si>
  <si>
    <t>Taboada dos Freires</t>
  </si>
  <si>
    <t>982 46 53 39</t>
  </si>
  <si>
    <t>Av. de Lugo, 34, 27240 Meira, Lugo</t>
  </si>
  <si>
    <t>982 33 00 14</t>
  </si>
  <si>
    <t>Floristería Bonsai</t>
  </si>
  <si>
    <t>Camiño ao Cemiterio, 1942, 27760 Lourenzá, Lugo</t>
  </si>
  <si>
    <t>Lorenzana</t>
  </si>
  <si>
    <t>982 12 12 19</t>
  </si>
  <si>
    <t>Floryfauna Monforte</t>
  </si>
  <si>
    <t>Rúa Julio Camba, 1, 27400 Monforte de Lemos, Lugo</t>
  </si>
  <si>
    <t>floryfaunamonforte.com</t>
  </si>
  <si>
    <t>609 87 00 29</t>
  </si>
  <si>
    <t>info@floryfaunamonforte.com</t>
  </si>
  <si>
    <t>Av. Álvaro Cunqueiro, 11, 27780 Foz, Lugo</t>
  </si>
  <si>
    <t>Foz</t>
  </si>
  <si>
    <t>982 14 07 44</t>
  </si>
  <si>
    <t>Quiroga Flor</t>
  </si>
  <si>
    <t>Rúa do Pereiro, 32, 27320 Quiroga, Lugo</t>
  </si>
  <si>
    <t>Quiroga</t>
  </si>
  <si>
    <t>quiroga-flor.negocio.site</t>
  </si>
  <si>
    <t>982 42 88 55</t>
  </si>
  <si>
    <t>Floristería Azu</t>
  </si>
  <si>
    <t>Calle Puente, 1, 27720 A Pontenova, Lugo</t>
  </si>
  <si>
    <t>A Puentenuevo</t>
  </si>
  <si>
    <t>floristeriaazu.com</t>
  </si>
  <si>
    <t>982 33 60 75</t>
  </si>
  <si>
    <t>info@floristeriaazu.com</t>
  </si>
  <si>
    <t>Azucena Floristería</t>
  </si>
  <si>
    <t>Rúa Curros Enríquez, 6, 27880 Burela, Lugo</t>
  </si>
  <si>
    <t>Burela</t>
  </si>
  <si>
    <t>982 58 54 31</t>
  </si>
  <si>
    <t>Agro Moreda</t>
  </si>
  <si>
    <t>Rúa Chantada, 27400 Monforte de Lemos, Lugo</t>
  </si>
  <si>
    <t>982 88 43 67</t>
  </si>
  <si>
    <t>Rúa Reinante, 19, 27700 Ribadeo, Lugo</t>
  </si>
  <si>
    <t>Ribadeo</t>
  </si>
  <si>
    <t>982 12 98 22</t>
  </si>
  <si>
    <t>Floristería Raquel Seijido</t>
  </si>
  <si>
    <t>Lugar Barrio Verxeles, 5, 27850 Viveiro, Lugo</t>
  </si>
  <si>
    <t>Vivero</t>
  </si>
  <si>
    <t>982 56 06 27</t>
  </si>
  <si>
    <t>Floristería Loli en Viveiro</t>
  </si>
  <si>
    <t>Av. Cantarrana, 11, 27861 Viveiro, Lugo</t>
  </si>
  <si>
    <t>floristerialoli.es</t>
  </si>
  <si>
    <t>982 56 03 83</t>
  </si>
  <si>
    <t>info@floristerialoli.es</t>
  </si>
  <si>
    <t>Rosavel Flor</t>
  </si>
  <si>
    <t>Calle Igrexa, 4, 27880 Burela, Lugo</t>
  </si>
  <si>
    <t>floristeriarosavel.es</t>
  </si>
  <si>
    <t>982 58 01 99</t>
  </si>
  <si>
    <t>encarna@floristeriarosavel.es</t>
  </si>
  <si>
    <t>Floristeria Petalos</t>
  </si>
  <si>
    <t>Avenida da Mariña, 74, 27890 San Cibrao, Lugo</t>
  </si>
  <si>
    <t>San Ciprián</t>
  </si>
  <si>
    <t>982 59 47 94</t>
  </si>
  <si>
    <t>Floraría Ana</t>
  </si>
  <si>
    <t>Rúa Cardenal Rodrigo de Castro, 53, 27400 Monforte de Lemos, Lugo</t>
  </si>
  <si>
    <t>floristeriasenmonfortedelemos.com</t>
  </si>
  <si>
    <t>982 41 09 09</t>
  </si>
  <si>
    <t>floristeriaanamonforte@gmail.com</t>
  </si>
  <si>
    <t>Rúa do Vello Pancho, 9, 27700 Ribadeo, Lugo</t>
  </si>
  <si>
    <t>floristeriamaribel.es</t>
  </si>
  <si>
    <t>982 13 09 11</t>
  </si>
  <si>
    <t>info@floristeriamaribel.es</t>
  </si>
  <si>
    <t>Tu Peque Mascota</t>
  </si>
  <si>
    <t>Rúa Formigueiros, 89, 27600 Sarria, Lugo</t>
  </si>
  <si>
    <t>982 53 36 11</t>
  </si>
  <si>
    <t>Floristería Chelo</t>
  </si>
  <si>
    <t>Rúa Calvo Sotelo, 11, 15800 Melide, A Coruña</t>
  </si>
  <si>
    <t>Mellid</t>
  </si>
  <si>
    <t>A Coruña</t>
  </si>
  <si>
    <t>981 50 58 76</t>
  </si>
  <si>
    <t>Floristería Sargadelos</t>
  </si>
  <si>
    <t>Ctra General Viladesuso, 43, 27891 Cervo, Lugo</t>
  </si>
  <si>
    <t>Cervo</t>
  </si>
  <si>
    <t>982 52 12 08</t>
  </si>
  <si>
    <t>Droguería Y Floristería Armando</t>
  </si>
  <si>
    <t>Calle del Dr Moreda, 4, 27700 Ribadeo, Lugo</t>
  </si>
  <si>
    <t>982 12 88 47</t>
  </si>
  <si>
    <t>Floristería Maru</t>
  </si>
  <si>
    <t>Rua do Convento, 9, 15800 Melide, A Coruña</t>
  </si>
  <si>
    <t>floristeriamaru.es</t>
  </si>
  <si>
    <t>981 50 75 80</t>
  </si>
  <si>
    <t>info@floristeriamaru.es</t>
  </si>
  <si>
    <t>floristería Fina</t>
  </si>
  <si>
    <t>Av. de la Diputación, 25, 27870 Xove, Lugo</t>
  </si>
  <si>
    <t>Jove</t>
  </si>
  <si>
    <t>982 59 21 87</t>
  </si>
  <si>
    <t>Florimar</t>
  </si>
  <si>
    <t>Avenida Lugo, 21, 15821 O Pedrouzo, C</t>
  </si>
  <si>
    <t>C</t>
  </si>
  <si>
    <t>625 05 38 17</t>
  </si>
  <si>
    <t>Floristería y Regalo</t>
  </si>
  <si>
    <t>Floristería Cillero</t>
  </si>
  <si>
    <t>Rúa Vila, 72, 27790 San Cosme de, Lugo</t>
  </si>
  <si>
    <t>San Cosme</t>
  </si>
  <si>
    <t>638 26 29 81</t>
  </si>
  <si>
    <t>Flora &amp;amp; Co</t>
  </si>
  <si>
    <t>Rúa Praza, 13, 15001 A Coruña</t>
  </si>
  <si>
    <t>La Coruña</t>
  </si>
  <si>
    <t>floraandco.es</t>
  </si>
  <si>
    <t>981 30 40 00</t>
  </si>
  <si>
    <t>info@floraandco.es</t>
  </si>
  <si>
    <t>Flores Obdulia</t>
  </si>
  <si>
    <t>Avenida Marina, 12, 15001 A Coruña</t>
  </si>
  <si>
    <t>floresobdulia.es</t>
  </si>
  <si>
    <t>981 22 56 91</t>
  </si>
  <si>
    <t>floresobdulia@gmail.com</t>
  </si>
  <si>
    <t>Lilli Ann Floristas</t>
  </si>
  <si>
    <t>R. de Laverde Ruiz, 2, 15702 Santiago de Compostela, A Coruña</t>
  </si>
  <si>
    <t>Santiago de Compostela</t>
  </si>
  <si>
    <t>981 56 11 80</t>
  </si>
  <si>
    <t>Floristeria Dana</t>
  </si>
  <si>
    <t>Av. Galicia, 64, 15320 As Pontes de García Rodríguez, C</t>
  </si>
  <si>
    <t>Puentes de García Rodríguez</t>
  </si>
  <si>
    <t>floristeriadana.com</t>
  </si>
  <si>
    <t>981 45 22 54</t>
  </si>
  <si>
    <t>Floristería Calo</t>
  </si>
  <si>
    <t>Rúa Alberto Datas Panero, 16, 15007 A Coruña</t>
  </si>
  <si>
    <t>floristeriacalo.com</t>
  </si>
  <si>
    <t>981 24 16 61</t>
  </si>
  <si>
    <t>info@floristeriacalo.com</t>
  </si>
  <si>
    <t>Floristería Xallas</t>
  </si>
  <si>
    <t>Rúa Lugo, 18, 15840 Santa Comba, A Coruña</t>
  </si>
  <si>
    <t>Santa Comba</t>
  </si>
  <si>
    <t>981 88 12 18</t>
  </si>
  <si>
    <t>O Agro Arte Floral</t>
  </si>
  <si>
    <t>Avd. Castilla 28 bajo izq, 15300 Betanzos, A Coruña</t>
  </si>
  <si>
    <t>Betanzos</t>
  </si>
  <si>
    <t>oagroartefloral.es</t>
  </si>
  <si>
    <t>620 58 64 98</t>
  </si>
  <si>
    <t>Xulian Floristeria</t>
  </si>
  <si>
    <t>Avenida da Grabanxa, 2, 15888 Sigüeiro, A Coruña</t>
  </si>
  <si>
    <t>Sigüeiro</t>
  </si>
  <si>
    <t>981 69 14 81</t>
  </si>
  <si>
    <t>Floristería Milagros Albitos</t>
  </si>
  <si>
    <t>artefloralmilagrosalbitos.com</t>
  </si>
  <si>
    <t>988 22 30 85</t>
  </si>
  <si>
    <t>floresalbitos@yahoo.es</t>
  </si>
  <si>
    <t>Lilium</t>
  </si>
  <si>
    <t>Ronda Nelle, 139, bajo, 15010 A Coruña, C</t>
  </si>
  <si>
    <t>liliumfloristeria.es</t>
  </si>
  <si>
    <t>655 55 79 22</t>
  </si>
  <si>
    <t>floristerialiliumcoruna@gmail.com</t>
  </si>
  <si>
    <t>Daphne</t>
  </si>
  <si>
    <t>Rúa Nicaragua, 2, 15005 A Coruña</t>
  </si>
  <si>
    <t>floristeriadaphne.com</t>
  </si>
  <si>
    <t>881 96 87 29</t>
  </si>
  <si>
    <t>maricruzdapnefloristeria@gmail.com</t>
  </si>
  <si>
    <t>Floristería Brioenflor</t>
  </si>
  <si>
    <t>Av. da Habana, 42, 32004 Ourense, Province of Ourense</t>
  </si>
  <si>
    <t>brioenflor.com</t>
  </si>
  <si>
    <t>988 06 18 04</t>
  </si>
  <si>
    <t>info@brioenflor.com</t>
  </si>
  <si>
    <t>JOMACOS</t>
  </si>
  <si>
    <t>Rúa Pena Trevinca, 30, Bajo, 32005 Ourense</t>
  </si>
  <si>
    <t>Ourense</t>
  </si>
  <si>
    <t>floristeriajomacos.es</t>
  </si>
  <si>
    <t>988 24 97 44</t>
  </si>
  <si>
    <t>contacto@floristeriajomacos.es</t>
  </si>
  <si>
    <t>Floristería Agarimo</t>
  </si>
  <si>
    <t>Calle de Celso Emilio Ferreiro, 42 sótano (entrada por C/ Camino Caneiro), 32004 Ourense, Province of Ourense</t>
  </si>
  <si>
    <t>988 60 10 05</t>
  </si>
  <si>
    <t>El Jardin De Juan Xxiii Ourense</t>
  </si>
  <si>
    <t>Calle De Juan Xxiii, 3, Galerías Multicentro , Local 2 ,32003, 32004, Province of Ourense</t>
  </si>
  <si>
    <t>eljardindejuanxxiii.com</t>
  </si>
  <si>
    <t>988 21 08 61</t>
  </si>
  <si>
    <t>floristeria@eljardindejuanxxiii.com</t>
  </si>
  <si>
    <t>Floristería Xeitosa</t>
  </si>
  <si>
    <t>Calle Ramón Puga Noguerol, 40 (Junto A Residencia Chou), 32005 Ourense</t>
  </si>
  <si>
    <t>floristeriaxeitosa.es</t>
  </si>
  <si>
    <t>988 24 96 30</t>
  </si>
  <si>
    <t>info@floristeriaxeitosa.es</t>
  </si>
  <si>
    <t>Arte Floral María</t>
  </si>
  <si>
    <t>Rúa Valle Inclán, Rúa Santo Domingo, 3, local 3, 32003 Ourense, Province of Ourense</t>
  </si>
  <si>
    <t>988 37 26 21</t>
  </si>
  <si>
    <t>Olea Floristas</t>
  </si>
  <si>
    <t>Calle de Bernardo González, número 22, 32004 Cachamuíña, Province of Ourense</t>
  </si>
  <si>
    <t>Cachamuíña</t>
  </si>
  <si>
    <t>660 44 74 71</t>
  </si>
  <si>
    <t>FLORISTERÍA SANTA MARIÑA</t>
  </si>
  <si>
    <t>Av. de Buenos Aires, 122, 32004 Ourense, Province of Ourense</t>
  </si>
  <si>
    <t>cidgavilanes.com</t>
  </si>
  <si>
    <t>988 24 25 01</t>
  </si>
  <si>
    <t>admon@cidgavilanes.com</t>
  </si>
  <si>
    <t>Av. das Caldas, 14, 32001 Ourense, Province of Ourense</t>
  </si>
  <si>
    <t>floristerialosnardos.es</t>
  </si>
  <si>
    <t>988 21 91 63</t>
  </si>
  <si>
    <t>Floristeria Atrio Albitos</t>
  </si>
  <si>
    <t>Praza Abastos, 1, 32003 Ourense</t>
  </si>
  <si>
    <t>floristeriaatrioalbitos.com</t>
  </si>
  <si>
    <t>620 98 01 95</t>
  </si>
  <si>
    <t>Chabel Arte Floral</t>
  </si>
  <si>
    <t>Rúa Celso Emilio Ferreiro, 18, BAJO, 32004 Ourense</t>
  </si>
  <si>
    <t>floristeriachabel.es</t>
  </si>
  <si>
    <t>988 23 29 13</t>
  </si>
  <si>
    <t>info@floristeriachabel.com</t>
  </si>
  <si>
    <t>Floristeria Milvia</t>
  </si>
  <si>
    <t>Rúa Bajos Alameda Concejo, 4, 32003 Ourense</t>
  </si>
  <si>
    <t>988 25 22 57</t>
  </si>
  <si>
    <t>Floristería &amp;quot;Sagrado Corazón&amp;quot;</t>
  </si>
  <si>
    <t>Rúa Vázquez Núñez, 5, 32002 Ourense</t>
  </si>
  <si>
    <t>988 24 12 36</t>
  </si>
  <si>
    <t>A FLORERIA DA BOLBORETA</t>
  </si>
  <si>
    <t>Av. de Santiago, 67, 32001 Ourense, Province of Ourense</t>
  </si>
  <si>
    <t>988 21 31 35</t>
  </si>
  <si>
    <t>Ficus Floristas</t>
  </si>
  <si>
    <t>R. San Paio, nº10, 32001 Ourense</t>
  </si>
  <si>
    <t>ficusfloristas.es</t>
  </si>
  <si>
    <t>988 21 68 25</t>
  </si>
  <si>
    <t>info@ficusfloristas.es</t>
  </si>
  <si>
    <t>Av. de Santiago, 12, 32001 Ourense, Province of Ourense</t>
  </si>
  <si>
    <t>Pilar Iglesias Rodríguez</t>
  </si>
  <si>
    <t>Rúa Ervedelo, 44, 32002 Ourense</t>
  </si>
  <si>
    <t>Vanessa Sánchez</t>
  </si>
  <si>
    <t>Rúa Ervedelo, 36, Bajo, 32004 Ourense</t>
  </si>
  <si>
    <t>988 23 19 04</t>
  </si>
  <si>
    <t>Florylipa</t>
  </si>
  <si>
    <t>Av. de Zamora, 122, 32005 Ourense, Province of Ourense</t>
  </si>
  <si>
    <t>florylipa.com</t>
  </si>
  <si>
    <t>674 71 88 03</t>
  </si>
  <si>
    <t>info@florylipa.com</t>
  </si>
  <si>
    <t>Epapu</t>
  </si>
  <si>
    <t>Rúa Velázquez, 17I, 32002 Ourense</t>
  </si>
  <si>
    <t>edu.xunta.gal</t>
  </si>
  <si>
    <t>988 24 38 34</t>
  </si>
  <si>
    <t>Floristeria Jomacos</t>
  </si>
  <si>
    <t>Rúa Canizo, 32970 Seixalbo, Ourense</t>
  </si>
  <si>
    <t>Seixalbo</t>
  </si>
  <si>
    <t>floristeriajomacos.com</t>
  </si>
  <si>
    <t>988 24 41 13</t>
  </si>
  <si>
    <t>Mimí flores</t>
  </si>
  <si>
    <t>Av. de Celanova, 116, 32002 A Valenza, Province of Ourense</t>
  </si>
  <si>
    <t>A Valenza</t>
  </si>
  <si>
    <t>606 65 28 92</t>
  </si>
  <si>
    <t>Av. de Celanova, 116, 32002 Barbadás, Province of Ourense</t>
  </si>
  <si>
    <t>Barbadás</t>
  </si>
  <si>
    <t>Floristería Zeltia</t>
  </si>
  <si>
    <t>Av. de Celanova, 14, 16, 32002 Barbadás, Province of Ourense</t>
  </si>
  <si>
    <t>988 60 00 52</t>
  </si>
  <si>
    <t>Rosa Sampedro Campos</t>
  </si>
  <si>
    <t>Rúa Fonteiriña, 9, 32664 Allariz, Ourense</t>
  </si>
  <si>
    <t>Allariz</t>
  </si>
  <si>
    <t>988 44 00 25</t>
  </si>
  <si>
    <t>Floristería Catro Camiños</t>
  </si>
  <si>
    <t>Rúa Curros Enríquez, 63, 32500 O Carballiño, Ourense</t>
  </si>
  <si>
    <t>Carballino</t>
  </si>
  <si>
    <t>floreriacatrocaminos.es</t>
  </si>
  <si>
    <t>988 27 41 60</t>
  </si>
  <si>
    <t>Floraría Álvarez</t>
  </si>
  <si>
    <t>Rúa Principal, 38, 32570 Maside ( Santo Tomé ), Ourense</t>
  </si>
  <si>
    <t>Maside</t>
  </si>
  <si>
    <t>988 28 84 28</t>
  </si>
  <si>
    <t>Floristería Abramar</t>
  </si>
  <si>
    <t>Avenida Aureliano Ferreiro, 53, 32703 Maceda, Ourense, Province of Ourense</t>
  </si>
  <si>
    <t>Maceda</t>
  </si>
  <si>
    <t>floristeriaabramar.com</t>
  </si>
  <si>
    <t>988 46 33 27</t>
  </si>
  <si>
    <t>abramar@floristeriaabramar.com</t>
  </si>
  <si>
    <t>Floristería los Nardos</t>
  </si>
  <si>
    <t>Rúa Colón, 25, 32817 Celanova, Ourense</t>
  </si>
  <si>
    <t>Celanova</t>
  </si>
  <si>
    <t>988 43 15 98</t>
  </si>
  <si>
    <t>Floraría Carmiña</t>
  </si>
  <si>
    <t>Rúa do Brasil, 6, 32500 Carballiño (O), Ourense</t>
  </si>
  <si>
    <t>988 27 02 08</t>
  </si>
  <si>
    <t>Juan Manuel Saá Gómez</t>
  </si>
  <si>
    <t>Praza Alcatruz, 3, 32703 Maceda, Ourense</t>
  </si>
  <si>
    <t>639 84 22 13</t>
  </si>
  <si>
    <t>Floraría Cattleya</t>
  </si>
  <si>
    <t>Avenida BALNEARIO, DO, 13, 32500 O Carballiño, Ourense</t>
  </si>
  <si>
    <t>988 27 11 64</t>
  </si>
  <si>
    <t>Tendencias Floristas</t>
  </si>
  <si>
    <t>Rúa Doutor Loureiro Crespo, 19, 36004 Pontevedra</t>
  </si>
  <si>
    <t>tendenciasfloristas.es</t>
  </si>
  <si>
    <t>986 89 60 72</t>
  </si>
  <si>
    <t>Flores Alexandra</t>
  </si>
  <si>
    <t>Rúa San Antoniño, 67, 36002 Pontevedra</t>
  </si>
  <si>
    <t>floresalexandra.es</t>
  </si>
  <si>
    <t>986 85 05 36</t>
  </si>
  <si>
    <t>info@floresalexandra.es</t>
  </si>
  <si>
    <t>La Gardenia</t>
  </si>
  <si>
    <t>Rúa José Millán, 2, 36001 Pontevedra</t>
  </si>
  <si>
    <t>lagardeniapontevedra.com</t>
  </si>
  <si>
    <t>986 84 79 59</t>
  </si>
  <si>
    <t>lagardeniapontevedra@gmail.com</t>
  </si>
  <si>
    <t>Praza de España, 5, 36002 Pontevedra</t>
  </si>
  <si>
    <t>floristeriajardin.com</t>
  </si>
  <si>
    <t>986 85 37 48</t>
  </si>
  <si>
    <t>Rúa Rosalía de Castro, 1, LOCAL-8, 36001 Pontevedra</t>
  </si>
  <si>
    <t>986 86 24 38</t>
  </si>
  <si>
    <t>Olga Floristería</t>
  </si>
  <si>
    <t>Rúa Arcebispo Malvar, 26, 36002 Pontevedra</t>
  </si>
  <si>
    <t>986 84 07 62</t>
  </si>
  <si>
    <t>Las flores de Raquel</t>
  </si>
  <si>
    <t>Avd, Rúa San Mauro, 29, 36004 Pontevedra, PO</t>
  </si>
  <si>
    <t>670 82 76 77</t>
  </si>
  <si>
    <t>R. Juan Bautista Andrade, 96, 36005 Pontevedra</t>
  </si>
  <si>
    <t>986 87 03 87</t>
  </si>
  <si>
    <t>Rúa Andrés Muruais, 36001 Pontevedra</t>
  </si>
  <si>
    <t>bambu-florist.negocio.site</t>
  </si>
  <si>
    <t>637 31 22 75</t>
  </si>
  <si>
    <t>Maribel lolo flores</t>
  </si>
  <si>
    <t>Rúa Castelao, 9, 36001 Pontevedra</t>
  </si>
  <si>
    <t>690 33 74 29</t>
  </si>
  <si>
    <t>Floristería Tatarica</t>
  </si>
  <si>
    <t>Rúa Augusto González Besada, 14, 36001 Pontevedra</t>
  </si>
  <si>
    <t>986 84 44 50</t>
  </si>
  <si>
    <t>Sembrando Girasoles</t>
  </si>
  <si>
    <t>Doctor Loureiro Crespo, 48, Local 3, 36004 Pontevedra</t>
  </si>
  <si>
    <t>sembrandogirasoles.es</t>
  </si>
  <si>
    <t>675 61 03 64</t>
  </si>
  <si>
    <t>info@sembrandogirasoles.es</t>
  </si>
  <si>
    <t>Floristeria A Labranza</t>
  </si>
  <si>
    <t>Rúa Joaquín Costa, 112, 36004 Pontevedra</t>
  </si>
  <si>
    <t>986 86 44 96</t>
  </si>
  <si>
    <t>Floristería Montecelo</t>
  </si>
  <si>
    <t>Av. Montecelo, 49, 36161 Pontevedra, PO</t>
  </si>
  <si>
    <t>986 84 00 06</t>
  </si>
  <si>
    <t>Floristeria Canela</t>
  </si>
  <si>
    <t>677 01 41 27</t>
  </si>
  <si>
    <t>A Ponte do Couto, 11, 36143 Pontevedra</t>
  </si>
  <si>
    <t>647 71 89 21</t>
  </si>
  <si>
    <t>Indigo by GM</t>
  </si>
  <si>
    <t>Praza Alonso de Fonseca, 6, 36002 Pontevedra</t>
  </si>
  <si>
    <t>indigobygm.com</t>
  </si>
  <si>
    <t>667 03 19 75</t>
  </si>
  <si>
    <t>info@indigobygm.com</t>
  </si>
  <si>
    <t>INBLOOM</t>
  </si>
  <si>
    <t>Rúa da Alhóndiga, número 5, 36002 Pontevedra</t>
  </si>
  <si>
    <t>inbloom.es</t>
  </si>
  <si>
    <t>656 25 15 31</t>
  </si>
  <si>
    <t>inbloom@inbloom.es</t>
  </si>
  <si>
    <t>Floristaría Margarita</t>
  </si>
  <si>
    <t>Plaza Concepción Arenal, 36002 Pontevedra</t>
  </si>
  <si>
    <t>986 31 33 59</t>
  </si>
  <si>
    <t>Flores Clara</t>
  </si>
  <si>
    <t>Mercado de Abastos, puesto F4, C/Sierra, 5, 36002 Pontevedra</t>
  </si>
  <si>
    <t>Tallo Azul</t>
  </si>
  <si>
    <t>José Adrio Barreiro, 2 Bajo 5 - 36004, 36004, PO</t>
  </si>
  <si>
    <t>986 10 30 94</t>
  </si>
  <si>
    <t>Floristeria Riveiro Pacheco</t>
  </si>
  <si>
    <t>36002 Pontevedra</t>
  </si>
  <si>
    <t>620 99 27 59</t>
  </si>
  <si>
    <t>36164 Pontevedra</t>
  </si>
  <si>
    <t>Flores y plantas Yoli</t>
  </si>
  <si>
    <t>Av. Porteliña, 10, 36163 Poio, PO</t>
  </si>
  <si>
    <t>Poyo</t>
  </si>
  <si>
    <t>986 18 74 20</t>
  </si>
  <si>
    <t>Floristería Dalia</t>
  </si>
  <si>
    <t>Av. San Xoán, 37, 36995 O Casal, Pontevedra</t>
  </si>
  <si>
    <t>O Casal</t>
  </si>
  <si>
    <t>986 77 07 45</t>
  </si>
  <si>
    <t>La Petunia Floristería</t>
  </si>
  <si>
    <t>Av. San Xoán, 10, 36995 O Casal, Pontevedra</t>
  </si>
  <si>
    <t>986 77 13 28</t>
  </si>
  <si>
    <t>Floristería Omperfranc en Marín</t>
  </si>
  <si>
    <t>Rúa Do Sol, 17, 36900 Marín, Pontevedra</t>
  </si>
  <si>
    <t>Marín</t>
  </si>
  <si>
    <t>floristeriaomperfranc.es</t>
  </si>
  <si>
    <t>986 88 28 17</t>
  </si>
  <si>
    <t>El Jardin de Mar Flores y Plantas</t>
  </si>
  <si>
    <t>Rúa Lameira, 5, 36915 Marín, Pontevedra</t>
  </si>
  <si>
    <t>986 83 97 64</t>
  </si>
  <si>
    <t>Cristina Piñeiro Floristas</t>
  </si>
  <si>
    <t>Camiño A Raña, 36915 Marín, PO</t>
  </si>
  <si>
    <t>666 81 09 73</t>
  </si>
  <si>
    <t>Floristería Nimet</t>
  </si>
  <si>
    <t>Rúa Fondo do Saco, 6, 36900 Marín, Pontevedra</t>
  </si>
  <si>
    <t>886 20 44 78</t>
  </si>
  <si>
    <t>SdB</t>
  </si>
  <si>
    <t>O Toural, 5, 36141 Vilaboa, PO</t>
  </si>
  <si>
    <t>Vilaboa</t>
  </si>
  <si>
    <t>639 75 34 65</t>
  </si>
  <si>
    <t>Diflor Floristería</t>
  </si>
  <si>
    <t>Lugar San Antoniño, 16, 36194 Barro, Pontevedra</t>
  </si>
  <si>
    <t>Barro</t>
  </si>
  <si>
    <t>diflor-florist.negocio.site</t>
  </si>
  <si>
    <t>986 09 71 07</t>
  </si>
  <si>
    <t>36194, PO</t>
  </si>
  <si>
    <t>Mosqueiros</t>
  </si>
  <si>
    <t>609 20 00 57</t>
  </si>
  <si>
    <t>Floristería Jaica</t>
  </si>
  <si>
    <t>Plaza de Abastos de Mosteiro, 36637, PO</t>
  </si>
  <si>
    <t>Gándara</t>
  </si>
  <si>
    <t>635 04 80 75</t>
  </si>
  <si>
    <t>Floristería Protea</t>
  </si>
  <si>
    <t>Av. Xosé Solla, 128, 36690 Soutomaior, PO</t>
  </si>
  <si>
    <t>Sotomayor</t>
  </si>
  <si>
    <t>Floraría Carmen</t>
  </si>
  <si>
    <t>Calle Augusto González Besadas, 5 BAIXO, 36820 Ponte Caldelas, PO</t>
  </si>
  <si>
    <t>Puentecaldelas</t>
  </si>
  <si>
    <t>carmenfloristeria.es</t>
  </si>
  <si>
    <t>986 76 71 94</t>
  </si>
  <si>
    <t>florcar@hotmail.es</t>
  </si>
  <si>
    <t>Floristería Caravel S.L.</t>
  </si>
  <si>
    <t>Av. Xosé Solla, 57, 36690 A Calle, PO</t>
  </si>
  <si>
    <t>O Vao</t>
  </si>
  <si>
    <t>Floristería Rioja Jardín</t>
  </si>
  <si>
    <t>Calle Tirso de Molina, 1, 26006 Logroño, La Rioja</t>
  </si>
  <si>
    <t>riojajardin.com</t>
  </si>
  <si>
    <t>941 58 70 70</t>
  </si>
  <si>
    <t>riojajardin@riojajardin.com</t>
  </si>
  <si>
    <t>Floristería Decoroflor | Floristería en Calahorra</t>
  </si>
  <si>
    <t>Paseo del Mercadal, 40, 26500 Calahorra, La Rioja</t>
  </si>
  <si>
    <t>Calahorra</t>
  </si>
  <si>
    <t>floristeriadecoroflor.com</t>
  </si>
  <si>
    <t>941 14 79 87</t>
  </si>
  <si>
    <t>Floristería Mandragora</t>
  </si>
  <si>
    <t>Calle Carretera, 85, 26510 Pradejón, La Rioja</t>
  </si>
  <si>
    <t>Pradejón</t>
  </si>
  <si>
    <t>941 14 11 51</t>
  </si>
  <si>
    <t>Floristerías Logroño</t>
  </si>
  <si>
    <t>Av. Club Deportivo, 44, 26007 Logroño, La Rioja</t>
  </si>
  <si>
    <t>floristeriaslogrono.es</t>
  </si>
  <si>
    <t>620 93 54 56</t>
  </si>
  <si>
    <t>ikebana@floristeriaslogrono.es</t>
  </si>
  <si>
    <t>Calle Carmen Medrano, 4, 26005 Logroño, La Rioja</t>
  </si>
  <si>
    <t>floristeria-hiedra.es</t>
  </si>
  <si>
    <t>639 74 10 73</t>
  </si>
  <si>
    <t>Calle Duquesa de la Victoria, 7, 26003 Logroño, La Rioja</t>
  </si>
  <si>
    <t>941 26 20 44</t>
  </si>
  <si>
    <t>Av. Club Deportivo, 42, 26007 Logroño, La Rioja</t>
  </si>
  <si>
    <t>florikebana.es</t>
  </si>
  <si>
    <t>941 22 36 86</t>
  </si>
  <si>
    <t>Floristería Aralia.</t>
  </si>
  <si>
    <t>Av. La Rioja, 26360 Fuenmayor, La Rioja</t>
  </si>
  <si>
    <t>Fuenmayor</t>
  </si>
  <si>
    <t>653 92 60 77</t>
  </si>
  <si>
    <t>VIVEROS Y FLORISTERIA PLANARRESANO</t>
  </si>
  <si>
    <t>APDO. CORREOS 21, 26580 Arnedo, La Rioja</t>
  </si>
  <si>
    <t>Arnedo</t>
  </si>
  <si>
    <t>609 85 97 99</t>
  </si>
  <si>
    <t>Floristería Magali S C</t>
  </si>
  <si>
    <t>Calle Duques de Nájera, 7, 26002 Logroño, La Rioja</t>
  </si>
  <si>
    <t>941 25 77 05</t>
  </si>
  <si>
    <t>Floristería Herga,S.C.</t>
  </si>
  <si>
    <t>Calle Gral. Gallarza, 24, 26500 Calahorra, La Rioja</t>
  </si>
  <si>
    <t>Floristería Savia</t>
  </si>
  <si>
    <t>Calle Lardero, 17, 26002 Logroño, La Rioja</t>
  </si>
  <si>
    <t>656 37 88 22</t>
  </si>
  <si>
    <t>Floristería Rosi</t>
  </si>
  <si>
    <t>Paseo los Curas, 26300 Nájera, La Rioja</t>
  </si>
  <si>
    <t>Nájera</t>
  </si>
  <si>
    <t>941 36 36 48</t>
  </si>
  <si>
    <t>Floristería Ìndalo</t>
  </si>
  <si>
    <t>Calle San Millán, 11, 26004 Logroño, La Rioja</t>
  </si>
  <si>
    <t>941 24 75 28</t>
  </si>
  <si>
    <t>Floristerías Indalo (Jorge Vigón)</t>
  </si>
  <si>
    <t>Av. Solidaridad, 25, 26003 Logroño, La Rioja</t>
  </si>
  <si>
    <t>floristeriasindalo.es</t>
  </si>
  <si>
    <t>941 70 33 67</t>
  </si>
  <si>
    <t>FELIÑARÁN floristas</t>
  </si>
  <si>
    <t>C/ Pilar Salarrullana, 4, 26002 Logroño, La Rioja</t>
  </si>
  <si>
    <t>felinaran.com</t>
  </si>
  <si>
    <t>941 24 40 62</t>
  </si>
  <si>
    <t>info@felinaran.com</t>
  </si>
  <si>
    <t>Calle Portales, 18, 26001 Logroño, La Rioja</t>
  </si>
  <si>
    <t>floristeriadecoflor.com</t>
  </si>
  <si>
    <t>941 23 11 71</t>
  </si>
  <si>
    <t>Floristerías Grupo Disenverd</t>
  </si>
  <si>
    <t>C/ Villamediana, 13, 26003 Logroño, La Rioja</t>
  </si>
  <si>
    <t>Flores Silvia</t>
  </si>
  <si>
    <t>Calle San Roque, 3, 26559 Aldeanueva de Ebro, La Rioja</t>
  </si>
  <si>
    <t>Aldeanueva de Ebro</t>
  </si>
  <si>
    <t>floressilvia.es</t>
  </si>
  <si>
    <t>941 14 40 04</t>
  </si>
  <si>
    <t>Calle Duques de Nájera, 103, 26005 Logroño, La Rioja</t>
  </si>
  <si>
    <t>941 50 31 89</t>
  </si>
  <si>
    <t>Flores Canoe</t>
  </si>
  <si>
    <t>Av. Gonzalo de Berceo, 12, 26005 Logroño, La Rioja</t>
  </si>
  <si>
    <t>941 20 76 47</t>
  </si>
  <si>
    <t>Floristería Rosablanca</t>
  </si>
  <si>
    <t>Calle Víctor Pradera, 11, 26001 Logroño, La Rioja</t>
  </si>
  <si>
    <t>941 22 21 00</t>
  </si>
  <si>
    <t>Calle Gral. Vara de Rey, 17, 26002 Logroño, La Rioja</t>
  </si>
  <si>
    <t>floristeriacamelia.net</t>
  </si>
  <si>
    <t>941 24 57 11</t>
  </si>
  <si>
    <t>Técnicas de Floristería y Jardinería Estefanía Hnos.</t>
  </si>
  <si>
    <t>Calle Villamediana, 13, 26003 Logroño, La Rioja</t>
  </si>
  <si>
    <t>azaleagreen.com</t>
  </si>
  <si>
    <t>941 23 13 01</t>
  </si>
  <si>
    <t>Nardos Floristas</t>
  </si>
  <si>
    <t>Av. Pérez Galdós, 58, 26002 Logroño, La Rioja</t>
  </si>
  <si>
    <t>nardos.com</t>
  </si>
  <si>
    <t>941 20 01 48</t>
  </si>
  <si>
    <t>chris@nardos.com</t>
  </si>
  <si>
    <t>Floristería Romanos</t>
  </si>
  <si>
    <t>Calle Gral. Gallarza, 39, 26500 Calahorra, La Rioja</t>
  </si>
  <si>
    <t>romanos-floristas.es</t>
  </si>
  <si>
    <t>941 14 85 12</t>
  </si>
  <si>
    <t>Calle Araciel, nº 1, 26540 Alfaro, La Rioja</t>
  </si>
  <si>
    <t>Alfaro</t>
  </si>
  <si>
    <t>multiespaciosweb.com</t>
  </si>
  <si>
    <t>941 18 31 02</t>
  </si>
  <si>
    <t>Floristeria Maria Teresa</t>
  </si>
  <si>
    <t>Calle Sagastía, 11, 26280 Ezcaray, La Rioja</t>
  </si>
  <si>
    <t>Ezcaray</t>
  </si>
  <si>
    <t>floristeriamariateresa.es</t>
  </si>
  <si>
    <t>941 42 75 00</t>
  </si>
  <si>
    <t>Ninfa 2 Floristas</t>
  </si>
  <si>
    <t>Calle Duquesa de la Victoria, 20, Bajo, 26003 Logroño, La Rioja</t>
  </si>
  <si>
    <t>941 25 13 70</t>
  </si>
  <si>
    <t>Marta Florista</t>
  </si>
  <si>
    <t>Calle Sta. Lucía, 64, bajo, 26200 Haro, La Rioja</t>
  </si>
  <si>
    <t>Haro</t>
  </si>
  <si>
    <t>marta-florista.business.site</t>
  </si>
  <si>
    <t>637 69 27 07</t>
  </si>
  <si>
    <t>Flores Funeral</t>
  </si>
  <si>
    <t>Av. Club Deportivo, 44, bajo, 26007 Logroño, La Rioja</t>
  </si>
  <si>
    <t>floresfuneral.es</t>
  </si>
  <si>
    <t>ikebana@florikebana.com</t>
  </si>
  <si>
    <t>Floristería Raquel Solar Floristas</t>
  </si>
  <si>
    <t>Calle San Roque, 21, 26250 Santo Domingo de la Calzada, La Rioja</t>
  </si>
  <si>
    <t>Santo Domingo de la Calzada</t>
  </si>
  <si>
    <t>941 34 34 54</t>
  </si>
  <si>
    <t>Floristería Mª Teresa</t>
  </si>
  <si>
    <t>Calle Hilario Pérez, 14, 26250 Santo Domingo de la Calzada, La Rioja</t>
  </si>
  <si>
    <t>941 34 24 96</t>
  </si>
  <si>
    <t>Flores Campa</t>
  </si>
  <si>
    <t>Av. Corella, 3, 26540 Alfaro, La Rioja</t>
  </si>
  <si>
    <t>florescampa.com</t>
  </si>
  <si>
    <t>941 18 35 90</t>
  </si>
  <si>
    <t>conchita_campa@hotmail.com</t>
  </si>
  <si>
    <t>Floristería Meba</t>
  </si>
  <si>
    <t>Calle Ventilla, 28, 26200 Haro, La Rioja</t>
  </si>
  <si>
    <t>floristeriameba.com</t>
  </si>
  <si>
    <t>941 31 11 68</t>
  </si>
  <si>
    <t>info@formulaclick.com</t>
  </si>
  <si>
    <t>Todojardín</t>
  </si>
  <si>
    <t>todojardincb.es</t>
  </si>
  <si>
    <t>699 15 23 79</t>
  </si>
  <si>
    <t>Iris Floristería</t>
  </si>
  <si>
    <t>Calle Gral. Vara de Rey, 60, 26002 Logroño, La Rioja</t>
  </si>
  <si>
    <t>irisfloristeria.es</t>
  </si>
  <si>
    <t>610 55 98 62</t>
  </si>
  <si>
    <t>irisfloristeria@interflora.es</t>
  </si>
  <si>
    <t>FLORES Y PLANTAS VIVARIA</t>
  </si>
  <si>
    <t>Calle Canicalejo, 26006 Logroño, La Rioja</t>
  </si>
  <si>
    <t>viverosvivaria.es</t>
  </si>
  <si>
    <t>941 23 13 86</t>
  </si>
  <si>
    <t>info@viverosvivaria.es</t>
  </si>
  <si>
    <t>Calle Picota, 25, 26580 Arnedo, La Rioja</t>
  </si>
  <si>
    <t>941 38 15 33</t>
  </si>
  <si>
    <t>Av. de Madrid, 324, 26140 Lardero, La Rioja</t>
  </si>
  <si>
    <t>Lardero</t>
  </si>
  <si>
    <t>941 44 84 09</t>
  </si>
  <si>
    <t>Revival</t>
  </si>
  <si>
    <t>Jomasal Sat Ni 9735 Sat</t>
  </si>
  <si>
    <t>Calle Jesús Savilla Peñalva, Machete, 10, 26560 Autol</t>
  </si>
  <si>
    <t>Autol</t>
  </si>
  <si>
    <t>Ramos de Novia</t>
  </si>
  <si>
    <t>Av. Club Deportivo, 42, bajo, 26007 Logroño, La Rioja</t>
  </si>
  <si>
    <t>ramosdenovia.com.es</t>
  </si>
  <si>
    <t>Floristería Campo y Jardín</t>
  </si>
  <si>
    <t>Calle Tajadas, 21, 31591 Corella, Navarra</t>
  </si>
  <si>
    <t>Corella</t>
  </si>
  <si>
    <t>floristeriacampoyjardin.es</t>
  </si>
  <si>
    <t>948 78 01 61</t>
  </si>
  <si>
    <t>Floristería Tamaya</t>
  </si>
  <si>
    <t>Calle Nueva, 4, 31570 San Adrián, Navarra</t>
  </si>
  <si>
    <t>San Adrián</t>
  </si>
  <si>
    <t>floristeriatamaya.com</t>
  </si>
  <si>
    <t>948 69 63 32</t>
  </si>
  <si>
    <t>Floristería Pothos</t>
  </si>
  <si>
    <t>Calle Marqués de Murrieta, 52, 26005 Logroño, La Rioja</t>
  </si>
  <si>
    <t>floristeriapothos.es</t>
  </si>
  <si>
    <t>941 22 56 14</t>
  </si>
  <si>
    <t>Floristeria Garden</t>
  </si>
  <si>
    <t>NA-134, 6, 31560 Azagra, Navarra</t>
  </si>
  <si>
    <t>Azagra</t>
  </si>
  <si>
    <t>948 69 24 68</t>
  </si>
  <si>
    <t>Ezquerro Caballero</t>
  </si>
  <si>
    <t>Calle Romero, 2, 26510 Pradejón, La Rioja</t>
  </si>
  <si>
    <t>941 15 02 69</t>
  </si>
  <si>
    <t>el taller de las flores</t>
  </si>
  <si>
    <t>Calle Gral. Zumalacárregui, 6, 31592 Cintruénigo, Navarra</t>
  </si>
  <si>
    <t>Cintruénigo</t>
  </si>
  <si>
    <t>667 78 10 59</t>
  </si>
  <si>
    <t>Espacios Verdes</t>
  </si>
  <si>
    <t>Camino viejo de Alberite, 1, 26006 Logroño, La Rioja</t>
  </si>
  <si>
    <t>941 21 11 81</t>
  </si>
  <si>
    <t>Floristería M Cruz</t>
  </si>
  <si>
    <t>Calle Cuesta, 24, 31320 Milagro, Navarra</t>
  </si>
  <si>
    <t>Milagro</t>
  </si>
  <si>
    <t>Calle Martínez de Arizala, 3, 31330 Villafranca, Navarra</t>
  </si>
  <si>
    <t>Villafranca</t>
  </si>
  <si>
    <t>floristeriajulia.com</t>
  </si>
  <si>
    <t>948 84 56 08</t>
  </si>
  <si>
    <t>Pétalos</t>
  </si>
  <si>
    <t>Plaza España, 4, 31360 Funes, Navarra</t>
  </si>
  <si>
    <t>Funes</t>
  </si>
  <si>
    <t>699 26 07 61</t>
  </si>
  <si>
    <t>Margarita se llama mi amor</t>
  </si>
  <si>
    <t>Calle de Fernando VI, 9, 28004 Madrid</t>
  </si>
  <si>
    <t>margaritasellamamiamor.com</t>
  </si>
  <si>
    <t>913 10 09 26</t>
  </si>
  <si>
    <t>contacto@margaritasellamamiamor.com</t>
  </si>
  <si>
    <t>Floristería Bourguignon</t>
  </si>
  <si>
    <t>Av. de Ramón y Cajal, 1, 28016 Madrid</t>
  </si>
  <si>
    <t>bourguignonfloristas.es</t>
  </si>
  <si>
    <t>914 57 36 47</t>
  </si>
  <si>
    <t>pvergara@bourguignonfloristas.es</t>
  </si>
  <si>
    <t>Enviar flores Madrid floristeria</t>
  </si>
  <si>
    <t>Calle de Vallehermoso, 110, 28003 Madrid</t>
  </si>
  <si>
    <t>rosasagavanzal.es</t>
  </si>
  <si>
    <t>914 74 80 82</t>
  </si>
  <si>
    <t>agavanzal1@orange.es</t>
  </si>
  <si>
    <t>FLORIDEA</t>
  </si>
  <si>
    <t>Calle de Ramón Gómez de la Serna, 119, 28035 Madrid</t>
  </si>
  <si>
    <t>floridea.es</t>
  </si>
  <si>
    <t>913 86 31 00</t>
  </si>
  <si>
    <t>Adhoc Flores Floristería Madrid</t>
  </si>
  <si>
    <t>Calle del León, 11, 28014 Madrid</t>
  </si>
  <si>
    <t>adhocflores.com</t>
  </si>
  <si>
    <t>680 73 28 92</t>
  </si>
  <si>
    <t>info@adhoctienda.com</t>
  </si>
  <si>
    <t>Fransen et Lafite</t>
  </si>
  <si>
    <t>Calle del Espejo, 5, 28013 Madrid</t>
  </si>
  <si>
    <t>fransenetlafite.com</t>
  </si>
  <si>
    <t>911 42 85 25</t>
  </si>
  <si>
    <t>contact@fransenetlafite.com</t>
  </si>
  <si>
    <t>Floristería Jardín | Flores a domicilio Madrid | Flores online</t>
  </si>
  <si>
    <t>Calle de Bravo Murillo, 37, 28015 Madrid</t>
  </si>
  <si>
    <t>jardin2000.es</t>
  </si>
  <si>
    <t>639 68 84 70</t>
  </si>
  <si>
    <t>Flores Madrid</t>
  </si>
  <si>
    <t>Calle de Fernández de los Ríos, 2, 28015 Madrid</t>
  </si>
  <si>
    <t>tiendafloresmadrid.com</t>
  </si>
  <si>
    <t>914 47 97 79</t>
  </si>
  <si>
    <t>Lilium Madrid- Floristería En Chamberi</t>
  </si>
  <si>
    <t>Calle de Alonso Cano, 74, 28003 Madrid</t>
  </si>
  <si>
    <t>liliummadrid.es</t>
  </si>
  <si>
    <t>915 53 45 00</t>
  </si>
  <si>
    <t>lilium_mad@hotmail.com</t>
  </si>
  <si>
    <t>🏅Floristería en Madrid. Ginkgo Biloba.</t>
  </si>
  <si>
    <t>Calle de Viriato, 42, 28010 Madrid</t>
  </si>
  <si>
    <t>ginkgobiloba.es</t>
  </si>
  <si>
    <t>914 48 26 03</t>
  </si>
  <si>
    <t>Docrys Floral Concepts</t>
  </si>
  <si>
    <t>Av. de la Osa Mayor, 42, 28023 Madrid</t>
  </si>
  <si>
    <t>floristeriadocrys.com</t>
  </si>
  <si>
    <t>913 57 35 60</t>
  </si>
  <si>
    <t>info@floristeriadocrys.com</t>
  </si>
  <si>
    <t>María Rosales Floristeria</t>
  </si>
  <si>
    <t>Calle de Andres Mellado, 70, 28015 Madrid</t>
  </si>
  <si>
    <t>912 40 48 88</t>
  </si>
  <si>
    <t>Calle de la Isla de Oza, 36, 28035 Madrid</t>
  </si>
  <si>
    <t>913 16 47 21</t>
  </si>
  <si>
    <t>Floristeria Hayuco</t>
  </si>
  <si>
    <t>Calle de Antonio Machado, 14, 28039 Madrid</t>
  </si>
  <si>
    <t>floristeriahayuco.es</t>
  </si>
  <si>
    <t>913 16 86 68</t>
  </si>
  <si>
    <t>jardineriahayuco@gmail.com</t>
  </si>
  <si>
    <t>Calle de la Ribera de Curtidores, 43, 28005 Madrid</t>
  </si>
  <si>
    <t>915 06 35 10</t>
  </si>
  <si>
    <t>Floristería el Olivar</t>
  </si>
  <si>
    <t>Av. de España, 46, 28701 San Sebastián de los Reyes, Madrid</t>
  </si>
  <si>
    <t>floreselolivar.es</t>
  </si>
  <si>
    <t>640 30 50 93</t>
  </si>
  <si>
    <t>pedidos@floreselolivar.es</t>
  </si>
  <si>
    <t>Floristería Pink Flower &amp;amp; Co</t>
  </si>
  <si>
    <t>28016 Madrid</t>
  </si>
  <si>
    <t>pinkflower.es</t>
  </si>
  <si>
    <t>914 57 36 14</t>
  </si>
  <si>
    <t>info@pinkflower.es</t>
  </si>
  <si>
    <t>Floristeria Ainara Floristas</t>
  </si>
  <si>
    <t>Calle de Goya, 141, 28009 Madrid</t>
  </si>
  <si>
    <t>ainarafloristas.com</t>
  </si>
  <si>
    <t>914 01 45 28</t>
  </si>
  <si>
    <t>info@ainarafloristas.com</t>
  </si>
  <si>
    <t>Allium Floristas Floristería</t>
  </si>
  <si>
    <t>Paseo de Extremadura, 158, 28011 Madrid</t>
  </si>
  <si>
    <t>floresallium.com</t>
  </si>
  <si>
    <t>915 26 17 12</t>
  </si>
  <si>
    <t>info@floresallium.com</t>
  </si>
  <si>
    <t>Flores Bucaro</t>
  </si>
  <si>
    <t>Calle de Serrano, 232, 28016 Madrid</t>
  </si>
  <si>
    <t>bucaro.es</t>
  </si>
  <si>
    <t>913 53 01 30</t>
  </si>
  <si>
    <t>comercial@bucaroflores.com</t>
  </si>
  <si>
    <t>Floristeria Muérdago Madrid</t>
  </si>
  <si>
    <t>Calle de Alonso Cano, 79, 28003 Madrid</t>
  </si>
  <si>
    <t>675 95 65 91</t>
  </si>
  <si>
    <t>Amborella La floristeria de Montecarmelo</t>
  </si>
  <si>
    <t>Av. de Montecarmelo, 55, 28049 Madrid</t>
  </si>
  <si>
    <t>amborella.es</t>
  </si>
  <si>
    <t>915 61 84 19</t>
  </si>
  <si>
    <t>yanira@amborella.es</t>
  </si>
  <si>
    <t>FLORISTERIAS BEATRIZ</t>
  </si>
  <si>
    <t>Calle del Néctar, 41, 28022 Madrid</t>
  </si>
  <si>
    <t>floristeriabeatriz.es</t>
  </si>
  <si>
    <t>917 42 14 12</t>
  </si>
  <si>
    <t>molores31@hotmail.com</t>
  </si>
  <si>
    <t>Floristería Espaicol &amp;amp; Co</t>
  </si>
  <si>
    <t>Calle de Francisco Silvela, 90, 28002 Madrid</t>
  </si>
  <si>
    <t>915 62 52 68</t>
  </si>
  <si>
    <t>BRUMALIS</t>
  </si>
  <si>
    <t>Calle del Conde de Aranda, 10, 28001 Madrid</t>
  </si>
  <si>
    <t>brumalis.es</t>
  </si>
  <si>
    <t>910 64 55 75</t>
  </si>
  <si>
    <t>brumalis@brumalis.es</t>
  </si>
  <si>
    <t>Floristería Online Jícara</t>
  </si>
  <si>
    <t>Calle Condesa de Venadito, 22, 28027 Madrid</t>
  </si>
  <si>
    <t>jicarafloristeria.com</t>
  </si>
  <si>
    <t>914 04 37 40</t>
  </si>
  <si>
    <t>info@jicarafloristeria.com</t>
  </si>
  <si>
    <t>Floristería y herbolario Las Flores de Alicia</t>
  </si>
  <si>
    <t>Paseo de la Ermita del Santo, 19, 28011 Madrid</t>
  </si>
  <si>
    <t>floristeriablancaazahara.es</t>
  </si>
  <si>
    <t>913 66 35 15</t>
  </si>
  <si>
    <t>floristeria.azahara@gmail.com</t>
  </si>
  <si>
    <t>FLORISTERIA VISERCHI TIENDA y VENTA ONLINE</t>
  </si>
  <si>
    <t>Calle de Embajadores, 181B, LOCAL 7 Esquina 181A Veinte metros dentro del parque Tfno. Fijo 91 5289416 Móvil 638 557874, 28045 Madrid</t>
  </si>
  <si>
    <t>viserchi.com</t>
  </si>
  <si>
    <t>915 28 94 16</t>
  </si>
  <si>
    <t>Ababoles Flores y Plantas</t>
  </si>
  <si>
    <t>Calle Cardenal Tavera, 8, 28050 Madrid</t>
  </si>
  <si>
    <t>ababoles.es</t>
  </si>
  <si>
    <t>913 18 58 90</t>
  </si>
  <si>
    <t>tienda@ababoles.es</t>
  </si>
  <si>
    <t>Floristeria &amp;quot;Las Mil y Una Flores&amp;quot;</t>
  </si>
  <si>
    <t>Calle de Sánchez Barcáiztegui, 31, 28007 Madrid</t>
  </si>
  <si>
    <t>695 42 39 03</t>
  </si>
  <si>
    <t>FLORISTERIA FIOREBUIN</t>
  </si>
  <si>
    <t>Camino Viejo de Leganés, 5, 28019 Madrid</t>
  </si>
  <si>
    <t>floristeriafiorebuin.com</t>
  </si>
  <si>
    <t>674 13 65 55</t>
  </si>
  <si>
    <t>Floréate - Floristería online</t>
  </si>
  <si>
    <t>Calle Progreso, 28906 Getafe, Madrid</t>
  </si>
  <si>
    <t>Getafe</t>
  </si>
  <si>
    <t>floreate.com</t>
  </si>
  <si>
    <t>696 69 62 64</t>
  </si>
  <si>
    <t>info@floreate.com</t>
  </si>
  <si>
    <t>Floristería Kalatea</t>
  </si>
  <si>
    <t>Paseo Talleres, 68, 28021 Madrid</t>
  </si>
  <si>
    <t>floristeriakalatea.es</t>
  </si>
  <si>
    <t>917 97 37 18</t>
  </si>
  <si>
    <t>info@floristeriakalatea.es</t>
  </si>
  <si>
    <t>Floristería Contreras</t>
  </si>
  <si>
    <t>Calle de Manuel Laguna, 4, 28018 Madrid</t>
  </si>
  <si>
    <t>floristeriacontreras.es</t>
  </si>
  <si>
    <t>914 77 35 22</t>
  </si>
  <si>
    <t>Semilla Salvaje - Floristería Madrid</t>
  </si>
  <si>
    <t>Calle de Granada, 44, 28007 Madrid</t>
  </si>
  <si>
    <t>semillasalvaje.com</t>
  </si>
  <si>
    <t>629 46 85 76</t>
  </si>
  <si>
    <t>info@semillasalvaje.com</t>
  </si>
  <si>
    <t>Flores MARIBEL</t>
  </si>
  <si>
    <t>Calle Verdaguer y García, 7, 28027 Madrid</t>
  </si>
  <si>
    <t>floresisma.com</t>
  </si>
  <si>
    <t>911 28 04 40</t>
  </si>
  <si>
    <t>Flores Amalia Madrid</t>
  </si>
  <si>
    <t>Calle Mateo Inurria, 11, 28036 Madrid</t>
  </si>
  <si>
    <t>floresamaliamadrid.com</t>
  </si>
  <si>
    <t>913 59 84 59</t>
  </si>
  <si>
    <t>Floristería Almudena</t>
  </si>
  <si>
    <t>Plaza Torres Bellas, 4, 28923 Alcorcón, Madrid</t>
  </si>
  <si>
    <t>almudenafloristerias.com</t>
  </si>
  <si>
    <t>916 19 27 90</t>
  </si>
  <si>
    <t>Mercado de Flores Tirso de Molina</t>
  </si>
  <si>
    <t>Plaza de Tirso de Molina, 1B, 28012 Madrid</t>
  </si>
  <si>
    <t>mercadodeflores.es</t>
  </si>
  <si>
    <t>666 04 74 18</t>
  </si>
  <si>
    <t>Savia Bruta diseño floral</t>
  </si>
  <si>
    <t>Travesía del Reloj, 4, 28013 Madrid</t>
  </si>
  <si>
    <t>saviabruta.com</t>
  </si>
  <si>
    <t>692 15 59 26</t>
  </si>
  <si>
    <t>taller@saviabruta.com</t>
  </si>
  <si>
    <t>Floristeria Muguet</t>
  </si>
  <si>
    <t>Av. de la Ciudad de Barcelona, 41, 28007 Madrid</t>
  </si>
  <si>
    <t>muguetfloristeria.es</t>
  </si>
  <si>
    <t>607 30 16 68</t>
  </si>
  <si>
    <t>flores@muguetfloristeria.es</t>
  </si>
  <si>
    <t>𝐅𝐥𝐨𝐫𝐢𝐬𝐭𝐞𝐫í𝐚 𝐌𝐚𝐝𝐫𝐢𝐝 ➤ FLOWERING</t>
  </si>
  <si>
    <t>Calle de Cartagena, 30, 28028 Madrid</t>
  </si>
  <si>
    <t>910 33 15 32</t>
  </si>
  <si>
    <t>Flores con Encanto</t>
  </si>
  <si>
    <t>Calle de Calatrava, 42, 28005 Madrid</t>
  </si>
  <si>
    <t>913 64 57 43</t>
  </si>
  <si>
    <t>FLORES MADRID ROSAS DEL AGAVANZAL</t>
  </si>
  <si>
    <t>Calle de Vallehermoso, 108, 28003 Madrid</t>
  </si>
  <si>
    <t>630 81 54 93</t>
  </si>
  <si>
    <t>Florea</t>
  </si>
  <si>
    <t>Calle del Noviciado, 18, 28015 Madrid</t>
  </si>
  <si>
    <t>florea.es</t>
  </si>
  <si>
    <t>662 55 69 91</t>
  </si>
  <si>
    <t>Alfabia Flores S.L.</t>
  </si>
  <si>
    <t>Calle Blanca de Navarra, 6, 28010 Madrid</t>
  </si>
  <si>
    <t>alfabiaflores.es</t>
  </si>
  <si>
    <t>913 19 86 59</t>
  </si>
  <si>
    <t>miki@radioactivity.es</t>
  </si>
  <si>
    <t>local16 galeria comercial, Carr. de Canillas, 43, 28043 Madrid</t>
  </si>
  <si>
    <t>910 74 21 03</t>
  </si>
  <si>
    <t>Flores Loto</t>
  </si>
  <si>
    <t>Calle de Ferraz, 47, 28008 Madrid</t>
  </si>
  <si>
    <t>floresloto.com</t>
  </si>
  <si>
    <t>915 48 13 00</t>
  </si>
  <si>
    <t>floresmarymadrid.es</t>
  </si>
  <si>
    <t>915 22 51 36</t>
  </si>
  <si>
    <t>info@floresmarymadrid.es</t>
  </si>
  <si>
    <t>CACTO - CACTO by Margarita se llama mi amor</t>
  </si>
  <si>
    <t>Calle de Fernando VI, 7, 28004 Madrid</t>
  </si>
  <si>
    <t>cacto-cacto.com</t>
  </si>
  <si>
    <t>913 10 38 84</t>
  </si>
  <si>
    <t>contacto@cacto-cacto.com</t>
  </si>
  <si>
    <t>DE LA FUENTE Floristas</t>
  </si>
  <si>
    <t>Av. de la Ciudad de Barcelona, 128, 28007 Madrid</t>
  </si>
  <si>
    <t>floristeriadelafuente.com</t>
  </si>
  <si>
    <t>915 51 82 50</t>
  </si>
  <si>
    <t>correo@floristeriadelafuente.com</t>
  </si>
  <si>
    <t>Calle del Gral. Ricardos, 78, LOCAL, 28019 Madrid</t>
  </si>
  <si>
    <t>floresparatodos.madrid</t>
  </si>
  <si>
    <t>617 66 40 78</t>
  </si>
  <si>
    <t>tienda@floresparatodosmadrid.com</t>
  </si>
  <si>
    <t>Floristería Jardín de Sala</t>
  </si>
  <si>
    <t>Plaza de la Cebada, 10, 28005 Madrid</t>
  </si>
  <si>
    <t>floristeriajardindesala.es</t>
  </si>
  <si>
    <t>913 66 74 73</t>
  </si>
  <si>
    <t>Botanyco</t>
  </si>
  <si>
    <t>Calle de Sta Engracia, 59, Local izquierdo, 28010 Madrid</t>
  </si>
  <si>
    <t>botanyco.es</t>
  </si>
  <si>
    <t>919 91 89 01</t>
  </si>
  <si>
    <t>Floreale Flores y Eventos</t>
  </si>
  <si>
    <t>Tienda, Calle de Fuencarral, 115, 28010 Madrid</t>
  </si>
  <si>
    <t>floreale.es</t>
  </si>
  <si>
    <t>915 91 15 10</t>
  </si>
  <si>
    <t>tienda@floreale.es</t>
  </si>
  <si>
    <t>Floristería Díaz</t>
  </si>
  <si>
    <t>Calle Rafael Finat, 14, 28044 Madrid</t>
  </si>
  <si>
    <t>floristeriadiazmadrid.com</t>
  </si>
  <si>
    <t>917 06 07 48</t>
  </si>
  <si>
    <t>info@floristeriadiazmadrid.com</t>
  </si>
  <si>
    <t>Lufesa Floristas</t>
  </si>
  <si>
    <t>Calle de Zurbano, 66, 28010 Madrid</t>
  </si>
  <si>
    <t>lufesafloristas.com</t>
  </si>
  <si>
    <t>913 10 17 69</t>
  </si>
  <si>
    <t>Floristeria Sanchez flores</t>
  </si>
  <si>
    <t>Calle Illescas, 195, LOCAL 7, 28047 Madrid</t>
  </si>
  <si>
    <t>680 57 97 81</t>
  </si>
  <si>
    <t>Floristería G&amp;apos;iulia</t>
  </si>
  <si>
    <t>Calle de Sáhara, 81, 28041 Madrid</t>
  </si>
  <si>
    <t>642 80 21 60</t>
  </si>
  <si>
    <t>Floristeria San Isidro José</t>
  </si>
  <si>
    <t>Vital Aza 15 semiesquina calle Los, Calle de los Urquiza, 48, 28017 Madrid</t>
  </si>
  <si>
    <t>floristasanisidrojose.com</t>
  </si>
  <si>
    <t>913 67 31 01</t>
  </si>
  <si>
    <t>Floristeria Verde</t>
  </si>
  <si>
    <t>Calle de Ventura de la Vega, 2, 1°C, 28014 Madrid</t>
  </si>
  <si>
    <t>verdefloresmadrid.es</t>
  </si>
  <si>
    <t>616 60 42 29</t>
  </si>
  <si>
    <t>Flores Nina</t>
  </si>
  <si>
    <t>Pl. de Manuel Becerra, s/n, 28028 Madrid</t>
  </si>
  <si>
    <t>913 56 46 78</t>
  </si>
  <si>
    <t>Flores Pili Bernabéu</t>
  </si>
  <si>
    <t>Pl. de los Sagrados Corazones, 2, 28036 Madrid</t>
  </si>
  <si>
    <t>florespili.es</t>
  </si>
  <si>
    <t>915 64 79 03</t>
  </si>
  <si>
    <t>bernabeu@florespili.es</t>
  </si>
  <si>
    <t>La Ponsetia</t>
  </si>
  <si>
    <t>Calle de Orense, 26, 28020 Madrid</t>
  </si>
  <si>
    <t>laponsetia.com</t>
  </si>
  <si>
    <t>915 55 82 56</t>
  </si>
  <si>
    <t>laponsetia@laponsetia.com</t>
  </si>
  <si>
    <t>Floristeria BARAJAS</t>
  </si>
  <si>
    <t>Calle Acuario, 34, 28042 Madrid</t>
  </si>
  <si>
    <t>629 56 77 78</t>
  </si>
  <si>
    <t>Floristería viveros Ordesa</t>
  </si>
  <si>
    <t>Calle de Marcelo Usera, 19, 28026 Madrid</t>
  </si>
  <si>
    <t>bonsainavalcarnero.com</t>
  </si>
  <si>
    <t>914 76 85 79</t>
  </si>
  <si>
    <t>García-Morato Floristas</t>
  </si>
  <si>
    <t>Calle de la Oca, 66, 28025 Madrid</t>
  </si>
  <si>
    <t>garciamoratofloristas.com</t>
  </si>
  <si>
    <t>914 61 53 78</t>
  </si>
  <si>
    <t>gmorato@interflora.es</t>
  </si>
  <si>
    <t>Floristería Senka</t>
  </si>
  <si>
    <t>C. de Barceló, 6, 28004 Madrid</t>
  </si>
  <si>
    <t>914 47 86 30</t>
  </si>
  <si>
    <t>Les Bouquets Fleuristerie</t>
  </si>
  <si>
    <t>Calle de Alcántara, 50, 28006 Madrid</t>
  </si>
  <si>
    <t>lesbouquetsfleuristerie.com</t>
  </si>
  <si>
    <t>914 01 67 28</t>
  </si>
  <si>
    <t>Floristería Nueva Venecia</t>
  </si>
  <si>
    <t>Calle Algodonales, 3, 28039 Madrid</t>
  </si>
  <si>
    <t>nuevavenecia.es</t>
  </si>
  <si>
    <t>915 70 84 25</t>
  </si>
  <si>
    <t>floristeria@nuevavenecia.es</t>
  </si>
  <si>
    <t>Flores y Plantas Menchu</t>
  </si>
  <si>
    <t>Calle Pedro Laborde, 7, 28038 Madrid</t>
  </si>
  <si>
    <t>913 03 25 48</t>
  </si>
  <si>
    <t>ARTEFLOR MADRID</t>
  </si>
  <si>
    <t>Paseo de Santa María de la Cabeza, 41, 28045 Madrid</t>
  </si>
  <si>
    <t>arteflormadrid.com</t>
  </si>
  <si>
    <t>910 41 17 24</t>
  </si>
  <si>
    <t>arteflormadrid@hotmail.com</t>
  </si>
  <si>
    <t>L&amp;apos;amore Flower Shop</t>
  </si>
  <si>
    <t>Paseo de Extremadura, 91, 28011 Madrid</t>
  </si>
  <si>
    <t>floristerialamore.es</t>
  </si>
  <si>
    <t>911 57 35 55</t>
  </si>
  <si>
    <t>Violetas</t>
  </si>
  <si>
    <t>Esquina Plaza de Chueca, Calle de Augusto Figueroa, 35, 28004 Madrid</t>
  </si>
  <si>
    <t>915 21 77 63</t>
  </si>
  <si>
    <t>Floristería Campanilla</t>
  </si>
  <si>
    <t>Calle de Galileo, 49, 28015 Madrid</t>
  </si>
  <si>
    <t>campanilla549.wix.com</t>
  </si>
  <si>
    <t>910 17 73 16</t>
  </si>
  <si>
    <t>La Flor De La Canela - Floristería - VENTA TELEFÓNICA CON ENVIÓ A DOMICILIO</t>
  </si>
  <si>
    <t>Av. de la Reina Victoria, 34, 28003 Madrid</t>
  </si>
  <si>
    <t>915 53 47 80</t>
  </si>
  <si>
    <t>Floristería Moonflower</t>
  </si>
  <si>
    <t>Calle del Príncipe de Vergara, 56, 28006 Madrid</t>
  </si>
  <si>
    <t>moonflower.es</t>
  </si>
  <si>
    <t>915 76 72 39</t>
  </si>
  <si>
    <t>Calle de Máiquez, 3, 28009 Madrid</t>
  </si>
  <si>
    <t>floristeriatrebol.es</t>
  </si>
  <si>
    <t>915 74 05 00</t>
  </si>
  <si>
    <t>Ohanami, Las Flores de la Vida</t>
  </si>
  <si>
    <t>Calle de la Infanta Mercedes, 59, 28020 Madrid</t>
  </si>
  <si>
    <t>amazon.es</t>
  </si>
  <si>
    <t>616 02 73 75</t>
  </si>
  <si>
    <t>Flores y Plantas Roberto</t>
  </si>
  <si>
    <t>Calle de Pobladura del Valle, 15, 28037 Madrid</t>
  </si>
  <si>
    <t>913 06 31 03</t>
  </si>
  <si>
    <t>Llorens&amp;amp;Durán flores a medida</t>
  </si>
  <si>
    <t>Calle de Alejandro Villegas, 42, 28043 Madrid</t>
  </si>
  <si>
    <t>914 11 54 27</t>
  </si>
  <si>
    <t>Yerard Floristeria</t>
  </si>
  <si>
    <t>Calle del Gral. Ricardos, 20, 28019 Madrid</t>
  </si>
  <si>
    <t>yerardfloristas.wordpress.com</t>
  </si>
  <si>
    <t>914 72 29 96</t>
  </si>
  <si>
    <t>Flores Álvaro</t>
  </si>
  <si>
    <t>Paseo de la Florida, 33, 28008 Madrid</t>
  </si>
  <si>
    <t>910 29 36 99</t>
  </si>
  <si>
    <t>Floristería Star</t>
  </si>
  <si>
    <t>Calle del Espíritu Santo, 11, 28004 Madrid</t>
  </si>
  <si>
    <t>floristeriastar.blogspot.com.es</t>
  </si>
  <si>
    <t>915 23 18 70</t>
  </si>
  <si>
    <t>Calle de Seco, 3, 28007 Madrid</t>
  </si>
  <si>
    <t>914 34 31 95</t>
  </si>
  <si>
    <t>Amazonia Floristería. Floristeriaenleganes.es</t>
  </si>
  <si>
    <t>Calle de Sta. Rosa, 9, 28911 Leganés, Madrid</t>
  </si>
  <si>
    <t>Leganés</t>
  </si>
  <si>
    <t>floristeriaenleganes.es</t>
  </si>
  <si>
    <t>912 28 31 99</t>
  </si>
  <si>
    <t>2@150x-100.jpg</t>
  </si>
  <si>
    <t>Floristería Hospital San Francisco de Asis</t>
  </si>
  <si>
    <t>Calle de Joaquin Costa, 22, 28002 Madrid</t>
  </si>
  <si>
    <t>ESTHERFLOR</t>
  </si>
  <si>
    <t>C. Camarena, 84, 28047 Madrid</t>
  </si>
  <si>
    <t>estherflor.negocio.site</t>
  </si>
  <si>
    <t>616 66 09 85</t>
  </si>
  <si>
    <t>Floristería Hospital RuberJuan Bravo</t>
  </si>
  <si>
    <t>Calle de Juan Bravo, 41A, 28006 Madrid</t>
  </si>
  <si>
    <t>Calle de Virgen de Lluc, 2, 28027 Madrid</t>
  </si>
  <si>
    <t>914 04 51 06</t>
  </si>
  <si>
    <t>Anlloan Floristería</t>
  </si>
  <si>
    <t>Calle de Maria Teresa Sáez De Heredia 29 Local 2, 28017 Madrid</t>
  </si>
  <si>
    <t>anlloan.es</t>
  </si>
  <si>
    <t>913 56 02 33</t>
  </si>
  <si>
    <t>Floristería Marisierra</t>
  </si>
  <si>
    <t>Calle Alameda, 16, 28821 Coslada, Madrid</t>
  </si>
  <si>
    <t>floristeriamarisierra.es</t>
  </si>
  <si>
    <t>601 14 88 60</t>
  </si>
  <si>
    <t>ana.rey@marisierra.es</t>
  </si>
  <si>
    <t>Floristería Allium</t>
  </si>
  <si>
    <t>Av. de Portugal, 167, 28011 Madrid</t>
  </si>
  <si>
    <t>alliumfloristas.com</t>
  </si>
  <si>
    <t>914 79 00 26</t>
  </si>
  <si>
    <t>Floristeria Efimeras</t>
  </si>
  <si>
    <t>Av. de Logroño, 335, 28042 Madrid</t>
  </si>
  <si>
    <t>efimeras.es</t>
  </si>
  <si>
    <t>913 01 09 73</t>
  </si>
  <si>
    <t>Floristería Mirasierra</t>
  </si>
  <si>
    <t>Calle de Nuria, 59, 28034 Madrid</t>
  </si>
  <si>
    <t>floristeriamirasierra.com</t>
  </si>
  <si>
    <t>917 35 97 74</t>
  </si>
  <si>
    <t>pedidos@floristeriamirasierra.com</t>
  </si>
  <si>
    <t>Flores y Plantas Moreno</t>
  </si>
  <si>
    <t>Calle Pinos Alta, 1, Local, 28029 Madrid</t>
  </si>
  <si>
    <t>floristeriamoreno.com</t>
  </si>
  <si>
    <t>915 79 00 18</t>
  </si>
  <si>
    <t>tonieta@hotmail.com</t>
  </si>
  <si>
    <t>Floristería Edelvais</t>
  </si>
  <si>
    <t>Av. del General Perón, 16, 28020 Madrid</t>
  </si>
  <si>
    <t>floresedelvais.es</t>
  </si>
  <si>
    <t>915 54 91 53</t>
  </si>
  <si>
    <t>info@floresedelvais.es</t>
  </si>
  <si>
    <t>Flores y Plantas Marisa</t>
  </si>
  <si>
    <t>Calle de Utebo, 1, 28025 Madrid</t>
  </si>
  <si>
    <t>915 25 19 44</t>
  </si>
  <si>
    <t>Floristería Deodara</t>
  </si>
  <si>
    <t>Calle Fernando Poo, 27, 28045 Madrid</t>
  </si>
  <si>
    <t>914 74 65 47</t>
  </si>
  <si>
    <t>Floristería Orquidea Garden</t>
  </si>
  <si>
    <t>Calle Guabairo, 6, 28047 Madrid</t>
  </si>
  <si>
    <t>915 25 00 22</t>
  </si>
  <si>
    <t>Floristería Soledad</t>
  </si>
  <si>
    <t>Calle Pico de la Cierva, 17, 28031 Madrid</t>
  </si>
  <si>
    <t>floristeriasoledad.es</t>
  </si>
  <si>
    <t>913 31 06 44</t>
  </si>
  <si>
    <t>info@floristeriasoledad.es</t>
  </si>
  <si>
    <t>Floristería Hermanas Gómez</t>
  </si>
  <si>
    <t>Av. de Daroca, 90, 28017 Madrid</t>
  </si>
  <si>
    <t>914 08 73 26</t>
  </si>
  <si>
    <t>Calle de Velázquez, 89, 28006 Madrid</t>
  </si>
  <si>
    <t>914 11 11 38</t>
  </si>
  <si>
    <t>Floristeria tanatorio Madrid</t>
  </si>
  <si>
    <t>Calle Marqués de Monteagudo, 4, 28028 Madrid</t>
  </si>
  <si>
    <t>floresparatanatorio.com</t>
  </si>
  <si>
    <t>697 57 93 34</t>
  </si>
  <si>
    <t>juanlutroya@gmail.com</t>
  </si>
  <si>
    <t>Flores Melinda</t>
  </si>
  <si>
    <t>Calle Verdaguer y García, 3, 28027 Madrid</t>
  </si>
  <si>
    <t>floresmelinda.es</t>
  </si>
  <si>
    <t>914 03 15 70</t>
  </si>
  <si>
    <t>info@floresmelinda.es</t>
  </si>
  <si>
    <t>Flores Tanatorio</t>
  </si>
  <si>
    <t>Calle de Fermín Caballero, 6, 28034 Madrid</t>
  </si>
  <si>
    <t>coronasatanatorios.com</t>
  </si>
  <si>
    <t>917 39 27 30</t>
  </si>
  <si>
    <t>info@floristeriacano.com</t>
  </si>
  <si>
    <t>Floristería Hospital La Princesa</t>
  </si>
  <si>
    <t>Calle de Diego de León, 28006 Madrid</t>
  </si>
  <si>
    <t>Floristería Georges</t>
  </si>
  <si>
    <t>Calle Bolivia, 40, 28016 Madrid</t>
  </si>
  <si>
    <t>floristeriageorges.com</t>
  </si>
  <si>
    <t>913 50 00 66</t>
  </si>
  <si>
    <t>info@floristeriageorges.com</t>
  </si>
  <si>
    <t>Andrés Flores y Plantas</t>
  </si>
  <si>
    <t>Calle de San Lucas, 15, 28004 Madrid</t>
  </si>
  <si>
    <t>913 19 00 79</t>
  </si>
  <si>
    <t>El Jardín de la Abuela</t>
  </si>
  <si>
    <t>Calle de Martín de los Heros, 89, 28008 Madrid</t>
  </si>
  <si>
    <t>eljardindelaabuela.com</t>
  </si>
  <si>
    <t>915 43 34 18</t>
  </si>
  <si>
    <t>CASTAÑER FLORISTAS</t>
  </si>
  <si>
    <t>Calle de Don Ramón de la Cruz, 93, 28009 Madrid</t>
  </si>
  <si>
    <t>castanerflores.es</t>
  </si>
  <si>
    <t>915 76 37 11</t>
  </si>
  <si>
    <t>info@castanerflores.es</t>
  </si>
  <si>
    <t>Floristería Je-Ma</t>
  </si>
  <si>
    <t>Calle Virgen de las Viñas, 16, 28031 Madrid</t>
  </si>
  <si>
    <t>floresjema.com</t>
  </si>
  <si>
    <t>665 58 83 21</t>
  </si>
  <si>
    <t>Av. de Bruselas, 64, 28028 Madrid</t>
  </si>
  <si>
    <t>910 52 57 33</t>
  </si>
  <si>
    <t>Flor De Azahar</t>
  </si>
  <si>
    <t>Calle de Ocaña, n132, 28047 Madrid</t>
  </si>
  <si>
    <t>flor-de-azahar.negocio.site</t>
  </si>
  <si>
    <t>649 32 24 50</t>
  </si>
  <si>
    <t>Flores Crismen</t>
  </si>
  <si>
    <t>Calle de Luis Grasset, 5, 28821 Coslada, Madrid</t>
  </si>
  <si>
    <t>660 71 59 05</t>
  </si>
  <si>
    <t>Calle Peña Rubia, 3, 28053 Madrid</t>
  </si>
  <si>
    <t>floristeriamarivi.es</t>
  </si>
  <si>
    <t>914 33 85 06</t>
  </si>
  <si>
    <t>Tu Floristería en Casa</t>
  </si>
  <si>
    <t>Calle Murcia, 20, 28903 Getafe, Madrid</t>
  </si>
  <si>
    <t>tufloristeriaencasa.com</t>
  </si>
  <si>
    <t>657 05 41 21</t>
  </si>
  <si>
    <t>pedidos@tufloristeriaencasa.com</t>
  </si>
  <si>
    <t>Floristería Las Tablas &amp;quot;Isabella&amp;quot;</t>
  </si>
  <si>
    <t>Glorieta Monte del Gozo, 28050 Madrid</t>
  </si>
  <si>
    <t>floristerialastablas.es</t>
  </si>
  <si>
    <t>661 41 57 02</t>
  </si>
  <si>
    <t>La Vida en Rosa Floristeria</t>
  </si>
  <si>
    <t>Calle del Pilar de Zaragoza, 52, 28028 Madrid</t>
  </si>
  <si>
    <t>lavidaenrosafloristeria.com</t>
  </si>
  <si>
    <t>692 42 78 03</t>
  </si>
  <si>
    <t>Floristería El Eden</t>
  </si>
  <si>
    <t>Calle del Congosto, 1, 28031 Madrid</t>
  </si>
  <si>
    <t>913 31 09 04</t>
  </si>
  <si>
    <t>Floristeria MyBohio</t>
  </si>
  <si>
    <t>Av del Santuario de Valverde, 45, 28049 Madrid</t>
  </si>
  <si>
    <t>mybohio.es</t>
  </si>
  <si>
    <t>917 28 05 83</t>
  </si>
  <si>
    <t>info@mybohio.es</t>
  </si>
  <si>
    <t>FLORISTERÍA NEVADO</t>
  </si>
  <si>
    <t>Av. Dr. Mendiguchía Carriche, 26, 28913 Leganés, Madrid</t>
  </si>
  <si>
    <t>floristerianevado.com</t>
  </si>
  <si>
    <t>910 23 96 83</t>
  </si>
  <si>
    <t>Amarylis . Floristería</t>
  </si>
  <si>
    <t>C. de Arturo Soria, Local B - 03, 28043 Madrid</t>
  </si>
  <si>
    <t>616 15 98 31</t>
  </si>
  <si>
    <t>Floristerías L&amp;apos;ART</t>
  </si>
  <si>
    <t>Calle de Benito Pérez Galdós, 4, 28821 Coslada, Madrid</t>
  </si>
  <si>
    <t>floristeriaslart.es</t>
  </si>
  <si>
    <t>916 71 01 64</t>
  </si>
  <si>
    <t>tienda@floristeriaslart.es</t>
  </si>
  <si>
    <t>Floristeria Mari Juli</t>
  </si>
  <si>
    <t>Av. de Espinela, 54, 28021 Madrid</t>
  </si>
  <si>
    <t>floristeriamarijuli.es</t>
  </si>
  <si>
    <t>917 97 08 33</t>
  </si>
  <si>
    <t>info@floristeriamarijuli.es</t>
  </si>
  <si>
    <t>Flores Yohana Alonso S.L.</t>
  </si>
  <si>
    <t>Paseo de la Castellana, 133, 28046 Madrid</t>
  </si>
  <si>
    <t>florespili.com</t>
  </si>
  <si>
    <t>917 65 05 81</t>
  </si>
  <si>
    <t>Floristería Kalatea II</t>
  </si>
  <si>
    <t>Calle Rafael Finat, 46, 28044 Madrid</t>
  </si>
  <si>
    <t>689 19 72 47</t>
  </si>
  <si>
    <t>La Real Flores y Jardines</t>
  </si>
  <si>
    <t>Calle de la Independencia, 1, 28013 Madrid</t>
  </si>
  <si>
    <t>915 47 15 77</t>
  </si>
  <si>
    <t>Garayalde Floristas</t>
  </si>
  <si>
    <t>Calle de Ricardo Ortiz, 24, 28017 Madrid</t>
  </si>
  <si>
    <t>florestanatorio.com</t>
  </si>
  <si>
    <t>913 56 75 41</t>
  </si>
  <si>
    <t>La Rosaleda</t>
  </si>
  <si>
    <t>TIENDA, Calle de Núñez de Arce, 13 BAJO, 28012 Madrid</t>
  </si>
  <si>
    <t>floristerialarosaleda.es</t>
  </si>
  <si>
    <t>915 21 72 75</t>
  </si>
  <si>
    <t>Floristería Correflor</t>
  </si>
  <si>
    <t>Av. de los Ángeles, 3, 28903 Getafe, Madrid</t>
  </si>
  <si>
    <t>916 95 62 71</t>
  </si>
  <si>
    <t>Clemente Arte Floral</t>
  </si>
  <si>
    <t>Calle Mayor, 34, 28013 Madrid</t>
  </si>
  <si>
    <t>floristeriaclemente.es</t>
  </si>
  <si>
    <t>915 59 78 28</t>
  </si>
  <si>
    <t>Flores Menchu</t>
  </si>
  <si>
    <t>Calle de Melchor Fernández Almagro, 86, 28029 Madrid</t>
  </si>
  <si>
    <t>floresmenchu.negocio.site</t>
  </si>
  <si>
    <t>666 40 24 30</t>
  </si>
  <si>
    <t>¡Que flores! Flower shop</t>
  </si>
  <si>
    <t>Calle de Antonio de Leyva, 17, local 2, 28019 Madrid</t>
  </si>
  <si>
    <t>687 44 12 38</t>
  </si>
  <si>
    <t>FLORES ADELA</t>
  </si>
  <si>
    <t>Av. de Ntra. Sra. de Fátima, 99, 28047 Madrid</t>
  </si>
  <si>
    <t>914 61 97 52</t>
  </si>
  <si>
    <t>Floristería Abacá</t>
  </si>
  <si>
    <t>Calle Verdaguer y García, 1, 28027 Madrid</t>
  </si>
  <si>
    <t>abacafloristas.com</t>
  </si>
  <si>
    <t>914 04 02 65</t>
  </si>
  <si>
    <t>FLORISTERIA JACARANDA</t>
  </si>
  <si>
    <t>Calle de Juan Ramón Jiménez, 45, 28036 Madrid</t>
  </si>
  <si>
    <t>floristeriajacaranda.com</t>
  </si>
  <si>
    <t>913 59 65 55</t>
  </si>
  <si>
    <t>info@floristeriajacaranda.com</t>
  </si>
  <si>
    <t>Calle Clara del Rey, 67, 28002 Madrid</t>
  </si>
  <si>
    <t>monceau.negocio.site</t>
  </si>
  <si>
    <t>919 91 26 57</t>
  </si>
  <si>
    <t>Wines &amp;amp; Roses Floristería</t>
  </si>
  <si>
    <t>Calle del Divino Pastor, 31, 28004 Madrid</t>
  </si>
  <si>
    <t>winesnroses.com</t>
  </si>
  <si>
    <t>910 14 04 06</t>
  </si>
  <si>
    <t>FLORISTERIA CANO</t>
  </si>
  <si>
    <t>solocoronas.es</t>
  </si>
  <si>
    <t>917 30 86 09</t>
  </si>
  <si>
    <t>Flores Mariola</t>
  </si>
  <si>
    <t>Calle de Alcalá, 605, 28022 Madrid</t>
  </si>
  <si>
    <t>floresmariola.es</t>
  </si>
  <si>
    <t>911 99 61 23</t>
  </si>
  <si>
    <t>info@floresmariola.es</t>
  </si>
  <si>
    <t>Calle de Alberto Aguilera, 13, 28015 Madrid</t>
  </si>
  <si>
    <t>910 66 60 00</t>
  </si>
  <si>
    <t>Flores Elvira</t>
  </si>
  <si>
    <t>Calle Arroyo de las Pilillas, 10, 28030 Madrid</t>
  </si>
  <si>
    <t>914 39 61 54</t>
  </si>
  <si>
    <t>Flores Inoma</t>
  </si>
  <si>
    <t>Calle de la Infanta Mercedes, 97, 28020 Madrid</t>
  </si>
  <si>
    <t>floresinoma.com</t>
  </si>
  <si>
    <t>917 04 98 70</t>
  </si>
  <si>
    <t>floresinoma@gmail.com</t>
  </si>
  <si>
    <t>Calle Inmaculada Concepción, 15, 28019 Madrid</t>
  </si>
  <si>
    <t>floristeriairis.madrid</t>
  </si>
  <si>
    <t>914 69 90 33</t>
  </si>
  <si>
    <t>info@floresyplantasiris.es</t>
  </si>
  <si>
    <t>Calle Sta. Susana, 28, 28033 Madrid</t>
  </si>
  <si>
    <t>floristeriaflordelis.com</t>
  </si>
  <si>
    <t>917 63 84 13</t>
  </si>
  <si>
    <t>Floristería Cambria</t>
  </si>
  <si>
    <t>Calle de Luchana, 39, 28010 Madrid</t>
  </si>
  <si>
    <t>cambria.es</t>
  </si>
  <si>
    <t>914 48 11 92</t>
  </si>
  <si>
    <t>contacto@cambria.es</t>
  </si>
  <si>
    <t>Los Sauces Floristería</t>
  </si>
  <si>
    <t>Av. de Alberto de Alcocer, 17, 28036 Madrid</t>
  </si>
  <si>
    <t>floristerialossauces.com</t>
  </si>
  <si>
    <t>913 50 48 79</t>
  </si>
  <si>
    <t>sauces@floristerialossauces.com</t>
  </si>
  <si>
    <t>Flores Clar Asís Segundo Rubio</t>
  </si>
  <si>
    <t>Calle de Bretón de los Herreros, 21, 28003 Madrid</t>
  </si>
  <si>
    <t>914 41 31 82</t>
  </si>
  <si>
    <t>Floristería Miguel Hernández</t>
  </si>
  <si>
    <t>Av. de la Albufera, 285, 28038 Madrid</t>
  </si>
  <si>
    <t>644 81 71 80</t>
  </si>
  <si>
    <t>Silvosa Hermanos S.L.</t>
  </si>
  <si>
    <t>Calle del Camino de los Vinateros, 116, 28030 Madrid</t>
  </si>
  <si>
    <t>silvosahermanos.es</t>
  </si>
  <si>
    <t>914 39 26 19</t>
  </si>
  <si>
    <t>silvosa@silvosahermanos.es</t>
  </si>
  <si>
    <t>Piracanta Flores</t>
  </si>
  <si>
    <t>Plaza San Anacleto, 3, 28023 Madrid</t>
  </si>
  <si>
    <t>piracantaflores.com</t>
  </si>
  <si>
    <t>913 07 80 14</t>
  </si>
  <si>
    <t>piracantaflores@gmail.com</t>
  </si>
  <si>
    <t>Calle de la Gavia Seca, 7, 28031 Madrid</t>
  </si>
  <si>
    <t>floristeriamarivi.com</t>
  </si>
  <si>
    <t>913 31 52 31</t>
  </si>
  <si>
    <t>Flores Escabiosa</t>
  </si>
  <si>
    <t>Calle Condesa Vega del Pozo, 19, 28032 Madrid</t>
  </si>
  <si>
    <t>flores-escabiosa.jimdosite.com</t>
  </si>
  <si>
    <t>910 29 35 42</t>
  </si>
  <si>
    <t>fescabiosa@gmail.com</t>
  </si>
  <si>
    <t>Mi Cactus Verde</t>
  </si>
  <si>
    <t>Paseo de la Castellana, 89, Plaza Pablo Ruiz Picasso, 28046 Madrid</t>
  </si>
  <si>
    <t>micactusverde.com</t>
  </si>
  <si>
    <t>635 58 30 34</t>
  </si>
  <si>
    <t>Flores La Paz</t>
  </si>
  <si>
    <t>Calle Arzobispo Morcillo, s/n, 28029 Madrid</t>
  </si>
  <si>
    <t>floreslapaz.com</t>
  </si>
  <si>
    <t>658 76 88 66</t>
  </si>
  <si>
    <t>Florida Garden</t>
  </si>
  <si>
    <t>Calle de San Bernardo, 65, 28015 Madrid</t>
  </si>
  <si>
    <t>915 23 09 85</t>
  </si>
  <si>
    <t>Calle Castrillo de Aza, 15, 28031 Madrid</t>
  </si>
  <si>
    <t>913 32 79 40</t>
  </si>
  <si>
    <t>Mil Rosas Madrid El Taller</t>
  </si>
  <si>
    <t>Calle del Sodio 1, Local 4 Esquina, Calle de Embajadores, 187, 28045 Madrid</t>
  </si>
  <si>
    <t>milrosas.com</t>
  </si>
  <si>
    <t>610 70 91 88</t>
  </si>
  <si>
    <t>info@milrosas.com</t>
  </si>
  <si>
    <t>Floristería Erica Garden</t>
  </si>
  <si>
    <t>Calle Tertulia, 1, 28041 Madrid</t>
  </si>
  <si>
    <t>ericaflores.es</t>
  </si>
  <si>
    <t>913 17 95 81</t>
  </si>
  <si>
    <t>marimar@ericaflores.es</t>
  </si>
  <si>
    <t>Flores Olivieri</t>
  </si>
  <si>
    <t>Calle de Canillas, 64, 28002 Madrid</t>
  </si>
  <si>
    <t>910 42 57 28</t>
  </si>
  <si>
    <t>Flores Cannabis</t>
  </si>
  <si>
    <t>Calle de Ezequiel Solana, 111, 28017 Madrid</t>
  </si>
  <si>
    <t>913 04 33 30</t>
  </si>
  <si>
    <t>Flores Versilia</t>
  </si>
  <si>
    <t>Glorieta Sta. María de la Cabeza, 8, 28045 Madrid</t>
  </si>
  <si>
    <t>914 73 01 16</t>
  </si>
  <si>
    <t>FLORES Y PLANTAS Vivero Jardín de la Victoria</t>
  </si>
  <si>
    <t>C. de Fernando el Católico, 45, 28015 Madrid</t>
  </si>
  <si>
    <t>portalflores.es</t>
  </si>
  <si>
    <t>915 44 75 10</t>
  </si>
  <si>
    <t>Flormoments Madrid - Flores a domicilio</t>
  </si>
  <si>
    <t>Calle del Dr. Castelo, 44, 28009 Madrid</t>
  </si>
  <si>
    <t>Floristeria GERBER</t>
  </si>
  <si>
    <t>Avenida de América, 2, 28028 Madrid</t>
  </si>
  <si>
    <t>floresgerber.es</t>
  </si>
  <si>
    <t>914 13 86 88</t>
  </si>
  <si>
    <t>Blooms</t>
  </si>
  <si>
    <t>blooms.es</t>
  </si>
  <si>
    <t>Liken</t>
  </si>
  <si>
    <t>Plaza de Cristo Rey, 4, 28040 Madrid</t>
  </si>
  <si>
    <t>floristerialiken.es</t>
  </si>
  <si>
    <t>914 42 05 60</t>
  </si>
  <si>
    <t>KHALA</t>
  </si>
  <si>
    <t>Calle de José Ortega y Gasset, 61, 28006 Madrid</t>
  </si>
  <si>
    <t>khala-floristeria.negocio.site</t>
  </si>
  <si>
    <t>914 02 82 05</t>
  </si>
  <si>
    <t>Columelas</t>
  </si>
  <si>
    <t>Calle de Hermosilla, 58, 28001 Madrid</t>
  </si>
  <si>
    <t>columelas.com</t>
  </si>
  <si>
    <t>914 31 78 75</t>
  </si>
  <si>
    <t>info@columelas.com</t>
  </si>
  <si>
    <t>Floristería Panes</t>
  </si>
  <si>
    <t>Calle San José de Calasanz, 41, 28902 Getafe, Madrid</t>
  </si>
  <si>
    <t>916 81 50 57</t>
  </si>
  <si>
    <t>Flores Javi Mascotas</t>
  </si>
  <si>
    <t>Calle de la Huerta de Castañeda, 15, 28011 Madrid</t>
  </si>
  <si>
    <t>630 32 53 08</t>
  </si>
  <si>
    <t>CASAFLORIDA</t>
  </si>
  <si>
    <t>Calle de Zurbarán, 17, 28010 Madrid</t>
  </si>
  <si>
    <t>casaflorida.es</t>
  </si>
  <si>
    <t>915 77 44 45</t>
  </si>
  <si>
    <t>support@mikado-themes.com</t>
  </si>
  <si>
    <t>Floristeria Golden Roses</t>
  </si>
  <si>
    <t>Glorieta de Ruiz Jiménez, 4, 28015 Madrid</t>
  </si>
  <si>
    <t>floristeriagoldenroses.com</t>
  </si>
  <si>
    <t>651 10 87 43</t>
  </si>
  <si>
    <t>info@floristeriagoldenroses.com</t>
  </si>
  <si>
    <t>Floristería y Herbolario Color</t>
  </si>
  <si>
    <t>Calle de Mota del Cuervo, 11, 28043 Madrid</t>
  </si>
  <si>
    <t>913 00 26 58</t>
  </si>
  <si>
    <t>Garden Rivas</t>
  </si>
  <si>
    <t>Polígono Industrial Santa Ana, Calle del Torno, 1, 3-5, 28522 Rivas-Vaciamadrid, Madrid</t>
  </si>
  <si>
    <t>Rivas-Vaciamadrid</t>
  </si>
  <si>
    <t>gardenrivas.es</t>
  </si>
  <si>
    <t>916 66 90 16</t>
  </si>
  <si>
    <t>El Florista de Hamelín</t>
  </si>
  <si>
    <t>Calle de Sancho Dávila, 5, 28028 Madrid</t>
  </si>
  <si>
    <t>elfloristadehamelin.com</t>
  </si>
  <si>
    <t>637 24 98 42</t>
  </si>
  <si>
    <t>Floristería Tanatorio Norte</t>
  </si>
  <si>
    <t>Calle Valdegovía, 8, 28034 Madrid</t>
  </si>
  <si>
    <t>917 59 46 15</t>
  </si>
  <si>
    <t>Be Water Flores</t>
  </si>
  <si>
    <t>Calle Martín Machío, 10, 28002 Madrid</t>
  </si>
  <si>
    <t>bewaterflores.es</t>
  </si>
  <si>
    <t>670 75 49 51</t>
  </si>
  <si>
    <t>Floristeria Hospital Puerta de Hierro</t>
  </si>
  <si>
    <t>Acebeda, La</t>
  </si>
  <si>
    <t>913 81 98 61</t>
  </si>
  <si>
    <t>Las Camelias Arte Floral</t>
  </si>
  <si>
    <t>Calle Nueva, 10, 28921 Alcorcón, Madrid</t>
  </si>
  <si>
    <t>lascameliasartefloral.com</t>
  </si>
  <si>
    <t>916 43 05 68</t>
  </si>
  <si>
    <t>info@lascameliasartefloral.com</t>
  </si>
  <si>
    <t>Floristería Las Tres Rosas</t>
  </si>
  <si>
    <t>Calle del Nuncio, 6, 28921 Alcorcón, Madrid</t>
  </si>
  <si>
    <t>lastresrosas.com</t>
  </si>
  <si>
    <t>916 43 37 99</t>
  </si>
  <si>
    <t>Floristerias L&amp;apos;ART</t>
  </si>
  <si>
    <t>Calle Coslada, s/n, 28830 San Fernando de Henares, Madrid</t>
  </si>
  <si>
    <t>San Fernando de Henares</t>
  </si>
  <si>
    <t>916 69 15 69</t>
  </si>
  <si>
    <t>Floristeria Flores Blancas</t>
  </si>
  <si>
    <t>Calle del Marqués de la Valdavia, 25, 28100 Alcobendas, Madrid</t>
  </si>
  <si>
    <t>flores-blancas.es</t>
  </si>
  <si>
    <t>912 93 11 71</t>
  </si>
  <si>
    <t>floralblanca@gmail.com</t>
  </si>
  <si>
    <t>Arteflor floristeria</t>
  </si>
  <si>
    <t>Ctra. de Húmera, 87, 28224 Pozuelo de Alarcón, Madrid</t>
  </si>
  <si>
    <t>Pozuelo de Alarcón</t>
  </si>
  <si>
    <t>arteflor.es</t>
  </si>
  <si>
    <t>913 51 20 20</t>
  </si>
  <si>
    <t>Jardin Y Flores Santa Monica</t>
  </si>
  <si>
    <t>Calle Aloe, 14, 28522 Rivas-Vaciamadrid, Madrid</t>
  </si>
  <si>
    <t>floristeriasantamonica.es</t>
  </si>
  <si>
    <t>916 66 62 70</t>
  </si>
  <si>
    <t>jardinyflores@floristeriasantamonica.es</t>
  </si>
  <si>
    <t>Mayorista Flor Cortada</t>
  </si>
  <si>
    <t>Av. de Moscatelares, 3, 28703 San Sebastián de los Reyes, Madrid</t>
  </si>
  <si>
    <t>sanseflor.net</t>
  </si>
  <si>
    <t>916 63 99 76</t>
  </si>
  <si>
    <t>contacto@sanseflor.es</t>
  </si>
  <si>
    <t>Calle de la Constitución, 104, 28100 Alcobendas, Madrid</t>
  </si>
  <si>
    <t>floristeria-alcobendas.com</t>
  </si>
  <si>
    <t>916 51 34 78</t>
  </si>
  <si>
    <t>Calle Jarama, 48, 28891 Velilla de San Antonio, Madrid</t>
  </si>
  <si>
    <t>Velilla de San Antonio</t>
  </si>
  <si>
    <t>floristeriaines.es</t>
  </si>
  <si>
    <t>916 60 90 76</t>
  </si>
  <si>
    <t>info@floristeriaines.es</t>
  </si>
  <si>
    <t>Floristeria Cipitria</t>
  </si>
  <si>
    <t>Av. de Madrid, 24, 28701 San Sebastián de los Reyes, Madrid</t>
  </si>
  <si>
    <t>cipitria.com</t>
  </si>
  <si>
    <t>916 54 18 69</t>
  </si>
  <si>
    <t>floristeria@cipitria.com</t>
  </si>
  <si>
    <t>floristeria los claveles</t>
  </si>
  <si>
    <t>Calle Ramón Jiménez, 3, 28223 Pozuelo de Alarcón, Madrid</t>
  </si>
  <si>
    <t>floristeriaclaveles.com</t>
  </si>
  <si>
    <t>917 15 80 40</t>
  </si>
  <si>
    <t>floristeriaclaveles@gmail.com</t>
  </si>
  <si>
    <t>Avenida de Gran Bretaña, s/n, 28916 Leganés, Madrid</t>
  </si>
  <si>
    <t>914 81 59 14</t>
  </si>
  <si>
    <t>Floristeria Alyflor</t>
  </si>
  <si>
    <t>Ctra. Ajalvir Centro Comerci, s / n, 8, 28850 Torrejón de Ardoz, Madrid</t>
  </si>
  <si>
    <t>Torrejón de Ardoz</t>
  </si>
  <si>
    <t>alyflor.com</t>
  </si>
  <si>
    <t>910 70 91 24</t>
  </si>
  <si>
    <t>info@alyflor.com</t>
  </si>
  <si>
    <t>Flores Maranta</t>
  </si>
  <si>
    <t>Av. de Portugal, 19, 28931 Móstoles, Madrid</t>
  </si>
  <si>
    <t>floresmaranta.es</t>
  </si>
  <si>
    <t>628 07 63 11</t>
  </si>
  <si>
    <t>Floristería El Jardín de Alicia</t>
  </si>
  <si>
    <t>Calle Veracruz, 16, 28936 Móstoles, Madrid</t>
  </si>
  <si>
    <t>floristeriamostoles.com</t>
  </si>
  <si>
    <t>912 39 00 13</t>
  </si>
  <si>
    <t>Floristeria Almudena</t>
  </si>
  <si>
    <t>Calle Violeta, 15, 28933 Móstoles, Madrid</t>
  </si>
  <si>
    <t>916 14 79 16</t>
  </si>
  <si>
    <t>Floristería Buenos Aires</t>
  </si>
  <si>
    <t>Calle Gran Vía, 14, 28220 Majadahonda, Madrid</t>
  </si>
  <si>
    <t>663 90 52 05</t>
  </si>
  <si>
    <t>Calle Vitoria, 8, 28941 Fuenlabrada, Madrid</t>
  </si>
  <si>
    <t>Fuenlabrada</t>
  </si>
  <si>
    <t>Floristería ENEBRO</t>
  </si>
  <si>
    <t>Calle Sta. Ana, 28, 28220 Majadahonda, Madrid</t>
  </si>
  <si>
    <t>floristeriaenebro.es</t>
  </si>
  <si>
    <t>916 39 57 50</t>
  </si>
  <si>
    <t>Floristerías El Vivero</t>
  </si>
  <si>
    <t>Av. de España, 2, 28941 Fuenlabrada, Madrid</t>
  </si>
  <si>
    <t>floristeriaselvivero.es</t>
  </si>
  <si>
    <t>916 97 42 42</t>
  </si>
  <si>
    <t>ajax-loader@2x.gif</t>
  </si>
  <si>
    <t>Iris Flores</t>
  </si>
  <si>
    <t>Calle Juan Bravo 4, 28935 Móstoles, Madrid</t>
  </si>
  <si>
    <t>625 36 38 25</t>
  </si>
  <si>
    <t>Bora Diseño Floral</t>
  </si>
  <si>
    <t>Calle del Dr Calero, 2, 28220 Majadahonda, Madrid</t>
  </si>
  <si>
    <t>boramadrid.es</t>
  </si>
  <si>
    <t>916 39 56 05</t>
  </si>
  <si>
    <t>logo@x384.jpg</t>
  </si>
  <si>
    <t>Floristería Verde</t>
  </si>
  <si>
    <t>Sector DESCUBRIDORES, 1, Avenida Viñuelas, 46, Local 4, 28760 Tres Cantos, Madrid</t>
  </si>
  <si>
    <t>Tres Cantos</t>
  </si>
  <si>
    <t>floristeriasverde.com</t>
  </si>
  <si>
    <t>918 03 52 20</t>
  </si>
  <si>
    <t>info@floristeriasverde.com</t>
  </si>
  <si>
    <t>Floristeria Floricienta</t>
  </si>
  <si>
    <t>Calle de la Harina, 14, 28944 Fuenlabrada, Madrid</t>
  </si>
  <si>
    <t>Paseo de San Antonio, 2, 28945 Fuenlabrada, Madrid</t>
  </si>
  <si>
    <t>916 15 27 84</t>
  </si>
  <si>
    <t>Calle Comunidad de Murcia, 3, 28231 Las Rozas de Madrid, Madrid</t>
  </si>
  <si>
    <t>floristeriairis.es</t>
  </si>
  <si>
    <t>916 34 23 31</t>
  </si>
  <si>
    <t>Acebal</t>
  </si>
  <si>
    <t>C/ San Isidro, 14, 28220 Majadahonda, Madrid</t>
  </si>
  <si>
    <t>acebalfloresyplantas.com</t>
  </si>
  <si>
    <t>916 39 12 88</t>
  </si>
  <si>
    <t>pilar@acebalfloresyplantas.com</t>
  </si>
  <si>
    <t>LA GARDENIA 2.0</t>
  </si>
  <si>
    <t>Calle Bruselas, 42, C, 28232 Las Rozas de Madrid, Madrid</t>
  </si>
  <si>
    <t>910 42 93 29</t>
  </si>
  <si>
    <t>Floristería Zinnia- Pinto</t>
  </si>
  <si>
    <t>Av. de España, 4, 28320 Pinto, Madrid</t>
  </si>
  <si>
    <t>Pinto</t>
  </si>
  <si>
    <t>ramosacasa.es</t>
  </si>
  <si>
    <t>651 71 71 81</t>
  </si>
  <si>
    <t>tienda@ramosacasa.es</t>
  </si>
  <si>
    <t>FLORISTERÍA EN HUMANES DE MADRID I Floristería, Regalos y Decoración JARDIN</t>
  </si>
  <si>
    <t>Calle Hermanos Torá, 4, 28970 Humanes de Madrid, Madrid</t>
  </si>
  <si>
    <t>Humanes de Madrid</t>
  </si>
  <si>
    <t>floristeriahumanesjardin.blogspot.com</t>
  </si>
  <si>
    <t>916 04 92 47</t>
  </si>
  <si>
    <t>Floristería Madrid Martínez</t>
  </si>
  <si>
    <t>C. C. Portachuelos, Av. del Portachuelo, s/n, 28770 Colmenar Viejo, Madrid</t>
  </si>
  <si>
    <t>Colmenar Viejo</t>
  </si>
  <si>
    <t>918 45 05 05</t>
  </si>
  <si>
    <t>Floristeria ConFlores</t>
  </si>
  <si>
    <t>C.C El Reston L.25, 28341 Valdemoro, Madrid</t>
  </si>
  <si>
    <t>Valdemoro</t>
  </si>
  <si>
    <t>floristeriaconflores.es</t>
  </si>
  <si>
    <t>622 11 34 27</t>
  </si>
  <si>
    <t>floristeria inspirazzion y caprichos</t>
  </si>
  <si>
    <t>Travesía de Madrid, 2, local 2, 28229 Villanueva del Pardillo, Madrid</t>
  </si>
  <si>
    <t>Villanueva del Pardillo</t>
  </si>
  <si>
    <t>628 06 26 68</t>
  </si>
  <si>
    <t>García-Morato Floristas - El ALAMO</t>
  </si>
  <si>
    <t>Av. de Madrid, 16, 28607 El Álamo, Madrid</t>
  </si>
  <si>
    <t>El Álamo</t>
  </si>
  <si>
    <t>918 12 28 67</t>
  </si>
  <si>
    <t>Calle Teniente Casaña, 4, 52006 Melilla</t>
  </si>
  <si>
    <t>Melilla</t>
  </si>
  <si>
    <t>floristeriaangelamelilla.es</t>
  </si>
  <si>
    <t>952 67 66 11</t>
  </si>
  <si>
    <t>floristeriaangelamelilla@gmail.com</t>
  </si>
  <si>
    <t>Floristería E. Jimenez</t>
  </si>
  <si>
    <t>Av. Castelar, 12, 52001 Melilla</t>
  </si>
  <si>
    <t>952 68 49 81</t>
  </si>
  <si>
    <t>Av. Castelar, 35, 52001 Melilla</t>
  </si>
  <si>
    <t>Flores y Regalos &amp;quot;NoMeOlvides&amp;quot;</t>
  </si>
  <si>
    <t>C. Josela Maturana, 4, 52005 Melilla</t>
  </si>
  <si>
    <t>951 77 90 27</t>
  </si>
  <si>
    <t>Florilandia</t>
  </si>
  <si>
    <t>Calle Padre Lerchundi, 27, 52002 Melilla</t>
  </si>
  <si>
    <t>952 68 00 84</t>
  </si>
  <si>
    <t>FH - Fernando Hijo (Flores a domicilio Murcia)</t>
  </si>
  <si>
    <t>Calle Isidoro de la Cierva, 10, 30001 Murcia</t>
  </si>
  <si>
    <t>fernandohijo.com</t>
  </si>
  <si>
    <t>968 21 20 90</t>
  </si>
  <si>
    <t>Floristeria 24 horas</t>
  </si>
  <si>
    <t>Plaza Flores, 30004 Murcia</t>
  </si>
  <si>
    <t>Plaza Juan XXIII, 4, 30008 Murcia</t>
  </si>
  <si>
    <t>968 24 33 98</t>
  </si>
  <si>
    <t>Floristería a domicilio en Murcia</t>
  </si>
  <si>
    <t>Calle Simón García, N55, Piso 2 d, 30003 Murcia</t>
  </si>
  <si>
    <t>floristeriasanlorenzo.com</t>
  </si>
  <si>
    <t>658 86 35 55</t>
  </si>
  <si>
    <t>info@floristeriasanlorenzo.com</t>
  </si>
  <si>
    <t>Floristerías a Domicilio Murcia</t>
  </si>
  <si>
    <t>Paseo Duques de Lugo, 13, 30009 Murcia</t>
  </si>
  <si>
    <t>632 81 50 40</t>
  </si>
  <si>
    <t>Floristería Fernando</t>
  </si>
  <si>
    <t>Plaza Flores, 1, 30004 Murcia</t>
  </si>
  <si>
    <t>floristeriafernando.com</t>
  </si>
  <si>
    <t>968 21 44 62</t>
  </si>
  <si>
    <t>info@floristeriafernando.com</t>
  </si>
  <si>
    <t>Floristerías para bodas en murcia</t>
  </si>
  <si>
    <t>Calle Alejandro Séiquer, 10, 30001 Murcia</t>
  </si>
  <si>
    <t>968 21 33 92</t>
  </si>
  <si>
    <t>Floristería San Lorenzo</t>
  </si>
  <si>
    <t>Calle Alejandro Seiquer Nº 2 Junto a, Plaza Cetina, 30001 Murcia</t>
  </si>
  <si>
    <t>968 21 87 92</t>
  </si>
  <si>
    <t>Flores La Rosaleda</t>
  </si>
  <si>
    <t>Calle Pintor Joaquín, 10, 30009 Murcia</t>
  </si>
  <si>
    <t>verzonalaguia.es</t>
  </si>
  <si>
    <t>968 28 41 53</t>
  </si>
  <si>
    <t>info@verzonalaguia.es</t>
  </si>
  <si>
    <t>Ramos de flores a domicilio en murcia</t>
  </si>
  <si>
    <t>Plaza Doctor José maria Aroca, n5 esc B piso 2b, 30009 Murcia</t>
  </si>
  <si>
    <t>Corteflor</t>
  </si>
  <si>
    <t>Calle Junterones, 11, 30008 Murcia</t>
  </si>
  <si>
    <t>corteflor.com</t>
  </si>
  <si>
    <t>968 29 05 89</t>
  </si>
  <si>
    <t>Floristeria borja</t>
  </si>
  <si>
    <t>Calle Dr. Jiménez Díaz, 30008 Murcia</t>
  </si>
  <si>
    <t>968 23 10 02</t>
  </si>
  <si>
    <t>Cyca Floristería</t>
  </si>
  <si>
    <t>Calle Juan Antonio Hernández del Águila, 15, 30002 Murcia</t>
  </si>
  <si>
    <t>cycafloristeria.com</t>
  </si>
  <si>
    <t>968 22 30 60</t>
  </si>
  <si>
    <t>info@cycafloristeria.com</t>
  </si>
  <si>
    <t>Art Floral</t>
  </si>
  <si>
    <t>Calle Mayor, 20, 30006 Murcia</t>
  </si>
  <si>
    <t>artefloralfloristas.es</t>
  </si>
  <si>
    <t>968 30 00 89</t>
  </si>
  <si>
    <t>arte.floral@hotmail.com</t>
  </si>
  <si>
    <t>Dianthus</t>
  </si>
  <si>
    <t>Calle Almohajar, 3, 30002 Murcia</t>
  </si>
  <si>
    <t>968 21 03 51</t>
  </si>
  <si>
    <t>Floristería Tropical Garden</t>
  </si>
  <si>
    <t>Calle Pío XII, 25, 30012 Murcia</t>
  </si>
  <si>
    <t>868 95 80 61</t>
  </si>
  <si>
    <t>FH - Fernando Hijo (Flores y decoración)</t>
  </si>
  <si>
    <t>Calle Jaime I el Conquistador, 9, 30008 Murcia</t>
  </si>
  <si>
    <t>968 24 17 76</t>
  </si>
  <si>
    <t>fh@fernandohijo.com</t>
  </si>
  <si>
    <t>M&amp;amp;M Peluquería y Floristería</t>
  </si>
  <si>
    <t>Calle Mozart, 1, 30002 Murcia</t>
  </si>
  <si>
    <t>968 93 30 18</t>
  </si>
  <si>
    <t>Toñi</t>
  </si>
  <si>
    <t>Calle Mayor, 62, 30100 Espinardo, Murcia</t>
  </si>
  <si>
    <t>Espinardo</t>
  </si>
  <si>
    <t>968 85 91 46</t>
  </si>
  <si>
    <t>Floristería Virginia</t>
  </si>
  <si>
    <t>Calle Primero Mayo, s/n, 30012 Murcia</t>
  </si>
  <si>
    <t>floresvirginia.com</t>
  </si>
  <si>
    <t>968 34 07 45</t>
  </si>
  <si>
    <t>Frio Flores</t>
  </si>
  <si>
    <t>Calle Obispo Pedro Gallego, 30011 Murcia</t>
  </si>
  <si>
    <t>638 55 73 24</t>
  </si>
  <si>
    <t>CONCHA FLORISTAS</t>
  </si>
  <si>
    <t>Plaza Flores, 2, 30004 Murcia</t>
  </si>
  <si>
    <t>conchafloristas.com</t>
  </si>
  <si>
    <t>968 21 38 97</t>
  </si>
  <si>
    <t>Zara</t>
  </si>
  <si>
    <t>Calle Párroco Pedro Lozano, 6, 30007 Murcia</t>
  </si>
  <si>
    <t>968 23 44 05</t>
  </si>
  <si>
    <t>Acoro Floristas</t>
  </si>
  <si>
    <t>Calle Mayor, 98, 30150 Murcia</t>
  </si>
  <si>
    <t>acorofloristas.es</t>
  </si>
  <si>
    <t>968 84 38 04</t>
  </si>
  <si>
    <t>Vistabella</t>
  </si>
  <si>
    <t>Calle Párroco Pedro Martinez Conesa, 30003 Murcia</t>
  </si>
  <si>
    <t>650 34 33 68</t>
  </si>
  <si>
    <t>La, Calle Fabrica, 10, 30150 Alberca Las Torres, Murcia</t>
  </si>
  <si>
    <t>Alberca Las Torres</t>
  </si>
  <si>
    <t>968 84 62 41</t>
  </si>
  <si>
    <t>La Torre D Las Flores</t>
  </si>
  <si>
    <t>Calle Pascual, 13, 30004 Murcia</t>
  </si>
  <si>
    <t>Vicente Bravo</t>
  </si>
  <si>
    <t>Polígono Industrial Cabezo Cortao, 0 S N, 30001 Murcia</t>
  </si>
  <si>
    <t>Abanilla</t>
  </si>
  <si>
    <t>vicentebravo.com</t>
  </si>
  <si>
    <t>968 88 09 98</t>
  </si>
  <si>
    <t>Viktoria&amp;apos;s Flowers</t>
  </si>
  <si>
    <t>Calle Jabonerías, 2, 30001 Murcia</t>
  </si>
  <si>
    <t>Edf.Flores</t>
  </si>
  <si>
    <t>Calle Lugo, 30003 Murcia</t>
  </si>
  <si>
    <t>Sur</t>
  </si>
  <si>
    <t>Calle Don Antonio Sanchez Maurandi, 4, 30004 Murcia</t>
  </si>
  <si>
    <t>968 29 94 39</t>
  </si>
  <si>
    <t>Floristería Encarna</t>
  </si>
  <si>
    <t>Calle Mayor, 168, 30100 Espinardo, Murcia</t>
  </si>
  <si>
    <t>968 79 95 89</t>
  </si>
  <si>
    <t>Av. Ciudad de Almería, 50, 30010 Murcia</t>
  </si>
  <si>
    <t>Agroideas</t>
  </si>
  <si>
    <t>Carril Frutos, 0 S N, 30012 San Benito, Murcia</t>
  </si>
  <si>
    <t>968 84 66 30</t>
  </si>
  <si>
    <t>Decoraciónes en murcia</t>
  </si>
  <si>
    <t>Calle Periodista Leopoldo Ayuso, n7, 1a, 30009 Murcia</t>
  </si>
  <si>
    <t>puertasautomaticasinnovatec.com</t>
  </si>
  <si>
    <t>187info@puertasautomaticasinnovatec.com</t>
  </si>
  <si>
    <t>Tulipán</t>
  </si>
  <si>
    <t>Calle Mayor, 77, 30011 Murcia</t>
  </si>
  <si>
    <t>646 93 49 25</t>
  </si>
  <si>
    <t>Edoras Ilimitado</t>
  </si>
  <si>
    <t>Sensacion</t>
  </si>
  <si>
    <t>Calle Mariano Vergara, 4, 30003 Murcia</t>
  </si>
  <si>
    <t>radiosensacionfm.com</t>
  </si>
  <si>
    <t>968 21 37 79</t>
  </si>
  <si>
    <t>sensacionfm@gmail.com</t>
  </si>
  <si>
    <t>Floristería Santi (David de Sant)</t>
  </si>
  <si>
    <t>Calle Mayor, 102, 30006 Murcia</t>
  </si>
  <si>
    <t>floristeriasanti.com</t>
  </si>
  <si>
    <t>968 30 16 47</t>
  </si>
  <si>
    <t>Floristeria Loli</t>
  </si>
  <si>
    <t>30151 Santo Ángel, Murcia</t>
  </si>
  <si>
    <t>Santo Ángel</t>
  </si>
  <si>
    <t>lolifloristeria.com</t>
  </si>
  <si>
    <t>968 84 27 49</t>
  </si>
  <si>
    <t>Flores Juan Simón</t>
  </si>
  <si>
    <t>Diseminado Cementerio N Padre Jesus, 2, 30100 Murcia</t>
  </si>
  <si>
    <t>968 83 00 03</t>
  </si>
  <si>
    <t>Arte y Armonía</t>
  </si>
  <si>
    <t>Carril del Palmeral, 12, 30100 Murcia</t>
  </si>
  <si>
    <t>arteyarmonia.es</t>
  </si>
  <si>
    <t>968 89 90 72</t>
  </si>
  <si>
    <t>Florhisteria</t>
  </si>
  <si>
    <t>968 24 33 39</t>
  </si>
  <si>
    <t>Floristeria Rosi</t>
  </si>
  <si>
    <t>Calle Mayor, 38, 30007 Murcia</t>
  </si>
  <si>
    <t>rosifloristas.com</t>
  </si>
  <si>
    <t>657 13 90 00</t>
  </si>
  <si>
    <t>Antonio Marín Ortiz</t>
  </si>
  <si>
    <t>Av. Murcia, 61, 30160 Murcia</t>
  </si>
  <si>
    <t>968 87 77 15</t>
  </si>
  <si>
    <t>Rocío</t>
  </si>
  <si>
    <t>Calle del Carmen, 1, 30110 Cabezo de Torres, Murcia</t>
  </si>
  <si>
    <t>Cabezo de Torres</t>
  </si>
  <si>
    <t>968 83 27 57</t>
  </si>
  <si>
    <t>Floristería Fernanda</t>
  </si>
  <si>
    <t>30004 Murcia</t>
  </si>
  <si>
    <t>Flores La Rosada Plantas</t>
  </si>
  <si>
    <t>30009 Murcia</t>
  </si>
  <si>
    <t>Floristería Davinia</t>
  </si>
  <si>
    <t>Cl. Lorca, 99, 30120 El Palmar, Murcia</t>
  </si>
  <si>
    <t>El Palmar</t>
  </si>
  <si>
    <t>968 88 15 84</t>
  </si>
  <si>
    <t>Plaza de España, 30152 Murcia</t>
  </si>
  <si>
    <t>Calle Mayor, 72, 30120 El Palmar, Murcia</t>
  </si>
  <si>
    <t>663 33 13 58</t>
  </si>
  <si>
    <t>Floristería Arrixaca</t>
  </si>
  <si>
    <t>Av. Primero de Mayo, 41, 30120 Murcia</t>
  </si>
  <si>
    <t>floristeriaarrixaca.com</t>
  </si>
  <si>
    <t>968 88 50 19</t>
  </si>
  <si>
    <t>Dendro Floristas</t>
  </si>
  <si>
    <t>Calle Saavedra Fajardo, 11, 30157 Murcia</t>
  </si>
  <si>
    <t>968 84 26 01</t>
  </si>
  <si>
    <t>Lamataflor</t>
  </si>
  <si>
    <t>Calle Auroros, 30165 Murcia</t>
  </si>
  <si>
    <t>lamataflor.com</t>
  </si>
  <si>
    <t>663 35 06 50</t>
  </si>
  <si>
    <t>lamataflor@gmail.com</t>
  </si>
  <si>
    <t>Imperial Atelier Floral</t>
  </si>
  <si>
    <t>Calle Escultor Roque López, 1, 30168 Murcia</t>
  </si>
  <si>
    <t>679 25 33 36</t>
  </si>
  <si>
    <t>Floristería Coronamur</t>
  </si>
  <si>
    <t>Calle Carril Seanos, 30167 La Raya, Murcia</t>
  </si>
  <si>
    <t>La Raya</t>
  </si>
  <si>
    <t>coronamur.com</t>
  </si>
  <si>
    <t>968 22 24 67</t>
  </si>
  <si>
    <t>Emi Floristas</t>
  </si>
  <si>
    <t>Av. Fabián Escribano, 11, 30570 Beniaján, Murcia</t>
  </si>
  <si>
    <t>Beniaján</t>
  </si>
  <si>
    <t>emyfloristasbeniajan.com</t>
  </si>
  <si>
    <t>968 82 10 47</t>
  </si>
  <si>
    <t>Pilar Miñano Yepes</t>
  </si>
  <si>
    <t>Calle García Lorca, 4, 30570 Blanca, Murcia</t>
  </si>
  <si>
    <t>968 77 03 03</t>
  </si>
  <si>
    <t>Grow Iluminación - Grow shop</t>
  </si>
  <si>
    <t>Calle Pintor Sobejano, 10, 30004 Murcia</t>
  </si>
  <si>
    <t>growiluminacion.com</t>
  </si>
  <si>
    <t>640 06 16 55</t>
  </si>
  <si>
    <t>Av. Constitución, 69C, 30160 Monteagudo, Murcia</t>
  </si>
  <si>
    <t>Monteagudo</t>
  </si>
  <si>
    <t>Floristeria Emi</t>
  </si>
  <si>
    <t>Av. Fabián Escribano, 15, 30570 Murcia</t>
  </si>
  <si>
    <t>Dekor-Plant</t>
  </si>
  <si>
    <t>Calle García Lorca, 30570 Murcia</t>
  </si>
  <si>
    <t>Floristeria Freenia</t>
  </si>
  <si>
    <t>Calle Mariano Caballero, 2, 30161 Llano de Brujas, Murcia</t>
  </si>
  <si>
    <t>Llano de Brujas</t>
  </si>
  <si>
    <t>30110 Cabezo de Torres, Murcia</t>
  </si>
  <si>
    <t>Entreramblas</t>
  </si>
  <si>
    <t>Av. de Murcia, 61, 30589 Los Ramos, Murcia</t>
  </si>
  <si>
    <t>Los Ramos</t>
  </si>
  <si>
    <t>968 87 71 58</t>
  </si>
  <si>
    <t>ILUNION Tienda de prensa, regalos y flores (HOSPITAL VIRGEN DE LA ARRIXACA MATERNO)</t>
  </si>
  <si>
    <t>Ctra. Madrid-Cartagena, s/n, 30120 El Palmar, Murcia</t>
  </si>
  <si>
    <t>968 11 80 07</t>
  </si>
  <si>
    <t>Floristeria Elena Pérez</t>
  </si>
  <si>
    <t>Ctra. San Javier nº62, 30579</t>
  </si>
  <si>
    <t>Torreaguera</t>
  </si>
  <si>
    <t>30579</t>
  </si>
  <si>
    <t>968 82 00 36</t>
  </si>
  <si>
    <t>Floristeria Maria</t>
  </si>
  <si>
    <t>Calle de Ramón y Cajal, 33, 30820 Alcantarilla, Murcia</t>
  </si>
  <si>
    <t>Alcantarilla</t>
  </si>
  <si>
    <t>José Riquelme Oliva</t>
  </si>
  <si>
    <t>Calle de la Cruz, 17, 30820 Alcantarilla, Murcia</t>
  </si>
  <si>
    <t>968 89 09 54</t>
  </si>
  <si>
    <t>Freesia Floristas</t>
  </si>
  <si>
    <t>Vereda del Chocolate, 62, 30589 Los Ramos, Murcia</t>
  </si>
  <si>
    <t>freesiafloristas.com</t>
  </si>
  <si>
    <t>617 79 67 96</t>
  </si>
  <si>
    <t>Cl. Mayor, 222, 30820 Alcantarilla, Murcia</t>
  </si>
  <si>
    <t>968 89 27 12</t>
  </si>
  <si>
    <t>Floristeria Acanto</t>
  </si>
  <si>
    <t>Calle Real, 3, 30832 Javalí Nuevo, Murcia</t>
  </si>
  <si>
    <t>Javalí Nuevo</t>
  </si>
  <si>
    <t>968 89 55 66</t>
  </si>
  <si>
    <t>Riquelmeflor</t>
  </si>
  <si>
    <t>Calle Virgen del Carmen, 34, 30832 Javalí Nuevo, Murcia</t>
  </si>
  <si>
    <t>riquelmeflor.negocio.site</t>
  </si>
  <si>
    <t>679 62 16 32</t>
  </si>
  <si>
    <t>Calle de la Constitucion, 20, 30837 Javalí Nuevo, Murcia</t>
  </si>
  <si>
    <t>686 19 47 75</t>
  </si>
  <si>
    <t>Flores Arume</t>
  </si>
  <si>
    <t>Calle Rafael Alberti, 2, 30509 Torrealta, Murcia</t>
  </si>
  <si>
    <t>Torrealta</t>
  </si>
  <si>
    <t>floresarume.com</t>
  </si>
  <si>
    <t>868 94 63 83</t>
  </si>
  <si>
    <t>info@floresarume.com</t>
  </si>
  <si>
    <t>Veronica Floristas</t>
  </si>
  <si>
    <t>Calle Cura Jiménez, 5, 30580 Alquerías, Murcia</t>
  </si>
  <si>
    <t>Alquerías</t>
  </si>
  <si>
    <t>D&amp;apos;Alba Floristería</t>
  </si>
  <si>
    <t>Calle Rosalinda, 15, 30833 Sangonera la Verde, Murcia</t>
  </si>
  <si>
    <t>Sangonera la Verde</t>
  </si>
  <si>
    <t>968 86 83 05</t>
  </si>
  <si>
    <t>María Juana Serrano Valcárcel</t>
  </si>
  <si>
    <t>Calle los Pasos, 26, 30500 Molina de Segura, Murcia</t>
  </si>
  <si>
    <t>Molina de Segura</t>
  </si>
  <si>
    <t>968 64 11 78</t>
  </si>
  <si>
    <t>Pino floristas</t>
  </si>
  <si>
    <t>30500 Molina de Segura, Murcia</t>
  </si>
  <si>
    <t>699 82 93 69</t>
  </si>
  <si>
    <t>Paco de Molina Floristas</t>
  </si>
  <si>
    <t>Paseo Rosales, 30, 30500 Molina de Segura, Murcia</t>
  </si>
  <si>
    <t>escasa66.wixsite.com</t>
  </si>
  <si>
    <t>968 61 17 46</t>
  </si>
  <si>
    <t>Floristería Hiperplant</t>
  </si>
  <si>
    <t>Calle San Rosendo, 30140 Santomera, Murcia</t>
  </si>
  <si>
    <t>Santomera</t>
  </si>
  <si>
    <t>628 20 53 41</t>
  </si>
  <si>
    <t>Floristería Emi Molina de Segura</t>
  </si>
  <si>
    <t>Calle Serrerías, 9, 30500 Molina de Segura, Murcia</t>
  </si>
  <si>
    <t>968 64 17 29</t>
  </si>
  <si>
    <t>Floristería Espallardo</t>
  </si>
  <si>
    <t>Calle Molina de Aragón, 30500 Molina de Segura, Murcia</t>
  </si>
  <si>
    <t>868 94 68 93</t>
  </si>
  <si>
    <t>Kebana floristeria</t>
  </si>
  <si>
    <t>Calle Fernández Caballero, 52, 30565 Las Torres de Cotillas, Murcia</t>
  </si>
  <si>
    <t>Las Torres de Cotillas</t>
  </si>
  <si>
    <t>660 78 56 37</t>
  </si>
  <si>
    <t>Calle Paz, 46, 30500 Molina de Segura, Murcia</t>
  </si>
  <si>
    <t>Rosario</t>
  </si>
  <si>
    <t>Calle Villa Conchita, 6, 30140 Santomera, Murcia</t>
  </si>
  <si>
    <t>968 86 24 86</t>
  </si>
  <si>
    <t>Madre Esperanza de Santomera</t>
  </si>
  <si>
    <t>nº1, Calle San Rafael, 30140 Santomera, Murcia</t>
  </si>
  <si>
    <t>968 86 01 01</t>
  </si>
  <si>
    <t>Floristería Nico</t>
  </si>
  <si>
    <t>Calle Estación, nº 4, 30820 Alcantarilla, Murcia</t>
  </si>
  <si>
    <t>633 97 57 01</t>
  </si>
  <si>
    <t>Floristeria Petit Bouquet</t>
  </si>
  <si>
    <t>Av. Juan Carlos I, 25, 30588 Zeneta, Murcia</t>
  </si>
  <si>
    <t>Zeneta</t>
  </si>
  <si>
    <t>floristeriapetitbouquet.com</t>
  </si>
  <si>
    <t>968 85 41 48</t>
  </si>
  <si>
    <t>ig-badge-view-sprite-24@2x.png</t>
  </si>
  <si>
    <t>El Jardin de Alicia</t>
  </si>
  <si>
    <t>Av. Juan Carlos I, 11, bajo, 30565 Las Torres de Cotillas, Murcia</t>
  </si>
  <si>
    <t>eljardindealicia.es</t>
  </si>
  <si>
    <t>968 06 35 83</t>
  </si>
  <si>
    <t>Ctra. Mula, 0, 30560 Alguazas, Murcia</t>
  </si>
  <si>
    <t>Alguazas</t>
  </si>
  <si>
    <t>968 62 10 65</t>
  </si>
  <si>
    <t>J.Piqueras Plantas Y Arboles</t>
  </si>
  <si>
    <t>N-344, 30509 Molina de Segura, Murcia</t>
  </si>
  <si>
    <t>Consue</t>
  </si>
  <si>
    <t>Calle Calvillo, 30565 Las Torres de Cotillas, Murcia</t>
  </si>
  <si>
    <t>968 62 43 61</t>
  </si>
  <si>
    <t>Sanaben Floristas</t>
  </si>
  <si>
    <t>Avd. Constitución Nº38, 30564 Lorquí, Murcia</t>
  </si>
  <si>
    <t>Lorquí</t>
  </si>
  <si>
    <t>968 95 42 08</t>
  </si>
  <si>
    <t>Floristeria Noelia</t>
  </si>
  <si>
    <t>Calle Juan de la Cierva, 3, 30130 Beniel, Murcia</t>
  </si>
  <si>
    <t>Beniel</t>
  </si>
  <si>
    <t>968 60 08 75</t>
  </si>
  <si>
    <t>Suministros Agrofuture Murcia</t>
  </si>
  <si>
    <t>Calle, Camino Barca de Salazar, 7, 30570 Beniaján, Murcia</t>
  </si>
  <si>
    <t>868 08 14 17</t>
  </si>
  <si>
    <t>Floristería Jesús</t>
  </si>
  <si>
    <t>Calle Don Eloy, 71, 30562 Ceutí, Murcia</t>
  </si>
  <si>
    <t>Ceutí</t>
  </si>
  <si>
    <t>968 69 13 65</t>
  </si>
  <si>
    <t>Ginés Asensio Abenza</t>
  </si>
  <si>
    <t>Calle Maestro Rodrigo García, 2, 30564 Lorquí, Murcia</t>
  </si>
  <si>
    <t>968 69 00 30</t>
  </si>
  <si>
    <t>Vegetalis Floral</t>
  </si>
  <si>
    <t>Calle Maestro Rodrigo, 38, 30562 Ceutí, Murcia</t>
  </si>
  <si>
    <t>vegetalis-floral.com</t>
  </si>
  <si>
    <t>699 43 72 76</t>
  </si>
  <si>
    <t>comercial@vegetalis-floral.com</t>
  </si>
  <si>
    <t>Lasani frutas y verduras</t>
  </si>
  <si>
    <t>Av. de Madrid, 26, bajo, 30500 Molina de Segura, Murcia</t>
  </si>
  <si>
    <t>677 79 83 89</t>
  </si>
  <si>
    <t>Muflor</t>
  </si>
  <si>
    <t>Calle San Rafael, 1, 30140 Santomera, Murcia</t>
  </si>
  <si>
    <t>muflor.com</t>
  </si>
  <si>
    <t>687 59 35 86</t>
  </si>
  <si>
    <t>info@muflor.com</t>
  </si>
  <si>
    <t>Floristería Rosaleda</t>
  </si>
  <si>
    <t>Calle Miguel de Cervantes, 5, 30620 Fortuna, Murcia</t>
  </si>
  <si>
    <t>Fortuna</t>
  </si>
  <si>
    <t>646 89 49 52</t>
  </si>
  <si>
    <t>Finuki Floristas</t>
  </si>
  <si>
    <t>Calle Vicente Aleixandre, 2, 30600 Archena, Murcia</t>
  </si>
  <si>
    <t>Archena</t>
  </si>
  <si>
    <t>finukifloristas.wixsite.com</t>
  </si>
  <si>
    <t>605 86 23 65</t>
  </si>
  <si>
    <t>GraficFlower Murcia</t>
  </si>
  <si>
    <t>Av. Antonete Gálvez, 21, 30600 Archena, Murcia</t>
  </si>
  <si>
    <t>868 92 41 22</t>
  </si>
  <si>
    <t>GROW SHOP THC</t>
  </si>
  <si>
    <t>Av. de Murcia, Nº28, 30836 Puebla de Soto, Murcia</t>
  </si>
  <si>
    <t>Puebla de Soto</t>
  </si>
  <si>
    <t>690 84 35 73</t>
  </si>
  <si>
    <t>Floristería Marien</t>
  </si>
  <si>
    <t>Plaza San Agustín, 11, 30320 Fuente Alamo, Murcia</t>
  </si>
  <si>
    <t>Fuente Alamo</t>
  </si>
  <si>
    <t>floresmarien.es</t>
  </si>
  <si>
    <t>968 59 75 22</t>
  </si>
  <si>
    <t>Floristería La Rubia</t>
  </si>
  <si>
    <t>Calle Don Pedro Gambín, 15, 30840 Alhama de Murcia, Murcia</t>
  </si>
  <si>
    <t>Alhama de Murcia</t>
  </si>
  <si>
    <t>968 63 98 73</t>
  </si>
  <si>
    <t>Flores Marín</t>
  </si>
  <si>
    <t>Camino Viejo de Cartagena, 30840 Alhama de Murcia, Murcia</t>
  </si>
  <si>
    <t>968 63 94 37</t>
  </si>
  <si>
    <t>Flores J.M.</t>
  </si>
  <si>
    <t>Av. de la Cartagenera, 11, 30739 Pozo Aledo, Murcia</t>
  </si>
  <si>
    <t>Pozo Aledo</t>
  </si>
  <si>
    <t>659 66 40 87</t>
  </si>
  <si>
    <t>Mundo Eterno</t>
  </si>
  <si>
    <t>Camino De La Inmobiliaria S/n, 30163 El Esparragal, Murcia</t>
  </si>
  <si>
    <t>El Esparragal</t>
  </si>
  <si>
    <t>mundoeterno.es</t>
  </si>
  <si>
    <t>968 85 30 89</t>
  </si>
  <si>
    <t>info@mundoeterno.es</t>
  </si>
  <si>
    <t>Floristería Florparaiso</t>
  </si>
  <si>
    <t>C/ Rodríguez de la Fuente, 2, 30700 Torre-Pacheco, Murcia</t>
  </si>
  <si>
    <t>Torre-Pacheco</t>
  </si>
  <si>
    <t>florparaiso.com</t>
  </si>
  <si>
    <t>968 58 54 20</t>
  </si>
  <si>
    <t>Floristería Escudero</t>
  </si>
  <si>
    <t>Calle Dr. Daciano de los Ríos, 4, 30740 San Pedro del Pinatar, Murcia</t>
  </si>
  <si>
    <t>San Pedro del Pinatar</t>
  </si>
  <si>
    <t>615 68 52 31</t>
  </si>
  <si>
    <t>El Carmen Floristas</t>
  </si>
  <si>
    <t>Calle Miguel de Cervantes, 5, 30700 Torre-Pacheco, Murcia</t>
  </si>
  <si>
    <t>968 57 70 40</t>
  </si>
  <si>
    <t>Floristería Pura</t>
  </si>
  <si>
    <t>Camino de Murcia, nº 95, 30530 Cieza, Murcia</t>
  </si>
  <si>
    <t>Cieza</t>
  </si>
  <si>
    <t>678 67 31 69</t>
  </si>
  <si>
    <t>Hilario Floristas</t>
  </si>
  <si>
    <t>Calle Aniceto León, 11, 30700 Torre-Pacheco, Murcia</t>
  </si>
  <si>
    <t>hilariofloristas.com</t>
  </si>
  <si>
    <t>968 57 92 15</t>
  </si>
  <si>
    <t>info@hilariofloristas.com</t>
  </si>
  <si>
    <t>Junto A Cajamar, Calle Alfonso XIII, Numero 47, 30310 Cartagena, Murcia</t>
  </si>
  <si>
    <t>Cartagena</t>
  </si>
  <si>
    <t>floristasmartinez.negocio.site</t>
  </si>
  <si>
    <t>609 54 82 73</t>
  </si>
  <si>
    <t>Floristería San Francisco</t>
  </si>
  <si>
    <t>Calle Cuatro Santos, 44, 30202 Cartagena, Murcia</t>
  </si>
  <si>
    <t>floressanfrancisco.es</t>
  </si>
  <si>
    <t>968 50 32 92</t>
  </si>
  <si>
    <t>sfrancisco@interflora.es</t>
  </si>
  <si>
    <t>Floryplant</t>
  </si>
  <si>
    <t>Calle Calderón de la Barca, 9, 30530 Cieza, Murcia</t>
  </si>
  <si>
    <t>968 76 20 30</t>
  </si>
  <si>
    <t>Floristería Matas</t>
  </si>
  <si>
    <t>Calle Carr. de la Palma, 95, 30310 Cartagena, Murcia</t>
  </si>
  <si>
    <t>floristeriamatas.com</t>
  </si>
  <si>
    <t>968 53 28 97</t>
  </si>
  <si>
    <t>info@floristeriamatas.com</t>
  </si>
  <si>
    <t>Floristería Raquel</t>
  </si>
  <si>
    <t>Calle Isaac Albéniz, 10, BAJO, 30320 Fuente Alamo, Murcia</t>
  </si>
  <si>
    <t>floresraquel.com</t>
  </si>
  <si>
    <t>968 59 72 69</t>
  </si>
  <si>
    <t>maricarlegaz@hotmail.com</t>
  </si>
  <si>
    <t>Floristería del Carmen</t>
  </si>
  <si>
    <t>Av. de Antonio Fuertes, 30840 Alhama de Murcia, Murcia</t>
  </si>
  <si>
    <t>968 63 08 61</t>
  </si>
  <si>
    <t>CAMPOS GARDEN Floristas</t>
  </si>
  <si>
    <t>Cl. del Aire, 26, 30202 Cartagena, Murcia</t>
  </si>
  <si>
    <t>660 63 25 82</t>
  </si>
  <si>
    <t>Floristeria Talia</t>
  </si>
  <si>
    <t>Av. Aviación Española, 3, 30730 San Javier, Murcia</t>
  </si>
  <si>
    <t>San Javier</t>
  </si>
  <si>
    <t>968 19 07 85</t>
  </si>
  <si>
    <t>Floristería Alameda</t>
  </si>
  <si>
    <t>Alameda de San Antón, 15, 30205 Cartagena, Murcia</t>
  </si>
  <si>
    <t>floristeria-alameda.es</t>
  </si>
  <si>
    <t>627 54 63 60</t>
  </si>
  <si>
    <t>Calle Jorge Juan, 1, 30204 Cartagena, Murcia</t>
  </si>
  <si>
    <t>968 31 10 63</t>
  </si>
  <si>
    <t>Calle Alcántara, 4, 30730 San Javier, Murcia</t>
  </si>
  <si>
    <t>Floristería La Orquídea Lorca</t>
  </si>
  <si>
    <t>Carr de Águilas, 58, 30813 Lorca, Murcia</t>
  </si>
  <si>
    <t>Lorca</t>
  </si>
  <si>
    <t>968 48 25 18</t>
  </si>
  <si>
    <t>Floristería Pepe</t>
  </si>
  <si>
    <t>Calle Isaac Peral, 28, 30870 Mazarrón, Murcia</t>
  </si>
  <si>
    <t>Mazarrón</t>
  </si>
  <si>
    <t>968 59 10 34</t>
  </si>
  <si>
    <t>Campo de Hector</t>
  </si>
  <si>
    <t>Calle Geranio, 12, 30611 Archena, Murcia</t>
  </si>
  <si>
    <t>thecolvinco.com</t>
  </si>
  <si>
    <t>Flores y plantas de Yecla</t>
  </si>
  <si>
    <t>Calle San Antonio, 34, 30510 Yecla, Murcia</t>
  </si>
  <si>
    <t>968 75 09 44</t>
  </si>
  <si>
    <t>FLORISTERÍA EVENTOS JERÉN</t>
  </si>
  <si>
    <t>Av. de la Fuente, 50, 30385 Los Belones, Murcia</t>
  </si>
  <si>
    <t>Los Belones</t>
  </si>
  <si>
    <t>968 13 72 49</t>
  </si>
  <si>
    <t>Floristería Coclicó</t>
  </si>
  <si>
    <t>Calle Padre Lasalde, 16, 30510 Yecla, Murcia</t>
  </si>
  <si>
    <t>The Flower Shop by Petunia</t>
  </si>
  <si>
    <t>Calle Jade, 2, 03189 La Zenia, Alicante</t>
  </si>
  <si>
    <t>La Zenia</t>
  </si>
  <si>
    <t>floristeriapetunia.net</t>
  </si>
  <si>
    <t>966 79 39 95</t>
  </si>
  <si>
    <t>Floristería Pedro Navarro</t>
  </si>
  <si>
    <t>Calle Príncipe Alfonso, 6, 30800 Lorca, Murcia</t>
  </si>
  <si>
    <t>968 47 13 20</t>
  </si>
  <si>
    <t>Antonia Floristas</t>
  </si>
  <si>
    <t>Calle San Pascual, 22, 30510 Yecla, Murcia</t>
  </si>
  <si>
    <t>968 79 25 26</t>
  </si>
  <si>
    <t>Taiga floristas</t>
  </si>
  <si>
    <t>taigafloristas.com</t>
  </si>
  <si>
    <t>968 79 37 55</t>
  </si>
  <si>
    <t>info@taigafloristas.com</t>
  </si>
  <si>
    <t>Floristería Leandro</t>
  </si>
  <si>
    <t>Calle San Cristóbal, 105, 30510 Yecla, Murcia</t>
  </si>
  <si>
    <t>968 79 11 47</t>
  </si>
  <si>
    <t>LA CASA DE LAS FLORES</t>
  </si>
  <si>
    <t>Calle Manuel Azaña, 3, 30880 Águilas, Murcia</t>
  </si>
  <si>
    <t>Águilas</t>
  </si>
  <si>
    <t>casadelasflores.es</t>
  </si>
  <si>
    <t>968 44 99 53</t>
  </si>
  <si>
    <t>floristeria@casadelasflores.es</t>
  </si>
  <si>
    <t>Ortiz Events Ortiz Floristas</t>
  </si>
  <si>
    <t>Isidoro De La Cierva, 24, Calle Francisco Díaz Romero, 29, Bj B, 30880 Águilas, Murcia</t>
  </si>
  <si>
    <t>968 44 79 79</t>
  </si>
  <si>
    <t>Ki Hana decora</t>
  </si>
  <si>
    <t>kihanadecora.com</t>
  </si>
  <si>
    <t>629 17 47 63</t>
  </si>
  <si>
    <t>Flores y Lápidas San Clemente</t>
  </si>
  <si>
    <t>Unnamed Road, 30813, 30800 Lorca, Murcia</t>
  </si>
  <si>
    <t>968 47 10 39</t>
  </si>
  <si>
    <t>Floristería Núñez</t>
  </si>
  <si>
    <t>Calle Ermitagaña, 2, BJ, 31008 Pamplona, Navarra</t>
  </si>
  <si>
    <t>Pamplona</t>
  </si>
  <si>
    <t>floristeriapamplona.com</t>
  </si>
  <si>
    <t>948 27 28 03</t>
  </si>
  <si>
    <t>Torrens Floristería PAMPLONA</t>
  </si>
  <si>
    <t>Calle de Irunlarrea, 6, 31008 Pamplona, Navarra</t>
  </si>
  <si>
    <t>floristeriatorrens.com</t>
  </si>
  <si>
    <t>948 25 61 32</t>
  </si>
  <si>
    <t>tienda@floristeriatorrens.com</t>
  </si>
  <si>
    <t>FLORISTERIA NUÑEZ</t>
  </si>
  <si>
    <t>Calle Castillo de Maya, 36, 31004 Pamplona, Navarra</t>
  </si>
  <si>
    <t>948 98 17 77</t>
  </si>
  <si>
    <t>Floristería Selva</t>
  </si>
  <si>
    <t>Calle de Irunlarrea, 5, 31008 Pamplona, Navarra</t>
  </si>
  <si>
    <t>948 17 41 96</t>
  </si>
  <si>
    <t>Floristería Garralda</t>
  </si>
  <si>
    <t>Calle de la Nogalera, 26, 31600 Burlada, Navarra</t>
  </si>
  <si>
    <t>Burlada</t>
  </si>
  <si>
    <t>floristeriagarralda.com</t>
  </si>
  <si>
    <t>948 23 88 39</t>
  </si>
  <si>
    <t>Floristería El Árbol</t>
  </si>
  <si>
    <t>Calle Paulino Caballero, 44, 31004 Pamplona, Navarra</t>
  </si>
  <si>
    <t>floristeriaelarbol.es</t>
  </si>
  <si>
    <t>948 23 96 49</t>
  </si>
  <si>
    <t>correo@floristeriaelarbol.es</t>
  </si>
  <si>
    <t>Floristería Nekane</t>
  </si>
  <si>
    <t>Calle Martín Azpilcueta, 21, BAJO, 31011 Pamplona, Navarra</t>
  </si>
  <si>
    <t>floristerianekane.com</t>
  </si>
  <si>
    <t>948 25 39 92</t>
  </si>
  <si>
    <t>info@floristerianekane.com</t>
  </si>
  <si>
    <t>Floristería Jesús Guillén</t>
  </si>
  <si>
    <t>Barrio de La Morea Galería Com. Hiper Leclerc, 31191 Cordovilla, Navarra</t>
  </si>
  <si>
    <t>Cordovilla</t>
  </si>
  <si>
    <t>floristeriajesusguillen.com</t>
  </si>
  <si>
    <t>948 15 26 39</t>
  </si>
  <si>
    <t>info@floristeriajesusguillen.com</t>
  </si>
  <si>
    <t>Floristería San Fermín</t>
  </si>
  <si>
    <t>Av. Galicia, 1, 31003 Pamplona, Navarra</t>
  </si>
  <si>
    <t>floristeriasanfermin.com</t>
  </si>
  <si>
    <t>948 24 49 78</t>
  </si>
  <si>
    <t>Flores Krabelin</t>
  </si>
  <si>
    <t>Calle San Saturnino, 1, 31001 Pamplona, Navarra</t>
  </si>
  <si>
    <t>krabeliniruna.com</t>
  </si>
  <si>
    <t>948 22 27 98</t>
  </si>
  <si>
    <t>Floristería Arte Floral</t>
  </si>
  <si>
    <t>Calle Don Miguel Eza, 12, 31500 Tudela, Navarra</t>
  </si>
  <si>
    <t>Tudela</t>
  </si>
  <si>
    <t>FLORISTERIA TORRENS</t>
  </si>
  <si>
    <t>Mercado Nuevo, S/N puesto numero 30, 31002 Pamplona, Navarra</t>
  </si>
  <si>
    <t>948 23 11 83</t>
  </si>
  <si>
    <t>Avd.don, Av. Marcelo Celayeta, Nº 84, 31014 Pamplona, Navarra</t>
  </si>
  <si>
    <t>floristerialahuerta.com</t>
  </si>
  <si>
    <t>948 12 61 55</t>
  </si>
  <si>
    <t>info@floristerialahuerta.com</t>
  </si>
  <si>
    <t>Floristería Ezpeldi</t>
  </si>
  <si>
    <t>Paseo Federico Soto, 6, 31015 Pamplona, Navarra</t>
  </si>
  <si>
    <t>ezpeldifloristeria.com</t>
  </si>
  <si>
    <t>948 13 25 44</t>
  </si>
  <si>
    <t>Calle Capuchinos, 14, 31500 Tudela, Navarra</t>
  </si>
  <si>
    <t>floristerianenufar.net</t>
  </si>
  <si>
    <t>948 82 66 60</t>
  </si>
  <si>
    <t>jorgenenufar@hotmail.com</t>
  </si>
  <si>
    <t>Floristería Makoyana 1979</t>
  </si>
  <si>
    <t>Calle Gustavo de Maeztu, 2, 31200 Estella, Navarra</t>
  </si>
  <si>
    <t>Estella</t>
  </si>
  <si>
    <t>makoyana.com</t>
  </si>
  <si>
    <t>948 55 26 24</t>
  </si>
  <si>
    <t>ncodeart.newsletter@gmail.com</t>
  </si>
  <si>
    <t>Floristería Lislore</t>
  </si>
  <si>
    <t>Calle Mayor, 70, 31001 Pamplona, Navarra</t>
  </si>
  <si>
    <t>floristerialislore.es</t>
  </si>
  <si>
    <t>948 22 51 79</t>
  </si>
  <si>
    <t>Floristería Txantrea</t>
  </si>
  <si>
    <t>Calle Santesteban, nº 15, 31015 Pamplona, Navarra</t>
  </si>
  <si>
    <t>floristeriatxantrea.com</t>
  </si>
  <si>
    <t>948 12 36 64</t>
  </si>
  <si>
    <t>FLORESTHER abejeras</t>
  </si>
  <si>
    <t>Calle Abejeras, 18 Bis, 31007 Pamplona, Navarra</t>
  </si>
  <si>
    <t>florestherabejeras.com</t>
  </si>
  <si>
    <t>630 08 30 87</t>
  </si>
  <si>
    <t>info@florestherabejeras.com</t>
  </si>
  <si>
    <t>Calle Estella, 9, 31002 Pamplona, Navarra</t>
  </si>
  <si>
    <t>948 22 53 06</t>
  </si>
  <si>
    <t>Elizgebela s/n, 31600 Burlada</t>
  </si>
  <si>
    <t>floristeriapetalos.es</t>
  </si>
  <si>
    <t>948 14 69 18</t>
  </si>
  <si>
    <t>Floristería Torrens Avenida Bayona</t>
  </si>
  <si>
    <t>Av. de Bayona, 3, 31011 Pamplona, Navarra</t>
  </si>
  <si>
    <t>948 27 75 27</t>
  </si>
  <si>
    <t>Flores Camelia</t>
  </si>
  <si>
    <t>Calle Monasterio de Irache, 68, 31011 Pamplona, Navarra</t>
  </si>
  <si>
    <t>florescamelia.es</t>
  </si>
  <si>
    <t>948 26 17 90</t>
  </si>
  <si>
    <t>Floristería Ilaga</t>
  </si>
  <si>
    <t>Calle Diputación Foral, 7, 31300 Tafalla, Navarra</t>
  </si>
  <si>
    <t>Tafalla</t>
  </si>
  <si>
    <t>floristeriailaga.com</t>
  </si>
  <si>
    <t>948 70 15 70</t>
  </si>
  <si>
    <t>info@floristeriailaga.com</t>
  </si>
  <si>
    <t>Flor Center Floristas</t>
  </si>
  <si>
    <t>Calle el Aire, 25, 31580 Lodosa, Navarra</t>
  </si>
  <si>
    <t>Lodosa</t>
  </si>
  <si>
    <t>948 69 31 32</t>
  </si>
  <si>
    <t>FLORISTERIA AYETE CAPARROSO</t>
  </si>
  <si>
    <t>Calle Guindul, 12, 31380 Caparroso, Navarra</t>
  </si>
  <si>
    <t>Caparroso</t>
  </si>
  <si>
    <t>floristeria-ayete.negocio.site</t>
  </si>
  <si>
    <t>625 69 69 27</t>
  </si>
  <si>
    <t>Floristería Lorea</t>
  </si>
  <si>
    <t>C. San Juan, 52, Bajo, 31800 Alsasua – Altsasu, Navarra</t>
  </si>
  <si>
    <t>Alsasua</t>
  </si>
  <si>
    <t>floristerialorea.net</t>
  </si>
  <si>
    <t>948 46 74 26</t>
  </si>
  <si>
    <t>info@floristerialorea.net</t>
  </si>
  <si>
    <t>Floristería Zubieta</t>
  </si>
  <si>
    <t>Calle Av. Navarra, 38, 31515 Cadreita, Navarra</t>
  </si>
  <si>
    <t>Cadreita</t>
  </si>
  <si>
    <t>948 83 63 98</t>
  </si>
  <si>
    <t>Loren Kabia Floristería</t>
  </si>
  <si>
    <t>Calle Monasterio de Irache, 62, 31011 Pamplona, Navarra</t>
  </si>
  <si>
    <t>tirapu-zoroquiain.com</t>
  </si>
  <si>
    <t>948 27 29 59</t>
  </si>
  <si>
    <t>Flores Secas Liquen</t>
  </si>
  <si>
    <t>Calle Paulino Caballero, 24, 31003 Pamplona, Navarra</t>
  </si>
  <si>
    <t>liquenpamplona.es</t>
  </si>
  <si>
    <t>948 15 01 14</t>
  </si>
  <si>
    <t>luis.informatico@yahoo.es</t>
  </si>
  <si>
    <t>Floristería Villa Miranda</t>
  </si>
  <si>
    <t>Calle García Castañón, 4, 31001 Pamplona, Navarra</t>
  </si>
  <si>
    <t>floristeriavillamiranda.com</t>
  </si>
  <si>
    <t>948 22 03 91</t>
  </si>
  <si>
    <t>Floristeria ELENA</t>
  </si>
  <si>
    <t>Calle Carlos VII, 22, 31200 Estella, Navarra</t>
  </si>
  <si>
    <t>637 24 99 92</t>
  </si>
  <si>
    <t>Floristería Azalea</t>
  </si>
  <si>
    <t>Erreniega Parkea, 71, 31180 Zizur Mayor, Navarra</t>
  </si>
  <si>
    <t>Zizur Mayor</t>
  </si>
  <si>
    <t>948 18 41 18</t>
  </si>
  <si>
    <t>Arrosalin</t>
  </si>
  <si>
    <t>Calle Etxaburua, 8, 31013 Berriozar, Navarra</t>
  </si>
  <si>
    <t>Berriozar</t>
  </si>
  <si>
    <t>948 35 44 65</t>
  </si>
  <si>
    <t>Calle, Travesía Balate, 3, BAJO, 31400 Sangüesa, Navarra</t>
  </si>
  <si>
    <t>Sangüesa</t>
  </si>
  <si>
    <t>floristerialorea.es</t>
  </si>
  <si>
    <t>948 87 07 03</t>
  </si>
  <si>
    <t>nati@plantaslorea.com</t>
  </si>
  <si>
    <t>Floristería Esther Floristas</t>
  </si>
  <si>
    <t>Calle Muro, 17 bis, 31500 Tudela, Navarra</t>
  </si>
  <si>
    <t>gardenesther.com</t>
  </si>
  <si>
    <t>948 82 08 83</t>
  </si>
  <si>
    <t>info@gardenesther.com</t>
  </si>
  <si>
    <t>Floristería Jardiflor</t>
  </si>
  <si>
    <t>Bajo, 31500, Calle Capuchinos, 12, 31500 Tudela, Navarra</t>
  </si>
  <si>
    <t>jardiflor.net</t>
  </si>
  <si>
    <t>948 41 20 70</t>
  </si>
  <si>
    <t>Calle San José, 6, 31370 Falces, Navarra</t>
  </si>
  <si>
    <t>Falces</t>
  </si>
  <si>
    <t>floristeriamaite.com</t>
  </si>
  <si>
    <t>948 73 46 20</t>
  </si>
  <si>
    <t>info@floristeriamaite.com</t>
  </si>
  <si>
    <t>Floristería Nines Florista</t>
  </si>
  <si>
    <t>Av. de Pío XII, 34, 31007 Pamplona, Navarra</t>
  </si>
  <si>
    <t>ninesflorista.com</t>
  </si>
  <si>
    <t>948 27 80 08</t>
  </si>
  <si>
    <t>Floristería Bubur</t>
  </si>
  <si>
    <t>Calle Esquíroz, 28, 31007 Pamplona, Navarra</t>
  </si>
  <si>
    <t>floristeriabubur.es</t>
  </si>
  <si>
    <t>948 27 73 68</t>
  </si>
  <si>
    <t>Av. de Pío XII, 13, 31008 Pamplona, Navarra</t>
  </si>
  <si>
    <t>Pagotxa floristería loradenda</t>
  </si>
  <si>
    <t>Calle Karrobide, 9, 31610 Villava, Navarra</t>
  </si>
  <si>
    <t>Villava</t>
  </si>
  <si>
    <t>pagotxafloristeria.com</t>
  </si>
  <si>
    <t>948 48 36 50</t>
  </si>
  <si>
    <t>pagotxa.villava@gmail.com</t>
  </si>
  <si>
    <t>Floristería Villanueva</t>
  </si>
  <si>
    <t>Lugar Mercado Nuevo, C/Amaya con C/Tafalla, 31004 Pamplona, Navarra</t>
  </si>
  <si>
    <t>948 23 86 89</t>
  </si>
  <si>
    <t>Curcuma - arte floral</t>
  </si>
  <si>
    <t>Calle García el Restaurador, Nº10, BAJO, 31240 Estella, Navarra</t>
  </si>
  <si>
    <t>630 02 68 55</t>
  </si>
  <si>
    <t>Floristería Lauxan (Ana)</t>
  </si>
  <si>
    <t>Calle Mayor, 67, 31540 Buñuel, Navarra</t>
  </si>
  <si>
    <t>Buñuel</t>
  </si>
  <si>
    <t>695 37 31 34</t>
  </si>
  <si>
    <t>FLORISTERÍA PAMPLONA</t>
  </si>
  <si>
    <t>Calle Ermitagaña, 2, bajo, 31008 Pamplona, Navarra</t>
  </si>
  <si>
    <t>Lugar Barrio Morea, 0 S N, 31191 Galar</t>
  </si>
  <si>
    <t>Galar</t>
  </si>
  <si>
    <t>948 15 22 63</t>
  </si>
  <si>
    <t>Floristería la Casa de las Flores</t>
  </si>
  <si>
    <t>Calle Mayor, 44, 31390 Olite, Navarra</t>
  </si>
  <si>
    <t>Olite</t>
  </si>
  <si>
    <t>lacasadelasfloresolite.es</t>
  </si>
  <si>
    <t>948 74 10 36</t>
  </si>
  <si>
    <t>BAJO, Calle Del Pozo, 6, 31593 Fitero, Navarra</t>
  </si>
  <si>
    <t>Fitero</t>
  </si>
  <si>
    <t>floristeriakentia.info</t>
  </si>
  <si>
    <t>696 85 50 96</t>
  </si>
  <si>
    <t>bilbao@comercialmaro.biz</t>
  </si>
  <si>
    <t>Floristería Mi Jardín</t>
  </si>
  <si>
    <t>Calle Miguel Pérez, 10, 31587 Mendavia, Navarra</t>
  </si>
  <si>
    <t>Mendavia</t>
  </si>
  <si>
    <t>948 69 51 98</t>
  </si>
  <si>
    <t>Floristeria Acacia</t>
  </si>
  <si>
    <t>Calle Mayor, 7, 31300 Tafalla, Navarra</t>
  </si>
  <si>
    <t>floristeriaacacia.es</t>
  </si>
  <si>
    <t>948 70 20 71</t>
  </si>
  <si>
    <t>info@floristeriaacacia.es</t>
  </si>
  <si>
    <t>Floristería Sarasate C B</t>
  </si>
  <si>
    <t>Av. Pamplona, 13, 31010 Barañáin, Navarra</t>
  </si>
  <si>
    <t>Barañáin</t>
  </si>
  <si>
    <t>948 18 55 10</t>
  </si>
  <si>
    <t>Floristería Luisa</t>
  </si>
  <si>
    <t>Calle Av. Diputación, 13, 31550 Ribaforada, Navarra</t>
  </si>
  <si>
    <t>Ribaforada</t>
  </si>
  <si>
    <t>948 86 42 39</t>
  </si>
  <si>
    <t>Floristería Cúrcuma</t>
  </si>
  <si>
    <t>Calle García el Restaurador, 10, bajo, 31200 Estella, Navarra</t>
  </si>
  <si>
    <t>floristeriaestella.com</t>
  </si>
  <si>
    <t>948 78 39 80</t>
  </si>
  <si>
    <t>info@floristeriaestella.com</t>
  </si>
  <si>
    <t>Biarritz</t>
  </si>
  <si>
    <t>Calle de San Miguel, 31001 Pamplona, Navarra</t>
  </si>
  <si>
    <t>artefloralbiarritz.com</t>
  </si>
  <si>
    <t>948 22 25 99</t>
  </si>
  <si>
    <t>info@artefloralbiarritz.com</t>
  </si>
  <si>
    <t>Floristería Guillermo Guillén</t>
  </si>
  <si>
    <t>Centro Comercial la Toscana NA115- KM 0,5, Carretera, 31300 Tafalla, Navarra</t>
  </si>
  <si>
    <t>floristeriaguillermoguillen.com</t>
  </si>
  <si>
    <t>948 70 47 80</t>
  </si>
  <si>
    <t>floristeriaguillermoguillen@gmail.com</t>
  </si>
  <si>
    <t>Av. Marcelo Celayeta, 32, 31014 Pamplona, Navarra</t>
  </si>
  <si>
    <t>948 14 42 78</t>
  </si>
  <si>
    <t>Floristería Hermoso</t>
  </si>
  <si>
    <t>Calle Dr. Huarte de San Juan, 8, 31200 Estella, Navarra</t>
  </si>
  <si>
    <t>948 54 62 71</t>
  </si>
  <si>
    <t>Calle Padre Barace, 2, 31007 Pamplona, Navarra</t>
  </si>
  <si>
    <t>948 27 39 54</t>
  </si>
  <si>
    <t>Frutería Floristería Noáin</t>
  </si>
  <si>
    <t>Calle Real, 44, 31110 Noáin, Navarra</t>
  </si>
  <si>
    <t>Noáin</t>
  </si>
  <si>
    <t>948 31 72 15</t>
  </si>
  <si>
    <t>Garden center y floristería Esther</t>
  </si>
  <si>
    <t>Camino Tellería, 57A, 31793 Narbarte, Navarra</t>
  </si>
  <si>
    <t>Narbarte</t>
  </si>
  <si>
    <t>948 59 22 00</t>
  </si>
  <si>
    <t>G.A.M.A Plantas y complementos para huerta y jardin</t>
  </si>
  <si>
    <t>Calle del Dr. Simonena, N6, bajo 6, 31012 Pamplona, Navarra</t>
  </si>
  <si>
    <t>661 38 35 43</t>
  </si>
  <si>
    <t>Edelweiss</t>
  </si>
  <si>
    <t>Calle las Merindades, 5, 31590 Castejón, Navarra</t>
  </si>
  <si>
    <t>Castejón</t>
  </si>
  <si>
    <t>948 77 02 82</t>
  </si>
  <si>
    <t>FLORISTERIA-Guillermo Martínez Arzoz Fitosanitarios</t>
  </si>
  <si>
    <t>Calle Merkatondoa, 11, 31200 Estella, Navarra</t>
  </si>
  <si>
    <t>948 55 10 22</t>
  </si>
  <si>
    <t>Floristería Mª Antonia</t>
  </si>
  <si>
    <t>Plaza Marqués de Villena, 2, 31340 Marcilla, Navarra</t>
  </si>
  <si>
    <t>Marcilla</t>
  </si>
  <si>
    <t>948 75 72 65</t>
  </si>
  <si>
    <t>Floristería 13 Udaberri Loredenda</t>
  </si>
  <si>
    <t>Calle García Ximénez, 31, 31800 Alsasua – Altsasu, Navarra</t>
  </si>
  <si>
    <t>13udaberriloredenda.com</t>
  </si>
  <si>
    <t>948 56 42 60</t>
  </si>
  <si>
    <t>Floristeria Tere</t>
  </si>
  <si>
    <t>Calle Tejedores, 5, 31350 Peralta, Navarra</t>
  </si>
  <si>
    <t>Peralta</t>
  </si>
  <si>
    <t>Floristería Arancha</t>
  </si>
  <si>
    <t>Calle Moncayo, 64, 31590 Castejón, Navarra</t>
  </si>
  <si>
    <t>ZU FLORISTERIA Zu Loredenda Eta Dekorazioa</t>
  </si>
  <si>
    <t>Altzate Karrika, 33, 31780 Bera, Navarre</t>
  </si>
  <si>
    <t>Bera</t>
  </si>
  <si>
    <t>Navarre</t>
  </si>
  <si>
    <t>948 62 57 86</t>
  </si>
  <si>
    <t>Floristeria Royuela</t>
  </si>
  <si>
    <t>Calle Irurzun, 17, 31350 Peralta, Navarra</t>
  </si>
  <si>
    <t>floristeriaroyuela.com</t>
  </si>
  <si>
    <t>606 07 81 51</t>
  </si>
  <si>
    <t>Viveros Y Jardinería Lahoz S L</t>
  </si>
  <si>
    <t>Calle Aquiles Cuadra, 11, 31500 Tudela, Navarra</t>
  </si>
  <si>
    <t>948 82 08 19</t>
  </si>
  <si>
    <t>Aránzazu Iturraran Martínez</t>
  </si>
  <si>
    <t>Marta Ciprián Moreno</t>
  </si>
  <si>
    <t>948 24 49 75</t>
  </si>
  <si>
    <t>Bitxi Lore</t>
  </si>
  <si>
    <t>Elbarren Kalea, 59, 31880 Leitza, Navarre</t>
  </si>
  <si>
    <t>Leitza</t>
  </si>
  <si>
    <t>948 51 06 54</t>
  </si>
  <si>
    <t>FLORISTERÍA LANDARE</t>
  </si>
  <si>
    <t>Calle Lerín, 13, 31013 Ansoáin, Navarra</t>
  </si>
  <si>
    <t>Ansoáin</t>
  </si>
  <si>
    <t>floristerialandare.es</t>
  </si>
  <si>
    <t>948 13 20 15</t>
  </si>
  <si>
    <t>info@floristerialandare.es</t>
  </si>
  <si>
    <t>LOTTUS DETALLES Y FLORES</t>
  </si>
  <si>
    <t>Calle Sagües, 6, 31180 Zizur Mayor, Navarra</t>
  </si>
  <si>
    <t>663 59 98 16</t>
  </si>
  <si>
    <t>Gama</t>
  </si>
  <si>
    <t>Calle Tajadas, 4, 31591 Corella, Navarra</t>
  </si>
  <si>
    <t>Calle Jaime Urrutia, 21, 31700 Elizondo, Navarra</t>
  </si>
  <si>
    <t>Elizondo</t>
  </si>
  <si>
    <t>948 58 10 53</t>
  </si>
  <si>
    <t>El Nogal</t>
  </si>
  <si>
    <t>Calle Valle del Roncal, 5, 31510 Fustiñana, Navarra</t>
  </si>
  <si>
    <t>Fustiñana</t>
  </si>
  <si>
    <t>948 83 99 43</t>
  </si>
  <si>
    <t>Flores Amaia</t>
  </si>
  <si>
    <t>Paraje la Venta, s/n, 31579 Cárcar, Navarra</t>
  </si>
  <si>
    <t>Cárcar</t>
  </si>
  <si>
    <t>948 69 05 57</t>
  </si>
  <si>
    <t>Txirula</t>
  </si>
  <si>
    <t>Albistur Kalea, 39, 31770 Lesaka, Navarre</t>
  </si>
  <si>
    <t>Lesaca</t>
  </si>
  <si>
    <t>948 62 75 42</t>
  </si>
  <si>
    <t>Flores Campa 2</t>
  </si>
  <si>
    <t>Calle Araciel, 30, 26540 Alfaro, La Rioja</t>
  </si>
  <si>
    <t>645 82 75 20</t>
  </si>
  <si>
    <t>Tocados Mariana</t>
  </si>
  <si>
    <t>Calle Amaya, 7, 3B, 31002 Pamplona, Navarra</t>
  </si>
  <si>
    <t>tocadosmariana.com</t>
  </si>
  <si>
    <t>690 78 99 62</t>
  </si>
  <si>
    <t>tocadosmariana@gmail.com</t>
  </si>
  <si>
    <t>Floristería Bilbao Gandarias</t>
  </si>
  <si>
    <t>Ibáñez de Bilbao Kalea, 17, 48009 Bilbo, Bizkaia</t>
  </si>
  <si>
    <t>Bilbao</t>
  </si>
  <si>
    <t>florbilbao.com</t>
  </si>
  <si>
    <t>944 24 55 36</t>
  </si>
  <si>
    <t>logo-dark@2x.png</t>
  </si>
  <si>
    <t>Flores Bizkaia</t>
  </si>
  <si>
    <t>Edificio tucan, Travesía de Iparragirre, Nº 8, 48940 Leioa, BI</t>
  </si>
  <si>
    <t>Lejona</t>
  </si>
  <si>
    <t>floresbizkaia.es</t>
  </si>
  <si>
    <t>944 63 02 64</t>
  </si>
  <si>
    <t>Floristería Bilbao Gandarias - Florbilbao.com</t>
  </si>
  <si>
    <t>Calle las Mercedes Kalea, 17, 48930 Getxo, Bizkaia</t>
  </si>
  <si>
    <t>Guecho</t>
  </si>
  <si>
    <t>944 63 45 32</t>
  </si>
  <si>
    <t>Floristería Inés Quintana</t>
  </si>
  <si>
    <t>Calle, Urkixo Zumarkalea, 27, 48008 Bilbo, Bizkaia</t>
  </si>
  <si>
    <t>inesquintana.com</t>
  </si>
  <si>
    <t>944 10 28 06</t>
  </si>
  <si>
    <t>Floristeria Rementeria</t>
  </si>
  <si>
    <t>Rafaela Ybarra Kalea, 12, 48014 Bilbo, Bizkaia</t>
  </si>
  <si>
    <t>floristeriarementeria.com</t>
  </si>
  <si>
    <t>944 75 42 78</t>
  </si>
  <si>
    <t>floristeriarementeria@gmail.com</t>
  </si>
  <si>
    <t>Floristería Loraketa Arte floral</t>
  </si>
  <si>
    <t>Eleizalde Kalea, 15, 48610 Urduliz, Bizkaia</t>
  </si>
  <si>
    <t>Urdúliz</t>
  </si>
  <si>
    <t>loraketa.com</t>
  </si>
  <si>
    <t>685 73 04 95</t>
  </si>
  <si>
    <t>nekaneloraketa@gmail.com</t>
  </si>
  <si>
    <t>Floristería Avi-flor</t>
  </si>
  <si>
    <t>Kalea Manuel Allende, 19, 48010 Bilbo, Bizkaia</t>
  </si>
  <si>
    <t>avi-flor.com</t>
  </si>
  <si>
    <t>944 21 05 74</t>
  </si>
  <si>
    <t>Floristería Lore Bai Loradenda</t>
  </si>
  <si>
    <t>San Mames Zumarkalea, 28, 48010 Bilbo, Bizkaia</t>
  </si>
  <si>
    <t>944 10 21 30</t>
  </si>
  <si>
    <t>Floristerias Inés Quintana</t>
  </si>
  <si>
    <t>María Díaz Haroko Kalea, 16, 48013 Bilbo, Bizkaia</t>
  </si>
  <si>
    <t>944 42 44 24</t>
  </si>
  <si>
    <t>Urkixo Zumarkalea, 27, 48008 Bilbo, Bizkaia</t>
  </si>
  <si>
    <t>Floristeria Gordóniz</t>
  </si>
  <si>
    <t>Gordóniz Kalea, 7, 48010 Bilbo, Bizkaia</t>
  </si>
  <si>
    <t>944 21 46 01</t>
  </si>
  <si>
    <t>FLORISTERIA ENEIDA</t>
  </si>
  <si>
    <t>Agirre Lehendakaria Kalea, 31, 48970 Basauri, Bizkaia</t>
  </si>
  <si>
    <t>Basauri</t>
  </si>
  <si>
    <t>944 40 26 35</t>
  </si>
  <si>
    <t>Floristería Imabel</t>
  </si>
  <si>
    <t>Euskadi Etorbidea, 22, 48902 Barakaldo, Bizkaia</t>
  </si>
  <si>
    <t>Baracaldo</t>
  </si>
  <si>
    <t>floristeriaimabel.es</t>
  </si>
  <si>
    <t>944 99 73 65</t>
  </si>
  <si>
    <t>info@floristeriaimabel.es</t>
  </si>
  <si>
    <t>Floristería &amp;quot;Flores Elorz&amp;quot;</t>
  </si>
  <si>
    <t>Don Diego López Haroko Kale Nagusia, 79, 48009 Bilbo, Bizkaia</t>
  </si>
  <si>
    <t>946 48 14 40</t>
  </si>
  <si>
    <t>Floristería Flormasflor</t>
  </si>
  <si>
    <t>Uribitarte Kalea, 10, 48001 Bilbo, Bizkaia</t>
  </si>
  <si>
    <t>685 85 61 85</t>
  </si>
  <si>
    <t>FLORISTERIA HIEDRA</t>
  </si>
  <si>
    <t>Agirre Lehendakariaren Etorb., 185, 48015 Bilbo, Bizkaia</t>
  </si>
  <si>
    <t>floristeriahiedra.com</t>
  </si>
  <si>
    <t>944 75 06 30</t>
  </si>
  <si>
    <t>Puri@floristeriahiedra.com</t>
  </si>
  <si>
    <t>Landatxu Loradenda</t>
  </si>
  <si>
    <t>Poza Lizentziatuaren Kalea, 26, 48009 Bilbo, Bizkaia</t>
  </si>
  <si>
    <t>619 53 15 74</t>
  </si>
  <si>
    <t>LOREAKERI FLORISTERIA</t>
  </si>
  <si>
    <t>La Bondad Kalea, 12, 48901 Barakaldo, Bizkaia</t>
  </si>
  <si>
    <t>loreakerifloristeria.es</t>
  </si>
  <si>
    <t>946 07 42 86</t>
  </si>
  <si>
    <t>info@loreakerifloristeria.es</t>
  </si>
  <si>
    <t>Lekanda Floristas</t>
  </si>
  <si>
    <t>Lauaxeta Olerkari Kalea, 6, 48100 Mungia, Bizkaia</t>
  </si>
  <si>
    <t>Munguía</t>
  </si>
  <si>
    <t>lekandafloristas.com</t>
  </si>
  <si>
    <t>946 15 60 32</t>
  </si>
  <si>
    <t>info@lekandafloristas.com</t>
  </si>
  <si>
    <t>Floristería Lora Denda Gema Fernández De Aguirre</t>
  </si>
  <si>
    <t>Begoñako Andra Mari Kalea, 12, 48970 Basauri, Bizkaia</t>
  </si>
  <si>
    <t>944 49 50 39</t>
  </si>
  <si>
    <t>Flores y Plantas Mariflor</t>
  </si>
  <si>
    <t>Euskadi Etorbidea, 81, 48903 Barakaldo, Bizkaia</t>
  </si>
  <si>
    <t>floresyplantasmariflor.es</t>
  </si>
  <si>
    <t>946 55 99 71</t>
  </si>
  <si>
    <t>Flores Allende</t>
  </si>
  <si>
    <t>Calle las Mercedes Kalea, 10, 48930 Getxo, Bizkaia</t>
  </si>
  <si>
    <t>floresallende.es</t>
  </si>
  <si>
    <t>944 63 83 39</t>
  </si>
  <si>
    <t>Floristería Santutxu</t>
  </si>
  <si>
    <t>Arambarri Músico Kalea, 3, 48004 Bilbo, Bizkaia</t>
  </si>
  <si>
    <t>floristeriasantutxu.com</t>
  </si>
  <si>
    <t>944 11 50 40</t>
  </si>
  <si>
    <t>info@floristeriasantutxu.com</t>
  </si>
  <si>
    <t>Flores Naturales Vascoflor</t>
  </si>
  <si>
    <t>Eretza Mendiaren Kalea, 23, 48003 Bilbo, Bizkaia</t>
  </si>
  <si>
    <t>Floristería Loradenda Leioa</t>
  </si>
  <si>
    <t>Iparragirre Etorbidea, 14, 48940 Leioa, Bizkaia</t>
  </si>
  <si>
    <t>floresleioa.com</t>
  </si>
  <si>
    <t>944 64 60 04</t>
  </si>
  <si>
    <t>Autonomia Kalea, 78, 48012 Bilbo, Bizkaia</t>
  </si>
  <si>
    <t>alhelibilbao.negocio.site</t>
  </si>
  <si>
    <t>628 51 24 09</t>
  </si>
  <si>
    <t>Floristería San Vicente</t>
  </si>
  <si>
    <t>Calle Kanpeta, 2, 48902 Barakaldo, BI</t>
  </si>
  <si>
    <t>floristeriasanvicente.com</t>
  </si>
  <si>
    <t>944 38 15 17</t>
  </si>
  <si>
    <t>Flores Rementeria</t>
  </si>
  <si>
    <t>Larrakotorre Kalea, 2, 48015 Bilbo, Bizkaia</t>
  </si>
  <si>
    <t>floresrementeria.com</t>
  </si>
  <si>
    <t>944 76 16 50</t>
  </si>
  <si>
    <t>rementeria@floresrementeria.com</t>
  </si>
  <si>
    <t>Flores Becedas</t>
  </si>
  <si>
    <t>Aperribai Auzoa, 51, 48960 Agirre-Aperribai, Bizkaia</t>
  </si>
  <si>
    <t>Agirre-Aperribai</t>
  </si>
  <si>
    <t>944 40 73 50</t>
  </si>
  <si>
    <t>Floristeria Liliak</t>
  </si>
  <si>
    <t>Erdiko Kalea, 2, 48160 Derio, Bizkaia</t>
  </si>
  <si>
    <t>Derio</t>
  </si>
  <si>
    <t>liliakloradenda.com</t>
  </si>
  <si>
    <t>944 54 12 23</t>
  </si>
  <si>
    <t>Flores Sabin</t>
  </si>
  <si>
    <t>Askatasun Etorbidea, 23, 48901 Barakaldo, Bizkaia</t>
  </si>
  <si>
    <t>605 52 92 90</t>
  </si>
  <si>
    <t>Floristería BOTANICA</t>
  </si>
  <si>
    <t>Lamana Kalea, 3, 1, 48003 Bilbo, BI</t>
  </si>
  <si>
    <t>botanicabilbao.com</t>
  </si>
  <si>
    <t>946 75 39 19</t>
  </si>
  <si>
    <t>Mercedes Rosa Triguero (Azahar Floristería)</t>
  </si>
  <si>
    <t>Juan de Garaigorta Kalea, 4, 48480 Arrigorriaga, Bizkaia</t>
  </si>
  <si>
    <t>Arrigorriaga</t>
  </si>
  <si>
    <t>946 07 28 27</t>
  </si>
  <si>
    <t>Colón de Larreátegui Kalea, 19, 48001 Bilbo, Bizkaia</t>
  </si>
  <si>
    <t>retamaflores.com</t>
  </si>
  <si>
    <t>944 22 22 81</t>
  </si>
  <si>
    <t>retamaflores@telefonica.net</t>
  </si>
  <si>
    <t>FLORISTERIA CENGOTITA</t>
  </si>
  <si>
    <t>Pablo Pedro Astarloa Kalea, 11 Bajo, 48200 Durango, Bizkaia</t>
  </si>
  <si>
    <t>Durango</t>
  </si>
  <si>
    <t>946 20 38 60</t>
  </si>
  <si>
    <t>Miguel Angel Jiménez Flores</t>
  </si>
  <si>
    <t>Arteta Aurelio Pintor Kalea, 3, 48004 Bilbo, Bizkaia</t>
  </si>
  <si>
    <t>944 11 82 28</t>
  </si>
  <si>
    <t>Floristería Rossas Loradenda</t>
  </si>
  <si>
    <t>Vía Galindo Kalea, 1 Tfno, 944720198, 48910 Sestao, Bizkaia</t>
  </si>
  <si>
    <t>Sestao</t>
  </si>
  <si>
    <t>944 72 01 98</t>
  </si>
  <si>
    <t>Anabel Florista</t>
  </si>
  <si>
    <t>Zorrotza Kastrexana Errepidea, 4, 48013 Bilbo, Bizkaia</t>
  </si>
  <si>
    <t>944 27 03 70</t>
  </si>
  <si>
    <t>Floristería Arriluze</t>
  </si>
  <si>
    <t>Club Kalea, 6, 48930 Getxo, Bizkaia</t>
  </si>
  <si>
    <t>floristeriaarriluze.com</t>
  </si>
  <si>
    <t>944 64 12 85</t>
  </si>
  <si>
    <t>info@floristeriaarriluze.com</t>
  </si>
  <si>
    <t>Mil Rosas Bilbao</t>
  </si>
  <si>
    <t>Ercilla Kalea, 25, 48011 Bilbo, Bizkaia</t>
  </si>
  <si>
    <t>milrosasbilbao.com</t>
  </si>
  <si>
    <t>944 15 27 91</t>
  </si>
  <si>
    <t>milrosas@milrosasbilbao.com</t>
  </si>
  <si>
    <t>Liana Floristas</t>
  </si>
  <si>
    <t>Elkano Kalea, 3, 48970 Basauri, Bizkaia</t>
  </si>
  <si>
    <t>lianafloristas.com</t>
  </si>
  <si>
    <t>944 40 61 11</t>
  </si>
  <si>
    <t>LuR Bilbao desde el día 10 de agosto permaneceremos cerrados debido a las tormentas Y la ubicación del local de LuR y los contiguos zona inundable. Esperando a que la propiedad ya solucione lo antes posible mientras tanto os atenderemos en el teléfono de la tienda 684 381 539 gracias</t>
  </si>
  <si>
    <t>General Concha, Urkixo Zumarkalea, 12, 48008 Bilbao, BI</t>
  </si>
  <si>
    <t>lurbilbao.com</t>
  </si>
  <si>
    <t>946 02 44 08</t>
  </si>
  <si>
    <t>lur@lurbilbao.com</t>
  </si>
  <si>
    <t>Muguet Floristas</t>
  </si>
  <si>
    <t>Gipuzkoa Kalea, 21, BAJO, 48960 Galdakao, Bizkaia</t>
  </si>
  <si>
    <t>Galdácano</t>
  </si>
  <si>
    <t>944 56 18 23</t>
  </si>
  <si>
    <t>Loregorri</t>
  </si>
  <si>
    <t>Avanzada Errepidea, 0 S N, 48940 Leioa, Bizkaia</t>
  </si>
  <si>
    <t>606 05 81 27</t>
  </si>
  <si>
    <t>Flores por Impulso</t>
  </si>
  <si>
    <t>Juan Bautista Uriarte Hiribidea, 42, 48960 Galdakao, Bizkaia</t>
  </si>
  <si>
    <t>944 56 82 04</t>
  </si>
  <si>
    <t>FLORISTERÍA KALA</t>
  </si>
  <si>
    <t>Etxetxua Plaza, 3, 48012 Bilbo, Bizkaia</t>
  </si>
  <si>
    <t>floristeria-kala.business.site</t>
  </si>
  <si>
    <t>944 43 87 27</t>
  </si>
  <si>
    <t>Floristeria Bekoa</t>
  </si>
  <si>
    <t>Lugar Grupo San Ignacio, 1, 48200 Durango, BI</t>
  </si>
  <si>
    <t>946 81 24 01</t>
  </si>
  <si>
    <t>Viguera Fernández, N.</t>
  </si>
  <si>
    <t>Los Fueros Ibilbidea, 20, 48901 Barakaldo, Bizkaia</t>
  </si>
  <si>
    <t>944 37 83 39</t>
  </si>
  <si>
    <t>Julia Floristas</t>
  </si>
  <si>
    <t>Serantes, 3, 48002 Bilbo, Bizkaia</t>
  </si>
  <si>
    <t>944 21 81 57</t>
  </si>
  <si>
    <t>Floristería Kiara</t>
  </si>
  <si>
    <t>Repélega Etorbidea, 11, 48920 Portugalete, Bizkaia</t>
  </si>
  <si>
    <t>floristeriaportugalete.com</t>
  </si>
  <si>
    <t>944 95 73 86</t>
  </si>
  <si>
    <t>Market Bilbao</t>
  </si>
  <si>
    <t>Colón de Larreátegui Kalea, 38, 48009 Bilbo, Bizkaia</t>
  </si>
  <si>
    <t>Flores Arantza</t>
  </si>
  <si>
    <t>Bidezabal Kalea, 13, 48993 Getxo, Bizkaia</t>
  </si>
  <si>
    <t>floresarantza.com</t>
  </si>
  <si>
    <t>944 60 20 30</t>
  </si>
  <si>
    <t>hola@floresarantza.com</t>
  </si>
  <si>
    <t>Floristería Nina</t>
  </si>
  <si>
    <t>Uriortu Kalea, 17, bajo, 48007 Bilbo, BI</t>
  </si>
  <si>
    <t>946 52 31 72</t>
  </si>
  <si>
    <t>Floristería Iraia Loradenda</t>
  </si>
  <si>
    <t>Cruces Plaza, L9-10, 48903 Hospital de Cruces, BI</t>
  </si>
  <si>
    <t>944 85 12 33</t>
  </si>
  <si>
    <t>Flores Lys</t>
  </si>
  <si>
    <t>Karmelo Kalea, s/n, 48004 Bilbo, Bizkaia</t>
  </si>
  <si>
    <t>944 11 69 82</t>
  </si>
  <si>
    <t>C/ Las Mercedes, 10, 48930 Las Arenas, BI</t>
  </si>
  <si>
    <t>Floristería Susana</t>
  </si>
  <si>
    <t>Askatasun Etorbidea, 45, 48901 Barakaldo, Bizkaia</t>
  </si>
  <si>
    <t>944 38 04 10</t>
  </si>
  <si>
    <t>Alameda de Recalde, 29, 48009 Bilbao, BI</t>
  </si>
  <si>
    <t>944 23 27 89</t>
  </si>
  <si>
    <t>Floreta, mucho más que decoración floral</t>
  </si>
  <si>
    <t>Joaquin Achucarro Arisqueta Kalea, 10, 48940 Leioa, Bizkaia</t>
  </si>
  <si>
    <t>floretadecoracionfloral.com</t>
  </si>
  <si>
    <t>652 72 86 90</t>
  </si>
  <si>
    <t>Floristería Garden Igorre</t>
  </si>
  <si>
    <t>Calle, URKIZU AUZOA, 2, 48140 Igorre, Bizkaia</t>
  </si>
  <si>
    <t>Yurre</t>
  </si>
  <si>
    <t>946 31 92 26</t>
  </si>
  <si>
    <t>Aintzane Loradenda</t>
  </si>
  <si>
    <t>Erremedio Kalea, 34, 48370 Bermeo, Bizkaia</t>
  </si>
  <si>
    <t>Bermeo</t>
  </si>
  <si>
    <t>606 35 88 28</t>
  </si>
  <si>
    <t>Floristería Eden</t>
  </si>
  <si>
    <t>Kalea Gurutzeta, 1 Cruces, Frente la boca del metro de cruces, 48903 Barakaldo, Bizkaia</t>
  </si>
  <si>
    <t>944 90 48 05</t>
  </si>
  <si>
    <t>Anefloristas</t>
  </si>
  <si>
    <t>Txori Erri Hiribidea, 46, 48150 Bizkaia</t>
  </si>
  <si>
    <t>Izartza</t>
  </si>
  <si>
    <t>616 11 22 98</t>
  </si>
  <si>
    <t>A. Basáñez Floristas</t>
  </si>
  <si>
    <t>Avenida Carlos VII Etorbidea, 5, 48920 Portugalete, Bizkaia</t>
  </si>
  <si>
    <t>944 83 79 32</t>
  </si>
  <si>
    <t>Floristería Nere Sustraiak Loradenda</t>
  </si>
  <si>
    <t>Uharte Kalea, 12, 48300 Gernika-Lumo, Bizkaia</t>
  </si>
  <si>
    <t>Guernica y Luno</t>
  </si>
  <si>
    <t>652 70 47 81</t>
  </si>
  <si>
    <t>Floristería Agus</t>
  </si>
  <si>
    <t>Calle Gernika, 24, 48970, BI</t>
  </si>
  <si>
    <t>944 40 28 97</t>
  </si>
  <si>
    <t>Floristería San Vicente JUAN</t>
  </si>
  <si>
    <t>Vrtarrilaren Hogeitabia Kalea, 2, 48902 Barakaldo, Bizkaia</t>
  </si>
  <si>
    <t>floristeria-juan.negocio.site</t>
  </si>
  <si>
    <t>944 37 53 98</t>
  </si>
  <si>
    <t>Floristería Amazonia</t>
  </si>
  <si>
    <t>Danok Bat Kalea, 12, 48920 Portugalete, Bizkaia</t>
  </si>
  <si>
    <t>floristeria-amazonia.com</t>
  </si>
  <si>
    <t>944 83 58 05</t>
  </si>
  <si>
    <t>info@floristeria-amazonia.com</t>
  </si>
  <si>
    <t>Mikel Zarate Kalea, 2, 48150 Basozabal, Bizkaia</t>
  </si>
  <si>
    <t>944 53 14 57</t>
  </si>
  <si>
    <t>Floristería Kanela</t>
  </si>
  <si>
    <t>Sollube Kalea, nº 7, 48960 Galdakao, Bizkaia</t>
  </si>
  <si>
    <t>mjflorkanela.blogspot.com.es</t>
  </si>
  <si>
    <t>946 07 76 50</t>
  </si>
  <si>
    <t>mjflorkanela@gmail.com</t>
  </si>
  <si>
    <t>Flor Fruits Eventos</t>
  </si>
  <si>
    <t>Ganeta Kalea, 6, 48930 Getxo, Bizkaia</t>
  </si>
  <si>
    <t>florfruitseventos.es</t>
  </si>
  <si>
    <t>625 70 85 16</t>
  </si>
  <si>
    <t>info@florfruitseventos.es</t>
  </si>
  <si>
    <t>Flores Sonia</t>
  </si>
  <si>
    <t>Torrene Kalea, 2, 48991 Getxo, Bizkaia</t>
  </si>
  <si>
    <t>floristeriasonia.com</t>
  </si>
  <si>
    <t>944 60 52 49</t>
  </si>
  <si>
    <t>Floristería Meabe</t>
  </si>
  <si>
    <t>Gran Vía Kalea, 3, 48460 Urduña, Bizkaia</t>
  </si>
  <si>
    <t>Orduña</t>
  </si>
  <si>
    <t>floristeriameabe.es</t>
  </si>
  <si>
    <t>669 37 92 68</t>
  </si>
  <si>
    <t>Gaiarre</t>
  </si>
  <si>
    <t>Julian Gaiarre Hiribidea, 82, 48004 Bilbo, Bizkaia</t>
  </si>
  <si>
    <t>944 73 35 68</t>
  </si>
  <si>
    <t>loregorri sestao</t>
  </si>
  <si>
    <t>San Pedro Plaza, 48910 Sestao, BI</t>
  </si>
  <si>
    <t>678 69 51 30</t>
  </si>
  <si>
    <t>Ibaizabal Kalea, 14, 48960 Galdakao, Bizkaia</t>
  </si>
  <si>
    <t>floralikebana.blogspot.com.es</t>
  </si>
  <si>
    <t>946 01 03 62</t>
  </si>
  <si>
    <t>floralikebana@yahoo.es</t>
  </si>
  <si>
    <t>Semillas, Plantas y Floristeria Mikel Zuazua</t>
  </si>
  <si>
    <t>Erronda Kalea, 22, 48005 Bilbo, Bizkaia</t>
  </si>
  <si>
    <t>mikelzuazua.com</t>
  </si>
  <si>
    <t>944 04 95 40</t>
  </si>
  <si>
    <t>info@mikelzuazua.com</t>
  </si>
  <si>
    <t>Calle la Cendeja, 21, 48550 Muskiz, BI</t>
  </si>
  <si>
    <t>946 70 61 23</t>
  </si>
  <si>
    <t>Uribesalgo Lorak</t>
  </si>
  <si>
    <t>Maspe Kalea, 3, 48215 Iurreta, Bizkaia</t>
  </si>
  <si>
    <t>Yurreta</t>
  </si>
  <si>
    <t>946 21 82 59</t>
  </si>
  <si>
    <t>Floristería LORALEKU Loradenda</t>
  </si>
  <si>
    <t>Barrenkale-Barrena Kalea, 6, 48300 Gernika-Lumo, Bizkaia</t>
  </si>
  <si>
    <t>loraleku.com</t>
  </si>
  <si>
    <t>946 25 43 37</t>
  </si>
  <si>
    <t>info@loraleku.com</t>
  </si>
  <si>
    <t>El Rincón de la flor</t>
  </si>
  <si>
    <t>Agirre Lehendakariaren Etorb., 155, 48015 Bilbo, Bizkaia</t>
  </si>
  <si>
    <t>elrincondelaflor.com</t>
  </si>
  <si>
    <t>944 02 22 84</t>
  </si>
  <si>
    <t>MARKET TALLER DE FLORES</t>
  </si>
  <si>
    <t>Maiatzaren Biko Kalea, 3, 48003 Bilbo, Bizkaia</t>
  </si>
  <si>
    <t>Floristería y Herboristería - Plentziako Loreak - Plentzia (Bizkaia)</t>
  </si>
  <si>
    <t>Erribera Kalea, 22, 48620 Plentzia, Bizkaia</t>
  </si>
  <si>
    <t>Plencia</t>
  </si>
  <si>
    <t>plentziakoloreak.com</t>
  </si>
  <si>
    <t>946 77 02 89</t>
  </si>
  <si>
    <t>Kimu Loradenda</t>
  </si>
  <si>
    <t>Iturritza Kalea, 45, 48240 Berriz, Bizkaia</t>
  </si>
  <si>
    <t>Bérriz</t>
  </si>
  <si>
    <t>kimuloradenda.es</t>
  </si>
  <si>
    <t>946 82 42 28</t>
  </si>
  <si>
    <t>Ruiz de Ocenda</t>
  </si>
  <si>
    <t>Heros Kalea, 18, 48008 Bilbo, Bizkaia</t>
  </si>
  <si>
    <t>ruizdeocenda.com</t>
  </si>
  <si>
    <t>944 43 35 05</t>
  </si>
  <si>
    <t>Martínez Floristas</t>
  </si>
  <si>
    <t>Neguri Hiribidea, 15, 48992 Getxo, Bizkaia</t>
  </si>
  <si>
    <t>944 91 15 62</t>
  </si>
  <si>
    <t>Juan Bautista Uriarte Kalea, 35, 48960 Galdakao, Bizkaia</t>
  </si>
  <si>
    <t>floristeria-iris.business.site</t>
  </si>
  <si>
    <t>944 57 05 13</t>
  </si>
  <si>
    <t>Floristería Belinda</t>
  </si>
  <si>
    <t>Cruces Plaza, 0, 48903 Barakaldo, Bizkaia</t>
  </si>
  <si>
    <t>600 77 20 87</t>
  </si>
  <si>
    <t>Iban Salamanca Cerro</t>
  </si>
  <si>
    <t>Zuberoa Kalea, 10, 48901 Barakaldo, Bizkaia</t>
  </si>
  <si>
    <t>944 37 55 83</t>
  </si>
  <si>
    <t>Floristería Mari Asun</t>
  </si>
  <si>
    <t>De la Villa Sexto Centenario Kalea, 7, 48260 Ermua, Bizkaia</t>
  </si>
  <si>
    <t>Ermua</t>
  </si>
  <si>
    <t>943 17 43 79</t>
  </si>
  <si>
    <t>Carlos VII Hiribidea, 30, Carlos VII Hiribidea, 7, 48920 Portugalete, BI</t>
  </si>
  <si>
    <t>944 62 21 85</t>
  </si>
  <si>
    <t>Kreta</t>
  </si>
  <si>
    <t>Severo Ochoa Kalea, 24, 48480 Arrigorriaga, Bizkaia</t>
  </si>
  <si>
    <t>946 71 02 69</t>
  </si>
  <si>
    <t>Bella Eugenia Decoración</t>
  </si>
  <si>
    <t>Correos Kalea, 8, 48920 Portugalete, Bizkaia</t>
  </si>
  <si>
    <t>944 96 39 51</t>
  </si>
  <si>
    <t>CASTROFLOR</t>
  </si>
  <si>
    <t>Calle Nerbioi, 5, 48970 Basauri, BI</t>
  </si>
  <si>
    <t>castroflor.com</t>
  </si>
  <si>
    <t>944 26 16 93</t>
  </si>
  <si>
    <t>info2@castroflor.com</t>
  </si>
  <si>
    <t>María Jesús Floristas</t>
  </si>
  <si>
    <t>Marques de Legarda Plaza, 10, 48800 Balmaseda, Bizkaia</t>
  </si>
  <si>
    <t>946 10 32 19</t>
  </si>
  <si>
    <t>María Pilar Laviña Carralero</t>
  </si>
  <si>
    <t>Kareaga Goikoa Kalea, 89, 48970 Basauri, Bizkaia</t>
  </si>
  <si>
    <t>946 07 12 20</t>
  </si>
  <si>
    <t>amalur</t>
  </si>
  <si>
    <t>Agirre Solarte Kalea, bajo, 48280 Lekeitio, BI</t>
  </si>
  <si>
    <t>Lequeitio</t>
  </si>
  <si>
    <t>amalur-florist.negocio.site</t>
  </si>
  <si>
    <t>944 65 02 08</t>
  </si>
  <si>
    <t>Nahi</t>
  </si>
  <si>
    <t>Trañabarren Hiribidea, 3, 48220 Traña-Matiena, Bizkaia</t>
  </si>
  <si>
    <t>Traña-Matiena</t>
  </si>
  <si>
    <t>946 81 80 03</t>
  </si>
  <si>
    <t>Pelikanos</t>
  </si>
  <si>
    <t>Calle Morgan Kalea, 48001 Bilbao, BI</t>
  </si>
  <si>
    <t>FLORISTERÍA PAJARERIA FLORIFAUNA</t>
  </si>
  <si>
    <t>Agirre Lehendakaria Kalea, 63, 48970 Basauri, Bizkaia</t>
  </si>
  <si>
    <t>944 49 55 29</t>
  </si>
  <si>
    <t>Vanesa Alvarez Hidalgo</t>
  </si>
  <si>
    <t>Antonio Alzaga Hiribidea, 31, 48980 Santurtzi, Bizkaia</t>
  </si>
  <si>
    <t>944 04 22 92</t>
  </si>
  <si>
    <t>Taller Floral EG</t>
  </si>
  <si>
    <t>Calle Gral. Castaños Kalea, 28, 48920 Portugalete, BI</t>
  </si>
  <si>
    <t>946 11 12 36</t>
  </si>
  <si>
    <t>lorak ikema</t>
  </si>
  <si>
    <t>Aita Elorriaga Kalea, 19, Mungia, Bizkaia</t>
  </si>
  <si>
    <t>lorakikema.com</t>
  </si>
  <si>
    <t>946 15 56 17</t>
  </si>
  <si>
    <t>ikema@bizkaia.eu</t>
  </si>
  <si>
    <t>Lorak Lourdes Flores</t>
  </si>
  <si>
    <t>Paseo de Sta Katalina, 1a, 48280 Lekeitio, BI</t>
  </si>
  <si>
    <t>946 84 06 98</t>
  </si>
  <si>
    <t>Ortuberri</t>
  </si>
  <si>
    <t>San Marko Auzoa, 1, 48215 Iurreta, Bizkaia</t>
  </si>
  <si>
    <t>676 94 83 69</t>
  </si>
  <si>
    <t>Mercado de las flores</t>
  </si>
  <si>
    <t>Areatzako Pasealekua, 48005 Bilbo, Bizkaia</t>
  </si>
  <si>
    <t>Estudio Floral Isabel Becedas</t>
  </si>
  <si>
    <t>48960 Galdakao, BI</t>
  </si>
  <si>
    <t>Floristería MARSI</t>
  </si>
  <si>
    <t>Bidebarrieta Kalea, 1, 20600 Eibar, Gipuzkoa</t>
  </si>
  <si>
    <t>Éibar</t>
  </si>
  <si>
    <t>Gipuzkoa</t>
  </si>
  <si>
    <t>Isasi Kalea, 16, 20600 Eibar, Gipuzkoa</t>
  </si>
  <si>
    <t>Ibon and Krais</t>
  </si>
  <si>
    <t>Calle Henao nº34, 48009 Bilbo, BI</t>
  </si>
  <si>
    <t>ibonandkrais.com</t>
  </si>
  <si>
    <t>944 24 40 66</t>
  </si>
  <si>
    <t>ibonandkrais@ibonandkrais.com</t>
  </si>
  <si>
    <t>Canastillas Berreteaga</t>
  </si>
  <si>
    <t>Villar Auzoa, 12, 48980 Santurtzi, Bizkaia</t>
  </si>
  <si>
    <t>663 05 49 35</t>
  </si>
  <si>
    <t>Eneritz Interflora</t>
  </si>
  <si>
    <t>Gudari Kalea, 3, 48340 Amorebieta-Etxano, Bizkaia</t>
  </si>
  <si>
    <t>Amorebieta-Echano</t>
  </si>
  <si>
    <t>946 73 34 85</t>
  </si>
  <si>
    <t>Izadi Loradenda</t>
  </si>
  <si>
    <t>San Juan Kalea, 1, Bajo, 20600 Eibar, Gipuzkoa</t>
  </si>
  <si>
    <t>floristeriaizadi.es</t>
  </si>
  <si>
    <t>943 20 33 29</t>
  </si>
  <si>
    <t>Floristería GALA RAMOS JOYA</t>
  </si>
  <si>
    <t>Elexondo Kalea, 10, 01470 Amurrio, Araba</t>
  </si>
  <si>
    <t>Amurrio</t>
  </si>
  <si>
    <t>Araba</t>
  </si>
  <si>
    <t>galaramosjoya.com</t>
  </si>
  <si>
    <t>945 89 18 99</t>
  </si>
  <si>
    <t>Amaya Rementería Orue</t>
  </si>
  <si>
    <t>946 02 74 89</t>
  </si>
  <si>
    <t>Floristería Inés Madrigal Amurrio</t>
  </si>
  <si>
    <t>CALLE DIONISIO ALDAMA Nº 9, BAJO COMERCIAL, 01470 Amurrio, Álava</t>
  </si>
  <si>
    <t>Álava</t>
  </si>
  <si>
    <t>945 39 37 77</t>
  </si>
  <si>
    <t>José Antonio Alonso Calvo</t>
  </si>
  <si>
    <t>Calle de Nagusia, 2, 48500 Carreras (las), BI</t>
  </si>
  <si>
    <t>Abadiño</t>
  </si>
  <si>
    <t>946 12 04 02</t>
  </si>
  <si>
    <t>Loreder</t>
  </si>
  <si>
    <t>Kurutziaga Kalea, 17, 48200 Durango, Bizkaia</t>
  </si>
  <si>
    <t>Comercial Uriarte</t>
  </si>
  <si>
    <t>Don Tello Kalea, 22, 48300 Gernika-Lumo, Bizkaia</t>
  </si>
  <si>
    <t>946 25 31 48</t>
  </si>
  <si>
    <t>48991 Guecho, Vizcaya</t>
  </si>
  <si>
    <t>Vizcaya</t>
  </si>
  <si>
    <t>...</t>
  </si>
  <si>
    <t>634 63 78 09</t>
  </si>
  <si>
    <t>Almacen De La Floristeria Arcoiris</t>
  </si>
  <si>
    <t>48007 Bilbao, Vizcaya</t>
  </si>
  <si>
    <t>Katukan Areeta</t>
  </si>
  <si>
    <t>Ibaigane Kalea, 8, 48930 Getxo, Bizkaia</t>
  </si>
  <si>
    <t>katukan.com</t>
  </si>
  <si>
    <t>944 80 04 53</t>
  </si>
  <si>
    <t>katukan@yahoo.es</t>
  </si>
  <si>
    <t>Gala Floristas Artesanos</t>
  </si>
  <si>
    <t>01470 Amurrio, Álava</t>
  </si>
  <si>
    <t>Floristería Buart</t>
  </si>
  <si>
    <t>Ignacio Zuloaga Kalea, 2, 20500 Arrasate, Gipuzkoa</t>
  </si>
  <si>
    <t>Arrasate</t>
  </si>
  <si>
    <t>buart.dendari.com</t>
  </si>
  <si>
    <t>943 71 27 84</t>
  </si>
  <si>
    <t>Mundo Verde / Garden Center. Jardinería &amp;amp; Decoración, Mascotas</t>
  </si>
  <si>
    <t>Gatzarriñe Kalea, 67, B, 48600 Sopelana, BI</t>
  </si>
  <si>
    <t>Sopelana</t>
  </si>
  <si>
    <t>mvgarden.com</t>
  </si>
  <si>
    <t>609 41 44 41</t>
  </si>
  <si>
    <t>info@mvgarden.com</t>
  </si>
  <si>
    <t>Katukan Romo</t>
  </si>
  <si>
    <t>Gipuzkoa Kalea, 1, 48940 Leioa, Bizkaia</t>
  </si>
  <si>
    <t>944 80 18 31</t>
  </si>
  <si>
    <t>Centros de flores artificiales</t>
  </si>
  <si>
    <t>667 78 72 55</t>
  </si>
  <si>
    <t>Floristería Gorosti</t>
  </si>
  <si>
    <t>Matxiategi Kalea, 1, 20570 Bergara, Gipuzkoa</t>
  </si>
  <si>
    <t>Vergara</t>
  </si>
  <si>
    <t>gorosti.es</t>
  </si>
  <si>
    <t>943 76 07 47</t>
  </si>
  <si>
    <t>info@gorosti.es</t>
  </si>
  <si>
    <t>Floristería NINIKA</t>
  </si>
  <si>
    <t>Calle de Ramón María Lili, 20570 Bergara, SS</t>
  </si>
  <si>
    <t>SS</t>
  </si>
  <si>
    <t>943 76 10 01</t>
  </si>
  <si>
    <t>María Raquel Marrodán Urquiola</t>
  </si>
  <si>
    <t>Otalora Kalea, 14, 20550 Aretxabaleta, Gipuzkoa</t>
  </si>
  <si>
    <t>Arechavaleta</t>
  </si>
  <si>
    <t>943 79 70 66</t>
  </si>
  <si>
    <t>Floristería Arantza</t>
  </si>
  <si>
    <t>Angulema Kalea, 11, 01004 Gasteiz, Araba</t>
  </si>
  <si>
    <t>Vitoria-Gasteiz</t>
  </si>
  <si>
    <t>floristeriaarantza.com</t>
  </si>
  <si>
    <t>945 28 81 56</t>
  </si>
  <si>
    <t>info@floristeriaarantza.com</t>
  </si>
  <si>
    <t>Floristería en Vitoria Flores en Red ⭐🌷</t>
  </si>
  <si>
    <t>Reyes de Navarra Kalea, 8, 01002 Gasteiz, Araba</t>
  </si>
  <si>
    <t>floresenred.com</t>
  </si>
  <si>
    <t>945 25 21 87</t>
  </si>
  <si>
    <t>info@floresenred.com</t>
  </si>
  <si>
    <t>Floristeria Angelines</t>
  </si>
  <si>
    <t>Peru Kalea, 16, 01012 Gasteiz, Araba</t>
  </si>
  <si>
    <t>angelinesfloristeria.com</t>
  </si>
  <si>
    <t>945 24 38 23</t>
  </si>
  <si>
    <t>Floristería AGURAIN</t>
  </si>
  <si>
    <t>Fueros Kalea, 29, 01200 Salvatierra, Álava, Araba</t>
  </si>
  <si>
    <t>Salvatierra</t>
  </si>
  <si>
    <t>945 31 23 20</t>
  </si>
  <si>
    <t>Eguzkilore</t>
  </si>
  <si>
    <t>Diputación Foral de Alava Kalea, 17, 01001 Gasteiz, Araba</t>
  </si>
  <si>
    <t>945 04 21 20</t>
  </si>
  <si>
    <t>FloristerÍa &amp;quot;Goya Floristas&amp;quot;</t>
  </si>
  <si>
    <t>Calle del Duque de Wellington, 28, 01010 Gasteiz, Araba</t>
  </si>
  <si>
    <t>goyafloristas.com</t>
  </si>
  <si>
    <t>945 19 14 08</t>
  </si>
  <si>
    <t>Goya Floristas</t>
  </si>
  <si>
    <t>Bulevar de Salburua Kalea, 27, 29, 01003 Gasteiz, Araba</t>
  </si>
  <si>
    <t>945 25 96 53</t>
  </si>
  <si>
    <t>Sansomendi Kalea, 5, 01010 Gasteiz, Araba</t>
  </si>
  <si>
    <t>945 22 49 01</t>
  </si>
  <si>
    <t>Floristería Santa Isabel</t>
  </si>
  <si>
    <t>Cuadrilla de Vitoria-Gasteiz Taldea Kalea, 4, BAJO(LOCAL, 01013 Gasteiz, Araba</t>
  </si>
  <si>
    <t>floristeriasantaisabel.com</t>
  </si>
  <si>
    <t>945 25 05 86</t>
  </si>
  <si>
    <t>floristeriasantaisabel@gmail.com</t>
  </si>
  <si>
    <t>Goya floristas</t>
  </si>
  <si>
    <t>Olagibel Kalea, 34, 01004 Gasteiz, Araba</t>
  </si>
  <si>
    <t>945 33 00 36</t>
  </si>
  <si>
    <t>Bitxilore Floristas</t>
  </si>
  <si>
    <t>Sofia Erreginaren Hiribidea, 96, 01015 Gasteiz, Araba</t>
  </si>
  <si>
    <t>bitxilorefloristas.com</t>
  </si>
  <si>
    <t>945 35 77 32</t>
  </si>
  <si>
    <t>info@bitxilorefloristas.com</t>
  </si>
  <si>
    <t>Muscari Floristas</t>
  </si>
  <si>
    <t>Juntas Generales Kalea, 19, bajo, 01010 Vitoria-Gasteiz, Álava</t>
  </si>
  <si>
    <t>muscarifloristas.negocio.site</t>
  </si>
  <si>
    <t>945 17 15 60</t>
  </si>
  <si>
    <t>Floristería Irela</t>
  </si>
  <si>
    <t>Comandante Izarduy Kalea, 7, 01006 Gasteiz, Araba</t>
  </si>
  <si>
    <t>945 13 71 48</t>
  </si>
  <si>
    <t>Floristería Amaia</t>
  </si>
  <si>
    <t>Zumalakarregi Hiribidea, 26, 01400 Laudio, Araba</t>
  </si>
  <si>
    <t>Llodio</t>
  </si>
  <si>
    <t>946 72 30 58</t>
  </si>
  <si>
    <t>Margarita me llaman</t>
  </si>
  <si>
    <t>Zerkabarren Kalea, 2, 01001 Gasteiz, Araba</t>
  </si>
  <si>
    <t>margaritamellaman.com</t>
  </si>
  <si>
    <t>688 72 39 42</t>
  </si>
  <si>
    <t>margaritamellaman@gmail.com</t>
  </si>
  <si>
    <t>Azalea Boutique De La Flor</t>
  </si>
  <si>
    <t>El Prado Kalea, 26, 01005 Gasteiz, Araba</t>
  </si>
  <si>
    <t>azaleaflores.com</t>
  </si>
  <si>
    <t>945 28 85 86</t>
  </si>
  <si>
    <t>Info@AzaleaFlores.com</t>
  </si>
  <si>
    <t>Exposicion Marjus Arte Floral</t>
  </si>
  <si>
    <t>Logroño Kalea, 14, 01002 Gasteiz, Araba</t>
  </si>
  <si>
    <t>945 28 00 45</t>
  </si>
  <si>
    <t>Ikustoki Floristas</t>
  </si>
  <si>
    <t>Mexico Kalea, 01009 Gasteiz, Araba</t>
  </si>
  <si>
    <t>945 24 16 38</t>
  </si>
  <si>
    <t>Naciones Unidas Hiribidea, 20, 01015 Gasteiz, Araba</t>
  </si>
  <si>
    <t>945 30 84 02</t>
  </si>
  <si>
    <t>Floristeria Bediflor</t>
  </si>
  <si>
    <t>Av. de Los Huetos, 50, 01010 Vitoria-Gasteiz, Álava</t>
  </si>
  <si>
    <t>bediflor.com</t>
  </si>
  <si>
    <t>945 67 02 00</t>
  </si>
  <si>
    <t>info@bediflor.com</t>
  </si>
  <si>
    <t>Floristería &amp;quot;Flores Maribel&amp;quot;</t>
  </si>
  <si>
    <t>Cementerio del Salvador, 01194 Vitoria-Gasteiz, Álava</t>
  </si>
  <si>
    <t>floresmaribel.negocio.site</t>
  </si>
  <si>
    <t>616 09 57 85</t>
  </si>
  <si>
    <t>Arte floral hierbabuena</t>
  </si>
  <si>
    <t>C/ Fundadora de Las Siervas de Jesús, 26, 01001 Vitoria-Gasteiz, Álava</t>
  </si>
  <si>
    <t>945 13 78 09</t>
  </si>
  <si>
    <t>Floristería Cristiaran</t>
  </si>
  <si>
    <t>Calle, Errege Atea, 16, BAJO, 01001 Gasteiz, Araba</t>
  </si>
  <si>
    <t>floristeriacristiaran.com</t>
  </si>
  <si>
    <t>945 28 74 49</t>
  </si>
  <si>
    <t>info@floristeriacristiaran.com</t>
  </si>
  <si>
    <t>Floristeria Marjus Lore-artisauak</t>
  </si>
  <si>
    <t>Logroño Kalea, n 7, Bajo(comercio, 01003 Gasteiz, Araba</t>
  </si>
  <si>
    <t>688 87 50 92</t>
  </si>
  <si>
    <t>Calle Jesús Guridi, 01004 Vitoria-Gasteiz, Álava</t>
  </si>
  <si>
    <t>Floristería Iruna</t>
  </si>
  <si>
    <t>Jai-Alai Plaza, 5, 01330 Labastida, Araba</t>
  </si>
  <si>
    <t>Bastida</t>
  </si>
  <si>
    <t>945 33 13 31</t>
  </si>
  <si>
    <t>Floristeria Tanatorio Vitoria</t>
  </si>
  <si>
    <t>Galileo Kalea, 1, 01002 Gasteiz, Araba</t>
  </si>
  <si>
    <t>Floristeria Arte Floral</t>
  </si>
  <si>
    <t>01013 Vitoria-Gasteiz, Álava</t>
  </si>
  <si>
    <t>660 51 77 59</t>
  </si>
  <si>
    <t>Kimua</t>
  </si>
  <si>
    <t>Cantón de la Soledad, 5, 01001 Vitoria-Gasteiz, Álava</t>
  </si>
  <si>
    <t>kimuagasteiz.com</t>
  </si>
  <si>
    <t>611 49 21 99</t>
  </si>
  <si>
    <t>correo@kimuagasteiz.com</t>
  </si>
  <si>
    <t>Pica flor</t>
  </si>
  <si>
    <t>Santa Lucia Kalea, 2, 4, 01320 Oion, Araba</t>
  </si>
  <si>
    <t>Oyón</t>
  </si>
  <si>
    <t>945 60 17 96</t>
  </si>
  <si>
    <t>AGROQUÍMICOS OCHOA, S.L.</t>
  </si>
  <si>
    <t>Logroño Kalea, 22, 01002 Gasteiz, Araba</t>
  </si>
  <si>
    <t>agroquimicosochoa.com</t>
  </si>
  <si>
    <t>945 27 98 98</t>
  </si>
  <si>
    <t>ochoa@agroquimicosochoa.com</t>
  </si>
  <si>
    <t>Apaindura S.L.L.</t>
  </si>
  <si>
    <t>Florida Kalea, 51, 01005 Gasteiz, Araba</t>
  </si>
  <si>
    <t>945 25 10 64</t>
  </si>
  <si>
    <t>Distincion Floral</t>
  </si>
  <si>
    <t>24, Portal de Bergara Kalea, 22, 01013 Vitoria-Gasteiz</t>
  </si>
  <si>
    <t>Floristería KIMU Loradenda</t>
  </si>
  <si>
    <t>Calle los Amezketa, 4, 20010 Donostia-San Sebastian, SS</t>
  </si>
  <si>
    <t>San Sebastián</t>
  </si>
  <si>
    <t>floristeriakimu.com</t>
  </si>
  <si>
    <t>943 45 87 93</t>
  </si>
  <si>
    <t>icono_color_-_copia_70d8d954-a68f-4882-95a2-565e6bb07468_100x@2x.png</t>
  </si>
  <si>
    <t>Floristeria Betilore Loradenda</t>
  </si>
  <si>
    <t>Kale Nagusia Kalea, 26, 20140 Andoain, Gipuzkoa</t>
  </si>
  <si>
    <t>Andoáin</t>
  </si>
  <si>
    <t>betilore.com</t>
  </si>
  <si>
    <t>943 11 72 20</t>
  </si>
  <si>
    <t>Floristería Garoa</t>
  </si>
  <si>
    <t>José Arana Kalea, 14, 20001 Donostia, Gipuzkoa</t>
  </si>
  <si>
    <t>943 28 17 14</t>
  </si>
  <si>
    <t>Floristería Arantza Loradenda</t>
  </si>
  <si>
    <t>Lege Zaharren Enparantza, 2, 20800 Zarautz, Gipuzkoa</t>
  </si>
  <si>
    <t>Zarauz</t>
  </si>
  <si>
    <t>arantzaloradenda.com</t>
  </si>
  <si>
    <t>943 13 21 33</t>
  </si>
  <si>
    <t>info@arantzaloradenda.com</t>
  </si>
  <si>
    <t>Floristería Buenetxea, SL</t>
  </si>
  <si>
    <t>De Errekalde Hiribidea, 57, 20018 Donostia, Gipuzkoa</t>
  </si>
  <si>
    <t>buenetxea.es</t>
  </si>
  <si>
    <t>943 37 70 20</t>
  </si>
  <si>
    <t>buenetxea@buenetxea.es</t>
  </si>
  <si>
    <t>Gema Floristería</t>
  </si>
  <si>
    <t>Mayor Kalea, 30, 20150 Villabona, Gipuzkoa</t>
  </si>
  <si>
    <t>Villabona</t>
  </si>
  <si>
    <t>943 69 28 98</t>
  </si>
  <si>
    <t>Floristeria Pagoa Loradenda</t>
  </si>
  <si>
    <t>merkatua, Kale Nagusia, 27, 20800 Zarautz, SS</t>
  </si>
  <si>
    <t>pagoaloradenda.com</t>
  </si>
  <si>
    <t>943 83 17 33</t>
  </si>
  <si>
    <t>info@pagoaloradenda.com</t>
  </si>
  <si>
    <t>Floristería Otegui</t>
  </si>
  <si>
    <t>Kolon Pasealekua, 11, 20002 Donostia, Gipuzkoa</t>
  </si>
  <si>
    <t>943 28 70 76</t>
  </si>
  <si>
    <t>Floristeria Casa Arregui</t>
  </si>
  <si>
    <t>Larramendi Kalea, 3, 20400 Tolosa, Gipuzkoa</t>
  </si>
  <si>
    <t>Tolosa</t>
  </si>
  <si>
    <t>casa-arregui.com</t>
  </si>
  <si>
    <t>943 67 57 03</t>
  </si>
  <si>
    <t>info@casa-arregui.com</t>
  </si>
  <si>
    <t>Flowers &amp;amp; Events</t>
  </si>
  <si>
    <t>Calle OQUENDO, OKENDO, 12, 20004 Donostia, Gipuzkoa</t>
  </si>
  <si>
    <t>flowersevents.es</t>
  </si>
  <si>
    <t>943 43 08 05</t>
  </si>
  <si>
    <t>josu@flowersevents.es</t>
  </si>
  <si>
    <t>Floristeria Huntz</t>
  </si>
  <si>
    <t>Matia Kalea, 44, 20008 Donostia, Gipuzkoa</t>
  </si>
  <si>
    <t>floristeria-huntz.es</t>
  </si>
  <si>
    <t>943 31 06 41</t>
  </si>
  <si>
    <t>huntz@floristeria-huntz.es</t>
  </si>
  <si>
    <t>Floristeria Garazi</t>
  </si>
  <si>
    <t>Ernio Bidea, 1, bajo, 20159 Villabona, SS</t>
  </si>
  <si>
    <t>943 69 34 08</t>
  </si>
  <si>
    <t>Floristeria Villaflores</t>
  </si>
  <si>
    <t>Ijentea Kalea, 4, 20003 Donostia, Gipuzkoa</t>
  </si>
  <si>
    <t>decovillaflores.com</t>
  </si>
  <si>
    <t>943 42 49 92</t>
  </si>
  <si>
    <t>info@decovillaflores.com</t>
  </si>
  <si>
    <t>Salaverria Floristas</t>
  </si>
  <si>
    <t>Plaza la Brecha, 2, 20003 Donostia, SS</t>
  </si>
  <si>
    <t>Oihane Mendilore Floristería</t>
  </si>
  <si>
    <t>Larramendi Kalea, 5, 20120 Hernani, Gipuzkoa</t>
  </si>
  <si>
    <t>Hernani</t>
  </si>
  <si>
    <t>mendilore.eu</t>
  </si>
  <si>
    <t>943 55 23 26</t>
  </si>
  <si>
    <t>info@mendilore.eu</t>
  </si>
  <si>
    <t>Floristería Villa María Luisa</t>
  </si>
  <si>
    <t>Bajo, Hernani Kalea, 2, 20004 Donostia-San Sebastian, SS</t>
  </si>
  <si>
    <t>villamarialuisa.com</t>
  </si>
  <si>
    <t>943 42 06 58</t>
  </si>
  <si>
    <t>info@villamarialuisa.com</t>
  </si>
  <si>
    <t>Floristería Edurne</t>
  </si>
  <si>
    <t>Plaza Zelai-Alde, 2, 20130 Urnieta, SS</t>
  </si>
  <si>
    <t>Urnieta</t>
  </si>
  <si>
    <t>loradenda-urnieta.mozello.com</t>
  </si>
  <si>
    <t>671 44 15 95</t>
  </si>
  <si>
    <t>loradendaurnieta@gmail.com</t>
  </si>
  <si>
    <t>floristeria lili bat</t>
  </si>
  <si>
    <t>Txirrita Kalea, 1, 20120 Hernani, Gipuzkoa</t>
  </si>
  <si>
    <t>943 55 56 66</t>
  </si>
  <si>
    <t>Gare Loradenda</t>
  </si>
  <si>
    <t>Zerkaosteta Kalea, 18, 20500 Arrasate, Gipuzkoa</t>
  </si>
  <si>
    <t>943 05 75 03</t>
  </si>
  <si>
    <t>De Irun Plaza, 6, 20011 Donostia-San Sebastian, SS</t>
  </si>
  <si>
    <t>jacarandaloradenda.com</t>
  </si>
  <si>
    <t>943 46 57 55</t>
  </si>
  <si>
    <t>Floristería Zinnia</t>
  </si>
  <si>
    <t>Gipuzkoa Hiribidea, 32, 20302 Irun, Gipuzkoa</t>
  </si>
  <si>
    <t>Irún</t>
  </si>
  <si>
    <t>zinniaflores.es</t>
  </si>
  <si>
    <t>943 61 73 71</t>
  </si>
  <si>
    <t>Floristeria Baigorri</t>
  </si>
  <si>
    <t>Isabel II.a Etorb., 1, 20011 Donostia, Gipuzkoa</t>
  </si>
  <si>
    <t>floristeriabaigorri.com</t>
  </si>
  <si>
    <t>943 47 11 97</t>
  </si>
  <si>
    <t>olatz@floristeriabaigorri.com</t>
  </si>
  <si>
    <t>Floristería Muskari</t>
  </si>
  <si>
    <t>Piedad Kalea, 18, BAJO, 20700 Zumarraga, Gipuzkoa</t>
  </si>
  <si>
    <t>Zumárraga</t>
  </si>
  <si>
    <t>943 72 52 32</t>
  </si>
  <si>
    <t>Floristería Karmentxu</t>
  </si>
  <si>
    <t>Luis de Uranzu Kalea, 8, 20301 Irun, Gipuzkoa</t>
  </si>
  <si>
    <t>943 61 65 79</t>
  </si>
  <si>
    <t>Floristería Txokoa</t>
  </si>
  <si>
    <t>Ametzagaña K., 74, BAJO, 20012 Donostia, Gipuzkoa</t>
  </si>
  <si>
    <t>txokoa-loradenda.negocio.site</t>
  </si>
  <si>
    <t>943 27 05 03</t>
  </si>
  <si>
    <t>La Floris</t>
  </si>
  <si>
    <t>Zabaleta Kalea, 17, 20002 Donostia, Gipuzkoa</t>
  </si>
  <si>
    <t>943 38 42 46</t>
  </si>
  <si>
    <t>Floristería Pacheco Izeta Loredenda</t>
  </si>
  <si>
    <t>Astigarrako Bidea, 4, 20180 Oiartzun, Gipuzkoa</t>
  </si>
  <si>
    <t>Oyarzun</t>
  </si>
  <si>
    <t>pachecoizeta.com</t>
  </si>
  <si>
    <t>943 49 18 68</t>
  </si>
  <si>
    <t>Arregi Floristas</t>
  </si>
  <si>
    <t>Zerkausia Kalea, 8, 20400 Tolosa, Gipuzkoa</t>
  </si>
  <si>
    <t>arregi-floristas.business.site</t>
  </si>
  <si>
    <t>943 67 11 42</t>
  </si>
  <si>
    <t>Floristería Hirubelar</t>
  </si>
  <si>
    <t>Calle de Hondarribia, 10, 20301 Irun, SS</t>
  </si>
  <si>
    <t>floristeriahirubelar.com</t>
  </si>
  <si>
    <t>943 57 93 00</t>
  </si>
  <si>
    <t>hirubelar@gmail.com</t>
  </si>
  <si>
    <t>Loreak Ospitaletan</t>
  </si>
  <si>
    <t>Paseo Doctor Beguiristain, s/n, 20014 Donostia-San Sebastian, SS</t>
  </si>
  <si>
    <t>678 42 61 26</t>
  </si>
  <si>
    <t>Lorekolore</t>
  </si>
  <si>
    <t>Kalea, Senpere Kalea, 906, 20200 Beasain, SS</t>
  </si>
  <si>
    <t>Beasain</t>
  </si>
  <si>
    <t>943 88 30 53</t>
  </si>
  <si>
    <t>Floristería María Cristina</t>
  </si>
  <si>
    <t>Paseo Francia / Frantzia Pasealekua, 1, 20012 Donostia-San Sebastian, SS</t>
  </si>
  <si>
    <t>943 27 45 98</t>
  </si>
  <si>
    <t>Un Jardin y Más</t>
  </si>
  <si>
    <t>Hondarribia Kalea, 23, 20005 Donostia, Gipuzkoa</t>
  </si>
  <si>
    <t>943 42 72 51</t>
  </si>
  <si>
    <t>Pagoa</t>
  </si>
  <si>
    <t>Kalebarren Plaza, 1, 20870 Elgoibar, Gipuzkoa</t>
  </si>
  <si>
    <t>Elgóibar</t>
  </si>
  <si>
    <t>943 74 01 89</t>
  </si>
  <si>
    <t>Floristería Kaiz</t>
  </si>
  <si>
    <t>Gudari Kalea, 8, 20400 Tolosa, Gipuzkoa</t>
  </si>
  <si>
    <t>floristeriakaiz.com</t>
  </si>
  <si>
    <t>943 65 22 24</t>
  </si>
  <si>
    <t>info@floristeriakaiz.com</t>
  </si>
  <si>
    <t>Flores Blanca</t>
  </si>
  <si>
    <t>Calle Birjiñape, 1, 20600 Eibar, SS</t>
  </si>
  <si>
    <t>943 20 88 47</t>
  </si>
  <si>
    <t>Biteri Kalea, 43, 20100 Errenteria, Gipuzkoa</t>
  </si>
  <si>
    <t>Rentería</t>
  </si>
  <si>
    <t>943 34 46 15</t>
  </si>
  <si>
    <t>Floristería Goilore</t>
  </si>
  <si>
    <t>Legazpi Kalea, 14, 20700 Zumarraga, Gipuzkoa</t>
  </si>
  <si>
    <t>943 72 93 10</t>
  </si>
  <si>
    <t>Flores Lizardi</t>
  </si>
  <si>
    <t>Iparralde Bidea, 2, 20115 Astigarraga, Gipuzkoa</t>
  </si>
  <si>
    <t>Astigarraga</t>
  </si>
  <si>
    <t>943 55 03 31</t>
  </si>
  <si>
    <t>Izadia</t>
  </si>
  <si>
    <t>Calle de, San Inazio Kalea, 11, 20200 Beasain, SS</t>
  </si>
  <si>
    <t>943 88 14 40</t>
  </si>
  <si>
    <t>Floristería Irene Altuna Loradenda</t>
  </si>
  <si>
    <t>Loiolako Inazio Hiribidea, 25, 20730 Azpeitia, Gipuzkoa</t>
  </si>
  <si>
    <t>Azpeitia</t>
  </si>
  <si>
    <t>ialtunaloradenda.com</t>
  </si>
  <si>
    <t>943 81 51 87</t>
  </si>
  <si>
    <t>Floristería Casa Basusta Loradenda</t>
  </si>
  <si>
    <t>Santiago Auzoa, 18, 20750 Zumaia, SS</t>
  </si>
  <si>
    <t>Zumaya</t>
  </si>
  <si>
    <t>floristeriabasusta.com</t>
  </si>
  <si>
    <t>943 86 26 11</t>
  </si>
  <si>
    <t>info@floristeriabasusta.com</t>
  </si>
  <si>
    <t>Floristería Nekane Loreak</t>
  </si>
  <si>
    <t>Fernandez de Landa Plaza, 1, 20100 Errenteria, Gipuzkoa</t>
  </si>
  <si>
    <t>687 86 56 77</t>
  </si>
  <si>
    <t>Floristería Urtxin Loradenda</t>
  </si>
  <si>
    <t>Portu Kalea, 5, 20560 Oñati, Gipuzkoa</t>
  </si>
  <si>
    <t>Oñate</t>
  </si>
  <si>
    <t>943 78 22 41</t>
  </si>
  <si>
    <t>ITEA</t>
  </si>
  <si>
    <t>Mandasko Dukearen Pasealekua, 31, 20012 Donostia, Gipuzkoa</t>
  </si>
  <si>
    <t>sites.google.com</t>
  </si>
  <si>
    <t>943 27 74 60</t>
  </si>
  <si>
    <t>Nafarroa Etorbidea, 30, 20100 Errenteria, Gipuzkoa</t>
  </si>
  <si>
    <t>floristeriamaricarmen.es</t>
  </si>
  <si>
    <t>943 52 04 96</t>
  </si>
  <si>
    <t>info@floristeriamaricarmen.es</t>
  </si>
  <si>
    <t>Flores Gurutzeta Loreak</t>
  </si>
  <si>
    <t>Casa Gurutzeta, Barrio, Oztaran, Nº 11, 20130 Urnieta, SS</t>
  </si>
  <si>
    <t>690 39 04 98</t>
  </si>
  <si>
    <t>Igor Flores S.L.</t>
  </si>
  <si>
    <t>Nafarroa Plaza, 1, 20820 Deba, Gipuzkoa</t>
  </si>
  <si>
    <t>Deva</t>
  </si>
  <si>
    <t>943 19 26 67</t>
  </si>
  <si>
    <t>Mimiku</t>
  </si>
  <si>
    <t>Urbieta Kalea, 9, 20006 Donostia, Gipuzkoa</t>
  </si>
  <si>
    <t>mimiku.es</t>
  </si>
  <si>
    <t>943 42 90 84</t>
  </si>
  <si>
    <t>Floristeria Jartxa</t>
  </si>
  <si>
    <t>Hondartza Kalea, 8, 20820 Deba, Gipuzkoa</t>
  </si>
  <si>
    <t>656 70 49 18</t>
  </si>
  <si>
    <t>Arretxe Lorategiak</t>
  </si>
  <si>
    <t>Santa Lucía, 1, 20400 Tolosa, SS</t>
  </si>
  <si>
    <t>lorategiak.arretxe.com</t>
  </si>
  <si>
    <t>943 67 31 18</t>
  </si>
  <si>
    <t>webmaster@lorategiak.arretxe.com</t>
  </si>
  <si>
    <t>Lore Toki Etxere</t>
  </si>
  <si>
    <t>Lugar Mijoa, 0 S/N, 20830 Mijoa Auzoa, SS</t>
  </si>
  <si>
    <t>Mijoa Auzoa</t>
  </si>
  <si>
    <t>943 60 39 97</t>
  </si>
  <si>
    <t>Ormazábal</t>
  </si>
  <si>
    <t>Kale Nagusia, 33, 20160 Lasarte-Oria, Gipuzkoa</t>
  </si>
  <si>
    <t>Lasarte-Oria</t>
  </si>
  <si>
    <t>floristeriaormazabal.com</t>
  </si>
  <si>
    <t>943 36 15 35</t>
  </si>
  <si>
    <t>EPELE LORADENDA</t>
  </si>
  <si>
    <t>Kale Nagusia, 43, 20120 Hernani, Gipuzkoa</t>
  </si>
  <si>
    <t>943 33 75 91</t>
  </si>
  <si>
    <t>Kala</t>
  </si>
  <si>
    <t>Calle de San Franzisko, 10, 20870 Elgoibar, SS</t>
  </si>
  <si>
    <t>943 74 45 16</t>
  </si>
  <si>
    <t>BELLOTZA LORADENDA</t>
  </si>
  <si>
    <t>Bidebarrieta Kalea, 19, 20560 Oñati, Gipuzkoa</t>
  </si>
  <si>
    <t>943 78 03 04</t>
  </si>
  <si>
    <t>Flowers&amp;amp;Co</t>
  </si>
  <si>
    <t>Santiago Auzoa, 20750 Zumaia, SS</t>
  </si>
  <si>
    <t>flowersandco.es</t>
  </si>
  <si>
    <t>653 81 41 02</t>
  </si>
  <si>
    <t>info@flowersandco.es</t>
  </si>
  <si>
    <t>Miren Lourdes Etxezarreta Eraso</t>
  </si>
  <si>
    <t>Kale Nagusia, 27, 20240 Ordizia, Gipuzkoa</t>
  </si>
  <si>
    <t>Villafranca de Ordicia</t>
  </si>
  <si>
    <t>943 88 98 83</t>
  </si>
  <si>
    <t>Kimu</t>
  </si>
  <si>
    <t>Kale Barria Kalea, 17, 20560 Oñati, Gipuzkoa</t>
  </si>
  <si>
    <t>943 08 16 07</t>
  </si>
  <si>
    <t>Mariposas Volando</t>
  </si>
  <si>
    <t>De Alfonso XIII Plaza, 2, 20008 Donostia, Gipuzkoa</t>
  </si>
  <si>
    <t>mariposas-volando.negocio.site</t>
  </si>
  <si>
    <t>639 23 17 86</t>
  </si>
  <si>
    <t>Luberri</t>
  </si>
  <si>
    <t>Jose Migel Barandiaran Plaza, 1, 20240 Ordizia, Gipuzkoa</t>
  </si>
  <si>
    <t>943 16 04 79</t>
  </si>
  <si>
    <t>Villa Rosa</t>
  </si>
  <si>
    <t>Antso Jakituna Hiribidea, 19, 20010 San Sebastián-Donostia, Gipuzkoa</t>
  </si>
  <si>
    <t>943 46 22 62</t>
  </si>
  <si>
    <t>Ruth Busca Azpitarte</t>
  </si>
  <si>
    <t>Kale Nagusia, 18, 20230 Legazpi, Gipuzkoa</t>
  </si>
  <si>
    <t>Legazpi (Legazpia)</t>
  </si>
  <si>
    <t>943 73 01 97</t>
  </si>
  <si>
    <t>AMIS FLOWER TRUCK</t>
  </si>
  <si>
    <t>Aita Donostia Kalea, 12, 20100 Errenteria, Gipuzkoa</t>
  </si>
  <si>
    <t>674 93 33 63</t>
  </si>
  <si>
    <t>Itxas Lore</t>
  </si>
  <si>
    <t>San Pedro Kalea, 59, 20280 Portua, Gipuzkoa</t>
  </si>
  <si>
    <t>Hondarribia</t>
  </si>
  <si>
    <t>943 64 02 02</t>
  </si>
  <si>
    <t>Ontzi</t>
  </si>
  <si>
    <t>Kurtzetxiki Plaza, 2, 20500 Arrasate, Gipuzkoa</t>
  </si>
  <si>
    <t>Floristería Muxutruk loredenda</t>
  </si>
  <si>
    <t>Eusko Gudarien Kalea, 11, 20810 Orio, Gipuzkoa</t>
  </si>
  <si>
    <t>Orio</t>
  </si>
  <si>
    <t>muxutrukloredenda.com</t>
  </si>
  <si>
    <t>627 63 00 22</t>
  </si>
  <si>
    <t>MARSI</t>
  </si>
  <si>
    <t>Toribio Etxebarria Kalea, 5, 20600 Eibar, Gipuzkoa</t>
  </si>
  <si>
    <t>639 40 34 57</t>
  </si>
  <si>
    <t>AINGERU LORADENDA</t>
  </si>
  <si>
    <t>Guardia Kalea, 4, 20720 Azkoitia, Gipuzkoa</t>
  </si>
  <si>
    <t>Azcoitia</t>
  </si>
  <si>
    <t>688 81 33 46</t>
  </si>
  <si>
    <t>Klorofila</t>
  </si>
  <si>
    <t>Artekalea, 21, 20570 Bergara, Gipuzkoa</t>
  </si>
  <si>
    <t>943 76 04 52</t>
  </si>
  <si>
    <t>Sasi loradenda</t>
  </si>
  <si>
    <t>Martintxo Kalea, 1, 20180 Altzibar-Karrika, Gipuzkoa</t>
  </si>
  <si>
    <t>Altzibar-Karrika</t>
  </si>
  <si>
    <t>943 94 34 94</t>
  </si>
  <si>
    <t>Julia Tellechea Taller Floral</t>
  </si>
  <si>
    <t>Santiago Kalea, 17, 20304 Irun, Gipuzkoa</t>
  </si>
  <si>
    <t>juliatellechea.com</t>
  </si>
  <si>
    <t>678 62 57 81</t>
  </si>
  <si>
    <t>Begoña Monje Borja Baz</t>
  </si>
  <si>
    <t>Prim Kalea, 31, 20006 Donostia, Gipuzkoa</t>
  </si>
  <si>
    <t>Naiara Elgueta Oñate y Otra C.B.</t>
  </si>
  <si>
    <t>Santa Ana Kalea, 2, 20590 Soraluze, Gipuzkoa</t>
  </si>
  <si>
    <t>Placencia de las Armas</t>
  </si>
  <si>
    <t>943 75 30 11</t>
  </si>
  <si>
    <t>Lorak Esther</t>
  </si>
  <si>
    <t>Artabide Kalea, 24, 48700 Ondarroa, Bizkaia</t>
  </si>
  <si>
    <t>Ondárroa</t>
  </si>
  <si>
    <t>946 83 09 60</t>
  </si>
  <si>
    <t>Floristeria Ontxi Rega</t>
  </si>
  <si>
    <t>20500 Mondragón, Gipuzkoa</t>
  </si>
  <si>
    <t>Mondragón</t>
  </si>
  <si>
    <t>Endanea Garden</t>
  </si>
  <si>
    <t>Barrio Jaitzubia, 40, 20280 Hondarribia, Gipuzkoa</t>
  </si>
  <si>
    <t>endanea.com</t>
  </si>
  <si>
    <t>943 64 17 10</t>
  </si>
  <si>
    <t>info@endanea.com</t>
  </si>
  <si>
    <t>Hazia Loradenda</t>
  </si>
  <si>
    <t>Kalea, Oriamendi Kalea, 30, 20200 Beasain, Gipuzkoa</t>
  </si>
  <si>
    <t>hazia.eus</t>
  </si>
  <si>
    <t>943 25 34 93</t>
  </si>
  <si>
    <t>ALKUBI GARDEN</t>
  </si>
  <si>
    <t>Ubegi Zeharbidea, 2, 20014 Donostia, Gipuzkoa</t>
  </si>
  <si>
    <t>alkubigarden.com</t>
  </si>
  <si>
    <t>943 10 62 77</t>
  </si>
  <si>
    <t>info@alkubi.es</t>
  </si>
  <si>
    <t>Aduna Garden</t>
  </si>
  <si>
    <t>Zubitxiki Pol., 16, 20150 Aduna, Gipuzkoa</t>
  </si>
  <si>
    <t>Aduna</t>
  </si>
  <si>
    <t>943 93 03 50</t>
  </si>
  <si>
    <t>Lola opariak</t>
  </si>
  <si>
    <t>Euskal Herria Etorbidea, S/n, 48250 Zaldibar, Bizkaia</t>
  </si>
  <si>
    <t>Zaldibar</t>
  </si>
  <si>
    <t>946 55 00 08</t>
  </si>
  <si>
    <t>Adraflor</t>
  </si>
  <si>
    <t>Av del Mediterráneo, 04770 Adra, Almería</t>
  </si>
  <si>
    <t>Santamaría Tirado productores de flor SLU.</t>
  </si>
  <si>
    <t>Vereda de Chapitel S/N, 11550 Chipiona, Cádiz</t>
  </si>
  <si>
    <t>santamariatirado.es</t>
  </si>
  <si>
    <t>956 90 67 29</t>
  </si>
  <si>
    <t>Enrique Montalbán S.L.</t>
  </si>
  <si>
    <t>11550 Chipiona, Cádiz</t>
  </si>
  <si>
    <t>enriquemontalban.com</t>
  </si>
  <si>
    <t>956 37 32 58</t>
  </si>
  <si>
    <t>nacional@enriquemontalban.com</t>
  </si>
  <si>
    <t>Elvea Flor</t>
  </si>
  <si>
    <t>CTRA A-480 CHIPIONA SANLUCAR K.M 3.8, 11550 Chipiona, Cádiz</t>
  </si>
  <si>
    <t>elveaflor.com</t>
  </si>
  <si>
    <t>956 37 42 41</t>
  </si>
  <si>
    <t>elveaflor@gmail.com</t>
  </si>
  <si>
    <t>Apartado correos, 83, 11550 Chipiona, Cádiz</t>
  </si>
  <si>
    <t>655 83 77 24</t>
  </si>
  <si>
    <t>LOLAFLOR</t>
  </si>
  <si>
    <t>Vereda Chapitel s/n,11550, Chipiona, Cádiz</t>
  </si>
  <si>
    <t>lolaflor.es</t>
  </si>
  <si>
    <t>626 16 62 73</t>
  </si>
  <si>
    <t>lolaflor.com@gmail.com</t>
  </si>
  <si>
    <t>Jemaflor Chipiona S L</t>
  </si>
  <si>
    <t>Calle Acosta, 40, 11550 Chipiona, Cádiz</t>
  </si>
  <si>
    <t>jemaflor.com</t>
  </si>
  <si>
    <t>956 37 44 63</t>
  </si>
  <si>
    <t>jesus@jemaflor.com</t>
  </si>
  <si>
    <t>Trioflor</t>
  </si>
  <si>
    <t>Ctra. Jerez Km 1, 11540 Sanlúcar de Barrameda, Cádiz</t>
  </si>
  <si>
    <t>956 36 60 48</t>
  </si>
  <si>
    <t>MOTAFLOR CHIPIONA</t>
  </si>
  <si>
    <t>CAMINO DE JEREZ, KM 1,125., 11550 Chipiona, Cádiz</t>
  </si>
  <si>
    <t>motaflorchipiona.com</t>
  </si>
  <si>
    <t>648 51 80 63</t>
  </si>
  <si>
    <t>info@motaflorchipiona.com</t>
  </si>
  <si>
    <t>Floristería Huerta Del Galeón</t>
  </si>
  <si>
    <t>Camino el Galeón, 1, 14900 Lucena, Córdoba</t>
  </si>
  <si>
    <t>Lucena</t>
  </si>
  <si>
    <t>huertaelgaleon.net</t>
  </si>
  <si>
    <t>957 50 15 05</t>
  </si>
  <si>
    <t>Natural Systems</t>
  </si>
  <si>
    <t>Calle Marconi, 8, 14550 Montilla, Córdoba</t>
  </si>
  <si>
    <t>naturalsystems.es</t>
  </si>
  <si>
    <t>957 65 54 10</t>
  </si>
  <si>
    <t>Lucas Flor Granada</t>
  </si>
  <si>
    <t>Calle Juan Strauss, 0 S/N (Pol Ind San Cayetano), 18194 Churriana de la Vega, Granada</t>
  </si>
  <si>
    <t>958 55 39 84</t>
  </si>
  <si>
    <t>Expo Jardin Granada</t>
  </si>
  <si>
    <t>expojardingranada.com</t>
  </si>
  <si>
    <t>958 49 71 03</t>
  </si>
  <si>
    <t>garden@expojardingranada.com</t>
  </si>
  <si>
    <t>Viveros Anabel</t>
  </si>
  <si>
    <t>Diseminado Rincon, 5, 21500 Gibraleón, Huelva</t>
  </si>
  <si>
    <t>Vivero de flores el suizo</t>
  </si>
  <si>
    <t>Floristería Vivero Alcázar</t>
  </si>
  <si>
    <t>Ctra. Circunvalación, 27, 23440 Baeza, Jaén</t>
  </si>
  <si>
    <t>floristeriaviveroalcazar.com</t>
  </si>
  <si>
    <t>667 64 97 03</t>
  </si>
  <si>
    <t>viverosalcazar@hotmail.com</t>
  </si>
  <si>
    <t>Floristería y Viveros la Buganvilla</t>
  </si>
  <si>
    <t>Calle García Lorca, 5, 29320 Campillos, Málaga</t>
  </si>
  <si>
    <t>Campillos</t>
  </si>
  <si>
    <t>952 72 21 38</t>
  </si>
  <si>
    <t>ROSAS DE SEVILLA</t>
  </si>
  <si>
    <t>Calle LUIS DE MORALES, 24, Ctra. sevilla-Cádiz N-IV km 567,2 Los Palacios y Villafranca 41720, 41018 Sevilla</t>
  </si>
  <si>
    <t>rosasdesevilla.es</t>
  </si>
  <si>
    <t>955 81 90 16</t>
  </si>
  <si>
    <t>María Carmen Polo Beltrán</t>
  </si>
  <si>
    <t>Calle Baltasar Gracián, 9, 41007 Sevilla</t>
  </si>
  <si>
    <t>954 58 21 22</t>
  </si>
  <si>
    <t>Importación de Rosas Ecuador / De Acanto Premium Roses</t>
  </si>
  <si>
    <t>Calle Rosario, 12, 41500 Alcalá de Guadaíra, Sevilla</t>
  </si>
  <si>
    <t>deacantopremiumroses.com</t>
  </si>
  <si>
    <t>667 58 01 33</t>
  </si>
  <si>
    <t>pedidos@deacantopremiumroses.com</t>
  </si>
  <si>
    <t>Rosas de Sevilla</t>
  </si>
  <si>
    <t>Carretera Sevilla - Cádiz, 0 km 567 2, 41720 Los Palacios y Villafranca, Sevilla</t>
  </si>
  <si>
    <t>info@rosasdesevilla.com</t>
  </si>
  <si>
    <t>Gersa Medioambiente Sl</t>
  </si>
  <si>
    <t>Ctra. Torreblanca-Mairena, 0, 41500 San Rafael, Sevilla</t>
  </si>
  <si>
    <t>955 95 00 78</t>
  </si>
  <si>
    <t>Viveros Ibañez</t>
  </si>
  <si>
    <t>Ctra Monasterio de Piedra Km 2.200, 50300 Calatayud, Zaragoza</t>
  </si>
  <si>
    <t>viverosibanez.es</t>
  </si>
  <si>
    <t>976 88 55 12</t>
  </si>
  <si>
    <t>info@viverosibanez.es</t>
  </si>
  <si>
    <t>Viveros Sa</t>
  </si>
  <si>
    <t>Carrer de la Portassa, 0, 07015 Palma, Illes Balears</t>
  </si>
  <si>
    <t>Fornés group</t>
  </si>
  <si>
    <t>Carrer Cal Jutge, 3, 07007 Palma, Illes Balears</t>
  </si>
  <si>
    <t>fornesgroup.com</t>
  </si>
  <si>
    <t>971 42 89 05</t>
  </si>
  <si>
    <t>flors@fornesgroup.com</t>
  </si>
  <si>
    <t>Floristeria CAN DAIFA</t>
  </si>
  <si>
    <t>Carrer del Faisà, 89, 07819 Nuestra Señora de Jesús, Illes Balears</t>
  </si>
  <si>
    <t>971 31 79 47</t>
  </si>
  <si>
    <t>Hortícola Balear</t>
  </si>
  <si>
    <t>Carrer de la Infanta, 9, 07702 Maó, Illes Balears</t>
  </si>
  <si>
    <t>horticolabalear.com</t>
  </si>
  <si>
    <t>971 36 34 56</t>
  </si>
  <si>
    <t>hbalear@infotelecom.es</t>
  </si>
  <si>
    <t>Vivero el Charco</t>
  </si>
  <si>
    <t>Calle Reyes Católicos, 28, 35600 Puerto del Rosario, Las Palmas</t>
  </si>
  <si>
    <t>828 66 99 86</t>
  </si>
  <si>
    <t>Invernaderos Dely, S.L.</t>
  </si>
  <si>
    <t>Camino la Molineta, 38550 Arafo, Santa Cruz de Tenerife</t>
  </si>
  <si>
    <t>Arafo</t>
  </si>
  <si>
    <t>922 51 32 53</t>
  </si>
  <si>
    <t>Flores Araguaney</t>
  </si>
  <si>
    <t>Calle Anaga, 11, 38611 San Isidro, Santa Cruz de Tenerife</t>
  </si>
  <si>
    <t>San Isidro</t>
  </si>
  <si>
    <t>922 39 40 35</t>
  </si>
  <si>
    <t>Palmaflor</t>
  </si>
  <si>
    <t>Av. Venezuela, 8, 38760 Los Llanos, Santa Cruz de Tenerife</t>
  </si>
  <si>
    <t>palmaflor.com</t>
  </si>
  <si>
    <t>922 46 16 87</t>
  </si>
  <si>
    <t>palmaflor@palmaflor.com</t>
  </si>
  <si>
    <t>Floristería Pife</t>
  </si>
  <si>
    <t>Calle de Calatrava, 16, 13004 Ciudad Real, Cdad. Real</t>
  </si>
  <si>
    <t>605 24 42 26</t>
  </si>
  <si>
    <t>floristeriapife@hotmail.com</t>
  </si>
  <si>
    <t>Plantas y flores Alex floristería centros naturales y artificiales para el día de los Santos en seseña, Seseña Nuevo, el quiñon arreglos florales</t>
  </si>
  <si>
    <t>Calle Lavadero, 2, 45224 Seseña Nuevo, Toledo</t>
  </si>
  <si>
    <t>Seseña Nuevo</t>
  </si>
  <si>
    <t>plantas-alex.business.site</t>
  </si>
  <si>
    <t>606 27 36 66</t>
  </si>
  <si>
    <t>Viveros Cantador</t>
  </si>
  <si>
    <t>CM-4133, s/n, 45710 Madridejos, Toledo</t>
  </si>
  <si>
    <t>Madridejos</t>
  </si>
  <si>
    <t>925 46 28 69</t>
  </si>
  <si>
    <t>OCAFLOR</t>
  </si>
  <si>
    <t>Calle Manuel Ortiz, 8, 45300 Ocaña, Toledo</t>
  </si>
  <si>
    <t>Ocaña</t>
  </si>
  <si>
    <t>floristeriaocaflor.es</t>
  </si>
  <si>
    <t>925 13 01 17</t>
  </si>
  <si>
    <t>AGRICENTRO TALAVERA</t>
  </si>
  <si>
    <t>Calle Federica Montseny, 10, 45600 Talavera de la Reina, Toledo</t>
  </si>
  <si>
    <t>Talavera de la Reina</t>
  </si>
  <si>
    <t>925 81 84 54</t>
  </si>
  <si>
    <t>Morheras Flores C B</t>
  </si>
  <si>
    <t>Viveros Madrona</t>
  </si>
  <si>
    <t>viverosmadrona.com</t>
  </si>
  <si>
    <t>info@viverosmadrona.com</t>
  </si>
  <si>
    <t>Aleia Roses</t>
  </si>
  <si>
    <t>Avenida de la Rosa, nº 1, 42162 Soria</t>
  </si>
  <si>
    <t>aleiaroses.com</t>
  </si>
  <si>
    <t>975 10 80 00</t>
  </si>
  <si>
    <t>sales@aleiaroses.com</t>
  </si>
  <si>
    <t>LA PLANTETA</t>
  </si>
  <si>
    <t>Carrer de Sabino Arana, 12, 08028 Barcelona</t>
  </si>
  <si>
    <t>laplanteta.com</t>
  </si>
  <si>
    <t>934 90 55 36</t>
  </si>
  <si>
    <t>Flors Navarro</t>
  </si>
  <si>
    <t>08340, Camí del Mig, 42, 08349 Vilassar de Mar, Barcelona</t>
  </si>
  <si>
    <t>Vilasar de Mar</t>
  </si>
  <si>
    <t>937 50 61 76</t>
  </si>
  <si>
    <t>Verd-Pizarro S L</t>
  </si>
  <si>
    <t>Camí del Crist, S/N, 08340 Vilassar de Mar, Barcelona</t>
  </si>
  <si>
    <t>937 59 71 25</t>
  </si>
  <si>
    <t>VIMASS</t>
  </si>
  <si>
    <t>Camí del Crist, 2, 08340 Vilassar de Mar, Barcelona</t>
  </si>
  <si>
    <t>vimass.com</t>
  </si>
  <si>
    <t>937 59 30 78</t>
  </si>
  <si>
    <t>L&amp;apos;Espígol Floristeria</t>
  </si>
  <si>
    <t>Carrer del 8 de Març, 40, 08950 Esplugues de Llobregat, Barcelona</t>
  </si>
  <si>
    <t>Floristeria Veraflor</t>
  </si>
  <si>
    <t>Avinguda del Paral·lel, 168, 08015 Barcelona</t>
  </si>
  <si>
    <t>640 29 09 29</t>
  </si>
  <si>
    <t>Barnaplant S L</t>
  </si>
  <si>
    <t>N-II, 08349, Barcelona</t>
  </si>
  <si>
    <t>Cabrera de Mar</t>
  </si>
  <si>
    <t>barnaplant.com</t>
  </si>
  <si>
    <t>937 54 11 00</t>
  </si>
  <si>
    <t>Ecuplan S.L.</t>
  </si>
  <si>
    <t>Carrer de Santa Maria, 47, 08172 Sant Cugat del Vallès, Barcelona</t>
  </si>
  <si>
    <t>935 87 82 33</t>
  </si>
  <si>
    <t>Central Garden</t>
  </si>
  <si>
    <t>17251 Calonge, Girona</t>
  </si>
  <si>
    <t>Calonge</t>
  </si>
  <si>
    <t>centralgarden.cat</t>
  </si>
  <si>
    <t>625 63 51 04</t>
  </si>
  <si>
    <t>info@centralgarden.cat</t>
  </si>
  <si>
    <t>Hiver Gavaldà S.L.</t>
  </si>
  <si>
    <t>Camí del Coll d&amp;apos;en Boc, S/N BAJO, 43330 Riudoms, Tarragona</t>
  </si>
  <si>
    <t>floresyplantashivergavalda.es</t>
  </si>
  <si>
    <t>977 85 06 67</t>
  </si>
  <si>
    <t>Plantas y fitosanitarios Salvador Benavent</t>
  </si>
  <si>
    <t>Carrer València, 38, 46920 València, Valencia</t>
  </si>
  <si>
    <t>963 79 39 82</t>
  </si>
  <si>
    <t>Sunny Plant</t>
  </si>
  <si>
    <t>46229 Picassent, Valencia</t>
  </si>
  <si>
    <t>Viveros Juanjo</t>
  </si>
  <si>
    <t>Carretera Madrid Badajoz, 3, 06498 Lobón, Badajoz</t>
  </si>
  <si>
    <t>Lobón</t>
  </si>
  <si>
    <t>viverosjuanjo.com</t>
  </si>
  <si>
    <t>924 44 78 84</t>
  </si>
  <si>
    <t>Calle Golondrinas, 8, 06300 Zafra, Badajoz</t>
  </si>
  <si>
    <t>viverosdalia.com</t>
  </si>
  <si>
    <t>647 45 56 63</t>
  </si>
  <si>
    <t>viverosdalia@gmail.com</t>
  </si>
  <si>
    <t>Disflora Pontevedra S.L.</t>
  </si>
  <si>
    <t>Rúa Benigno Esperón, 15, 36163 Poio, Pontevedra</t>
  </si>
  <si>
    <t>986 87 33 72</t>
  </si>
  <si>
    <t>Lugar Barragans, 11, 36157 Barragáns, Pontevedra</t>
  </si>
  <si>
    <t>Barragáns</t>
  </si>
  <si>
    <t>lagardenia.es</t>
  </si>
  <si>
    <t>986 83 31 31</t>
  </si>
  <si>
    <t>Florinor SL</t>
  </si>
  <si>
    <t>Rúa San Mauro, 38, 36004 Pontevedra</t>
  </si>
  <si>
    <t>986 84 43 78</t>
  </si>
  <si>
    <t>Vidamar Plantas</t>
  </si>
  <si>
    <t>Camiño dos Frades, 58, 36817 Redondela, Pontevedra</t>
  </si>
  <si>
    <t>Redondela</t>
  </si>
  <si>
    <t>986 40 20 19</t>
  </si>
  <si>
    <t>Cimaflor</t>
  </si>
  <si>
    <t>Polígono Industrial A Pasaxe Vincios, 63, 36380 Vincios (Santa Marina P), PO</t>
  </si>
  <si>
    <t>Gondomar</t>
  </si>
  <si>
    <t>986 46 51 31</t>
  </si>
  <si>
    <t>VIDAPLAN, SL</t>
  </si>
  <si>
    <t>Lugar O Cruceiro, 15, 36791, PO</t>
  </si>
  <si>
    <t>O Monte</t>
  </si>
  <si>
    <t>986 63 33 78</t>
  </si>
  <si>
    <t>ceramikk.com</t>
  </si>
  <si>
    <t>36655 Caldas de Reis, PO</t>
  </si>
  <si>
    <t>Caldas de Reyes</t>
  </si>
  <si>
    <t>663 94 15 34</t>
  </si>
  <si>
    <t>Floristería Casablanca 3</t>
  </si>
  <si>
    <t>Rúa de Urzaiz, 81, BAJO, 36204 Vigo, Pontevedra</t>
  </si>
  <si>
    <t>floristeriascasablanca3.com</t>
  </si>
  <si>
    <t>986 43 28 02</t>
  </si>
  <si>
    <t>casablanca3@interflora.es</t>
  </si>
  <si>
    <t>Flores Toxal</t>
  </si>
  <si>
    <t>Rúa San Roque, 53, 36789 A Guarda, Pontevedra</t>
  </si>
  <si>
    <t>La Guardia</t>
  </si>
  <si>
    <t>florestoxal.es</t>
  </si>
  <si>
    <t>986 61 14 72</t>
  </si>
  <si>
    <t>info@florestoxal.es</t>
  </si>
  <si>
    <t>Agustín Tejido S L</t>
  </si>
  <si>
    <t>Calle de los Padres Dominicos, 42, 28050 Madrid</t>
  </si>
  <si>
    <t>913 83 93 27</t>
  </si>
  <si>
    <t>Los Peñotes Flor</t>
  </si>
  <si>
    <t>Plaza de la Moraleja, 28109 La Moraleja, Alcobendas, Madrid</t>
  </si>
  <si>
    <t>916 50 02 21</t>
  </si>
  <si>
    <t>Av. de la Constitución, 3, 28850 Torrejón de Ardoz, Madrid</t>
  </si>
  <si>
    <t>916 77 47 77</t>
  </si>
  <si>
    <t>KOKEDAMAS RUBIO</t>
  </si>
  <si>
    <t>Calle de Sánchez Preciado, 17, 28039 Madrid</t>
  </si>
  <si>
    <t>kokedamasrubio.com</t>
  </si>
  <si>
    <t>665 98 60 63</t>
  </si>
  <si>
    <t>Vivero Florama Collado Mediano</t>
  </si>
  <si>
    <t>Calle de las Acacias, 28450 Madrid</t>
  </si>
  <si>
    <t>Becerril de la Sierra</t>
  </si>
  <si>
    <t>viverosflorama.es</t>
  </si>
  <si>
    <t>918 27 99 99</t>
  </si>
  <si>
    <t>//viverosflorama.es/contacto/info@viverosflorama.es</t>
  </si>
  <si>
    <t>Rosas de Murcia</t>
  </si>
  <si>
    <t>Diseminado Cm San Juan, 35, 30566 Las Torres de Cotillas, Murcia</t>
  </si>
  <si>
    <t>José Guirao Murcia</t>
  </si>
  <si>
    <t>Calle del Maestro Espada, 46, 30892 Librilla, Murcia</t>
  </si>
  <si>
    <t>Librilla</t>
  </si>
  <si>
    <t>968 65 90 57</t>
  </si>
  <si>
    <t>Floristería Cementerio Cartagena - La Campana (Santa Lucía)</t>
  </si>
  <si>
    <t>Calle Pedro Sánchez, 33, 30300 Cartagena, Murcia</t>
  </si>
  <si>
    <t>huertolacampana.es</t>
  </si>
  <si>
    <t>968 12 33 52</t>
  </si>
  <si>
    <t>santalucia@huertolacampana.es</t>
  </si>
  <si>
    <t>Hortalizas de Europa S.L.</t>
  </si>
  <si>
    <t>Carretera Del Jimenado, 0 km 1 1 s-n 0, 30700 Torre-Pacheco</t>
  </si>
  <si>
    <t>968 18 86 00</t>
  </si>
  <si>
    <t>Número de empresas</t>
  </si>
  <si>
    <t>Número de correos electrónicos</t>
  </si>
  <si>
    <t>Número de webs</t>
  </si>
  <si>
    <t>Números de teléfono</t>
  </si>
  <si>
    <t>Números de teléfono fijo</t>
  </si>
  <si>
    <t>Números de teléfono móvil</t>
  </si>
  <si>
    <t>Sectores</t>
  </si>
  <si>
    <t>Mails únicos</t>
  </si>
  <si>
    <t>Mails verificados</t>
  </si>
  <si>
    <t>hortiflorfloristas@hotmail.com</t>
  </si>
  <si>
    <t>floristeria@rosarosam.es</t>
  </si>
  <si>
    <t>roberto@sanchezartefloral.es</t>
  </si>
  <si>
    <t>puri@floristeriahiedra.com</t>
  </si>
  <si>
    <t>Esta base de datos de empresas se encuentra protegida bajo derechos de autor.
Está prohibida su copia y reproducción con o sin ánimo de lucro bajo autorización expresa del autor según artículo 270, 270.2, 270.3, 270.4, 270.5, 270.6, 270.7
Como medida de seguridad hay registros clave a modo de firma digital registrados ante notario y ante la consejería de cultura y patrimonio histórico con número
GR-00416-2020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</si>
</sst>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Helvetic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Floristerias</a:t>
            </a:r>
            <a:r>
              <a:rPr lang="es-ES" baseline="0"/>
              <a:t> en España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7C5-4270-8BCA-E71152AA5F1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7C5-4270-8BCA-E71152AA5F1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7C5-4270-8BCA-E71152AA5F18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7C5-4270-8BCA-E71152AA5F18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7C5-4270-8BCA-E71152AA5F18}"/>
              </c:ext>
            </c:extLst>
          </c:dPt>
          <c:cat>
            <c:strRef>
              <c:f>Estadísticas!$A$1:$F$1</c:f>
              <c:strCache>
                <c:ptCount val="6"/>
                <c:pt idx="0">
                  <c:v>Número de empresas</c:v>
                </c:pt>
                <c:pt idx="1">
                  <c:v>Número de correos electrónicos</c:v>
                </c:pt>
                <c:pt idx="2">
                  <c:v>Número de webs</c:v>
                </c:pt>
                <c:pt idx="3">
                  <c:v>Números de teléfono</c:v>
                </c:pt>
                <c:pt idx="4">
                  <c:v>Números de teléfono fijo</c:v>
                </c:pt>
                <c:pt idx="5">
                  <c:v>Números de teléfono móvil</c:v>
                </c:pt>
              </c:strCache>
            </c:strRef>
          </c:cat>
          <c:val>
            <c:numRef>
              <c:f>Estadísticas!$A$2:$F$2</c:f>
              <c:numCache>
                <c:formatCode>General</c:formatCode>
                <c:ptCount val="6"/>
                <c:pt idx="0">
                  <c:v>4563</c:v>
                </c:pt>
                <c:pt idx="1">
                  <c:v>1290</c:v>
                </c:pt>
                <c:pt idx="2">
                  <c:v>2458</c:v>
                </c:pt>
                <c:pt idx="3">
                  <c:v>4206</c:v>
                </c:pt>
                <c:pt idx="4">
                  <c:v>3150</c:v>
                </c:pt>
                <c:pt idx="5">
                  <c:v>1056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C5-4270-8BCA-E71152AA5F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6589792"/>
        <c:axId val="1676595616"/>
      </c:barChart>
      <c:catAx>
        <c:axId val="1676589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595616"/>
        <c:crosses val="autoZero"/>
        <c:auto val="1"/>
        <c:lblAlgn val="ctr"/>
        <c:lblOffset val="100"/>
        <c:noMultiLvlLbl val="0"/>
      </c:catAx>
      <c:valAx>
        <c:axId val="167659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589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444500</xdr:colOff>
      <xdr:row>2</xdr:row>
      <xdr:rowOff>120650</xdr:rowOff>
    </xdr:from>
    <xdr:to>
      <xdr:col>5</xdr:col>
      <xdr:colOff>2254250</xdr:colOff>
      <xdr:row>31</xdr:row>
      <xdr:rowOff>95250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D3C9CC3-7B9D-DD8D-7506-3A0D86D4F3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86D33-3C9E-435A-8BA3-1766DB5D3B73}">
  <dimension ref="A1:I4564"/>
  <sheetViews>
    <sheetView tabSelected="1" workbookViewId="0">
      <selection activeCell="I2" sqref="I2"/>
    </sheetView>
  </sheetViews>
  <sheetFormatPr defaultColWidth="8.7109375" defaultRowHeight="14.45"/>
  <cols>
    <col min="1" max="1" width="39" customWidth="1"/>
    <col min="2" max="2" width="15.42578125" customWidth="1"/>
    <col min="6" max="6" width="14.140625" customWidth="1"/>
    <col min="7" max="7" width="15" customWidth="1"/>
    <col min="8" max="8" width="28.28515625" customWidth="1"/>
    <col min="9" max="9" width="24.85546875" customWidth="1"/>
  </cols>
  <sheetData>
    <row r="1" spans="1:9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12</v>
      </c>
      <c r="F2" t="s">
        <v>13</v>
      </c>
      <c r="G2" t="s">
        <v>14</v>
      </c>
      <c r="H2" t="s">
        <v>15</v>
      </c>
      <c r="I2" t="b">
        <f>COUNTIF(Estadísticas!I:I,'centraldecomunicacion.es'!H2)&gt;0</f>
        <v>0</v>
      </c>
    </row>
    <row r="3" spans="1:9">
      <c r="A3" t="s">
        <v>16</v>
      </c>
      <c r="B3" t="s">
        <v>10</v>
      </c>
      <c r="C3" t="s">
        <v>17</v>
      </c>
      <c r="D3" t="s">
        <v>12</v>
      </c>
      <c r="E3" t="s">
        <v>12</v>
      </c>
      <c r="F3" t="s">
        <v>18</v>
      </c>
      <c r="G3" t="s">
        <v>19</v>
      </c>
      <c r="H3" t="s">
        <v>20</v>
      </c>
      <c r="I3" t="b">
        <f>COUNTIF(Estadísticas!I:I,'centraldecomunicacion.es'!H3)&gt;0</f>
        <v>0</v>
      </c>
    </row>
    <row r="4" spans="1:9">
      <c r="A4" t="s">
        <v>21</v>
      </c>
      <c r="B4" t="s">
        <v>10</v>
      </c>
      <c r="C4" t="s">
        <v>22</v>
      </c>
      <c r="D4" t="s">
        <v>12</v>
      </c>
      <c r="E4" t="s">
        <v>12</v>
      </c>
      <c r="F4" t="s">
        <v>23</v>
      </c>
      <c r="G4" t="s">
        <v>24</v>
      </c>
      <c r="H4" t="s">
        <v>25</v>
      </c>
      <c r="I4" t="b">
        <f>COUNTIF(Estadísticas!I:I,'centraldecomunicacion.es'!H4)&gt;0</f>
        <v>0</v>
      </c>
    </row>
    <row r="5" spans="1:9">
      <c r="A5" t="s">
        <v>26</v>
      </c>
      <c r="B5" t="s">
        <v>10</v>
      </c>
      <c r="C5" t="s">
        <v>27</v>
      </c>
      <c r="D5" t="s">
        <v>12</v>
      </c>
      <c r="E5" t="s">
        <v>12</v>
      </c>
      <c r="F5" t="s">
        <v>28</v>
      </c>
      <c r="G5" t="s">
        <v>29</v>
      </c>
      <c r="H5" t="s">
        <v>30</v>
      </c>
      <c r="I5" t="b">
        <f>COUNTIF(Estadísticas!I:I,'centraldecomunicacion.es'!H5)&gt;0</f>
        <v>0</v>
      </c>
    </row>
    <row r="6" spans="1:9">
      <c r="A6" t="s">
        <v>31</v>
      </c>
      <c r="B6" t="s">
        <v>10</v>
      </c>
      <c r="C6" t="s">
        <v>32</v>
      </c>
      <c r="D6" t="s">
        <v>12</v>
      </c>
      <c r="E6" t="s">
        <v>12</v>
      </c>
      <c r="F6" t="s">
        <v>33</v>
      </c>
      <c r="G6" t="s">
        <v>34</v>
      </c>
      <c r="H6" t="s">
        <v>35</v>
      </c>
      <c r="I6" t="b">
        <f>COUNTIF(Estadísticas!I:I,'centraldecomunicacion.es'!H6)&gt;0</f>
        <v>0</v>
      </c>
    </row>
    <row r="7" spans="1:9">
      <c r="A7" t="s">
        <v>36</v>
      </c>
      <c r="B7" t="s">
        <v>10</v>
      </c>
      <c r="C7" t="s">
        <v>37</v>
      </c>
      <c r="D7" t="s">
        <v>12</v>
      </c>
      <c r="E7" t="s">
        <v>12</v>
      </c>
      <c r="F7" t="s">
        <v>38</v>
      </c>
      <c r="G7" t="s">
        <v>39</v>
      </c>
      <c r="H7" t="s">
        <v>30</v>
      </c>
      <c r="I7" t="b">
        <f>COUNTIF(Estadísticas!I:I,'centraldecomunicacion.es'!H7)&gt;0</f>
        <v>0</v>
      </c>
    </row>
    <row r="8" spans="1:9">
      <c r="A8" t="s">
        <v>40</v>
      </c>
      <c r="B8" t="s">
        <v>10</v>
      </c>
      <c r="C8" t="s">
        <v>28</v>
      </c>
      <c r="D8" t="s">
        <v>41</v>
      </c>
      <c r="E8" t="s">
        <v>28</v>
      </c>
      <c r="F8" t="s">
        <v>42</v>
      </c>
      <c r="G8" t="s">
        <v>43</v>
      </c>
      <c r="H8" t="s">
        <v>30</v>
      </c>
      <c r="I8" t="b">
        <f>COUNTIF(Estadísticas!I:I,'centraldecomunicacion.es'!H8)&gt;0</f>
        <v>0</v>
      </c>
    </row>
    <row r="9" spans="1:9">
      <c r="A9" t="s">
        <v>44</v>
      </c>
      <c r="B9" t="s">
        <v>10</v>
      </c>
      <c r="C9" t="s">
        <v>45</v>
      </c>
      <c r="D9" t="s">
        <v>46</v>
      </c>
      <c r="E9" t="s">
        <v>12</v>
      </c>
      <c r="F9" t="s">
        <v>28</v>
      </c>
      <c r="G9" t="s">
        <v>47</v>
      </c>
      <c r="H9" t="s">
        <v>30</v>
      </c>
      <c r="I9" t="b">
        <f>COUNTIF(Estadísticas!I:I,'centraldecomunicacion.es'!H9)&gt;0</f>
        <v>0</v>
      </c>
    </row>
    <row r="10" spans="1:9">
      <c r="A10" t="s">
        <v>48</v>
      </c>
      <c r="B10" t="s">
        <v>10</v>
      </c>
      <c r="C10" t="s">
        <v>49</v>
      </c>
      <c r="D10" t="s">
        <v>12</v>
      </c>
      <c r="E10" t="s">
        <v>12</v>
      </c>
      <c r="F10" t="s">
        <v>50</v>
      </c>
      <c r="G10" t="s">
        <v>51</v>
      </c>
      <c r="H10" t="s">
        <v>30</v>
      </c>
      <c r="I10" t="b">
        <f>COUNTIF(Estadísticas!I:I,'centraldecomunicacion.es'!H10)&gt;0</f>
        <v>0</v>
      </c>
    </row>
    <row r="11" spans="1:9">
      <c r="A11" t="s">
        <v>52</v>
      </c>
      <c r="B11" t="s">
        <v>10</v>
      </c>
      <c r="C11" t="s">
        <v>53</v>
      </c>
      <c r="D11" t="s">
        <v>12</v>
      </c>
      <c r="E11" t="s">
        <v>12</v>
      </c>
      <c r="F11" t="s">
        <v>28</v>
      </c>
      <c r="G11" t="s">
        <v>28</v>
      </c>
      <c r="H11" t="s">
        <v>30</v>
      </c>
      <c r="I11" t="b">
        <f>COUNTIF(Estadísticas!I:I,'centraldecomunicacion.es'!H11)&gt;0</f>
        <v>0</v>
      </c>
    </row>
    <row r="12" spans="1:9">
      <c r="A12" t="s">
        <v>54</v>
      </c>
      <c r="B12" t="s">
        <v>10</v>
      </c>
      <c r="C12" t="s">
        <v>55</v>
      </c>
      <c r="D12" t="s">
        <v>12</v>
      </c>
      <c r="E12" t="s">
        <v>12</v>
      </c>
      <c r="F12" t="s">
        <v>28</v>
      </c>
      <c r="G12" t="s">
        <v>56</v>
      </c>
      <c r="H12" t="s">
        <v>30</v>
      </c>
      <c r="I12" t="b">
        <f>COUNTIF(Estadísticas!I:I,'centraldecomunicacion.es'!H12)&gt;0</f>
        <v>0</v>
      </c>
    </row>
    <row r="13" spans="1:9">
      <c r="A13" t="s">
        <v>57</v>
      </c>
      <c r="B13" t="s">
        <v>10</v>
      </c>
      <c r="C13" t="s">
        <v>58</v>
      </c>
      <c r="D13" t="s">
        <v>12</v>
      </c>
      <c r="E13" t="s">
        <v>12</v>
      </c>
      <c r="F13" t="s">
        <v>59</v>
      </c>
      <c r="G13" t="s">
        <v>60</v>
      </c>
      <c r="H13" t="s">
        <v>30</v>
      </c>
      <c r="I13" t="b">
        <f>COUNTIF(Estadísticas!I:I,'centraldecomunicacion.es'!H13)&gt;0</f>
        <v>0</v>
      </c>
    </row>
    <row r="14" spans="1:9">
      <c r="A14" t="s">
        <v>61</v>
      </c>
      <c r="B14" t="s">
        <v>10</v>
      </c>
      <c r="C14" t="s">
        <v>62</v>
      </c>
      <c r="D14" t="s">
        <v>12</v>
      </c>
      <c r="E14" t="s">
        <v>12</v>
      </c>
      <c r="F14" t="s">
        <v>28</v>
      </c>
      <c r="G14" t="s">
        <v>63</v>
      </c>
      <c r="H14" t="s">
        <v>30</v>
      </c>
      <c r="I14" t="b">
        <f>COUNTIF(Estadísticas!I:I,'centraldecomunicacion.es'!H14)&gt;0</f>
        <v>0</v>
      </c>
    </row>
    <row r="15" spans="1:9">
      <c r="A15" t="s">
        <v>64</v>
      </c>
      <c r="B15" t="s">
        <v>10</v>
      </c>
      <c r="C15" t="s">
        <v>65</v>
      </c>
      <c r="D15" t="s">
        <v>12</v>
      </c>
      <c r="E15" t="s">
        <v>12</v>
      </c>
      <c r="F15" t="s">
        <v>66</v>
      </c>
      <c r="G15" t="s">
        <v>63</v>
      </c>
      <c r="H15" t="s">
        <v>67</v>
      </c>
      <c r="I15" t="b">
        <f>COUNTIF(Estadísticas!I:I,'centraldecomunicacion.es'!H15)&gt;0</f>
        <v>0</v>
      </c>
    </row>
    <row r="16" spans="1:9">
      <c r="A16" t="s">
        <v>68</v>
      </c>
      <c r="B16" t="s">
        <v>10</v>
      </c>
      <c r="C16" t="s">
        <v>69</v>
      </c>
      <c r="D16" t="s">
        <v>12</v>
      </c>
      <c r="E16" t="s">
        <v>12</v>
      </c>
      <c r="F16" t="s">
        <v>28</v>
      </c>
      <c r="G16" t="s">
        <v>70</v>
      </c>
      <c r="H16" t="s">
        <v>30</v>
      </c>
      <c r="I16" t="b">
        <f>COUNTIF(Estadísticas!I:I,'centraldecomunicacion.es'!H16)&gt;0</f>
        <v>0</v>
      </c>
    </row>
    <row r="17" spans="1:9">
      <c r="A17" t="s">
        <v>71</v>
      </c>
      <c r="B17" t="s">
        <v>10</v>
      </c>
      <c r="C17" t="s">
        <v>72</v>
      </c>
      <c r="D17" t="s">
        <v>12</v>
      </c>
      <c r="E17" t="s">
        <v>12</v>
      </c>
      <c r="F17" t="s">
        <v>28</v>
      </c>
      <c r="G17" t="s">
        <v>73</v>
      </c>
      <c r="H17" t="s">
        <v>30</v>
      </c>
      <c r="I17" t="b">
        <f>COUNTIF(Estadísticas!I:I,'centraldecomunicacion.es'!H17)&gt;0</f>
        <v>0</v>
      </c>
    </row>
    <row r="18" spans="1:9">
      <c r="A18" t="s">
        <v>74</v>
      </c>
      <c r="B18" t="s">
        <v>10</v>
      </c>
      <c r="C18" t="s">
        <v>75</v>
      </c>
      <c r="D18" t="s">
        <v>12</v>
      </c>
      <c r="E18" t="s">
        <v>12</v>
      </c>
      <c r="F18" t="s">
        <v>28</v>
      </c>
      <c r="G18" t="s">
        <v>76</v>
      </c>
      <c r="H18" t="s">
        <v>30</v>
      </c>
      <c r="I18" t="b">
        <f>COUNTIF(Estadísticas!I:I,'centraldecomunicacion.es'!H18)&gt;0</f>
        <v>0</v>
      </c>
    </row>
    <row r="19" spans="1:9">
      <c r="A19" t="s">
        <v>77</v>
      </c>
      <c r="B19" t="s">
        <v>10</v>
      </c>
      <c r="C19" t="s">
        <v>78</v>
      </c>
      <c r="D19" t="s">
        <v>12</v>
      </c>
      <c r="E19" t="s">
        <v>12</v>
      </c>
      <c r="F19" t="s">
        <v>28</v>
      </c>
      <c r="G19" t="s">
        <v>79</v>
      </c>
      <c r="H19" t="s">
        <v>30</v>
      </c>
      <c r="I19" t="b">
        <f>COUNTIF(Estadísticas!I:I,'centraldecomunicacion.es'!H19)&gt;0</f>
        <v>0</v>
      </c>
    </row>
    <row r="20" spans="1:9">
      <c r="A20" t="s">
        <v>80</v>
      </c>
      <c r="B20" t="s">
        <v>10</v>
      </c>
      <c r="C20" t="s">
        <v>81</v>
      </c>
      <c r="D20" t="s">
        <v>82</v>
      </c>
      <c r="E20" t="s">
        <v>12</v>
      </c>
      <c r="F20" t="s">
        <v>83</v>
      </c>
      <c r="G20" t="s">
        <v>84</v>
      </c>
      <c r="H20" t="s">
        <v>85</v>
      </c>
      <c r="I20" t="b">
        <f>COUNTIF(Estadísticas!I:I,'centraldecomunicacion.es'!H20)&gt;0</f>
        <v>0</v>
      </c>
    </row>
    <row r="21" spans="1:9">
      <c r="A21" t="s">
        <v>86</v>
      </c>
      <c r="B21" t="s">
        <v>10</v>
      </c>
      <c r="C21" t="s">
        <v>17</v>
      </c>
      <c r="D21" t="s">
        <v>12</v>
      </c>
      <c r="E21" t="s">
        <v>12</v>
      </c>
      <c r="F21" t="s">
        <v>87</v>
      </c>
      <c r="G21" t="s">
        <v>19</v>
      </c>
      <c r="H21" t="s">
        <v>30</v>
      </c>
      <c r="I21" t="b">
        <f>COUNTIF(Estadísticas!I:I,'centraldecomunicacion.es'!H21)&gt;0</f>
        <v>0</v>
      </c>
    </row>
    <row r="22" spans="1:9">
      <c r="A22" t="s">
        <v>88</v>
      </c>
      <c r="B22" t="s">
        <v>10</v>
      </c>
      <c r="C22" t="s">
        <v>89</v>
      </c>
      <c r="D22" t="s">
        <v>12</v>
      </c>
      <c r="E22" t="s">
        <v>12</v>
      </c>
      <c r="F22" t="s">
        <v>28</v>
      </c>
      <c r="G22" t="s">
        <v>90</v>
      </c>
      <c r="H22" t="s">
        <v>30</v>
      </c>
      <c r="I22" t="b">
        <f>COUNTIF(Estadísticas!I:I,'centraldecomunicacion.es'!H22)&gt;0</f>
        <v>0</v>
      </c>
    </row>
    <row r="23" spans="1:9">
      <c r="A23" t="s">
        <v>91</v>
      </c>
      <c r="B23" t="s">
        <v>10</v>
      </c>
      <c r="C23" t="s">
        <v>92</v>
      </c>
      <c r="D23" t="s">
        <v>12</v>
      </c>
      <c r="E23" t="s">
        <v>12</v>
      </c>
      <c r="F23" t="s">
        <v>93</v>
      </c>
      <c r="G23" t="s">
        <v>94</v>
      </c>
      <c r="H23" t="s">
        <v>30</v>
      </c>
      <c r="I23" t="b">
        <f>COUNTIF(Estadísticas!I:I,'centraldecomunicacion.es'!H23)&gt;0</f>
        <v>0</v>
      </c>
    </row>
    <row r="24" spans="1:9">
      <c r="A24" t="s">
        <v>95</v>
      </c>
      <c r="B24" t="s">
        <v>10</v>
      </c>
      <c r="C24" t="s">
        <v>96</v>
      </c>
      <c r="D24" t="s">
        <v>12</v>
      </c>
      <c r="E24" t="s">
        <v>12</v>
      </c>
      <c r="F24" t="s">
        <v>23</v>
      </c>
      <c r="G24" t="s">
        <v>24</v>
      </c>
      <c r="H24" t="s">
        <v>25</v>
      </c>
      <c r="I24" t="b">
        <f>COUNTIF(Estadísticas!I:I,'centraldecomunicacion.es'!H24)&gt;0</f>
        <v>0</v>
      </c>
    </row>
    <row r="25" spans="1:9">
      <c r="A25" t="s">
        <v>97</v>
      </c>
      <c r="B25" t="s">
        <v>10</v>
      </c>
      <c r="C25" t="s">
        <v>98</v>
      </c>
      <c r="D25" t="s">
        <v>12</v>
      </c>
      <c r="E25" t="s">
        <v>12</v>
      </c>
      <c r="F25" t="s">
        <v>28</v>
      </c>
      <c r="G25" t="s">
        <v>99</v>
      </c>
      <c r="H25" t="s">
        <v>30</v>
      </c>
      <c r="I25" t="b">
        <f>COUNTIF(Estadísticas!I:I,'centraldecomunicacion.es'!H25)&gt;0</f>
        <v>0</v>
      </c>
    </row>
    <row r="26" spans="1:9">
      <c r="A26" t="s">
        <v>100</v>
      </c>
      <c r="B26" t="s">
        <v>10</v>
      </c>
      <c r="C26" t="s">
        <v>101</v>
      </c>
      <c r="D26" t="s">
        <v>12</v>
      </c>
      <c r="E26" t="s">
        <v>12</v>
      </c>
      <c r="F26" t="s">
        <v>28</v>
      </c>
      <c r="G26" t="s">
        <v>28</v>
      </c>
      <c r="H26" t="s">
        <v>30</v>
      </c>
      <c r="I26" t="b">
        <f>COUNTIF(Estadísticas!I:I,'centraldecomunicacion.es'!H26)&gt;0</f>
        <v>0</v>
      </c>
    </row>
    <row r="27" spans="1:9">
      <c r="A27" t="s">
        <v>102</v>
      </c>
      <c r="B27" t="s">
        <v>10</v>
      </c>
      <c r="C27" t="s">
        <v>103</v>
      </c>
      <c r="D27" t="s">
        <v>12</v>
      </c>
      <c r="E27" t="s">
        <v>12</v>
      </c>
      <c r="F27" t="s">
        <v>38</v>
      </c>
      <c r="G27" t="s">
        <v>104</v>
      </c>
      <c r="H27" t="s">
        <v>30</v>
      </c>
      <c r="I27" t="b">
        <f>COUNTIF(Estadísticas!I:I,'centraldecomunicacion.es'!H27)&gt;0</f>
        <v>0</v>
      </c>
    </row>
    <row r="28" spans="1:9">
      <c r="A28" t="s">
        <v>105</v>
      </c>
      <c r="B28" t="s">
        <v>10</v>
      </c>
      <c r="C28" t="s">
        <v>106</v>
      </c>
      <c r="D28" t="s">
        <v>12</v>
      </c>
      <c r="E28" t="s">
        <v>12</v>
      </c>
      <c r="F28" t="s">
        <v>28</v>
      </c>
      <c r="G28" t="s">
        <v>107</v>
      </c>
      <c r="H28" t="s">
        <v>30</v>
      </c>
      <c r="I28" t="b">
        <f>COUNTIF(Estadísticas!I:I,'centraldecomunicacion.es'!H28)&gt;0</f>
        <v>0</v>
      </c>
    </row>
    <row r="29" spans="1:9">
      <c r="A29" t="s">
        <v>108</v>
      </c>
      <c r="B29" t="s">
        <v>10</v>
      </c>
      <c r="C29" t="s">
        <v>109</v>
      </c>
      <c r="D29" t="s">
        <v>12</v>
      </c>
      <c r="E29" t="s">
        <v>12</v>
      </c>
      <c r="F29" t="s">
        <v>50</v>
      </c>
      <c r="G29" t="s">
        <v>43</v>
      </c>
      <c r="H29" t="s">
        <v>30</v>
      </c>
      <c r="I29" t="b">
        <f>COUNTIF(Estadísticas!I:I,'centraldecomunicacion.es'!H29)&gt;0</f>
        <v>0</v>
      </c>
    </row>
    <row r="30" spans="1:9">
      <c r="A30" t="s">
        <v>110</v>
      </c>
      <c r="B30" t="s">
        <v>10</v>
      </c>
      <c r="C30" t="s">
        <v>111</v>
      </c>
      <c r="D30" t="s">
        <v>12</v>
      </c>
      <c r="E30" t="s">
        <v>12</v>
      </c>
      <c r="F30" t="s">
        <v>28</v>
      </c>
      <c r="G30" t="s">
        <v>28</v>
      </c>
      <c r="H30" t="s">
        <v>30</v>
      </c>
      <c r="I30" t="b">
        <f>COUNTIF(Estadísticas!I:I,'centraldecomunicacion.es'!H30)&gt;0</f>
        <v>0</v>
      </c>
    </row>
    <row r="31" spans="1:9">
      <c r="A31" t="s">
        <v>112</v>
      </c>
      <c r="B31" t="s">
        <v>10</v>
      </c>
      <c r="C31" t="s">
        <v>113</v>
      </c>
      <c r="D31" t="s">
        <v>12</v>
      </c>
      <c r="E31" t="s">
        <v>12</v>
      </c>
      <c r="F31" t="s">
        <v>50</v>
      </c>
      <c r="G31" t="s">
        <v>114</v>
      </c>
      <c r="H31" t="s">
        <v>30</v>
      </c>
      <c r="I31" t="b">
        <f>COUNTIF(Estadísticas!I:I,'centraldecomunicacion.es'!H31)&gt;0</f>
        <v>0</v>
      </c>
    </row>
    <row r="32" spans="1:9">
      <c r="A32" t="s">
        <v>115</v>
      </c>
      <c r="B32" t="s">
        <v>10</v>
      </c>
      <c r="C32" t="s">
        <v>116</v>
      </c>
      <c r="D32" t="s">
        <v>12</v>
      </c>
      <c r="E32" t="s">
        <v>12</v>
      </c>
      <c r="F32" t="s">
        <v>28</v>
      </c>
      <c r="G32" t="s">
        <v>117</v>
      </c>
      <c r="H32" t="s">
        <v>30</v>
      </c>
      <c r="I32" t="b">
        <f>COUNTIF(Estadísticas!I:I,'centraldecomunicacion.es'!H32)&gt;0</f>
        <v>0</v>
      </c>
    </row>
    <row r="33" spans="1:9">
      <c r="A33" t="s">
        <v>118</v>
      </c>
      <c r="B33" t="s">
        <v>10</v>
      </c>
      <c r="C33" t="s">
        <v>119</v>
      </c>
      <c r="D33" t="s">
        <v>120</v>
      </c>
      <c r="E33" t="s">
        <v>12</v>
      </c>
      <c r="F33" t="s">
        <v>28</v>
      </c>
      <c r="G33" t="s">
        <v>121</v>
      </c>
      <c r="H33" t="s">
        <v>30</v>
      </c>
      <c r="I33" t="b">
        <f>COUNTIF(Estadísticas!I:I,'centraldecomunicacion.es'!H33)&gt;0</f>
        <v>0</v>
      </c>
    </row>
    <row r="34" spans="1:9">
      <c r="A34" t="s">
        <v>122</v>
      </c>
      <c r="B34" t="s">
        <v>10</v>
      </c>
      <c r="C34" t="s">
        <v>123</v>
      </c>
      <c r="D34" t="s">
        <v>46</v>
      </c>
      <c r="E34" t="s">
        <v>12</v>
      </c>
      <c r="F34" t="s">
        <v>124</v>
      </c>
      <c r="G34" t="s">
        <v>125</v>
      </c>
      <c r="H34" t="s">
        <v>126</v>
      </c>
      <c r="I34" t="b">
        <f>COUNTIF(Estadísticas!I:I,'centraldecomunicacion.es'!H34)&gt;0</f>
        <v>0</v>
      </c>
    </row>
    <row r="35" spans="1:9">
      <c r="A35" t="s">
        <v>127</v>
      </c>
      <c r="B35" t="s">
        <v>10</v>
      </c>
      <c r="C35" t="s">
        <v>128</v>
      </c>
      <c r="D35" t="s">
        <v>129</v>
      </c>
      <c r="E35" t="s">
        <v>12</v>
      </c>
      <c r="F35" t="s">
        <v>50</v>
      </c>
      <c r="G35" t="s">
        <v>130</v>
      </c>
      <c r="H35" t="s">
        <v>30</v>
      </c>
      <c r="I35" t="b">
        <f>COUNTIF(Estadísticas!I:I,'centraldecomunicacion.es'!H35)&gt;0</f>
        <v>0</v>
      </c>
    </row>
    <row r="36" spans="1:9">
      <c r="A36" t="s">
        <v>131</v>
      </c>
      <c r="B36" t="s">
        <v>10</v>
      </c>
      <c r="C36" t="s">
        <v>132</v>
      </c>
      <c r="D36" t="s">
        <v>120</v>
      </c>
      <c r="E36" t="s">
        <v>12</v>
      </c>
      <c r="F36" t="s">
        <v>133</v>
      </c>
      <c r="G36" t="s">
        <v>134</v>
      </c>
      <c r="H36" t="s">
        <v>30</v>
      </c>
      <c r="I36" t="b">
        <f>COUNTIF(Estadísticas!I:I,'centraldecomunicacion.es'!H36)&gt;0</f>
        <v>0</v>
      </c>
    </row>
    <row r="37" spans="1:9">
      <c r="A37" t="s">
        <v>135</v>
      </c>
      <c r="B37" t="s">
        <v>10</v>
      </c>
      <c r="C37" t="s">
        <v>136</v>
      </c>
      <c r="D37" t="s">
        <v>137</v>
      </c>
      <c r="E37" t="s">
        <v>12</v>
      </c>
      <c r="F37" t="s">
        <v>138</v>
      </c>
      <c r="G37" t="s">
        <v>139</v>
      </c>
      <c r="H37" t="s">
        <v>30</v>
      </c>
      <c r="I37" t="b">
        <f>COUNTIF(Estadísticas!I:I,'centraldecomunicacion.es'!H37)&gt;0</f>
        <v>0</v>
      </c>
    </row>
    <row r="38" spans="1:9">
      <c r="A38" t="s">
        <v>140</v>
      </c>
      <c r="B38" t="s">
        <v>10</v>
      </c>
      <c r="C38" t="s">
        <v>141</v>
      </c>
      <c r="D38" t="s">
        <v>137</v>
      </c>
      <c r="E38" t="s">
        <v>12</v>
      </c>
      <c r="F38" t="s">
        <v>50</v>
      </c>
      <c r="G38" t="s">
        <v>142</v>
      </c>
      <c r="H38" t="s">
        <v>30</v>
      </c>
      <c r="I38" t="b">
        <f>COUNTIF(Estadísticas!I:I,'centraldecomunicacion.es'!H38)&gt;0</f>
        <v>0</v>
      </c>
    </row>
    <row r="39" spans="1:9">
      <c r="A39" t="s">
        <v>143</v>
      </c>
      <c r="B39" t="s">
        <v>10</v>
      </c>
      <c r="C39" t="s">
        <v>144</v>
      </c>
      <c r="D39" t="s">
        <v>145</v>
      </c>
      <c r="E39" t="s">
        <v>12</v>
      </c>
      <c r="F39" t="s">
        <v>28</v>
      </c>
      <c r="G39" t="s">
        <v>28</v>
      </c>
      <c r="H39" t="s">
        <v>30</v>
      </c>
      <c r="I39" t="b">
        <f>COUNTIF(Estadísticas!I:I,'centraldecomunicacion.es'!H39)&gt;0</f>
        <v>0</v>
      </c>
    </row>
    <row r="40" spans="1:9">
      <c r="A40" t="s">
        <v>146</v>
      </c>
      <c r="B40" t="s">
        <v>10</v>
      </c>
      <c r="C40" t="s">
        <v>147</v>
      </c>
      <c r="D40" t="s">
        <v>148</v>
      </c>
      <c r="E40" t="s">
        <v>12</v>
      </c>
      <c r="F40" t="s">
        <v>149</v>
      </c>
      <c r="G40" t="s">
        <v>150</v>
      </c>
      <c r="H40" t="s">
        <v>30</v>
      </c>
      <c r="I40" t="b">
        <f>COUNTIF(Estadísticas!I:I,'centraldecomunicacion.es'!H40)&gt;0</f>
        <v>0</v>
      </c>
    </row>
    <row r="41" spans="1:9">
      <c r="A41" t="s">
        <v>151</v>
      </c>
      <c r="B41" t="s">
        <v>10</v>
      </c>
      <c r="C41" t="s">
        <v>152</v>
      </c>
      <c r="D41" t="s">
        <v>153</v>
      </c>
      <c r="E41" t="s">
        <v>12</v>
      </c>
      <c r="F41" t="s">
        <v>28</v>
      </c>
      <c r="G41" t="s">
        <v>154</v>
      </c>
      <c r="H41" t="s">
        <v>30</v>
      </c>
      <c r="I41" t="b">
        <f>COUNTIF(Estadísticas!I:I,'centraldecomunicacion.es'!H41)&gt;0</f>
        <v>0</v>
      </c>
    </row>
    <row r="42" spans="1:9">
      <c r="A42" t="s">
        <v>155</v>
      </c>
      <c r="B42" t="s">
        <v>10</v>
      </c>
      <c r="C42" t="s">
        <v>156</v>
      </c>
      <c r="D42" t="s">
        <v>157</v>
      </c>
      <c r="E42" t="s">
        <v>12</v>
      </c>
      <c r="F42" t="s">
        <v>28</v>
      </c>
      <c r="G42" t="s">
        <v>158</v>
      </c>
      <c r="H42" t="s">
        <v>30</v>
      </c>
      <c r="I42" t="b">
        <f>COUNTIF(Estadísticas!I:I,'centraldecomunicacion.es'!H42)&gt;0</f>
        <v>0</v>
      </c>
    </row>
    <row r="43" spans="1:9">
      <c r="A43" t="s">
        <v>159</v>
      </c>
      <c r="B43" t="s">
        <v>10</v>
      </c>
      <c r="C43" t="s">
        <v>160</v>
      </c>
      <c r="D43" t="s">
        <v>157</v>
      </c>
      <c r="E43" t="s">
        <v>12</v>
      </c>
      <c r="F43" t="s">
        <v>161</v>
      </c>
      <c r="G43" t="s">
        <v>162</v>
      </c>
      <c r="H43" t="s">
        <v>30</v>
      </c>
      <c r="I43" t="b">
        <f>COUNTIF(Estadísticas!I:I,'centraldecomunicacion.es'!H43)&gt;0</f>
        <v>0</v>
      </c>
    </row>
    <row r="44" spans="1:9">
      <c r="A44" t="s">
        <v>163</v>
      </c>
      <c r="B44" t="s">
        <v>10</v>
      </c>
      <c r="C44" t="s">
        <v>164</v>
      </c>
      <c r="D44" t="s">
        <v>148</v>
      </c>
      <c r="E44" t="s">
        <v>12</v>
      </c>
      <c r="F44" t="s">
        <v>165</v>
      </c>
      <c r="G44" t="s">
        <v>150</v>
      </c>
      <c r="H44" t="s">
        <v>166</v>
      </c>
      <c r="I44" t="b">
        <f>COUNTIF(Estadísticas!I:I,'centraldecomunicacion.es'!H44)&gt;0</f>
        <v>1</v>
      </c>
    </row>
    <row r="45" spans="1:9">
      <c r="A45" t="s">
        <v>167</v>
      </c>
      <c r="B45" t="s">
        <v>10</v>
      </c>
      <c r="C45" t="s">
        <v>168</v>
      </c>
      <c r="D45" t="s">
        <v>169</v>
      </c>
      <c r="E45" t="s">
        <v>12</v>
      </c>
      <c r="F45" t="s">
        <v>28</v>
      </c>
      <c r="G45" t="s">
        <v>170</v>
      </c>
      <c r="H45" t="s">
        <v>30</v>
      </c>
      <c r="I45" t="b">
        <f>COUNTIF(Estadísticas!I:I,'centraldecomunicacion.es'!H45)&gt;0</f>
        <v>0</v>
      </c>
    </row>
    <row r="46" spans="1:9">
      <c r="A46" t="s">
        <v>171</v>
      </c>
      <c r="B46" t="s">
        <v>10</v>
      </c>
      <c r="C46" t="s">
        <v>172</v>
      </c>
      <c r="D46" t="s">
        <v>173</v>
      </c>
      <c r="E46" t="s">
        <v>12</v>
      </c>
      <c r="F46" t="s">
        <v>28</v>
      </c>
      <c r="G46" t="s">
        <v>174</v>
      </c>
      <c r="H46" t="s">
        <v>30</v>
      </c>
      <c r="I46" t="b">
        <f>COUNTIF(Estadísticas!I:I,'centraldecomunicacion.es'!H46)&gt;0</f>
        <v>0</v>
      </c>
    </row>
    <row r="47" spans="1:9">
      <c r="A47" t="s">
        <v>175</v>
      </c>
      <c r="B47" t="s">
        <v>10</v>
      </c>
      <c r="C47" t="s">
        <v>176</v>
      </c>
      <c r="D47" t="s">
        <v>177</v>
      </c>
      <c r="E47" t="s">
        <v>12</v>
      </c>
      <c r="F47" t="s">
        <v>28</v>
      </c>
      <c r="G47" t="s">
        <v>178</v>
      </c>
      <c r="H47" t="s">
        <v>30</v>
      </c>
      <c r="I47" t="b">
        <f>COUNTIF(Estadísticas!I:I,'centraldecomunicacion.es'!H47)&gt;0</f>
        <v>0</v>
      </c>
    </row>
    <row r="48" spans="1:9">
      <c r="A48" t="s">
        <v>179</v>
      </c>
      <c r="B48" t="s">
        <v>10</v>
      </c>
      <c r="C48" t="s">
        <v>180</v>
      </c>
      <c r="D48" t="s">
        <v>157</v>
      </c>
      <c r="E48" t="s">
        <v>12</v>
      </c>
      <c r="F48" t="s">
        <v>181</v>
      </c>
      <c r="G48" t="s">
        <v>182</v>
      </c>
      <c r="H48" t="s">
        <v>30</v>
      </c>
      <c r="I48" t="b">
        <f>COUNTIF(Estadísticas!I:I,'centraldecomunicacion.es'!H48)&gt;0</f>
        <v>0</v>
      </c>
    </row>
    <row r="49" spans="1:9">
      <c r="A49" t="s">
        <v>183</v>
      </c>
      <c r="B49" t="s">
        <v>10</v>
      </c>
      <c r="C49" t="s">
        <v>184</v>
      </c>
      <c r="D49" t="s">
        <v>137</v>
      </c>
      <c r="E49" t="s">
        <v>12</v>
      </c>
      <c r="F49" t="s">
        <v>28</v>
      </c>
      <c r="G49" t="s">
        <v>185</v>
      </c>
      <c r="H49" t="s">
        <v>30</v>
      </c>
      <c r="I49" t="b">
        <f>COUNTIF(Estadísticas!I:I,'centraldecomunicacion.es'!H49)&gt;0</f>
        <v>0</v>
      </c>
    </row>
    <row r="50" spans="1:9">
      <c r="A50" t="s">
        <v>186</v>
      </c>
      <c r="B50" t="s">
        <v>10</v>
      </c>
      <c r="C50" t="s">
        <v>187</v>
      </c>
      <c r="D50" t="s">
        <v>157</v>
      </c>
      <c r="E50" t="s">
        <v>12</v>
      </c>
      <c r="F50" t="s">
        <v>28</v>
      </c>
      <c r="G50" t="s">
        <v>188</v>
      </c>
      <c r="H50" t="s">
        <v>30</v>
      </c>
      <c r="I50" t="b">
        <f>COUNTIF(Estadísticas!I:I,'centraldecomunicacion.es'!H50)&gt;0</f>
        <v>0</v>
      </c>
    </row>
    <row r="51" spans="1:9">
      <c r="A51" t="s">
        <v>189</v>
      </c>
      <c r="B51" t="s">
        <v>10</v>
      </c>
      <c r="C51" t="s">
        <v>190</v>
      </c>
      <c r="D51" t="s">
        <v>169</v>
      </c>
      <c r="E51" t="s">
        <v>12</v>
      </c>
      <c r="F51" t="s">
        <v>191</v>
      </c>
      <c r="G51" t="s">
        <v>192</v>
      </c>
      <c r="H51" t="s">
        <v>30</v>
      </c>
      <c r="I51" t="b">
        <f>COUNTIF(Estadísticas!I:I,'centraldecomunicacion.es'!H51)&gt;0</f>
        <v>0</v>
      </c>
    </row>
    <row r="52" spans="1:9">
      <c r="A52" t="s">
        <v>193</v>
      </c>
      <c r="B52" t="s">
        <v>10</v>
      </c>
      <c r="C52" t="s">
        <v>194</v>
      </c>
      <c r="D52" t="s">
        <v>157</v>
      </c>
      <c r="E52" t="s">
        <v>12</v>
      </c>
      <c r="F52" t="s">
        <v>50</v>
      </c>
      <c r="G52" t="s">
        <v>195</v>
      </c>
      <c r="H52" t="s">
        <v>30</v>
      </c>
      <c r="I52" t="b">
        <f>COUNTIF(Estadísticas!I:I,'centraldecomunicacion.es'!H52)&gt;0</f>
        <v>0</v>
      </c>
    </row>
    <row r="53" spans="1:9">
      <c r="A53" t="s">
        <v>196</v>
      </c>
      <c r="B53" t="s">
        <v>10</v>
      </c>
      <c r="C53" t="s">
        <v>197</v>
      </c>
      <c r="D53" t="s">
        <v>157</v>
      </c>
      <c r="E53" t="s">
        <v>12</v>
      </c>
      <c r="F53" t="s">
        <v>28</v>
      </c>
      <c r="G53" t="s">
        <v>198</v>
      </c>
      <c r="H53" t="s">
        <v>30</v>
      </c>
      <c r="I53" t="b">
        <f>COUNTIF(Estadísticas!I:I,'centraldecomunicacion.es'!H53)&gt;0</f>
        <v>0</v>
      </c>
    </row>
    <row r="54" spans="1:9">
      <c r="A54" t="s">
        <v>199</v>
      </c>
      <c r="B54" t="s">
        <v>10</v>
      </c>
      <c r="C54" t="s">
        <v>200</v>
      </c>
      <c r="D54" t="s">
        <v>157</v>
      </c>
      <c r="E54" t="s">
        <v>12</v>
      </c>
      <c r="F54" t="s">
        <v>28</v>
      </c>
      <c r="G54" t="s">
        <v>201</v>
      </c>
      <c r="H54" t="s">
        <v>30</v>
      </c>
      <c r="I54" t="b">
        <f>COUNTIF(Estadísticas!I:I,'centraldecomunicacion.es'!H54)&gt;0</f>
        <v>0</v>
      </c>
    </row>
    <row r="55" spans="1:9">
      <c r="A55" t="s">
        <v>202</v>
      </c>
      <c r="B55" t="s">
        <v>10</v>
      </c>
      <c r="C55" t="s">
        <v>203</v>
      </c>
      <c r="D55" t="s">
        <v>204</v>
      </c>
      <c r="E55" t="s">
        <v>12</v>
      </c>
      <c r="F55" t="s">
        <v>28</v>
      </c>
      <c r="G55" t="s">
        <v>205</v>
      </c>
      <c r="H55" t="s">
        <v>30</v>
      </c>
      <c r="I55" t="b">
        <f>COUNTIF(Estadísticas!I:I,'centraldecomunicacion.es'!H55)&gt;0</f>
        <v>0</v>
      </c>
    </row>
    <row r="56" spans="1:9">
      <c r="A56" t="s">
        <v>206</v>
      </c>
      <c r="B56" t="s">
        <v>10</v>
      </c>
      <c r="C56" t="s">
        <v>207</v>
      </c>
      <c r="D56" t="s">
        <v>157</v>
      </c>
      <c r="E56" t="s">
        <v>12</v>
      </c>
      <c r="F56" t="s">
        <v>208</v>
      </c>
      <c r="G56" t="s">
        <v>209</v>
      </c>
      <c r="H56" t="s">
        <v>30</v>
      </c>
      <c r="I56" t="b">
        <f>COUNTIF(Estadísticas!I:I,'centraldecomunicacion.es'!H56)&gt;0</f>
        <v>0</v>
      </c>
    </row>
    <row r="57" spans="1:9">
      <c r="A57" t="s">
        <v>210</v>
      </c>
      <c r="B57" t="s">
        <v>10</v>
      </c>
      <c r="C57" t="s">
        <v>211</v>
      </c>
      <c r="D57" t="s">
        <v>157</v>
      </c>
      <c r="E57" t="s">
        <v>12</v>
      </c>
      <c r="F57" t="s">
        <v>28</v>
      </c>
      <c r="G57" t="s">
        <v>212</v>
      </c>
      <c r="H57" t="s">
        <v>30</v>
      </c>
      <c r="I57" t="b">
        <f>COUNTIF(Estadísticas!I:I,'centraldecomunicacion.es'!H57)&gt;0</f>
        <v>0</v>
      </c>
    </row>
    <row r="58" spans="1:9">
      <c r="A58" t="s">
        <v>213</v>
      </c>
      <c r="B58" t="s">
        <v>10</v>
      </c>
      <c r="C58" t="s">
        <v>214</v>
      </c>
      <c r="D58" t="s">
        <v>157</v>
      </c>
      <c r="E58" t="s">
        <v>12</v>
      </c>
      <c r="F58" t="s">
        <v>50</v>
      </c>
      <c r="G58" t="s">
        <v>215</v>
      </c>
      <c r="H58" t="s">
        <v>30</v>
      </c>
      <c r="I58" t="b">
        <f>COUNTIF(Estadísticas!I:I,'centraldecomunicacion.es'!H58)&gt;0</f>
        <v>0</v>
      </c>
    </row>
    <row r="59" spans="1:9">
      <c r="A59" t="s">
        <v>52</v>
      </c>
      <c r="B59" t="s">
        <v>10</v>
      </c>
      <c r="C59" t="s">
        <v>216</v>
      </c>
      <c r="D59" t="s">
        <v>217</v>
      </c>
      <c r="E59" t="s">
        <v>12</v>
      </c>
      <c r="F59" t="s">
        <v>28</v>
      </c>
      <c r="G59" t="s">
        <v>28</v>
      </c>
      <c r="H59" t="s">
        <v>30</v>
      </c>
      <c r="I59" t="b">
        <f>COUNTIF(Estadísticas!I:I,'centraldecomunicacion.es'!H59)&gt;0</f>
        <v>0</v>
      </c>
    </row>
    <row r="60" spans="1:9">
      <c r="A60" t="s">
        <v>218</v>
      </c>
      <c r="B60" t="s">
        <v>219</v>
      </c>
      <c r="C60" t="s">
        <v>220</v>
      </c>
      <c r="D60" t="s">
        <v>82</v>
      </c>
      <c r="E60" t="s">
        <v>12</v>
      </c>
      <c r="F60" t="s">
        <v>221</v>
      </c>
      <c r="G60" t="s">
        <v>222</v>
      </c>
      <c r="H60" t="s">
        <v>30</v>
      </c>
      <c r="I60" t="b">
        <f>COUNTIF(Estadísticas!I:I,'centraldecomunicacion.es'!H60)&gt;0</f>
        <v>0</v>
      </c>
    </row>
    <row r="61" spans="1:9">
      <c r="A61" t="s">
        <v>223</v>
      </c>
      <c r="B61" t="s">
        <v>10</v>
      </c>
      <c r="C61" t="s">
        <v>224</v>
      </c>
      <c r="D61" t="s">
        <v>173</v>
      </c>
      <c r="E61" t="s">
        <v>12</v>
      </c>
      <c r="F61" t="s">
        <v>28</v>
      </c>
      <c r="G61" t="s">
        <v>225</v>
      </c>
      <c r="H61" t="s">
        <v>30</v>
      </c>
      <c r="I61" t="b">
        <f>COUNTIF(Estadísticas!I:I,'centraldecomunicacion.es'!H61)&gt;0</f>
        <v>0</v>
      </c>
    </row>
    <row r="62" spans="1:9">
      <c r="A62" t="s">
        <v>226</v>
      </c>
      <c r="B62" t="s">
        <v>10</v>
      </c>
      <c r="C62" t="s">
        <v>227</v>
      </c>
      <c r="D62" t="s">
        <v>228</v>
      </c>
      <c r="E62" t="s">
        <v>12</v>
      </c>
      <c r="F62" t="s">
        <v>28</v>
      </c>
      <c r="G62" t="s">
        <v>229</v>
      </c>
      <c r="H62" t="s">
        <v>30</v>
      </c>
      <c r="I62" t="b">
        <f>COUNTIF(Estadísticas!I:I,'centraldecomunicacion.es'!H62)&gt;0</f>
        <v>0</v>
      </c>
    </row>
    <row r="63" spans="1:9">
      <c r="A63" t="s">
        <v>230</v>
      </c>
      <c r="B63" t="s">
        <v>10</v>
      </c>
      <c r="C63" t="s">
        <v>231</v>
      </c>
      <c r="D63" t="s">
        <v>228</v>
      </c>
      <c r="E63" t="s">
        <v>12</v>
      </c>
      <c r="F63" t="s">
        <v>232</v>
      </c>
      <c r="G63" t="s">
        <v>233</v>
      </c>
      <c r="H63" t="s">
        <v>234</v>
      </c>
      <c r="I63" t="b">
        <f>COUNTIF(Estadísticas!I:I,'centraldecomunicacion.es'!H63)&gt;0</f>
        <v>0</v>
      </c>
    </row>
    <row r="64" spans="1:9">
      <c r="A64" t="s">
        <v>235</v>
      </c>
      <c r="B64" t="s">
        <v>10</v>
      </c>
      <c r="C64" t="s">
        <v>236</v>
      </c>
      <c r="D64" t="s">
        <v>228</v>
      </c>
      <c r="E64" t="s">
        <v>12</v>
      </c>
      <c r="F64" t="s">
        <v>28</v>
      </c>
      <c r="G64" t="s">
        <v>237</v>
      </c>
      <c r="H64" t="s">
        <v>30</v>
      </c>
      <c r="I64" t="b">
        <f>COUNTIF(Estadísticas!I:I,'centraldecomunicacion.es'!H64)&gt;0</f>
        <v>0</v>
      </c>
    </row>
    <row r="65" spans="1:9">
      <c r="A65" t="s">
        <v>238</v>
      </c>
      <c r="B65" t="s">
        <v>10</v>
      </c>
      <c r="C65" t="s">
        <v>239</v>
      </c>
      <c r="D65" t="s">
        <v>240</v>
      </c>
      <c r="E65" t="s">
        <v>12</v>
      </c>
      <c r="F65" t="s">
        <v>28</v>
      </c>
      <c r="G65" t="s">
        <v>241</v>
      </c>
      <c r="H65" t="s">
        <v>30</v>
      </c>
      <c r="I65" t="b">
        <f>COUNTIF(Estadísticas!I:I,'centraldecomunicacion.es'!H65)&gt;0</f>
        <v>0</v>
      </c>
    </row>
    <row r="66" spans="1:9">
      <c r="A66" t="s">
        <v>242</v>
      </c>
      <c r="B66" t="s">
        <v>10</v>
      </c>
      <c r="C66" t="s">
        <v>243</v>
      </c>
      <c r="D66" t="s">
        <v>244</v>
      </c>
      <c r="E66" t="s">
        <v>12</v>
      </c>
      <c r="F66" t="s">
        <v>28</v>
      </c>
      <c r="G66" t="s">
        <v>28</v>
      </c>
      <c r="H66" t="s">
        <v>30</v>
      </c>
      <c r="I66" t="b">
        <f>COUNTIF(Estadísticas!I:I,'centraldecomunicacion.es'!H66)&gt;0</f>
        <v>0</v>
      </c>
    </row>
    <row r="67" spans="1:9">
      <c r="A67" t="s">
        <v>245</v>
      </c>
      <c r="B67" t="s">
        <v>10</v>
      </c>
      <c r="C67" t="s">
        <v>246</v>
      </c>
      <c r="D67" t="s">
        <v>247</v>
      </c>
      <c r="E67" t="s">
        <v>12</v>
      </c>
      <c r="F67" t="s">
        <v>248</v>
      </c>
      <c r="G67" t="s">
        <v>249</v>
      </c>
      <c r="H67" t="s">
        <v>250</v>
      </c>
      <c r="I67" t="b">
        <f>COUNTIF(Estadísticas!I:I,'centraldecomunicacion.es'!H67)&gt;0</f>
        <v>1</v>
      </c>
    </row>
    <row r="68" spans="1:9">
      <c r="A68" t="s">
        <v>251</v>
      </c>
      <c r="B68" t="s">
        <v>10</v>
      </c>
      <c r="C68" t="s">
        <v>252</v>
      </c>
      <c r="D68" t="s">
        <v>228</v>
      </c>
      <c r="E68" t="s">
        <v>12</v>
      </c>
      <c r="F68" t="s">
        <v>28</v>
      </c>
      <c r="G68" t="s">
        <v>253</v>
      </c>
      <c r="H68" t="s">
        <v>30</v>
      </c>
      <c r="I68" t="b">
        <f>COUNTIF(Estadísticas!I:I,'centraldecomunicacion.es'!H68)&gt;0</f>
        <v>0</v>
      </c>
    </row>
    <row r="69" spans="1:9">
      <c r="A69" t="s">
        <v>235</v>
      </c>
      <c r="B69" t="s">
        <v>10</v>
      </c>
      <c r="C69" t="s">
        <v>254</v>
      </c>
      <c r="D69" t="s">
        <v>228</v>
      </c>
      <c r="E69" t="s">
        <v>12</v>
      </c>
      <c r="F69" t="s">
        <v>28</v>
      </c>
      <c r="G69" t="s">
        <v>28</v>
      </c>
      <c r="H69" t="s">
        <v>30</v>
      </c>
      <c r="I69" t="b">
        <f>COUNTIF(Estadísticas!I:I,'centraldecomunicacion.es'!H69)&gt;0</f>
        <v>0</v>
      </c>
    </row>
    <row r="70" spans="1:9">
      <c r="A70" t="s">
        <v>235</v>
      </c>
      <c r="B70" t="s">
        <v>10</v>
      </c>
      <c r="C70" t="s">
        <v>255</v>
      </c>
      <c r="D70" t="s">
        <v>228</v>
      </c>
      <c r="E70" t="s">
        <v>12</v>
      </c>
      <c r="F70" t="s">
        <v>28</v>
      </c>
      <c r="G70" t="s">
        <v>28</v>
      </c>
      <c r="H70" t="s">
        <v>30</v>
      </c>
      <c r="I70" t="b">
        <f>COUNTIF(Estadísticas!I:I,'centraldecomunicacion.es'!H70)&gt;0</f>
        <v>0</v>
      </c>
    </row>
    <row r="71" spans="1:9">
      <c r="A71" t="s">
        <v>256</v>
      </c>
      <c r="B71" t="s">
        <v>10</v>
      </c>
      <c r="C71" t="s">
        <v>257</v>
      </c>
      <c r="D71" t="s">
        <v>228</v>
      </c>
      <c r="E71" t="s">
        <v>12</v>
      </c>
      <c r="F71" t="s">
        <v>258</v>
      </c>
      <c r="G71" t="s">
        <v>259</v>
      </c>
      <c r="H71" t="s">
        <v>30</v>
      </c>
      <c r="I71" t="b">
        <f>COUNTIF(Estadísticas!I:I,'centraldecomunicacion.es'!H71)&gt;0</f>
        <v>0</v>
      </c>
    </row>
    <row r="72" spans="1:9">
      <c r="A72" t="s">
        <v>260</v>
      </c>
      <c r="B72" t="s">
        <v>10</v>
      </c>
      <c r="C72" t="s">
        <v>261</v>
      </c>
      <c r="D72" t="s">
        <v>262</v>
      </c>
      <c r="E72" t="s">
        <v>12</v>
      </c>
      <c r="F72" t="s">
        <v>263</v>
      </c>
      <c r="G72" t="s">
        <v>264</v>
      </c>
      <c r="H72" t="s">
        <v>265</v>
      </c>
      <c r="I72" t="b">
        <f>COUNTIF(Estadísticas!I:I,'centraldecomunicacion.es'!H72)&gt;0</f>
        <v>1</v>
      </c>
    </row>
    <row r="73" spans="1:9">
      <c r="A73" t="s">
        <v>266</v>
      </c>
      <c r="B73" t="s">
        <v>10</v>
      </c>
      <c r="C73" t="s">
        <v>267</v>
      </c>
      <c r="D73" t="s">
        <v>240</v>
      </c>
      <c r="E73" t="s">
        <v>12</v>
      </c>
      <c r="F73" t="s">
        <v>28</v>
      </c>
      <c r="G73" t="s">
        <v>268</v>
      </c>
      <c r="H73" t="s">
        <v>30</v>
      </c>
      <c r="I73" t="b">
        <f>COUNTIF(Estadísticas!I:I,'centraldecomunicacion.es'!H73)&gt;0</f>
        <v>0</v>
      </c>
    </row>
    <row r="74" spans="1:9">
      <c r="A74" t="s">
        <v>269</v>
      </c>
      <c r="B74" t="s">
        <v>10</v>
      </c>
      <c r="C74" t="s">
        <v>270</v>
      </c>
      <c r="D74" t="s">
        <v>262</v>
      </c>
      <c r="E74" t="s">
        <v>12</v>
      </c>
      <c r="F74" t="s">
        <v>271</v>
      </c>
      <c r="G74" t="s">
        <v>272</v>
      </c>
      <c r="H74" t="s">
        <v>273</v>
      </c>
      <c r="I74" t="b">
        <f>COUNTIF(Estadísticas!I:I,'centraldecomunicacion.es'!H74)&gt;0</f>
        <v>1</v>
      </c>
    </row>
    <row r="75" spans="1:9">
      <c r="A75" t="s">
        <v>274</v>
      </c>
      <c r="B75" t="s">
        <v>10</v>
      </c>
      <c r="C75" t="s">
        <v>275</v>
      </c>
      <c r="D75" t="s">
        <v>276</v>
      </c>
      <c r="E75" t="s">
        <v>12</v>
      </c>
      <c r="F75" t="s">
        <v>28</v>
      </c>
      <c r="G75" t="s">
        <v>277</v>
      </c>
      <c r="H75" t="s">
        <v>30</v>
      </c>
      <c r="I75" t="b">
        <f>COUNTIF(Estadísticas!I:I,'centraldecomunicacion.es'!H75)&gt;0</f>
        <v>0</v>
      </c>
    </row>
    <row r="76" spans="1:9">
      <c r="A76" t="s">
        <v>278</v>
      </c>
      <c r="B76" t="s">
        <v>10</v>
      </c>
      <c r="C76" t="s">
        <v>279</v>
      </c>
      <c r="D76" t="s">
        <v>280</v>
      </c>
      <c r="E76" t="s">
        <v>12</v>
      </c>
      <c r="F76" t="s">
        <v>28</v>
      </c>
      <c r="G76" t="s">
        <v>281</v>
      </c>
      <c r="H76" t="s">
        <v>30</v>
      </c>
      <c r="I76" t="b">
        <f>COUNTIF(Estadísticas!I:I,'centraldecomunicacion.es'!H76)&gt;0</f>
        <v>0</v>
      </c>
    </row>
    <row r="77" spans="1:9">
      <c r="A77" t="s">
        <v>282</v>
      </c>
      <c r="B77" t="s">
        <v>10</v>
      </c>
      <c r="C77" t="s">
        <v>283</v>
      </c>
      <c r="D77" t="s">
        <v>244</v>
      </c>
      <c r="E77" t="s">
        <v>12</v>
      </c>
      <c r="F77" t="s">
        <v>284</v>
      </c>
      <c r="G77" t="s">
        <v>285</v>
      </c>
      <c r="H77" t="s">
        <v>30</v>
      </c>
      <c r="I77" t="b">
        <f>COUNTIF(Estadísticas!I:I,'centraldecomunicacion.es'!H77)&gt;0</f>
        <v>0</v>
      </c>
    </row>
    <row r="78" spans="1:9">
      <c r="A78" t="s">
        <v>286</v>
      </c>
      <c r="B78" t="s">
        <v>10</v>
      </c>
      <c r="C78" t="s">
        <v>287</v>
      </c>
      <c r="D78" t="s">
        <v>228</v>
      </c>
      <c r="E78" t="s">
        <v>12</v>
      </c>
      <c r="F78" t="s">
        <v>288</v>
      </c>
      <c r="G78" t="s">
        <v>289</v>
      </c>
      <c r="H78" t="s">
        <v>290</v>
      </c>
      <c r="I78" t="b">
        <f>COUNTIF(Estadísticas!I:I,'centraldecomunicacion.es'!H78)&gt;0</f>
        <v>0</v>
      </c>
    </row>
    <row r="79" spans="1:9">
      <c r="A79" t="s">
        <v>291</v>
      </c>
      <c r="B79" t="s">
        <v>10</v>
      </c>
      <c r="C79" t="s">
        <v>292</v>
      </c>
      <c r="D79" t="s">
        <v>228</v>
      </c>
      <c r="E79" t="s">
        <v>12</v>
      </c>
      <c r="F79" t="s">
        <v>28</v>
      </c>
      <c r="G79" t="s">
        <v>293</v>
      </c>
      <c r="H79" t="s">
        <v>30</v>
      </c>
      <c r="I79" t="b">
        <f>COUNTIF(Estadísticas!I:I,'centraldecomunicacion.es'!H79)&gt;0</f>
        <v>0</v>
      </c>
    </row>
    <row r="80" spans="1:9">
      <c r="A80" t="s">
        <v>294</v>
      </c>
      <c r="B80" t="s">
        <v>10</v>
      </c>
      <c r="C80" t="s">
        <v>295</v>
      </c>
      <c r="D80" t="s">
        <v>296</v>
      </c>
      <c r="E80" t="s">
        <v>12</v>
      </c>
      <c r="F80" t="s">
        <v>28</v>
      </c>
      <c r="G80" t="s">
        <v>297</v>
      </c>
      <c r="H80" t="s">
        <v>30</v>
      </c>
      <c r="I80" t="b">
        <f>COUNTIF(Estadísticas!I:I,'centraldecomunicacion.es'!H80)&gt;0</f>
        <v>0</v>
      </c>
    </row>
    <row r="81" spans="1:9">
      <c r="A81" t="s">
        <v>298</v>
      </c>
      <c r="B81" t="s">
        <v>10</v>
      </c>
      <c r="C81" t="s">
        <v>299</v>
      </c>
      <c r="D81" t="s">
        <v>300</v>
      </c>
      <c r="E81" t="s">
        <v>12</v>
      </c>
      <c r="F81" t="s">
        <v>50</v>
      </c>
      <c r="G81" t="s">
        <v>301</v>
      </c>
      <c r="H81" t="s">
        <v>30</v>
      </c>
      <c r="I81" t="b">
        <f>COUNTIF(Estadísticas!I:I,'centraldecomunicacion.es'!H81)&gt;0</f>
        <v>0</v>
      </c>
    </row>
    <row r="82" spans="1:9">
      <c r="A82" t="s">
        <v>302</v>
      </c>
      <c r="B82" t="s">
        <v>10</v>
      </c>
      <c r="C82" t="s">
        <v>303</v>
      </c>
      <c r="D82" t="s">
        <v>228</v>
      </c>
      <c r="E82" t="s">
        <v>12</v>
      </c>
      <c r="F82" t="s">
        <v>304</v>
      </c>
      <c r="G82" t="s">
        <v>305</v>
      </c>
      <c r="H82" t="s">
        <v>306</v>
      </c>
      <c r="I82" t="b">
        <f>COUNTIF(Estadísticas!I:I,'centraldecomunicacion.es'!H82)&gt;0</f>
        <v>1</v>
      </c>
    </row>
    <row r="83" spans="1:9">
      <c r="A83" t="s">
        <v>307</v>
      </c>
      <c r="B83" t="s">
        <v>10</v>
      </c>
      <c r="C83" t="s">
        <v>308</v>
      </c>
      <c r="D83" t="s">
        <v>309</v>
      </c>
      <c r="E83" t="s">
        <v>12</v>
      </c>
      <c r="F83" t="s">
        <v>50</v>
      </c>
      <c r="G83" t="s">
        <v>310</v>
      </c>
      <c r="H83" t="s">
        <v>30</v>
      </c>
      <c r="I83" t="b">
        <f>COUNTIF(Estadísticas!I:I,'centraldecomunicacion.es'!H83)&gt;0</f>
        <v>0</v>
      </c>
    </row>
    <row r="84" spans="1:9">
      <c r="A84" t="s">
        <v>311</v>
      </c>
      <c r="B84" t="s">
        <v>10</v>
      </c>
      <c r="C84" t="s">
        <v>312</v>
      </c>
      <c r="D84" t="s">
        <v>313</v>
      </c>
      <c r="E84" t="s">
        <v>12</v>
      </c>
      <c r="F84" t="s">
        <v>314</v>
      </c>
      <c r="G84" t="s">
        <v>315</v>
      </c>
      <c r="H84" t="s">
        <v>316</v>
      </c>
      <c r="I84" t="b">
        <f>COUNTIF(Estadísticas!I:I,'centraldecomunicacion.es'!H84)&gt;0</f>
        <v>1</v>
      </c>
    </row>
    <row r="85" spans="1:9">
      <c r="A85" t="s">
        <v>317</v>
      </c>
      <c r="B85" t="s">
        <v>10</v>
      </c>
      <c r="C85" t="s">
        <v>318</v>
      </c>
      <c r="D85" t="s">
        <v>319</v>
      </c>
      <c r="E85" t="s">
        <v>12</v>
      </c>
      <c r="F85" t="s">
        <v>38</v>
      </c>
      <c r="G85" t="s">
        <v>320</v>
      </c>
      <c r="H85" t="s">
        <v>30</v>
      </c>
      <c r="I85" t="b">
        <f>COUNTIF(Estadísticas!I:I,'centraldecomunicacion.es'!H85)&gt;0</f>
        <v>0</v>
      </c>
    </row>
    <row r="86" spans="1:9">
      <c r="A86" t="s">
        <v>321</v>
      </c>
      <c r="B86" t="s">
        <v>10</v>
      </c>
      <c r="C86" t="s">
        <v>322</v>
      </c>
      <c r="D86" t="s">
        <v>319</v>
      </c>
      <c r="E86" t="s">
        <v>12</v>
      </c>
      <c r="F86" t="s">
        <v>314</v>
      </c>
      <c r="G86" t="s">
        <v>323</v>
      </c>
      <c r="H86" t="s">
        <v>316</v>
      </c>
      <c r="I86" t="b">
        <f>COUNTIF(Estadísticas!I:I,'centraldecomunicacion.es'!H86)&gt;0</f>
        <v>1</v>
      </c>
    </row>
    <row r="87" spans="1:9">
      <c r="A87" t="s">
        <v>324</v>
      </c>
      <c r="B87" t="s">
        <v>10</v>
      </c>
      <c r="C87" t="s">
        <v>325</v>
      </c>
      <c r="D87" t="s">
        <v>41</v>
      </c>
      <c r="E87" t="s">
        <v>12</v>
      </c>
      <c r="F87" t="s">
        <v>28</v>
      </c>
      <c r="G87" t="s">
        <v>28</v>
      </c>
      <c r="H87" t="s">
        <v>30</v>
      </c>
      <c r="I87" t="b">
        <f>COUNTIF(Estadísticas!I:I,'centraldecomunicacion.es'!H87)&gt;0</f>
        <v>0</v>
      </c>
    </row>
    <row r="88" spans="1:9">
      <c r="A88" t="s">
        <v>326</v>
      </c>
      <c r="B88" t="s">
        <v>10</v>
      </c>
      <c r="C88" t="s">
        <v>327</v>
      </c>
      <c r="D88" t="s">
        <v>328</v>
      </c>
      <c r="E88" t="s">
        <v>12</v>
      </c>
      <c r="F88" t="s">
        <v>314</v>
      </c>
      <c r="G88" t="s">
        <v>329</v>
      </c>
      <c r="H88" t="s">
        <v>316</v>
      </c>
      <c r="I88" t="b">
        <f>COUNTIF(Estadísticas!I:I,'centraldecomunicacion.es'!H88)&gt;0</f>
        <v>1</v>
      </c>
    </row>
    <row r="89" spans="1:9">
      <c r="A89" t="s">
        <v>330</v>
      </c>
      <c r="B89" t="s">
        <v>10</v>
      </c>
      <c r="C89" t="s">
        <v>331</v>
      </c>
      <c r="D89" t="s">
        <v>332</v>
      </c>
      <c r="E89" t="s">
        <v>12</v>
      </c>
      <c r="F89" t="s">
        <v>333</v>
      </c>
      <c r="G89" t="s">
        <v>334</v>
      </c>
      <c r="H89" t="s">
        <v>335</v>
      </c>
      <c r="I89" t="b">
        <f>COUNTIF(Estadísticas!I:I,'centraldecomunicacion.es'!H89)&gt;0</f>
        <v>0</v>
      </c>
    </row>
    <row r="90" spans="1:9">
      <c r="A90" t="s">
        <v>336</v>
      </c>
      <c r="B90" t="s">
        <v>10</v>
      </c>
      <c r="C90" t="s">
        <v>337</v>
      </c>
      <c r="D90" t="s">
        <v>338</v>
      </c>
      <c r="E90" t="s">
        <v>12</v>
      </c>
      <c r="F90" t="s">
        <v>50</v>
      </c>
      <c r="G90" t="s">
        <v>339</v>
      </c>
      <c r="H90" t="s">
        <v>30</v>
      </c>
      <c r="I90" t="b">
        <f>COUNTIF(Estadísticas!I:I,'centraldecomunicacion.es'!H90)&gt;0</f>
        <v>0</v>
      </c>
    </row>
    <row r="91" spans="1:9">
      <c r="A91" t="s">
        <v>340</v>
      </c>
      <c r="B91" t="s">
        <v>10</v>
      </c>
      <c r="C91" t="s">
        <v>341</v>
      </c>
      <c r="D91" t="s">
        <v>313</v>
      </c>
      <c r="E91" t="s">
        <v>12</v>
      </c>
      <c r="F91" t="s">
        <v>28</v>
      </c>
      <c r="G91" t="s">
        <v>315</v>
      </c>
      <c r="H91" t="s">
        <v>30</v>
      </c>
      <c r="I91" t="b">
        <f>COUNTIF(Estadísticas!I:I,'centraldecomunicacion.es'!H91)&gt;0</f>
        <v>0</v>
      </c>
    </row>
    <row r="92" spans="1:9">
      <c r="A92" t="s">
        <v>342</v>
      </c>
      <c r="B92" t="s">
        <v>10</v>
      </c>
      <c r="C92" t="s">
        <v>343</v>
      </c>
      <c r="D92" t="s">
        <v>344</v>
      </c>
      <c r="E92" t="s">
        <v>12</v>
      </c>
      <c r="F92" t="s">
        <v>38</v>
      </c>
      <c r="G92" t="s">
        <v>345</v>
      </c>
      <c r="H92" t="s">
        <v>30</v>
      </c>
      <c r="I92" t="b">
        <f>COUNTIF(Estadísticas!I:I,'centraldecomunicacion.es'!H92)&gt;0</f>
        <v>0</v>
      </c>
    </row>
    <row r="93" spans="1:9">
      <c r="A93" t="s">
        <v>346</v>
      </c>
      <c r="B93" t="s">
        <v>10</v>
      </c>
      <c r="C93" t="s">
        <v>347</v>
      </c>
      <c r="D93" t="s">
        <v>244</v>
      </c>
      <c r="E93" t="s">
        <v>12</v>
      </c>
      <c r="F93" t="s">
        <v>28</v>
      </c>
      <c r="G93" t="s">
        <v>348</v>
      </c>
      <c r="H93" t="s">
        <v>30</v>
      </c>
      <c r="I93" t="b">
        <f>COUNTIF(Estadísticas!I:I,'centraldecomunicacion.es'!H93)&gt;0</f>
        <v>0</v>
      </c>
    </row>
    <row r="94" spans="1:9">
      <c r="A94" t="s">
        <v>349</v>
      </c>
      <c r="B94" t="s">
        <v>10</v>
      </c>
      <c r="C94" t="s">
        <v>350</v>
      </c>
      <c r="D94" t="s">
        <v>351</v>
      </c>
      <c r="E94" t="s">
        <v>12</v>
      </c>
      <c r="F94" t="s">
        <v>28</v>
      </c>
      <c r="G94" t="s">
        <v>28</v>
      </c>
      <c r="H94" t="s">
        <v>30</v>
      </c>
      <c r="I94" t="b">
        <f>COUNTIF(Estadísticas!I:I,'centraldecomunicacion.es'!H94)&gt;0</f>
        <v>0</v>
      </c>
    </row>
    <row r="95" spans="1:9">
      <c r="A95" t="s">
        <v>352</v>
      </c>
      <c r="B95" t="s">
        <v>10</v>
      </c>
      <c r="C95" t="s">
        <v>353</v>
      </c>
      <c r="D95" t="s">
        <v>309</v>
      </c>
      <c r="E95" t="s">
        <v>12</v>
      </c>
      <c r="F95" t="s">
        <v>28</v>
      </c>
      <c r="G95" t="s">
        <v>354</v>
      </c>
      <c r="H95" t="s">
        <v>30</v>
      </c>
      <c r="I95" t="b">
        <f>COUNTIF(Estadísticas!I:I,'centraldecomunicacion.es'!H95)&gt;0</f>
        <v>0</v>
      </c>
    </row>
    <row r="96" spans="1:9">
      <c r="A96" t="s">
        <v>355</v>
      </c>
      <c r="B96" t="s">
        <v>10</v>
      </c>
      <c r="C96" t="s">
        <v>356</v>
      </c>
      <c r="D96" t="s">
        <v>357</v>
      </c>
      <c r="E96" t="s">
        <v>12</v>
      </c>
      <c r="F96" t="s">
        <v>358</v>
      </c>
      <c r="G96" t="s">
        <v>359</v>
      </c>
      <c r="H96" t="s">
        <v>360</v>
      </c>
      <c r="I96" t="b">
        <f>COUNTIF(Estadísticas!I:I,'centraldecomunicacion.es'!H96)&gt;0</f>
        <v>0</v>
      </c>
    </row>
    <row r="97" spans="1:9">
      <c r="A97" t="s">
        <v>361</v>
      </c>
      <c r="B97" t="s">
        <v>10</v>
      </c>
      <c r="C97" t="s">
        <v>362</v>
      </c>
      <c r="D97" t="s">
        <v>328</v>
      </c>
      <c r="E97" t="s">
        <v>12</v>
      </c>
      <c r="F97" t="s">
        <v>28</v>
      </c>
      <c r="G97" t="s">
        <v>363</v>
      </c>
      <c r="H97" t="s">
        <v>30</v>
      </c>
      <c r="I97" t="b">
        <f>COUNTIF(Estadísticas!I:I,'centraldecomunicacion.es'!H97)&gt;0</f>
        <v>0</v>
      </c>
    </row>
    <row r="98" spans="1:9">
      <c r="A98" t="s">
        <v>364</v>
      </c>
      <c r="B98" t="s">
        <v>10</v>
      </c>
      <c r="C98" t="s">
        <v>365</v>
      </c>
      <c r="D98" t="s">
        <v>366</v>
      </c>
      <c r="E98" t="s">
        <v>12</v>
      </c>
      <c r="F98" t="s">
        <v>367</v>
      </c>
      <c r="G98" t="s">
        <v>368</v>
      </c>
      <c r="H98" t="s">
        <v>369</v>
      </c>
      <c r="I98" t="b">
        <f>COUNTIF(Estadísticas!I:I,'centraldecomunicacion.es'!H98)&gt;0</f>
        <v>1</v>
      </c>
    </row>
    <row r="99" spans="1:9">
      <c r="A99" t="s">
        <v>370</v>
      </c>
      <c r="B99" t="s">
        <v>10</v>
      </c>
      <c r="C99" t="s">
        <v>371</v>
      </c>
      <c r="D99" t="s">
        <v>372</v>
      </c>
      <c r="E99" t="s">
        <v>373</v>
      </c>
      <c r="F99" t="s">
        <v>374</v>
      </c>
      <c r="G99" t="s">
        <v>375</v>
      </c>
      <c r="H99" t="s">
        <v>376</v>
      </c>
      <c r="I99" t="b">
        <f>COUNTIF(Estadísticas!I:I,'centraldecomunicacion.es'!H99)&gt;0</f>
        <v>1</v>
      </c>
    </row>
    <row r="100" spans="1:9">
      <c r="A100" t="s">
        <v>377</v>
      </c>
      <c r="B100" t="s">
        <v>10</v>
      </c>
      <c r="C100" t="s">
        <v>378</v>
      </c>
      <c r="D100" t="s">
        <v>379</v>
      </c>
      <c r="E100" t="s">
        <v>379</v>
      </c>
      <c r="F100" t="s">
        <v>380</v>
      </c>
      <c r="G100" t="s">
        <v>381</v>
      </c>
      <c r="H100" t="s">
        <v>30</v>
      </c>
      <c r="I100" t="b">
        <f>COUNTIF(Estadísticas!I:I,'centraldecomunicacion.es'!H100)&gt;0</f>
        <v>0</v>
      </c>
    </row>
    <row r="101" spans="1:9">
      <c r="A101" t="s">
        <v>10</v>
      </c>
      <c r="B101" t="s">
        <v>10</v>
      </c>
      <c r="C101" t="s">
        <v>382</v>
      </c>
      <c r="D101" t="s">
        <v>379</v>
      </c>
      <c r="E101" t="s">
        <v>379</v>
      </c>
      <c r="F101" t="s">
        <v>28</v>
      </c>
      <c r="G101" t="s">
        <v>28</v>
      </c>
      <c r="H101" t="s">
        <v>30</v>
      </c>
      <c r="I101" t="b">
        <f>COUNTIF(Estadísticas!I:I,'centraldecomunicacion.es'!H101)&gt;0</f>
        <v>0</v>
      </c>
    </row>
    <row r="102" spans="1:9">
      <c r="A102" t="s">
        <v>383</v>
      </c>
      <c r="B102" t="s">
        <v>10</v>
      </c>
      <c r="C102" t="s">
        <v>384</v>
      </c>
      <c r="D102" t="s">
        <v>379</v>
      </c>
      <c r="E102" t="s">
        <v>379</v>
      </c>
      <c r="F102" t="s">
        <v>28</v>
      </c>
      <c r="G102" t="s">
        <v>385</v>
      </c>
      <c r="H102" t="s">
        <v>30</v>
      </c>
      <c r="I102" t="b">
        <f>COUNTIF(Estadísticas!I:I,'centraldecomunicacion.es'!H102)&gt;0</f>
        <v>0</v>
      </c>
    </row>
    <row r="103" spans="1:9">
      <c r="A103" t="s">
        <v>386</v>
      </c>
      <c r="B103" t="s">
        <v>10</v>
      </c>
      <c r="C103" t="s">
        <v>387</v>
      </c>
      <c r="D103" t="s">
        <v>379</v>
      </c>
      <c r="E103" t="s">
        <v>379</v>
      </c>
      <c r="F103" t="s">
        <v>28</v>
      </c>
      <c r="G103" t="s">
        <v>388</v>
      </c>
      <c r="H103" t="s">
        <v>30</v>
      </c>
      <c r="I103" t="b">
        <f>COUNTIF(Estadísticas!I:I,'centraldecomunicacion.es'!H103)&gt;0</f>
        <v>0</v>
      </c>
    </row>
    <row r="104" spans="1:9">
      <c r="A104" t="s">
        <v>389</v>
      </c>
      <c r="B104" t="s">
        <v>10</v>
      </c>
      <c r="C104" t="s">
        <v>390</v>
      </c>
      <c r="D104" t="s">
        <v>379</v>
      </c>
      <c r="E104" t="s">
        <v>379</v>
      </c>
      <c r="F104" t="s">
        <v>28</v>
      </c>
      <c r="G104" t="s">
        <v>391</v>
      </c>
      <c r="H104" t="s">
        <v>30</v>
      </c>
      <c r="I104" t="b">
        <f>COUNTIF(Estadísticas!I:I,'centraldecomunicacion.es'!H104)&gt;0</f>
        <v>0</v>
      </c>
    </row>
    <row r="105" spans="1:9">
      <c r="A105" t="s">
        <v>392</v>
      </c>
      <c r="B105" t="s">
        <v>10</v>
      </c>
      <c r="C105" t="s">
        <v>393</v>
      </c>
      <c r="D105" t="s">
        <v>379</v>
      </c>
      <c r="E105" t="s">
        <v>379</v>
      </c>
      <c r="F105" t="s">
        <v>28</v>
      </c>
      <c r="G105" t="s">
        <v>394</v>
      </c>
      <c r="H105" t="s">
        <v>30</v>
      </c>
      <c r="I105" t="b">
        <f>COUNTIF(Estadísticas!I:I,'centraldecomunicacion.es'!H105)&gt;0</f>
        <v>0</v>
      </c>
    </row>
    <row r="106" spans="1:9">
      <c r="A106" t="s">
        <v>26</v>
      </c>
      <c r="B106" t="s">
        <v>10</v>
      </c>
      <c r="C106" t="s">
        <v>395</v>
      </c>
      <c r="D106" t="s">
        <v>379</v>
      </c>
      <c r="E106" t="s">
        <v>379</v>
      </c>
      <c r="F106" t="s">
        <v>28</v>
      </c>
      <c r="G106" t="s">
        <v>396</v>
      </c>
      <c r="H106" t="s">
        <v>30</v>
      </c>
      <c r="I106" t="b">
        <f>COUNTIF(Estadísticas!I:I,'centraldecomunicacion.es'!H106)&gt;0</f>
        <v>0</v>
      </c>
    </row>
    <row r="107" spans="1:9">
      <c r="A107" t="s">
        <v>397</v>
      </c>
      <c r="B107" t="s">
        <v>10</v>
      </c>
      <c r="C107" t="s">
        <v>398</v>
      </c>
      <c r="D107" t="s">
        <v>379</v>
      </c>
      <c r="E107" t="s">
        <v>379</v>
      </c>
      <c r="F107" t="s">
        <v>28</v>
      </c>
      <c r="G107" t="s">
        <v>399</v>
      </c>
      <c r="H107" t="s">
        <v>30</v>
      </c>
      <c r="I107" t="b">
        <f>COUNTIF(Estadísticas!I:I,'centraldecomunicacion.es'!H107)&gt;0</f>
        <v>0</v>
      </c>
    </row>
    <row r="108" spans="1:9">
      <c r="A108" t="s">
        <v>400</v>
      </c>
      <c r="B108" t="s">
        <v>10</v>
      </c>
      <c r="C108" t="s">
        <v>401</v>
      </c>
      <c r="D108" t="s">
        <v>379</v>
      </c>
      <c r="E108" t="s">
        <v>379</v>
      </c>
      <c r="F108" t="s">
        <v>28</v>
      </c>
      <c r="G108" t="s">
        <v>402</v>
      </c>
      <c r="H108" t="s">
        <v>30</v>
      </c>
      <c r="I108" t="b">
        <f>COUNTIF(Estadísticas!I:I,'centraldecomunicacion.es'!H108)&gt;0</f>
        <v>0</v>
      </c>
    </row>
    <row r="109" spans="1:9">
      <c r="A109" t="s">
        <v>403</v>
      </c>
      <c r="B109" t="s">
        <v>10</v>
      </c>
      <c r="C109" t="s">
        <v>404</v>
      </c>
      <c r="D109" t="s">
        <v>379</v>
      </c>
      <c r="E109" t="s">
        <v>379</v>
      </c>
      <c r="F109" t="s">
        <v>28</v>
      </c>
      <c r="G109" t="s">
        <v>405</v>
      </c>
      <c r="H109" t="s">
        <v>30</v>
      </c>
      <c r="I109" t="b">
        <f>COUNTIF(Estadísticas!I:I,'centraldecomunicacion.es'!H109)&gt;0</f>
        <v>0</v>
      </c>
    </row>
    <row r="110" spans="1:9">
      <c r="A110" t="s">
        <v>406</v>
      </c>
      <c r="B110" t="s">
        <v>10</v>
      </c>
      <c r="C110" t="s">
        <v>407</v>
      </c>
      <c r="D110" t="s">
        <v>379</v>
      </c>
      <c r="E110" t="s">
        <v>379</v>
      </c>
      <c r="F110" t="s">
        <v>28</v>
      </c>
      <c r="G110" t="s">
        <v>408</v>
      </c>
      <c r="H110" t="s">
        <v>30</v>
      </c>
      <c r="I110" t="b">
        <f>COUNTIF(Estadísticas!I:I,'centraldecomunicacion.es'!H110)&gt;0</f>
        <v>0</v>
      </c>
    </row>
    <row r="111" spans="1:9">
      <c r="A111" t="s">
        <v>409</v>
      </c>
      <c r="B111" t="s">
        <v>10</v>
      </c>
      <c r="C111" t="s">
        <v>410</v>
      </c>
      <c r="D111" t="s">
        <v>379</v>
      </c>
      <c r="E111" t="s">
        <v>379</v>
      </c>
      <c r="F111" t="s">
        <v>28</v>
      </c>
      <c r="G111" t="s">
        <v>28</v>
      </c>
      <c r="H111" t="s">
        <v>30</v>
      </c>
      <c r="I111" t="b">
        <f>COUNTIF(Estadísticas!I:I,'centraldecomunicacion.es'!H111)&gt;0</f>
        <v>0</v>
      </c>
    </row>
    <row r="112" spans="1:9">
      <c r="A112" t="s">
        <v>411</v>
      </c>
      <c r="B112" t="s">
        <v>10</v>
      </c>
      <c r="C112" t="s">
        <v>412</v>
      </c>
      <c r="D112" t="s">
        <v>379</v>
      </c>
      <c r="E112" t="s">
        <v>379</v>
      </c>
      <c r="F112" t="s">
        <v>28</v>
      </c>
      <c r="G112" t="s">
        <v>413</v>
      </c>
      <c r="H112" t="s">
        <v>30</v>
      </c>
      <c r="I112" t="b">
        <f>COUNTIF(Estadísticas!I:I,'centraldecomunicacion.es'!H112)&gt;0</f>
        <v>0</v>
      </c>
    </row>
    <row r="113" spans="1:9">
      <c r="A113" t="s">
        <v>414</v>
      </c>
      <c r="B113" t="s">
        <v>10</v>
      </c>
      <c r="C113" t="s">
        <v>415</v>
      </c>
      <c r="D113" t="s">
        <v>379</v>
      </c>
      <c r="E113" t="s">
        <v>379</v>
      </c>
      <c r="F113" t="s">
        <v>416</v>
      </c>
      <c r="G113" t="s">
        <v>417</v>
      </c>
      <c r="H113" t="s">
        <v>30</v>
      </c>
      <c r="I113" t="b">
        <f>COUNTIF(Estadísticas!I:I,'centraldecomunicacion.es'!H113)&gt;0</f>
        <v>0</v>
      </c>
    </row>
    <row r="114" spans="1:9">
      <c r="A114" t="s">
        <v>418</v>
      </c>
      <c r="B114" t="s">
        <v>10</v>
      </c>
      <c r="C114" t="s">
        <v>419</v>
      </c>
      <c r="D114" t="s">
        <v>379</v>
      </c>
      <c r="E114" t="s">
        <v>379</v>
      </c>
      <c r="F114" t="s">
        <v>28</v>
      </c>
      <c r="G114" t="s">
        <v>28</v>
      </c>
      <c r="H114" t="s">
        <v>30</v>
      </c>
      <c r="I114" t="b">
        <f>COUNTIF(Estadísticas!I:I,'centraldecomunicacion.es'!H114)&gt;0</f>
        <v>0</v>
      </c>
    </row>
    <row r="115" spans="1:9">
      <c r="A115" t="s">
        <v>420</v>
      </c>
      <c r="B115" t="s">
        <v>10</v>
      </c>
      <c r="C115" t="s">
        <v>421</v>
      </c>
      <c r="D115" t="s">
        <v>422</v>
      </c>
      <c r="E115" t="s">
        <v>379</v>
      </c>
      <c r="F115" t="s">
        <v>28</v>
      </c>
      <c r="G115" t="s">
        <v>423</v>
      </c>
      <c r="H115" t="s">
        <v>30</v>
      </c>
      <c r="I115" t="b">
        <f>COUNTIF(Estadísticas!I:I,'centraldecomunicacion.es'!H115)&gt;0</f>
        <v>0</v>
      </c>
    </row>
    <row r="116" spans="1:9">
      <c r="A116" t="s">
        <v>424</v>
      </c>
      <c r="B116" t="s">
        <v>10</v>
      </c>
      <c r="C116" t="s">
        <v>425</v>
      </c>
      <c r="D116" t="s">
        <v>422</v>
      </c>
      <c r="E116" t="s">
        <v>379</v>
      </c>
      <c r="F116" t="s">
        <v>28</v>
      </c>
      <c r="G116" t="s">
        <v>28</v>
      </c>
      <c r="H116" t="s">
        <v>30</v>
      </c>
      <c r="I116" t="b">
        <f>COUNTIF(Estadísticas!I:I,'centraldecomunicacion.es'!H116)&gt;0</f>
        <v>0</v>
      </c>
    </row>
    <row r="117" spans="1:9">
      <c r="A117" t="s">
        <v>426</v>
      </c>
      <c r="B117" t="s">
        <v>10</v>
      </c>
      <c r="C117" t="s">
        <v>427</v>
      </c>
      <c r="D117" t="s">
        <v>422</v>
      </c>
      <c r="E117" t="s">
        <v>379</v>
      </c>
      <c r="F117" t="s">
        <v>28</v>
      </c>
      <c r="G117" t="s">
        <v>428</v>
      </c>
      <c r="H117" t="s">
        <v>30</v>
      </c>
      <c r="I117" t="b">
        <f>COUNTIF(Estadísticas!I:I,'centraldecomunicacion.es'!H117)&gt;0</f>
        <v>0</v>
      </c>
    </row>
    <row r="118" spans="1:9">
      <c r="A118" t="s">
        <v>429</v>
      </c>
      <c r="B118" t="s">
        <v>10</v>
      </c>
      <c r="C118" t="s">
        <v>430</v>
      </c>
      <c r="D118" t="s">
        <v>431</v>
      </c>
      <c r="E118" t="s">
        <v>379</v>
      </c>
      <c r="F118" t="s">
        <v>28</v>
      </c>
      <c r="G118" t="s">
        <v>432</v>
      </c>
      <c r="H118" t="s">
        <v>30</v>
      </c>
      <c r="I118" t="b">
        <f>COUNTIF(Estadísticas!I:I,'centraldecomunicacion.es'!H118)&gt;0</f>
        <v>0</v>
      </c>
    </row>
    <row r="119" spans="1:9">
      <c r="A119" t="s">
        <v>433</v>
      </c>
      <c r="B119" t="s">
        <v>10</v>
      </c>
      <c r="C119" t="s">
        <v>434</v>
      </c>
      <c r="D119" t="s">
        <v>422</v>
      </c>
      <c r="E119" t="s">
        <v>379</v>
      </c>
      <c r="F119" t="s">
        <v>28</v>
      </c>
      <c r="G119" t="s">
        <v>435</v>
      </c>
      <c r="H119" t="s">
        <v>30</v>
      </c>
      <c r="I119" t="b">
        <f>COUNTIF(Estadísticas!I:I,'centraldecomunicacion.es'!H119)&gt;0</f>
        <v>0</v>
      </c>
    </row>
    <row r="120" spans="1:9">
      <c r="A120" t="s">
        <v>436</v>
      </c>
      <c r="B120" t="s">
        <v>10</v>
      </c>
      <c r="C120" t="s">
        <v>437</v>
      </c>
      <c r="D120" t="s">
        <v>431</v>
      </c>
      <c r="E120" t="s">
        <v>379</v>
      </c>
      <c r="F120" t="s">
        <v>28</v>
      </c>
      <c r="G120" t="s">
        <v>438</v>
      </c>
      <c r="H120" t="s">
        <v>30</v>
      </c>
      <c r="I120" t="b">
        <f>COUNTIF(Estadísticas!I:I,'centraldecomunicacion.es'!H120)&gt;0</f>
        <v>0</v>
      </c>
    </row>
    <row r="121" spans="1:9">
      <c r="A121" t="s">
        <v>439</v>
      </c>
      <c r="B121" t="s">
        <v>10</v>
      </c>
      <c r="C121" t="s">
        <v>440</v>
      </c>
      <c r="D121" t="s">
        <v>441</v>
      </c>
      <c r="E121" t="s">
        <v>379</v>
      </c>
      <c r="F121" t="s">
        <v>28</v>
      </c>
      <c r="G121" t="s">
        <v>442</v>
      </c>
      <c r="H121" t="s">
        <v>30</v>
      </c>
      <c r="I121" t="b">
        <f>COUNTIF(Estadísticas!I:I,'centraldecomunicacion.es'!H121)&gt;0</f>
        <v>0</v>
      </c>
    </row>
    <row r="122" spans="1:9">
      <c r="A122" t="s">
        <v>443</v>
      </c>
      <c r="B122" t="s">
        <v>10</v>
      </c>
      <c r="C122" t="s">
        <v>444</v>
      </c>
      <c r="D122" t="s">
        <v>422</v>
      </c>
      <c r="E122" t="s">
        <v>379</v>
      </c>
      <c r="F122" t="s">
        <v>28</v>
      </c>
      <c r="G122" t="s">
        <v>28</v>
      </c>
      <c r="H122" t="s">
        <v>30</v>
      </c>
      <c r="I122" t="b">
        <f>COUNTIF(Estadísticas!I:I,'centraldecomunicacion.es'!H122)&gt;0</f>
        <v>0</v>
      </c>
    </row>
    <row r="123" spans="1:9">
      <c r="A123" t="s">
        <v>445</v>
      </c>
      <c r="B123" t="s">
        <v>10</v>
      </c>
      <c r="C123" t="s">
        <v>446</v>
      </c>
      <c r="D123" t="s">
        <v>431</v>
      </c>
      <c r="E123" t="s">
        <v>379</v>
      </c>
      <c r="F123" t="s">
        <v>28</v>
      </c>
      <c r="G123" t="s">
        <v>447</v>
      </c>
      <c r="H123" t="s">
        <v>30</v>
      </c>
      <c r="I123" t="b">
        <f>COUNTIF(Estadísticas!I:I,'centraldecomunicacion.es'!H123)&gt;0</f>
        <v>0</v>
      </c>
    </row>
    <row r="124" spans="1:9">
      <c r="A124" t="s">
        <v>448</v>
      </c>
      <c r="B124" t="s">
        <v>10</v>
      </c>
      <c r="C124" t="s">
        <v>449</v>
      </c>
      <c r="D124" t="s">
        <v>441</v>
      </c>
      <c r="E124" t="s">
        <v>379</v>
      </c>
      <c r="F124" t="s">
        <v>450</v>
      </c>
      <c r="G124" t="s">
        <v>451</v>
      </c>
      <c r="H124" t="s">
        <v>30</v>
      </c>
      <c r="I124" t="b">
        <f>COUNTIF(Estadísticas!I:I,'centraldecomunicacion.es'!H124)&gt;0</f>
        <v>0</v>
      </c>
    </row>
    <row r="125" spans="1:9">
      <c r="A125" t="s">
        <v>452</v>
      </c>
      <c r="B125" t="s">
        <v>10</v>
      </c>
      <c r="C125" t="s">
        <v>453</v>
      </c>
      <c r="D125" t="s">
        <v>441</v>
      </c>
      <c r="E125" t="s">
        <v>379</v>
      </c>
      <c r="F125" t="s">
        <v>28</v>
      </c>
      <c r="G125" t="s">
        <v>454</v>
      </c>
      <c r="H125" t="s">
        <v>30</v>
      </c>
      <c r="I125" t="b">
        <f>COUNTIF(Estadísticas!I:I,'centraldecomunicacion.es'!H125)&gt;0</f>
        <v>0</v>
      </c>
    </row>
    <row r="126" spans="1:9">
      <c r="A126" t="s">
        <v>455</v>
      </c>
      <c r="B126" t="s">
        <v>10</v>
      </c>
      <c r="C126" t="s">
        <v>456</v>
      </c>
      <c r="D126" t="s">
        <v>441</v>
      </c>
      <c r="E126" t="s">
        <v>379</v>
      </c>
      <c r="F126" t="s">
        <v>457</v>
      </c>
      <c r="G126" t="s">
        <v>458</v>
      </c>
      <c r="H126" t="s">
        <v>459</v>
      </c>
      <c r="I126" t="b">
        <f>COUNTIF(Estadísticas!I:I,'centraldecomunicacion.es'!H126)&gt;0</f>
        <v>0</v>
      </c>
    </row>
    <row r="127" spans="1:9">
      <c r="A127" t="s">
        <v>460</v>
      </c>
      <c r="B127" t="s">
        <v>10</v>
      </c>
      <c r="C127" t="s">
        <v>461</v>
      </c>
      <c r="D127" t="s">
        <v>441</v>
      </c>
      <c r="E127" t="s">
        <v>379</v>
      </c>
      <c r="F127" t="s">
        <v>462</v>
      </c>
      <c r="G127" t="s">
        <v>463</v>
      </c>
      <c r="H127" t="s">
        <v>30</v>
      </c>
      <c r="I127" t="b">
        <f>COUNTIF(Estadísticas!I:I,'centraldecomunicacion.es'!H127)&gt;0</f>
        <v>0</v>
      </c>
    </row>
    <row r="128" spans="1:9">
      <c r="A128" t="s">
        <v>464</v>
      </c>
      <c r="B128" t="s">
        <v>10</v>
      </c>
      <c r="C128" t="s">
        <v>465</v>
      </c>
      <c r="D128" t="s">
        <v>466</v>
      </c>
      <c r="E128" t="s">
        <v>379</v>
      </c>
      <c r="F128" t="s">
        <v>467</v>
      </c>
      <c r="G128" t="s">
        <v>468</v>
      </c>
      <c r="H128" t="s">
        <v>30</v>
      </c>
      <c r="I128" t="b">
        <f>COUNTIF(Estadísticas!I:I,'centraldecomunicacion.es'!H128)&gt;0</f>
        <v>0</v>
      </c>
    </row>
    <row r="129" spans="1:9">
      <c r="A129" t="s">
        <v>469</v>
      </c>
      <c r="B129" t="s">
        <v>10</v>
      </c>
      <c r="C129" t="s">
        <v>470</v>
      </c>
      <c r="D129" t="s">
        <v>466</v>
      </c>
      <c r="E129" t="s">
        <v>379</v>
      </c>
      <c r="F129" t="s">
        <v>471</v>
      </c>
      <c r="G129" t="s">
        <v>472</v>
      </c>
      <c r="H129" t="s">
        <v>30</v>
      </c>
      <c r="I129" t="b">
        <f>COUNTIF(Estadísticas!I:I,'centraldecomunicacion.es'!H129)&gt;0</f>
        <v>0</v>
      </c>
    </row>
    <row r="130" spans="1:9">
      <c r="A130" t="s">
        <v>473</v>
      </c>
      <c r="B130" t="s">
        <v>10</v>
      </c>
      <c r="C130" t="s">
        <v>474</v>
      </c>
      <c r="D130" t="s">
        <v>441</v>
      </c>
      <c r="E130" t="s">
        <v>379</v>
      </c>
      <c r="F130" t="s">
        <v>475</v>
      </c>
      <c r="G130" t="s">
        <v>476</v>
      </c>
      <c r="H130" t="s">
        <v>30</v>
      </c>
      <c r="I130" t="b">
        <f>COUNTIF(Estadísticas!I:I,'centraldecomunicacion.es'!H130)&gt;0</f>
        <v>0</v>
      </c>
    </row>
    <row r="131" spans="1:9">
      <c r="A131" t="s">
        <v>477</v>
      </c>
      <c r="B131" t="s">
        <v>10</v>
      </c>
      <c r="C131" t="s">
        <v>478</v>
      </c>
      <c r="D131" t="s">
        <v>441</v>
      </c>
      <c r="E131" t="s">
        <v>379</v>
      </c>
      <c r="F131" t="s">
        <v>479</v>
      </c>
      <c r="G131" t="s">
        <v>480</v>
      </c>
      <c r="H131" t="s">
        <v>30</v>
      </c>
      <c r="I131" t="b">
        <f>COUNTIF(Estadísticas!I:I,'centraldecomunicacion.es'!H131)&gt;0</f>
        <v>0</v>
      </c>
    </row>
    <row r="132" spans="1:9">
      <c r="A132" t="s">
        <v>481</v>
      </c>
      <c r="B132" t="s">
        <v>482</v>
      </c>
      <c r="C132" t="s">
        <v>483</v>
      </c>
      <c r="D132" t="s">
        <v>379</v>
      </c>
      <c r="E132" t="s">
        <v>379</v>
      </c>
      <c r="F132" t="s">
        <v>484</v>
      </c>
      <c r="G132" t="s">
        <v>485</v>
      </c>
      <c r="H132" t="s">
        <v>486</v>
      </c>
      <c r="I132" t="b">
        <f>COUNTIF(Estadísticas!I:I,'centraldecomunicacion.es'!H132)&gt;0</f>
        <v>0</v>
      </c>
    </row>
    <row r="133" spans="1:9">
      <c r="A133" t="s">
        <v>487</v>
      </c>
      <c r="B133" t="s">
        <v>219</v>
      </c>
      <c r="C133" t="s">
        <v>488</v>
      </c>
      <c r="D133" t="s">
        <v>379</v>
      </c>
      <c r="E133" t="s">
        <v>379</v>
      </c>
      <c r="F133" t="s">
        <v>28</v>
      </c>
      <c r="G133" t="s">
        <v>489</v>
      </c>
      <c r="H133" t="s">
        <v>30</v>
      </c>
      <c r="I133" t="b">
        <f>COUNTIF(Estadísticas!I:I,'centraldecomunicacion.es'!H133)&gt;0</f>
        <v>0</v>
      </c>
    </row>
    <row r="134" spans="1:9">
      <c r="A134" t="s">
        <v>490</v>
      </c>
      <c r="B134" t="s">
        <v>10</v>
      </c>
      <c r="C134" t="s">
        <v>491</v>
      </c>
      <c r="D134" t="s">
        <v>492</v>
      </c>
      <c r="E134" t="s">
        <v>379</v>
      </c>
      <c r="F134" t="s">
        <v>50</v>
      </c>
      <c r="G134" t="s">
        <v>28</v>
      </c>
      <c r="H134" t="s">
        <v>30</v>
      </c>
      <c r="I134" t="b">
        <f>COUNTIF(Estadísticas!I:I,'centraldecomunicacion.es'!H134)&gt;0</f>
        <v>0</v>
      </c>
    </row>
    <row r="135" spans="1:9">
      <c r="A135" t="s">
        <v>493</v>
      </c>
      <c r="B135" t="s">
        <v>10</v>
      </c>
      <c r="C135" t="s">
        <v>494</v>
      </c>
      <c r="D135" t="s">
        <v>492</v>
      </c>
      <c r="E135" t="s">
        <v>379</v>
      </c>
      <c r="F135" t="s">
        <v>495</v>
      </c>
      <c r="G135" t="s">
        <v>496</v>
      </c>
      <c r="H135" t="s">
        <v>30</v>
      </c>
      <c r="I135" t="b">
        <f>COUNTIF(Estadísticas!I:I,'centraldecomunicacion.es'!H135)&gt;0</f>
        <v>0</v>
      </c>
    </row>
    <row r="136" spans="1:9">
      <c r="A136" t="s">
        <v>497</v>
      </c>
      <c r="B136" t="s">
        <v>10</v>
      </c>
      <c r="C136" t="s">
        <v>498</v>
      </c>
      <c r="D136" t="s">
        <v>466</v>
      </c>
      <c r="E136" t="s">
        <v>379</v>
      </c>
      <c r="F136" t="s">
        <v>28</v>
      </c>
      <c r="G136" t="s">
        <v>499</v>
      </c>
      <c r="H136" t="s">
        <v>30</v>
      </c>
      <c r="I136" t="b">
        <f>COUNTIF(Estadísticas!I:I,'centraldecomunicacion.es'!H136)&gt;0</f>
        <v>0</v>
      </c>
    </row>
    <row r="137" spans="1:9">
      <c r="A137" t="s">
        <v>500</v>
      </c>
      <c r="B137" t="s">
        <v>10</v>
      </c>
      <c r="C137" t="s">
        <v>501</v>
      </c>
      <c r="D137" t="s">
        <v>492</v>
      </c>
      <c r="E137" t="s">
        <v>379</v>
      </c>
      <c r="F137" t="s">
        <v>28</v>
      </c>
      <c r="G137" t="s">
        <v>502</v>
      </c>
      <c r="H137" t="s">
        <v>30</v>
      </c>
      <c r="I137" t="b">
        <f>COUNTIF(Estadísticas!I:I,'centraldecomunicacion.es'!H137)&gt;0</f>
        <v>0</v>
      </c>
    </row>
    <row r="138" spans="1:9">
      <c r="A138" t="s">
        <v>503</v>
      </c>
      <c r="B138" t="s">
        <v>10</v>
      </c>
      <c r="C138" t="s">
        <v>504</v>
      </c>
      <c r="D138" t="s">
        <v>492</v>
      </c>
      <c r="E138" t="s">
        <v>379</v>
      </c>
      <c r="F138" t="s">
        <v>28</v>
      </c>
      <c r="G138" t="s">
        <v>505</v>
      </c>
      <c r="H138" t="s">
        <v>30</v>
      </c>
      <c r="I138" t="b">
        <f>COUNTIF(Estadísticas!I:I,'centraldecomunicacion.es'!H138)&gt;0</f>
        <v>0</v>
      </c>
    </row>
    <row r="139" spans="1:9">
      <c r="A139" t="s">
        <v>506</v>
      </c>
      <c r="B139" t="s">
        <v>10</v>
      </c>
      <c r="C139" t="s">
        <v>507</v>
      </c>
      <c r="D139" t="s">
        <v>492</v>
      </c>
      <c r="E139" t="s">
        <v>379</v>
      </c>
      <c r="F139" t="s">
        <v>87</v>
      </c>
      <c r="G139" t="s">
        <v>508</v>
      </c>
      <c r="H139" t="s">
        <v>30</v>
      </c>
      <c r="I139" t="b">
        <f>COUNTIF(Estadísticas!I:I,'centraldecomunicacion.es'!H139)&gt;0</f>
        <v>0</v>
      </c>
    </row>
    <row r="140" spans="1:9">
      <c r="A140" t="s">
        <v>509</v>
      </c>
      <c r="B140" t="s">
        <v>10</v>
      </c>
      <c r="C140" t="s">
        <v>510</v>
      </c>
      <c r="D140" t="s">
        <v>431</v>
      </c>
      <c r="E140" t="s">
        <v>379</v>
      </c>
      <c r="F140" t="s">
        <v>511</v>
      </c>
      <c r="G140" t="s">
        <v>512</v>
      </c>
      <c r="H140" t="s">
        <v>513</v>
      </c>
      <c r="I140" t="b">
        <f>COUNTIF(Estadísticas!I:I,'centraldecomunicacion.es'!H140)&gt;0</f>
        <v>1</v>
      </c>
    </row>
    <row r="141" spans="1:9">
      <c r="A141" t="s">
        <v>514</v>
      </c>
      <c r="B141" t="s">
        <v>10</v>
      </c>
      <c r="C141" t="s">
        <v>515</v>
      </c>
      <c r="D141" t="s">
        <v>492</v>
      </c>
      <c r="E141" t="s">
        <v>379</v>
      </c>
      <c r="F141" t="s">
        <v>28</v>
      </c>
      <c r="G141" t="s">
        <v>516</v>
      </c>
      <c r="H141" t="s">
        <v>30</v>
      </c>
      <c r="I141" t="b">
        <f>COUNTIF(Estadísticas!I:I,'centraldecomunicacion.es'!H141)&gt;0</f>
        <v>0</v>
      </c>
    </row>
    <row r="142" spans="1:9">
      <c r="A142" t="s">
        <v>517</v>
      </c>
      <c r="B142" t="s">
        <v>10</v>
      </c>
      <c r="C142" t="s">
        <v>518</v>
      </c>
      <c r="D142" t="s">
        <v>441</v>
      </c>
      <c r="E142" t="s">
        <v>379</v>
      </c>
      <c r="F142" t="s">
        <v>28</v>
      </c>
      <c r="G142" t="s">
        <v>28</v>
      </c>
      <c r="H142" t="s">
        <v>30</v>
      </c>
      <c r="I142" t="b">
        <f>COUNTIF(Estadísticas!I:I,'centraldecomunicacion.es'!H142)&gt;0</f>
        <v>0</v>
      </c>
    </row>
    <row r="143" spans="1:9">
      <c r="A143" t="s">
        <v>519</v>
      </c>
      <c r="B143" t="s">
        <v>10</v>
      </c>
      <c r="C143" t="s">
        <v>28</v>
      </c>
      <c r="D143" t="s">
        <v>520</v>
      </c>
      <c r="E143" t="s">
        <v>28</v>
      </c>
      <c r="F143" t="s">
        <v>28</v>
      </c>
      <c r="G143" t="s">
        <v>454</v>
      </c>
      <c r="H143" t="s">
        <v>30</v>
      </c>
      <c r="I143" t="b">
        <f>COUNTIF(Estadísticas!I:I,'centraldecomunicacion.es'!H143)&gt;0</f>
        <v>0</v>
      </c>
    </row>
    <row r="144" spans="1:9">
      <c r="A144" t="s">
        <v>521</v>
      </c>
      <c r="B144" t="s">
        <v>219</v>
      </c>
      <c r="C144" t="s">
        <v>522</v>
      </c>
      <c r="D144" t="s">
        <v>492</v>
      </c>
      <c r="E144" t="s">
        <v>379</v>
      </c>
      <c r="F144" t="s">
        <v>523</v>
      </c>
      <c r="G144" t="s">
        <v>524</v>
      </c>
      <c r="H144" t="s">
        <v>525</v>
      </c>
      <c r="I144" t="b">
        <f>COUNTIF(Estadísticas!I:I,'centraldecomunicacion.es'!H144)&gt;0</f>
        <v>0</v>
      </c>
    </row>
    <row r="145" spans="1:9">
      <c r="A145" t="s">
        <v>526</v>
      </c>
      <c r="B145" t="s">
        <v>10</v>
      </c>
      <c r="C145" t="s">
        <v>527</v>
      </c>
      <c r="D145" t="s">
        <v>528</v>
      </c>
      <c r="E145" t="s">
        <v>379</v>
      </c>
      <c r="F145" t="s">
        <v>529</v>
      </c>
      <c r="G145" t="s">
        <v>530</v>
      </c>
      <c r="H145" t="s">
        <v>30</v>
      </c>
      <c r="I145" t="b">
        <f>COUNTIF(Estadísticas!I:I,'centraldecomunicacion.es'!H145)&gt;0</f>
        <v>0</v>
      </c>
    </row>
    <row r="146" spans="1:9">
      <c r="A146" t="s">
        <v>531</v>
      </c>
      <c r="B146" t="s">
        <v>10</v>
      </c>
      <c r="C146" t="s">
        <v>532</v>
      </c>
      <c r="D146" t="s">
        <v>528</v>
      </c>
      <c r="E146" t="s">
        <v>379</v>
      </c>
      <c r="F146" t="s">
        <v>28</v>
      </c>
      <c r="G146" t="s">
        <v>533</v>
      </c>
      <c r="H146" t="s">
        <v>30</v>
      </c>
      <c r="I146" t="b">
        <f>COUNTIF(Estadísticas!I:I,'centraldecomunicacion.es'!H146)&gt;0</f>
        <v>0</v>
      </c>
    </row>
    <row r="147" spans="1:9">
      <c r="A147" t="s">
        <v>534</v>
      </c>
      <c r="B147" t="s">
        <v>10</v>
      </c>
      <c r="C147" t="s">
        <v>535</v>
      </c>
      <c r="D147" t="s">
        <v>528</v>
      </c>
      <c r="E147" t="s">
        <v>379</v>
      </c>
      <c r="F147" t="s">
        <v>28</v>
      </c>
      <c r="G147" t="s">
        <v>536</v>
      </c>
      <c r="H147" t="s">
        <v>30</v>
      </c>
      <c r="I147" t="b">
        <f>COUNTIF(Estadísticas!I:I,'centraldecomunicacion.es'!H147)&gt;0</f>
        <v>0</v>
      </c>
    </row>
    <row r="148" spans="1:9">
      <c r="A148" t="s">
        <v>537</v>
      </c>
      <c r="B148" t="s">
        <v>10</v>
      </c>
      <c r="C148" t="s">
        <v>538</v>
      </c>
      <c r="D148" t="s">
        <v>528</v>
      </c>
      <c r="E148" t="s">
        <v>379</v>
      </c>
      <c r="F148" t="s">
        <v>28</v>
      </c>
      <c r="G148" t="s">
        <v>539</v>
      </c>
      <c r="H148" t="s">
        <v>30</v>
      </c>
      <c r="I148" t="b">
        <f>COUNTIF(Estadísticas!I:I,'centraldecomunicacion.es'!H148)&gt;0</f>
        <v>0</v>
      </c>
    </row>
    <row r="149" spans="1:9">
      <c r="A149" t="s">
        <v>540</v>
      </c>
      <c r="B149" t="s">
        <v>10</v>
      </c>
      <c r="C149" t="s">
        <v>541</v>
      </c>
      <c r="D149" t="s">
        <v>528</v>
      </c>
      <c r="E149" t="s">
        <v>379</v>
      </c>
      <c r="F149" t="s">
        <v>28</v>
      </c>
      <c r="G149" t="s">
        <v>542</v>
      </c>
      <c r="H149" t="s">
        <v>30</v>
      </c>
      <c r="I149" t="b">
        <f>COUNTIF(Estadísticas!I:I,'centraldecomunicacion.es'!H149)&gt;0</f>
        <v>0</v>
      </c>
    </row>
    <row r="150" spans="1:9">
      <c r="A150" t="s">
        <v>543</v>
      </c>
      <c r="B150" t="s">
        <v>10</v>
      </c>
      <c r="C150" t="s">
        <v>544</v>
      </c>
      <c r="D150" t="s">
        <v>528</v>
      </c>
      <c r="E150" t="s">
        <v>379</v>
      </c>
      <c r="F150" t="s">
        <v>28</v>
      </c>
      <c r="G150" t="s">
        <v>545</v>
      </c>
      <c r="H150" t="s">
        <v>30</v>
      </c>
      <c r="I150" t="b">
        <f>COUNTIF(Estadísticas!I:I,'centraldecomunicacion.es'!H150)&gt;0</f>
        <v>0</v>
      </c>
    </row>
    <row r="151" spans="1:9">
      <c r="A151" t="s">
        <v>546</v>
      </c>
      <c r="B151" t="s">
        <v>10</v>
      </c>
      <c r="C151" t="s">
        <v>547</v>
      </c>
      <c r="D151" t="s">
        <v>528</v>
      </c>
      <c r="E151" t="s">
        <v>379</v>
      </c>
      <c r="F151" t="s">
        <v>28</v>
      </c>
      <c r="G151" t="s">
        <v>548</v>
      </c>
      <c r="H151" t="s">
        <v>30</v>
      </c>
      <c r="I151" t="b">
        <f>COUNTIF(Estadísticas!I:I,'centraldecomunicacion.es'!H151)&gt;0</f>
        <v>0</v>
      </c>
    </row>
    <row r="152" spans="1:9">
      <c r="A152" t="s">
        <v>549</v>
      </c>
      <c r="B152" t="s">
        <v>10</v>
      </c>
      <c r="C152" t="s">
        <v>550</v>
      </c>
      <c r="D152" t="s">
        <v>528</v>
      </c>
      <c r="E152" t="s">
        <v>379</v>
      </c>
      <c r="F152" t="s">
        <v>28</v>
      </c>
      <c r="G152" t="s">
        <v>551</v>
      </c>
      <c r="H152" t="s">
        <v>30</v>
      </c>
      <c r="I152" t="b">
        <f>COUNTIF(Estadísticas!I:I,'centraldecomunicacion.es'!H152)&gt;0</f>
        <v>0</v>
      </c>
    </row>
    <row r="153" spans="1:9">
      <c r="A153" t="s">
        <v>552</v>
      </c>
      <c r="B153" t="s">
        <v>10</v>
      </c>
      <c r="C153" t="s">
        <v>553</v>
      </c>
      <c r="D153" t="s">
        <v>528</v>
      </c>
      <c r="E153" t="s">
        <v>379</v>
      </c>
      <c r="F153" t="s">
        <v>554</v>
      </c>
      <c r="G153" t="s">
        <v>555</v>
      </c>
      <c r="H153" t="s">
        <v>556</v>
      </c>
      <c r="I153" t="b">
        <f>COUNTIF(Estadísticas!I:I,'centraldecomunicacion.es'!H153)&gt;0</f>
        <v>0</v>
      </c>
    </row>
    <row r="154" spans="1:9">
      <c r="A154" t="s">
        <v>557</v>
      </c>
      <c r="B154" t="s">
        <v>10</v>
      </c>
      <c r="C154" t="s">
        <v>558</v>
      </c>
      <c r="D154" t="s">
        <v>528</v>
      </c>
      <c r="E154" t="s">
        <v>379</v>
      </c>
      <c r="F154" t="s">
        <v>559</v>
      </c>
      <c r="G154" t="s">
        <v>560</v>
      </c>
      <c r="H154" t="s">
        <v>561</v>
      </c>
      <c r="I154" t="b">
        <f>COUNTIF(Estadísticas!I:I,'centraldecomunicacion.es'!H154)&gt;0</f>
        <v>0</v>
      </c>
    </row>
    <row r="155" spans="1:9">
      <c r="A155" t="s">
        <v>562</v>
      </c>
      <c r="B155" t="s">
        <v>10</v>
      </c>
      <c r="C155" t="s">
        <v>515</v>
      </c>
      <c r="D155" t="s">
        <v>492</v>
      </c>
      <c r="E155" t="s">
        <v>379</v>
      </c>
      <c r="F155" t="s">
        <v>563</v>
      </c>
      <c r="G155" t="s">
        <v>564</v>
      </c>
      <c r="H155" t="s">
        <v>30</v>
      </c>
      <c r="I155" t="b">
        <f>COUNTIF(Estadísticas!I:I,'centraldecomunicacion.es'!H155)&gt;0</f>
        <v>0</v>
      </c>
    </row>
    <row r="156" spans="1:9">
      <c r="A156" t="s">
        <v>565</v>
      </c>
      <c r="B156" t="s">
        <v>10</v>
      </c>
      <c r="C156" t="s">
        <v>566</v>
      </c>
      <c r="D156" t="s">
        <v>528</v>
      </c>
      <c r="E156" t="s">
        <v>379</v>
      </c>
      <c r="F156" t="s">
        <v>467</v>
      </c>
      <c r="G156" t="s">
        <v>567</v>
      </c>
      <c r="H156" t="s">
        <v>30</v>
      </c>
      <c r="I156" t="b">
        <f>COUNTIF(Estadísticas!I:I,'centraldecomunicacion.es'!H156)&gt;0</f>
        <v>0</v>
      </c>
    </row>
    <row r="157" spans="1:9">
      <c r="A157" t="s">
        <v>568</v>
      </c>
      <c r="B157" t="s">
        <v>10</v>
      </c>
      <c r="C157" t="s">
        <v>569</v>
      </c>
      <c r="D157" t="s">
        <v>528</v>
      </c>
      <c r="E157" t="s">
        <v>379</v>
      </c>
      <c r="F157" t="s">
        <v>28</v>
      </c>
      <c r="G157" t="s">
        <v>570</v>
      </c>
      <c r="H157" t="s">
        <v>30</v>
      </c>
      <c r="I157" t="b">
        <f>COUNTIF(Estadísticas!I:I,'centraldecomunicacion.es'!H157)&gt;0</f>
        <v>0</v>
      </c>
    </row>
    <row r="158" spans="1:9">
      <c r="A158" t="s">
        <v>571</v>
      </c>
      <c r="B158" t="s">
        <v>10</v>
      </c>
      <c r="C158" t="s">
        <v>572</v>
      </c>
      <c r="D158" t="s">
        <v>528</v>
      </c>
      <c r="E158" t="s">
        <v>379</v>
      </c>
      <c r="F158" t="s">
        <v>28</v>
      </c>
      <c r="G158" t="s">
        <v>573</v>
      </c>
      <c r="H158" t="s">
        <v>30</v>
      </c>
      <c r="I158" t="b">
        <f>COUNTIF(Estadísticas!I:I,'centraldecomunicacion.es'!H158)&gt;0</f>
        <v>0</v>
      </c>
    </row>
    <row r="159" spans="1:9">
      <c r="A159" t="s">
        <v>574</v>
      </c>
      <c r="B159" t="s">
        <v>10</v>
      </c>
      <c r="C159" t="s">
        <v>575</v>
      </c>
      <c r="D159" t="s">
        <v>528</v>
      </c>
      <c r="E159" t="s">
        <v>379</v>
      </c>
      <c r="F159" t="s">
        <v>28</v>
      </c>
      <c r="G159" t="s">
        <v>576</v>
      </c>
      <c r="H159" t="s">
        <v>30</v>
      </c>
      <c r="I159" t="b">
        <f>COUNTIF(Estadísticas!I:I,'centraldecomunicacion.es'!H159)&gt;0</f>
        <v>0</v>
      </c>
    </row>
    <row r="160" spans="1:9">
      <c r="A160" t="s">
        <v>577</v>
      </c>
      <c r="B160" t="s">
        <v>10</v>
      </c>
      <c r="C160" t="s">
        <v>578</v>
      </c>
      <c r="D160" t="s">
        <v>528</v>
      </c>
      <c r="E160" t="s">
        <v>379</v>
      </c>
      <c r="F160" t="s">
        <v>579</v>
      </c>
      <c r="G160" t="s">
        <v>580</v>
      </c>
      <c r="H160" t="s">
        <v>30</v>
      </c>
      <c r="I160" t="b">
        <f>COUNTIF(Estadísticas!I:I,'centraldecomunicacion.es'!H160)&gt;0</f>
        <v>0</v>
      </c>
    </row>
    <row r="161" spans="1:9">
      <c r="A161" t="s">
        <v>581</v>
      </c>
      <c r="B161" t="s">
        <v>10</v>
      </c>
      <c r="C161" t="s">
        <v>582</v>
      </c>
      <c r="D161" t="s">
        <v>528</v>
      </c>
      <c r="E161" t="s">
        <v>379</v>
      </c>
      <c r="F161" t="s">
        <v>28</v>
      </c>
      <c r="G161" t="s">
        <v>28</v>
      </c>
      <c r="H161" t="s">
        <v>30</v>
      </c>
      <c r="I161" t="b">
        <f>COUNTIF(Estadísticas!I:I,'centraldecomunicacion.es'!H161)&gt;0</f>
        <v>0</v>
      </c>
    </row>
    <row r="162" spans="1:9">
      <c r="A162" t="s">
        <v>583</v>
      </c>
      <c r="B162" t="s">
        <v>10</v>
      </c>
      <c r="C162" t="s">
        <v>584</v>
      </c>
      <c r="D162" t="s">
        <v>585</v>
      </c>
      <c r="E162" t="s">
        <v>379</v>
      </c>
      <c r="F162" t="s">
        <v>586</v>
      </c>
      <c r="G162" t="s">
        <v>587</v>
      </c>
      <c r="H162" t="s">
        <v>588</v>
      </c>
      <c r="I162" t="b">
        <f>COUNTIF(Estadísticas!I:I,'centraldecomunicacion.es'!H162)&gt;0</f>
        <v>1</v>
      </c>
    </row>
    <row r="163" spans="1:9">
      <c r="A163" t="s">
        <v>589</v>
      </c>
      <c r="B163" t="s">
        <v>10</v>
      </c>
      <c r="C163" t="s">
        <v>590</v>
      </c>
      <c r="D163" t="s">
        <v>591</v>
      </c>
      <c r="E163" t="s">
        <v>379</v>
      </c>
      <c r="F163" t="s">
        <v>592</v>
      </c>
      <c r="G163" t="s">
        <v>593</v>
      </c>
      <c r="H163" t="s">
        <v>594</v>
      </c>
      <c r="I163" t="b">
        <f>COUNTIF(Estadísticas!I:I,'centraldecomunicacion.es'!H163)&gt;0</f>
        <v>0</v>
      </c>
    </row>
    <row r="164" spans="1:9">
      <c r="A164" t="s">
        <v>595</v>
      </c>
      <c r="B164" t="s">
        <v>10</v>
      </c>
      <c r="C164" t="s">
        <v>596</v>
      </c>
      <c r="D164" t="s">
        <v>597</v>
      </c>
      <c r="E164" t="s">
        <v>379</v>
      </c>
      <c r="F164" t="s">
        <v>28</v>
      </c>
      <c r="G164" t="s">
        <v>598</v>
      </c>
      <c r="H164" t="s">
        <v>30</v>
      </c>
      <c r="I164" t="b">
        <f>COUNTIF(Estadísticas!I:I,'centraldecomunicacion.es'!H164)&gt;0</f>
        <v>0</v>
      </c>
    </row>
    <row r="165" spans="1:9">
      <c r="A165" t="s">
        <v>599</v>
      </c>
      <c r="B165" t="s">
        <v>10</v>
      </c>
      <c r="C165" t="s">
        <v>600</v>
      </c>
      <c r="D165" t="s">
        <v>591</v>
      </c>
      <c r="E165" t="s">
        <v>379</v>
      </c>
      <c r="F165" t="s">
        <v>28</v>
      </c>
      <c r="G165" t="s">
        <v>601</v>
      </c>
      <c r="H165" t="s">
        <v>30</v>
      </c>
      <c r="I165" t="b">
        <f>COUNTIF(Estadísticas!I:I,'centraldecomunicacion.es'!H165)&gt;0</f>
        <v>0</v>
      </c>
    </row>
    <row r="166" spans="1:9">
      <c r="A166" t="s">
        <v>602</v>
      </c>
      <c r="B166" t="s">
        <v>10</v>
      </c>
      <c r="C166" t="s">
        <v>603</v>
      </c>
      <c r="D166" t="s">
        <v>591</v>
      </c>
      <c r="E166" t="s">
        <v>379</v>
      </c>
      <c r="F166" t="s">
        <v>38</v>
      </c>
      <c r="G166" t="s">
        <v>604</v>
      </c>
      <c r="H166" t="s">
        <v>30</v>
      </c>
      <c r="I166" t="b">
        <f>COUNTIF(Estadísticas!I:I,'centraldecomunicacion.es'!H166)&gt;0</f>
        <v>0</v>
      </c>
    </row>
    <row r="167" spans="1:9">
      <c r="A167" t="s">
        <v>605</v>
      </c>
      <c r="B167" t="s">
        <v>10</v>
      </c>
      <c r="C167" t="s">
        <v>606</v>
      </c>
      <c r="D167" t="s">
        <v>585</v>
      </c>
      <c r="E167" t="s">
        <v>379</v>
      </c>
      <c r="F167" t="s">
        <v>28</v>
      </c>
      <c r="G167" t="s">
        <v>607</v>
      </c>
      <c r="H167" t="s">
        <v>30</v>
      </c>
      <c r="I167" t="b">
        <f>COUNTIF(Estadísticas!I:I,'centraldecomunicacion.es'!H167)&gt;0</f>
        <v>0</v>
      </c>
    </row>
    <row r="168" spans="1:9">
      <c r="A168" t="s">
        <v>608</v>
      </c>
      <c r="B168" t="s">
        <v>10</v>
      </c>
      <c r="C168" t="s">
        <v>609</v>
      </c>
      <c r="D168" t="s">
        <v>610</v>
      </c>
      <c r="E168" t="s">
        <v>379</v>
      </c>
      <c r="F168" t="s">
        <v>611</v>
      </c>
      <c r="G168" t="s">
        <v>612</v>
      </c>
      <c r="H168" t="s">
        <v>613</v>
      </c>
      <c r="I168" t="b">
        <f>COUNTIF(Estadísticas!I:I,'centraldecomunicacion.es'!H168)&gt;0</f>
        <v>0</v>
      </c>
    </row>
    <row r="169" spans="1:9">
      <c r="A169" t="s">
        <v>614</v>
      </c>
      <c r="B169" t="s">
        <v>10</v>
      </c>
      <c r="C169" t="s">
        <v>615</v>
      </c>
      <c r="D169" t="s">
        <v>528</v>
      </c>
      <c r="E169" t="s">
        <v>379</v>
      </c>
      <c r="F169" t="s">
        <v>28</v>
      </c>
      <c r="G169" t="s">
        <v>616</v>
      </c>
      <c r="H169" t="s">
        <v>30</v>
      </c>
      <c r="I169" t="b">
        <f>COUNTIF(Estadísticas!I:I,'centraldecomunicacion.es'!H169)&gt;0</f>
        <v>0</v>
      </c>
    </row>
    <row r="170" spans="1:9">
      <c r="A170" t="s">
        <v>617</v>
      </c>
      <c r="B170" t="s">
        <v>10</v>
      </c>
      <c r="C170" t="s">
        <v>618</v>
      </c>
      <c r="D170" t="s">
        <v>520</v>
      </c>
      <c r="E170" t="s">
        <v>379</v>
      </c>
      <c r="F170" t="s">
        <v>28</v>
      </c>
      <c r="G170" t="s">
        <v>619</v>
      </c>
      <c r="H170" t="s">
        <v>30</v>
      </c>
      <c r="I170" t="b">
        <f>COUNTIF(Estadísticas!I:I,'centraldecomunicacion.es'!H170)&gt;0</f>
        <v>0</v>
      </c>
    </row>
    <row r="171" spans="1:9">
      <c r="A171" t="s">
        <v>620</v>
      </c>
      <c r="B171" t="s">
        <v>10</v>
      </c>
      <c r="C171" t="s">
        <v>28</v>
      </c>
      <c r="D171" t="s">
        <v>520</v>
      </c>
      <c r="E171" t="s">
        <v>28</v>
      </c>
      <c r="F171" t="s">
        <v>621</v>
      </c>
      <c r="G171" t="s">
        <v>28</v>
      </c>
      <c r="H171" t="s">
        <v>622</v>
      </c>
      <c r="I171" t="b">
        <f>COUNTIF(Estadísticas!I:I,'centraldecomunicacion.es'!H171)&gt;0</f>
        <v>1</v>
      </c>
    </row>
    <row r="172" spans="1:9">
      <c r="A172" t="s">
        <v>623</v>
      </c>
      <c r="B172" t="s">
        <v>10</v>
      </c>
      <c r="C172" t="s">
        <v>624</v>
      </c>
      <c r="D172" t="s">
        <v>625</v>
      </c>
      <c r="E172" t="s">
        <v>379</v>
      </c>
      <c r="F172" t="s">
        <v>28</v>
      </c>
      <c r="G172" t="s">
        <v>626</v>
      </c>
      <c r="H172" t="s">
        <v>30</v>
      </c>
      <c r="I172" t="b">
        <f>COUNTIF(Estadísticas!I:I,'centraldecomunicacion.es'!H172)&gt;0</f>
        <v>0</v>
      </c>
    </row>
    <row r="173" spans="1:9">
      <c r="A173" t="s">
        <v>627</v>
      </c>
      <c r="B173" t="s">
        <v>10</v>
      </c>
      <c r="C173" t="s">
        <v>628</v>
      </c>
      <c r="D173" t="s">
        <v>528</v>
      </c>
      <c r="E173" t="s">
        <v>379</v>
      </c>
      <c r="F173" t="s">
        <v>629</v>
      </c>
      <c r="G173" t="s">
        <v>630</v>
      </c>
      <c r="H173" t="s">
        <v>631</v>
      </c>
      <c r="I173" t="b">
        <f>COUNTIF(Estadísticas!I:I,'centraldecomunicacion.es'!H173)&gt;0</f>
        <v>1</v>
      </c>
    </row>
    <row r="174" spans="1:9">
      <c r="A174" t="s">
        <v>632</v>
      </c>
      <c r="B174" t="s">
        <v>10</v>
      </c>
      <c r="C174" t="s">
        <v>633</v>
      </c>
      <c r="D174" t="s">
        <v>585</v>
      </c>
      <c r="E174" t="s">
        <v>379</v>
      </c>
      <c r="F174" t="s">
        <v>634</v>
      </c>
      <c r="G174" t="s">
        <v>545</v>
      </c>
      <c r="H174" t="s">
        <v>30</v>
      </c>
      <c r="I174" t="b">
        <f>COUNTIF(Estadísticas!I:I,'centraldecomunicacion.es'!H174)&gt;0</f>
        <v>0</v>
      </c>
    </row>
    <row r="175" spans="1:9">
      <c r="A175" t="s">
        <v>635</v>
      </c>
      <c r="B175" t="s">
        <v>10</v>
      </c>
      <c r="C175" t="s">
        <v>636</v>
      </c>
      <c r="D175" t="s">
        <v>637</v>
      </c>
      <c r="E175" t="s">
        <v>379</v>
      </c>
      <c r="F175" t="s">
        <v>28</v>
      </c>
      <c r="G175" t="s">
        <v>638</v>
      </c>
      <c r="H175" t="s">
        <v>30</v>
      </c>
      <c r="I175" t="b">
        <f>COUNTIF(Estadísticas!I:I,'centraldecomunicacion.es'!H175)&gt;0</f>
        <v>0</v>
      </c>
    </row>
    <row r="176" spans="1:9">
      <c r="A176" t="s">
        <v>639</v>
      </c>
      <c r="B176" t="s">
        <v>10</v>
      </c>
      <c r="C176" t="s">
        <v>640</v>
      </c>
      <c r="D176" t="s">
        <v>641</v>
      </c>
      <c r="E176" t="s">
        <v>379</v>
      </c>
      <c r="F176" t="s">
        <v>642</v>
      </c>
      <c r="G176" t="s">
        <v>28</v>
      </c>
      <c r="H176" t="s">
        <v>30</v>
      </c>
      <c r="I176" t="b">
        <f>COUNTIF(Estadísticas!I:I,'centraldecomunicacion.es'!H176)&gt;0</f>
        <v>0</v>
      </c>
    </row>
    <row r="177" spans="1:9">
      <c r="A177" t="s">
        <v>643</v>
      </c>
      <c r="B177" t="s">
        <v>10</v>
      </c>
      <c r="C177" t="s">
        <v>644</v>
      </c>
      <c r="D177" t="s">
        <v>610</v>
      </c>
      <c r="E177" t="s">
        <v>379</v>
      </c>
      <c r="F177" t="s">
        <v>28</v>
      </c>
      <c r="G177" t="s">
        <v>645</v>
      </c>
      <c r="H177" t="s">
        <v>30</v>
      </c>
      <c r="I177" t="b">
        <f>COUNTIF(Estadísticas!I:I,'centraldecomunicacion.es'!H177)&gt;0</f>
        <v>0</v>
      </c>
    </row>
    <row r="178" spans="1:9">
      <c r="A178" t="s">
        <v>54</v>
      </c>
      <c r="B178" t="s">
        <v>10</v>
      </c>
      <c r="C178" t="s">
        <v>646</v>
      </c>
      <c r="D178" t="s">
        <v>647</v>
      </c>
      <c r="E178" t="s">
        <v>379</v>
      </c>
      <c r="F178" t="s">
        <v>28</v>
      </c>
      <c r="G178" t="s">
        <v>648</v>
      </c>
      <c r="H178" t="s">
        <v>30</v>
      </c>
      <c r="I178" t="b">
        <f>COUNTIF(Estadísticas!I:I,'centraldecomunicacion.es'!H178)&gt;0</f>
        <v>0</v>
      </c>
    </row>
    <row r="179" spans="1:9">
      <c r="A179" t="s">
        <v>649</v>
      </c>
      <c r="B179" t="s">
        <v>10</v>
      </c>
      <c r="C179" t="s">
        <v>650</v>
      </c>
      <c r="D179" t="s">
        <v>585</v>
      </c>
      <c r="E179" t="s">
        <v>379</v>
      </c>
      <c r="F179" t="s">
        <v>28</v>
      </c>
      <c r="G179" t="s">
        <v>651</v>
      </c>
      <c r="H179" t="s">
        <v>30</v>
      </c>
      <c r="I179" t="b">
        <f>COUNTIF(Estadísticas!I:I,'centraldecomunicacion.es'!H179)&gt;0</f>
        <v>0</v>
      </c>
    </row>
    <row r="180" spans="1:9">
      <c r="A180" t="s">
        <v>652</v>
      </c>
      <c r="B180" t="s">
        <v>10</v>
      </c>
      <c r="C180" t="s">
        <v>653</v>
      </c>
      <c r="D180" t="s">
        <v>610</v>
      </c>
      <c r="E180" t="s">
        <v>379</v>
      </c>
      <c r="F180" t="s">
        <v>50</v>
      </c>
      <c r="G180" t="s">
        <v>654</v>
      </c>
      <c r="H180" t="s">
        <v>30</v>
      </c>
      <c r="I180" t="b">
        <f>COUNTIF(Estadísticas!I:I,'centraldecomunicacion.es'!H180)&gt;0</f>
        <v>0</v>
      </c>
    </row>
    <row r="181" spans="1:9">
      <c r="A181" t="s">
        <v>655</v>
      </c>
      <c r="B181" t="s">
        <v>10</v>
      </c>
      <c r="C181" t="s">
        <v>656</v>
      </c>
      <c r="D181" t="s">
        <v>591</v>
      </c>
      <c r="E181" t="s">
        <v>379</v>
      </c>
      <c r="F181" t="s">
        <v>38</v>
      </c>
      <c r="G181" t="s">
        <v>657</v>
      </c>
      <c r="H181" t="s">
        <v>30</v>
      </c>
      <c r="I181" t="b">
        <f>COUNTIF(Estadísticas!I:I,'centraldecomunicacion.es'!H181)&gt;0</f>
        <v>0</v>
      </c>
    </row>
    <row r="182" spans="1:9">
      <c r="A182" t="s">
        <v>658</v>
      </c>
      <c r="B182" t="s">
        <v>10</v>
      </c>
      <c r="C182" t="s">
        <v>659</v>
      </c>
      <c r="D182" t="s">
        <v>528</v>
      </c>
      <c r="E182" t="s">
        <v>379</v>
      </c>
      <c r="F182" t="s">
        <v>660</v>
      </c>
      <c r="G182" t="s">
        <v>661</v>
      </c>
      <c r="H182" t="s">
        <v>30</v>
      </c>
      <c r="I182" t="b">
        <f>COUNTIF(Estadísticas!I:I,'centraldecomunicacion.es'!H182)&gt;0</f>
        <v>0</v>
      </c>
    </row>
    <row r="183" spans="1:9">
      <c r="A183" t="s">
        <v>662</v>
      </c>
      <c r="B183" t="s">
        <v>10</v>
      </c>
      <c r="C183" t="s">
        <v>663</v>
      </c>
      <c r="D183" t="s">
        <v>664</v>
      </c>
      <c r="E183" t="s">
        <v>379</v>
      </c>
      <c r="F183" t="s">
        <v>665</v>
      </c>
      <c r="G183" t="s">
        <v>666</v>
      </c>
      <c r="H183" t="s">
        <v>667</v>
      </c>
      <c r="I183" t="b">
        <f>COUNTIF(Estadísticas!I:I,'centraldecomunicacion.es'!H183)&gt;0</f>
        <v>0</v>
      </c>
    </row>
    <row r="184" spans="1:9">
      <c r="A184" t="s">
        <v>668</v>
      </c>
      <c r="B184" t="s">
        <v>10</v>
      </c>
      <c r="C184" t="s">
        <v>669</v>
      </c>
      <c r="D184" t="s">
        <v>670</v>
      </c>
      <c r="E184" t="s">
        <v>379</v>
      </c>
      <c r="F184" t="s">
        <v>50</v>
      </c>
      <c r="G184" t="s">
        <v>671</v>
      </c>
      <c r="H184" t="s">
        <v>30</v>
      </c>
      <c r="I184" t="b">
        <f>COUNTIF(Estadísticas!I:I,'centraldecomunicacion.es'!H184)&gt;0</f>
        <v>0</v>
      </c>
    </row>
    <row r="185" spans="1:9">
      <c r="A185" t="s">
        <v>672</v>
      </c>
      <c r="B185" t="s">
        <v>219</v>
      </c>
      <c r="C185" t="s">
        <v>673</v>
      </c>
      <c r="D185" t="s">
        <v>591</v>
      </c>
      <c r="E185" t="s">
        <v>379</v>
      </c>
      <c r="F185" t="s">
        <v>674</v>
      </c>
      <c r="G185" t="s">
        <v>675</v>
      </c>
      <c r="H185" t="s">
        <v>30</v>
      </c>
      <c r="I185" t="b">
        <f>COUNTIF(Estadísticas!I:I,'centraldecomunicacion.es'!H185)&gt;0</f>
        <v>0</v>
      </c>
    </row>
    <row r="186" spans="1:9">
      <c r="A186" t="s">
        <v>676</v>
      </c>
      <c r="B186" t="s">
        <v>10</v>
      </c>
      <c r="C186" t="s">
        <v>677</v>
      </c>
      <c r="D186" t="s">
        <v>585</v>
      </c>
      <c r="E186" t="s">
        <v>379</v>
      </c>
      <c r="F186" t="s">
        <v>678</v>
      </c>
      <c r="G186" t="s">
        <v>679</v>
      </c>
      <c r="H186" t="s">
        <v>680</v>
      </c>
      <c r="I186" t="b">
        <f>COUNTIF(Estadísticas!I:I,'centraldecomunicacion.es'!H186)&gt;0</f>
        <v>0</v>
      </c>
    </row>
    <row r="187" spans="1:9">
      <c r="A187" t="s">
        <v>681</v>
      </c>
      <c r="B187" t="s">
        <v>10</v>
      </c>
      <c r="C187" t="s">
        <v>682</v>
      </c>
      <c r="D187" t="s">
        <v>683</v>
      </c>
      <c r="E187" t="s">
        <v>379</v>
      </c>
      <c r="F187" t="s">
        <v>684</v>
      </c>
      <c r="G187" t="s">
        <v>685</v>
      </c>
      <c r="H187" t="s">
        <v>686</v>
      </c>
      <c r="I187" t="b">
        <f>COUNTIF(Estadísticas!I:I,'centraldecomunicacion.es'!H187)&gt;0</f>
        <v>0</v>
      </c>
    </row>
    <row r="188" spans="1:9">
      <c r="A188" t="s">
        <v>687</v>
      </c>
      <c r="B188" t="s">
        <v>10</v>
      </c>
      <c r="C188" t="s">
        <v>688</v>
      </c>
      <c r="D188" t="s">
        <v>591</v>
      </c>
      <c r="E188" t="s">
        <v>379</v>
      </c>
      <c r="F188" t="s">
        <v>689</v>
      </c>
      <c r="G188" t="s">
        <v>690</v>
      </c>
      <c r="H188" t="s">
        <v>691</v>
      </c>
      <c r="I188" t="b">
        <f>COUNTIF(Estadísticas!I:I,'centraldecomunicacion.es'!H188)&gt;0</f>
        <v>0</v>
      </c>
    </row>
    <row r="189" spans="1:9">
      <c r="A189" t="s">
        <v>692</v>
      </c>
      <c r="B189" t="s">
        <v>10</v>
      </c>
      <c r="C189" t="s">
        <v>693</v>
      </c>
      <c r="D189" t="s">
        <v>694</v>
      </c>
      <c r="E189" t="s">
        <v>379</v>
      </c>
      <c r="F189" t="s">
        <v>695</v>
      </c>
      <c r="G189" t="s">
        <v>696</v>
      </c>
      <c r="H189" t="s">
        <v>30</v>
      </c>
      <c r="I189" t="b">
        <f>COUNTIF(Estadísticas!I:I,'centraldecomunicacion.es'!H189)&gt;0</f>
        <v>0</v>
      </c>
    </row>
    <row r="190" spans="1:9">
      <c r="A190" t="s">
        <v>697</v>
      </c>
      <c r="B190" t="s">
        <v>10</v>
      </c>
      <c r="C190" t="s">
        <v>698</v>
      </c>
      <c r="D190" t="s">
        <v>699</v>
      </c>
      <c r="E190" t="s">
        <v>379</v>
      </c>
      <c r="F190" t="s">
        <v>28</v>
      </c>
      <c r="G190" t="s">
        <v>700</v>
      </c>
      <c r="H190" t="s">
        <v>30</v>
      </c>
      <c r="I190" t="b">
        <f>COUNTIF(Estadísticas!I:I,'centraldecomunicacion.es'!H190)&gt;0</f>
        <v>0</v>
      </c>
    </row>
    <row r="191" spans="1:9">
      <c r="A191" t="s">
        <v>701</v>
      </c>
      <c r="B191" t="s">
        <v>10</v>
      </c>
      <c r="C191" t="s">
        <v>702</v>
      </c>
      <c r="D191" t="s">
        <v>703</v>
      </c>
      <c r="E191" t="s">
        <v>379</v>
      </c>
      <c r="F191" t="s">
        <v>28</v>
      </c>
      <c r="G191" t="s">
        <v>704</v>
      </c>
      <c r="H191" t="s">
        <v>30</v>
      </c>
      <c r="I191" t="b">
        <f>COUNTIF(Estadísticas!I:I,'centraldecomunicacion.es'!H191)&gt;0</f>
        <v>0</v>
      </c>
    </row>
    <row r="192" spans="1:9">
      <c r="A192" t="s">
        <v>705</v>
      </c>
      <c r="B192" t="s">
        <v>10</v>
      </c>
      <c r="C192" t="s">
        <v>706</v>
      </c>
      <c r="D192" t="s">
        <v>699</v>
      </c>
      <c r="E192" t="s">
        <v>379</v>
      </c>
      <c r="F192" t="s">
        <v>28</v>
      </c>
      <c r="G192" t="s">
        <v>707</v>
      </c>
      <c r="H192" t="s">
        <v>30</v>
      </c>
      <c r="I192" t="b">
        <f>COUNTIF(Estadísticas!I:I,'centraldecomunicacion.es'!H192)&gt;0</f>
        <v>0</v>
      </c>
    </row>
    <row r="193" spans="1:9">
      <c r="A193" t="s">
        <v>708</v>
      </c>
      <c r="B193" t="s">
        <v>10</v>
      </c>
      <c r="C193" t="s">
        <v>709</v>
      </c>
      <c r="D193" t="s">
        <v>520</v>
      </c>
      <c r="E193" t="s">
        <v>379</v>
      </c>
      <c r="F193" t="s">
        <v>28</v>
      </c>
      <c r="G193" t="s">
        <v>28</v>
      </c>
      <c r="H193" t="s">
        <v>30</v>
      </c>
      <c r="I193" t="b">
        <f>COUNTIF(Estadísticas!I:I,'centraldecomunicacion.es'!H193)&gt;0</f>
        <v>0</v>
      </c>
    </row>
    <row r="194" spans="1:9">
      <c r="A194" t="s">
        <v>710</v>
      </c>
      <c r="B194" t="s">
        <v>10</v>
      </c>
      <c r="C194" t="s">
        <v>711</v>
      </c>
      <c r="D194" t="s">
        <v>712</v>
      </c>
      <c r="E194" t="s">
        <v>379</v>
      </c>
      <c r="F194" t="s">
        <v>713</v>
      </c>
      <c r="G194" t="s">
        <v>714</v>
      </c>
      <c r="H194" t="s">
        <v>715</v>
      </c>
      <c r="I194" t="b">
        <f>COUNTIF(Estadísticas!I:I,'centraldecomunicacion.es'!H194)&gt;0</f>
        <v>0</v>
      </c>
    </row>
    <row r="195" spans="1:9">
      <c r="A195" t="s">
        <v>716</v>
      </c>
      <c r="B195" t="s">
        <v>10</v>
      </c>
      <c r="C195" t="s">
        <v>717</v>
      </c>
      <c r="D195" t="s">
        <v>637</v>
      </c>
      <c r="E195" t="s">
        <v>379</v>
      </c>
      <c r="F195" t="s">
        <v>28</v>
      </c>
      <c r="G195" t="s">
        <v>718</v>
      </c>
      <c r="H195" t="s">
        <v>30</v>
      </c>
      <c r="I195" t="b">
        <f>COUNTIF(Estadísticas!I:I,'centraldecomunicacion.es'!H195)&gt;0</f>
        <v>0</v>
      </c>
    </row>
    <row r="196" spans="1:9">
      <c r="A196" t="s">
        <v>719</v>
      </c>
      <c r="B196" t="s">
        <v>10</v>
      </c>
      <c r="C196" t="s">
        <v>720</v>
      </c>
      <c r="D196" t="s">
        <v>699</v>
      </c>
      <c r="E196" t="s">
        <v>379</v>
      </c>
      <c r="F196" t="s">
        <v>28</v>
      </c>
      <c r="G196" t="s">
        <v>721</v>
      </c>
      <c r="H196" t="s">
        <v>30</v>
      </c>
      <c r="I196" t="b">
        <f>COUNTIF(Estadísticas!I:I,'centraldecomunicacion.es'!H196)&gt;0</f>
        <v>0</v>
      </c>
    </row>
    <row r="197" spans="1:9">
      <c r="A197" t="s">
        <v>722</v>
      </c>
      <c r="B197" t="s">
        <v>10</v>
      </c>
      <c r="C197" t="s">
        <v>723</v>
      </c>
      <c r="D197" t="s">
        <v>683</v>
      </c>
      <c r="E197" t="s">
        <v>379</v>
      </c>
      <c r="F197" t="s">
        <v>724</v>
      </c>
      <c r="G197" t="s">
        <v>725</v>
      </c>
      <c r="H197" t="s">
        <v>726</v>
      </c>
      <c r="I197" t="b">
        <f>COUNTIF(Estadísticas!I:I,'centraldecomunicacion.es'!H197)&gt;0</f>
        <v>1</v>
      </c>
    </row>
    <row r="198" spans="1:9">
      <c r="A198" t="s">
        <v>727</v>
      </c>
      <c r="B198" t="s">
        <v>10</v>
      </c>
      <c r="C198" t="s">
        <v>728</v>
      </c>
      <c r="D198" t="s">
        <v>520</v>
      </c>
      <c r="E198" t="s">
        <v>379</v>
      </c>
      <c r="F198" t="s">
        <v>28</v>
      </c>
      <c r="G198" t="s">
        <v>729</v>
      </c>
      <c r="H198" t="s">
        <v>30</v>
      </c>
      <c r="I198" t="b">
        <f>COUNTIF(Estadísticas!I:I,'centraldecomunicacion.es'!H198)&gt;0</f>
        <v>0</v>
      </c>
    </row>
    <row r="199" spans="1:9">
      <c r="A199" t="s">
        <v>730</v>
      </c>
      <c r="B199" t="s">
        <v>10</v>
      </c>
      <c r="C199" t="s">
        <v>731</v>
      </c>
      <c r="D199" t="s">
        <v>732</v>
      </c>
      <c r="E199" t="s">
        <v>732</v>
      </c>
      <c r="F199" t="s">
        <v>733</v>
      </c>
      <c r="G199" t="s">
        <v>734</v>
      </c>
      <c r="H199" t="s">
        <v>30</v>
      </c>
      <c r="I199" t="b">
        <f>COUNTIF(Estadísticas!I:I,'centraldecomunicacion.es'!H199)&gt;0</f>
        <v>0</v>
      </c>
    </row>
    <row r="200" spans="1:9">
      <c r="A200" t="s">
        <v>735</v>
      </c>
      <c r="B200" t="s">
        <v>10</v>
      </c>
      <c r="C200" t="s">
        <v>736</v>
      </c>
      <c r="D200" t="s">
        <v>737</v>
      </c>
      <c r="E200" t="s">
        <v>379</v>
      </c>
      <c r="F200" t="s">
        <v>738</v>
      </c>
      <c r="G200" t="s">
        <v>739</v>
      </c>
      <c r="H200" t="s">
        <v>740</v>
      </c>
      <c r="I200" t="b">
        <f>COUNTIF(Estadísticas!I:I,'centraldecomunicacion.es'!H200)&gt;0</f>
        <v>0</v>
      </c>
    </row>
    <row r="201" spans="1:9">
      <c r="A201" t="s">
        <v>741</v>
      </c>
      <c r="B201" t="s">
        <v>10</v>
      </c>
      <c r="C201" t="s">
        <v>742</v>
      </c>
      <c r="D201" t="s">
        <v>699</v>
      </c>
      <c r="E201" t="s">
        <v>379</v>
      </c>
      <c r="F201" t="s">
        <v>50</v>
      </c>
      <c r="G201" t="s">
        <v>743</v>
      </c>
      <c r="H201" t="s">
        <v>30</v>
      </c>
      <c r="I201" t="b">
        <f>COUNTIF(Estadísticas!I:I,'centraldecomunicacion.es'!H201)&gt;0</f>
        <v>0</v>
      </c>
    </row>
    <row r="202" spans="1:9">
      <c r="A202" t="s">
        <v>744</v>
      </c>
      <c r="B202" t="s">
        <v>10</v>
      </c>
      <c r="C202" t="s">
        <v>745</v>
      </c>
      <c r="D202" t="s">
        <v>712</v>
      </c>
      <c r="E202" t="s">
        <v>379</v>
      </c>
      <c r="F202" t="s">
        <v>746</v>
      </c>
      <c r="G202" t="s">
        <v>747</v>
      </c>
      <c r="H202" t="s">
        <v>30</v>
      </c>
      <c r="I202" t="b">
        <f>COUNTIF(Estadísticas!I:I,'centraldecomunicacion.es'!H202)&gt;0</f>
        <v>0</v>
      </c>
    </row>
    <row r="203" spans="1:9">
      <c r="A203" t="s">
        <v>748</v>
      </c>
      <c r="B203" t="s">
        <v>10</v>
      </c>
      <c r="C203" t="s">
        <v>749</v>
      </c>
      <c r="D203" t="s">
        <v>750</v>
      </c>
      <c r="E203" t="s">
        <v>732</v>
      </c>
      <c r="F203" t="s">
        <v>751</v>
      </c>
      <c r="G203" t="s">
        <v>752</v>
      </c>
      <c r="H203" t="s">
        <v>753</v>
      </c>
      <c r="I203" t="b">
        <f>COUNTIF(Estadísticas!I:I,'centraldecomunicacion.es'!H203)&gt;0</f>
        <v>0</v>
      </c>
    </row>
    <row r="204" spans="1:9">
      <c r="A204" t="s">
        <v>754</v>
      </c>
      <c r="B204" t="s">
        <v>10</v>
      </c>
      <c r="C204" t="s">
        <v>755</v>
      </c>
      <c r="D204" t="s">
        <v>699</v>
      </c>
      <c r="E204" t="s">
        <v>379</v>
      </c>
      <c r="F204" t="s">
        <v>756</v>
      </c>
      <c r="G204" t="s">
        <v>700</v>
      </c>
      <c r="H204" t="s">
        <v>30</v>
      </c>
      <c r="I204" t="b">
        <f>COUNTIF(Estadísticas!I:I,'centraldecomunicacion.es'!H204)&gt;0</f>
        <v>0</v>
      </c>
    </row>
    <row r="205" spans="1:9">
      <c r="A205" t="s">
        <v>757</v>
      </c>
      <c r="B205" t="s">
        <v>10</v>
      </c>
      <c r="C205" t="s">
        <v>758</v>
      </c>
      <c r="D205" t="s">
        <v>732</v>
      </c>
      <c r="E205" t="s">
        <v>732</v>
      </c>
      <c r="F205" t="s">
        <v>416</v>
      </c>
      <c r="G205" t="s">
        <v>759</v>
      </c>
      <c r="H205" t="s">
        <v>30</v>
      </c>
      <c r="I205" t="b">
        <f>COUNTIF(Estadísticas!I:I,'centraldecomunicacion.es'!H205)&gt;0</f>
        <v>0</v>
      </c>
    </row>
    <row r="206" spans="1:9">
      <c r="A206" t="s">
        <v>760</v>
      </c>
      <c r="B206" t="s">
        <v>10</v>
      </c>
      <c r="C206" t="s">
        <v>761</v>
      </c>
      <c r="D206" t="s">
        <v>762</v>
      </c>
      <c r="E206" t="s">
        <v>732</v>
      </c>
      <c r="F206" t="s">
        <v>763</v>
      </c>
      <c r="G206" t="s">
        <v>764</v>
      </c>
      <c r="H206" t="s">
        <v>765</v>
      </c>
      <c r="I206" t="b">
        <f>COUNTIF(Estadísticas!I:I,'centraldecomunicacion.es'!H206)&gt;0</f>
        <v>1</v>
      </c>
    </row>
    <row r="207" spans="1:9">
      <c r="A207" t="s">
        <v>766</v>
      </c>
      <c r="B207" t="s">
        <v>10</v>
      </c>
      <c r="C207" t="s">
        <v>767</v>
      </c>
      <c r="D207" t="s">
        <v>737</v>
      </c>
      <c r="E207" t="s">
        <v>379</v>
      </c>
      <c r="F207" t="s">
        <v>768</v>
      </c>
      <c r="G207" t="s">
        <v>769</v>
      </c>
      <c r="H207" t="s">
        <v>30</v>
      </c>
      <c r="I207" t="b">
        <f>COUNTIF(Estadísticas!I:I,'centraldecomunicacion.es'!H207)&gt;0</f>
        <v>0</v>
      </c>
    </row>
    <row r="208" spans="1:9">
      <c r="A208" t="s">
        <v>770</v>
      </c>
      <c r="B208" t="s">
        <v>10</v>
      </c>
      <c r="C208" t="s">
        <v>771</v>
      </c>
      <c r="D208" t="s">
        <v>772</v>
      </c>
      <c r="E208" t="s">
        <v>379</v>
      </c>
      <c r="F208" t="s">
        <v>28</v>
      </c>
      <c r="G208" t="s">
        <v>773</v>
      </c>
      <c r="H208" t="s">
        <v>30</v>
      </c>
      <c r="I208" t="b">
        <f>COUNTIF(Estadísticas!I:I,'centraldecomunicacion.es'!H208)&gt;0</f>
        <v>0</v>
      </c>
    </row>
    <row r="209" spans="1:9">
      <c r="A209" t="s">
        <v>774</v>
      </c>
      <c r="B209" t="s">
        <v>10</v>
      </c>
      <c r="C209" t="s">
        <v>775</v>
      </c>
      <c r="D209" t="s">
        <v>699</v>
      </c>
      <c r="E209" t="s">
        <v>379</v>
      </c>
      <c r="F209" t="s">
        <v>776</v>
      </c>
      <c r="G209" t="s">
        <v>777</v>
      </c>
      <c r="H209" t="s">
        <v>30</v>
      </c>
      <c r="I209" t="b">
        <f>COUNTIF(Estadísticas!I:I,'centraldecomunicacion.es'!H209)&gt;0</f>
        <v>0</v>
      </c>
    </row>
    <row r="210" spans="1:9">
      <c r="A210" t="s">
        <v>778</v>
      </c>
      <c r="B210" t="s">
        <v>10</v>
      </c>
      <c r="C210" t="s">
        <v>779</v>
      </c>
      <c r="D210" t="s">
        <v>780</v>
      </c>
      <c r="E210" t="s">
        <v>780</v>
      </c>
      <c r="F210" t="s">
        <v>781</v>
      </c>
      <c r="G210" t="s">
        <v>782</v>
      </c>
      <c r="H210" t="s">
        <v>783</v>
      </c>
      <c r="I210" t="b">
        <f>COUNTIF(Estadísticas!I:I,'centraldecomunicacion.es'!H210)&gt;0</f>
        <v>1</v>
      </c>
    </row>
    <row r="211" spans="1:9">
      <c r="A211" t="s">
        <v>784</v>
      </c>
      <c r="B211" t="s">
        <v>219</v>
      </c>
      <c r="C211" t="s">
        <v>785</v>
      </c>
      <c r="D211" t="s">
        <v>585</v>
      </c>
      <c r="E211" t="s">
        <v>379</v>
      </c>
      <c r="F211" t="s">
        <v>786</v>
      </c>
      <c r="G211" t="s">
        <v>787</v>
      </c>
      <c r="H211" t="s">
        <v>30</v>
      </c>
      <c r="I211" t="b">
        <f>COUNTIF(Estadísticas!I:I,'centraldecomunicacion.es'!H211)&gt;0</f>
        <v>0</v>
      </c>
    </row>
    <row r="212" spans="1:9">
      <c r="A212" t="s">
        <v>788</v>
      </c>
      <c r="B212" t="s">
        <v>10</v>
      </c>
      <c r="C212" t="s">
        <v>789</v>
      </c>
      <c r="D212" t="s">
        <v>790</v>
      </c>
      <c r="E212" t="s">
        <v>780</v>
      </c>
      <c r="F212" t="s">
        <v>791</v>
      </c>
      <c r="G212" t="s">
        <v>792</v>
      </c>
      <c r="H212" t="s">
        <v>793</v>
      </c>
      <c r="I212" t="b">
        <f>COUNTIF(Estadísticas!I:I,'centraldecomunicacion.es'!H212)&gt;0</f>
        <v>0</v>
      </c>
    </row>
    <row r="213" spans="1:9">
      <c r="A213" t="s">
        <v>794</v>
      </c>
      <c r="B213" t="s">
        <v>10</v>
      </c>
      <c r="C213" t="s">
        <v>795</v>
      </c>
      <c r="D213" t="s">
        <v>796</v>
      </c>
      <c r="E213" t="s">
        <v>796</v>
      </c>
      <c r="F213" t="s">
        <v>797</v>
      </c>
      <c r="G213" t="s">
        <v>798</v>
      </c>
      <c r="H213" t="s">
        <v>799</v>
      </c>
      <c r="I213" t="b">
        <f>COUNTIF(Estadísticas!I:I,'centraldecomunicacion.es'!H213)&gt;0</f>
        <v>0</v>
      </c>
    </row>
    <row r="214" spans="1:9">
      <c r="A214" t="s">
        <v>800</v>
      </c>
      <c r="B214" t="s">
        <v>10</v>
      </c>
      <c r="C214" t="s">
        <v>801</v>
      </c>
      <c r="D214" t="s">
        <v>796</v>
      </c>
      <c r="E214" t="s">
        <v>796</v>
      </c>
      <c r="F214" t="s">
        <v>802</v>
      </c>
      <c r="G214" t="s">
        <v>803</v>
      </c>
      <c r="H214" t="s">
        <v>804</v>
      </c>
      <c r="I214" t="b">
        <f>COUNTIF(Estadísticas!I:I,'centraldecomunicacion.es'!H214)&gt;0</f>
        <v>1</v>
      </c>
    </row>
    <row r="215" spans="1:9">
      <c r="A215" t="s">
        <v>805</v>
      </c>
      <c r="B215" t="s">
        <v>10</v>
      </c>
      <c r="C215" t="s">
        <v>806</v>
      </c>
      <c r="D215" t="s">
        <v>796</v>
      </c>
      <c r="E215" t="s">
        <v>796</v>
      </c>
      <c r="F215" t="s">
        <v>807</v>
      </c>
      <c r="G215" t="s">
        <v>808</v>
      </c>
      <c r="H215" t="s">
        <v>809</v>
      </c>
      <c r="I215" t="b">
        <f>COUNTIF(Estadísticas!I:I,'centraldecomunicacion.es'!H215)&gt;0</f>
        <v>0</v>
      </c>
    </row>
    <row r="216" spans="1:9">
      <c r="A216" t="s">
        <v>810</v>
      </c>
      <c r="B216" t="s">
        <v>10</v>
      </c>
      <c r="C216" t="s">
        <v>811</v>
      </c>
      <c r="D216" t="s">
        <v>796</v>
      </c>
      <c r="E216" t="s">
        <v>796</v>
      </c>
      <c r="F216" t="s">
        <v>812</v>
      </c>
      <c r="G216" t="s">
        <v>813</v>
      </c>
      <c r="H216" t="s">
        <v>30</v>
      </c>
      <c r="I216" t="b">
        <f>COUNTIF(Estadísticas!I:I,'centraldecomunicacion.es'!H216)&gt;0</f>
        <v>0</v>
      </c>
    </row>
    <row r="217" spans="1:9">
      <c r="A217" t="s">
        <v>814</v>
      </c>
      <c r="B217" t="s">
        <v>10</v>
      </c>
      <c r="C217" t="s">
        <v>815</v>
      </c>
      <c r="D217" t="s">
        <v>796</v>
      </c>
      <c r="E217" t="s">
        <v>796</v>
      </c>
      <c r="F217" t="s">
        <v>816</v>
      </c>
      <c r="G217" t="s">
        <v>817</v>
      </c>
      <c r="H217" t="s">
        <v>818</v>
      </c>
      <c r="I217" t="b">
        <f>COUNTIF(Estadísticas!I:I,'centraldecomunicacion.es'!H217)&gt;0</f>
        <v>1</v>
      </c>
    </row>
    <row r="218" spans="1:9">
      <c r="A218" t="s">
        <v>436</v>
      </c>
      <c r="B218" t="s">
        <v>10</v>
      </c>
      <c r="C218" t="s">
        <v>819</v>
      </c>
      <c r="D218" t="s">
        <v>796</v>
      </c>
      <c r="E218" t="s">
        <v>796</v>
      </c>
      <c r="F218" t="s">
        <v>820</v>
      </c>
      <c r="G218" t="s">
        <v>821</v>
      </c>
      <c r="H218" t="s">
        <v>30</v>
      </c>
      <c r="I218" t="b">
        <f>COUNTIF(Estadísticas!I:I,'centraldecomunicacion.es'!H218)&gt;0</f>
        <v>0</v>
      </c>
    </row>
    <row r="219" spans="1:9">
      <c r="A219" t="s">
        <v>822</v>
      </c>
      <c r="B219" t="s">
        <v>10</v>
      </c>
      <c r="C219" t="s">
        <v>823</v>
      </c>
      <c r="D219" t="s">
        <v>796</v>
      </c>
      <c r="E219" t="s">
        <v>796</v>
      </c>
      <c r="F219" t="s">
        <v>824</v>
      </c>
      <c r="G219" t="s">
        <v>825</v>
      </c>
      <c r="H219" t="s">
        <v>30</v>
      </c>
      <c r="I219" t="b">
        <f>COUNTIF(Estadísticas!I:I,'centraldecomunicacion.es'!H219)&gt;0</f>
        <v>0</v>
      </c>
    </row>
    <row r="220" spans="1:9">
      <c r="A220" t="s">
        <v>826</v>
      </c>
      <c r="B220" t="s">
        <v>10</v>
      </c>
      <c r="C220" t="s">
        <v>827</v>
      </c>
      <c r="D220" t="s">
        <v>796</v>
      </c>
      <c r="E220" t="s">
        <v>796</v>
      </c>
      <c r="F220" t="s">
        <v>828</v>
      </c>
      <c r="G220" t="s">
        <v>829</v>
      </c>
      <c r="H220" t="s">
        <v>30</v>
      </c>
      <c r="I220" t="b">
        <f>COUNTIF(Estadísticas!I:I,'centraldecomunicacion.es'!H220)&gt;0</f>
        <v>0</v>
      </c>
    </row>
    <row r="221" spans="1:9">
      <c r="A221" t="s">
        <v>830</v>
      </c>
      <c r="B221" t="s">
        <v>10</v>
      </c>
      <c r="C221" t="s">
        <v>831</v>
      </c>
      <c r="D221" t="s">
        <v>796</v>
      </c>
      <c r="E221" t="s">
        <v>796</v>
      </c>
      <c r="F221" t="s">
        <v>816</v>
      </c>
      <c r="G221" t="s">
        <v>832</v>
      </c>
      <c r="H221" t="s">
        <v>818</v>
      </c>
      <c r="I221" t="b">
        <f>COUNTIF(Estadísticas!I:I,'centraldecomunicacion.es'!H221)&gt;0</f>
        <v>1</v>
      </c>
    </row>
    <row r="222" spans="1:9">
      <c r="A222" t="s">
        <v>833</v>
      </c>
      <c r="B222" t="s">
        <v>10</v>
      </c>
      <c r="C222" t="s">
        <v>834</v>
      </c>
      <c r="D222" t="s">
        <v>796</v>
      </c>
      <c r="E222" t="s">
        <v>796</v>
      </c>
      <c r="F222" t="s">
        <v>835</v>
      </c>
      <c r="G222" t="s">
        <v>836</v>
      </c>
      <c r="H222" t="s">
        <v>837</v>
      </c>
      <c r="I222" t="b">
        <f>COUNTIF(Estadísticas!I:I,'centraldecomunicacion.es'!H222)&gt;0</f>
        <v>1</v>
      </c>
    </row>
    <row r="223" spans="1:9">
      <c r="A223" t="s">
        <v>838</v>
      </c>
      <c r="B223" t="s">
        <v>10</v>
      </c>
      <c r="C223" t="s">
        <v>839</v>
      </c>
      <c r="D223" t="s">
        <v>796</v>
      </c>
      <c r="E223" t="s">
        <v>796</v>
      </c>
      <c r="F223" t="s">
        <v>28</v>
      </c>
      <c r="G223" t="s">
        <v>840</v>
      </c>
      <c r="H223" t="s">
        <v>30</v>
      </c>
      <c r="I223" t="b">
        <f>COUNTIF(Estadísticas!I:I,'centraldecomunicacion.es'!H223)&gt;0</f>
        <v>0</v>
      </c>
    </row>
    <row r="224" spans="1:9">
      <c r="A224" t="s">
        <v>841</v>
      </c>
      <c r="B224" t="s">
        <v>10</v>
      </c>
      <c r="C224" t="s">
        <v>842</v>
      </c>
      <c r="D224" t="s">
        <v>796</v>
      </c>
      <c r="E224" t="s">
        <v>796</v>
      </c>
      <c r="F224" t="s">
        <v>28</v>
      </c>
      <c r="G224" t="s">
        <v>843</v>
      </c>
      <c r="H224" t="s">
        <v>30</v>
      </c>
      <c r="I224" t="b">
        <f>COUNTIF(Estadísticas!I:I,'centraldecomunicacion.es'!H224)&gt;0</f>
        <v>0</v>
      </c>
    </row>
    <row r="225" spans="1:9">
      <c r="A225" t="s">
        <v>844</v>
      </c>
      <c r="B225" t="s">
        <v>10</v>
      </c>
      <c r="C225" t="s">
        <v>845</v>
      </c>
      <c r="D225" t="s">
        <v>796</v>
      </c>
      <c r="E225" t="s">
        <v>796</v>
      </c>
      <c r="F225" t="s">
        <v>846</v>
      </c>
      <c r="G225" t="s">
        <v>847</v>
      </c>
      <c r="H225" t="s">
        <v>848</v>
      </c>
      <c r="I225" t="b">
        <f>COUNTIF(Estadísticas!I:I,'centraldecomunicacion.es'!H225)&gt;0</f>
        <v>0</v>
      </c>
    </row>
    <row r="226" spans="1:9">
      <c r="A226" t="s">
        <v>849</v>
      </c>
      <c r="B226" t="s">
        <v>10</v>
      </c>
      <c r="C226" t="s">
        <v>850</v>
      </c>
      <c r="D226" t="s">
        <v>796</v>
      </c>
      <c r="E226" t="s">
        <v>796</v>
      </c>
      <c r="F226" t="s">
        <v>851</v>
      </c>
      <c r="G226" t="s">
        <v>852</v>
      </c>
      <c r="H226" t="s">
        <v>853</v>
      </c>
      <c r="I226" t="b">
        <f>COUNTIF(Estadísticas!I:I,'centraldecomunicacion.es'!H226)&gt;0</f>
        <v>0</v>
      </c>
    </row>
    <row r="227" spans="1:9">
      <c r="A227" t="s">
        <v>854</v>
      </c>
      <c r="B227" t="s">
        <v>10</v>
      </c>
      <c r="C227" t="s">
        <v>855</v>
      </c>
      <c r="D227" t="s">
        <v>796</v>
      </c>
      <c r="E227" t="s">
        <v>796</v>
      </c>
      <c r="F227" t="s">
        <v>856</v>
      </c>
      <c r="G227" t="s">
        <v>857</v>
      </c>
      <c r="H227" t="s">
        <v>30</v>
      </c>
      <c r="I227" t="b">
        <f>COUNTIF(Estadísticas!I:I,'centraldecomunicacion.es'!H227)&gt;0</f>
        <v>0</v>
      </c>
    </row>
    <row r="228" spans="1:9">
      <c r="A228" t="s">
        <v>858</v>
      </c>
      <c r="B228" t="s">
        <v>10</v>
      </c>
      <c r="C228" t="s">
        <v>859</v>
      </c>
      <c r="D228" t="s">
        <v>796</v>
      </c>
      <c r="E228" t="s">
        <v>796</v>
      </c>
      <c r="F228" t="s">
        <v>28</v>
      </c>
      <c r="G228" t="s">
        <v>860</v>
      </c>
      <c r="H228" t="s">
        <v>30</v>
      </c>
      <c r="I228" t="b">
        <f>COUNTIF(Estadísticas!I:I,'centraldecomunicacion.es'!H228)&gt;0</f>
        <v>0</v>
      </c>
    </row>
    <row r="229" spans="1:9">
      <c r="A229" t="s">
        <v>861</v>
      </c>
      <c r="B229" t="s">
        <v>10</v>
      </c>
      <c r="C229" t="s">
        <v>862</v>
      </c>
      <c r="D229" t="s">
        <v>796</v>
      </c>
      <c r="E229" t="s">
        <v>796</v>
      </c>
      <c r="F229" t="s">
        <v>863</v>
      </c>
      <c r="G229" t="s">
        <v>864</v>
      </c>
      <c r="H229" t="s">
        <v>30</v>
      </c>
      <c r="I229" t="b">
        <f>COUNTIF(Estadísticas!I:I,'centraldecomunicacion.es'!H229)&gt;0</f>
        <v>0</v>
      </c>
    </row>
    <row r="230" spans="1:9">
      <c r="A230" t="s">
        <v>865</v>
      </c>
      <c r="B230" t="s">
        <v>10</v>
      </c>
      <c r="C230" t="s">
        <v>866</v>
      </c>
      <c r="D230" t="s">
        <v>796</v>
      </c>
      <c r="E230" t="s">
        <v>796</v>
      </c>
      <c r="F230" t="s">
        <v>28</v>
      </c>
      <c r="G230" t="s">
        <v>867</v>
      </c>
      <c r="H230" t="s">
        <v>30</v>
      </c>
      <c r="I230" t="b">
        <f>COUNTIF(Estadísticas!I:I,'centraldecomunicacion.es'!H230)&gt;0</f>
        <v>0</v>
      </c>
    </row>
    <row r="231" spans="1:9">
      <c r="A231" t="s">
        <v>868</v>
      </c>
      <c r="B231" t="s">
        <v>10</v>
      </c>
      <c r="C231" t="s">
        <v>869</v>
      </c>
      <c r="D231" t="s">
        <v>796</v>
      </c>
      <c r="E231" t="s">
        <v>796</v>
      </c>
      <c r="F231" t="s">
        <v>870</v>
      </c>
      <c r="G231" t="s">
        <v>871</v>
      </c>
      <c r="H231" t="s">
        <v>872</v>
      </c>
      <c r="I231" t="b">
        <f>COUNTIF(Estadísticas!I:I,'centraldecomunicacion.es'!H231)&gt;0</f>
        <v>0</v>
      </c>
    </row>
    <row r="232" spans="1:9">
      <c r="A232" t="s">
        <v>873</v>
      </c>
      <c r="B232" t="s">
        <v>10</v>
      </c>
      <c r="C232" t="s">
        <v>874</v>
      </c>
      <c r="D232" t="s">
        <v>796</v>
      </c>
      <c r="E232" t="s">
        <v>796</v>
      </c>
      <c r="F232" t="s">
        <v>875</v>
      </c>
      <c r="G232" t="s">
        <v>876</v>
      </c>
      <c r="H232" t="s">
        <v>30</v>
      </c>
      <c r="I232" t="b">
        <f>COUNTIF(Estadísticas!I:I,'centraldecomunicacion.es'!H232)&gt;0</f>
        <v>0</v>
      </c>
    </row>
    <row r="233" spans="1:9">
      <c r="A233" t="s">
        <v>800</v>
      </c>
      <c r="B233" t="s">
        <v>10</v>
      </c>
      <c r="C233" t="s">
        <v>877</v>
      </c>
      <c r="D233" t="s">
        <v>796</v>
      </c>
      <c r="E233" t="s">
        <v>796</v>
      </c>
      <c r="F233" t="s">
        <v>802</v>
      </c>
      <c r="G233" t="s">
        <v>878</v>
      </c>
      <c r="H233" t="s">
        <v>804</v>
      </c>
      <c r="I233" t="b">
        <f>COUNTIF(Estadísticas!I:I,'centraldecomunicacion.es'!H233)&gt;0</f>
        <v>1</v>
      </c>
    </row>
    <row r="234" spans="1:9">
      <c r="A234" t="s">
        <v>879</v>
      </c>
      <c r="B234" t="s">
        <v>10</v>
      </c>
      <c r="C234" t="s">
        <v>880</v>
      </c>
      <c r="D234" t="s">
        <v>796</v>
      </c>
      <c r="E234" t="s">
        <v>796</v>
      </c>
      <c r="F234" t="s">
        <v>28</v>
      </c>
      <c r="G234" t="s">
        <v>881</v>
      </c>
      <c r="H234" t="s">
        <v>30</v>
      </c>
      <c r="I234" t="b">
        <f>COUNTIF(Estadísticas!I:I,'centraldecomunicacion.es'!H234)&gt;0</f>
        <v>0</v>
      </c>
    </row>
    <row r="235" spans="1:9">
      <c r="A235" t="s">
        <v>882</v>
      </c>
      <c r="B235" t="s">
        <v>10</v>
      </c>
      <c r="C235" t="s">
        <v>883</v>
      </c>
      <c r="D235" t="s">
        <v>796</v>
      </c>
      <c r="E235" t="s">
        <v>796</v>
      </c>
      <c r="F235" t="s">
        <v>28</v>
      </c>
      <c r="G235" t="s">
        <v>884</v>
      </c>
      <c r="H235" t="s">
        <v>30</v>
      </c>
      <c r="I235" t="b">
        <f>COUNTIF(Estadísticas!I:I,'centraldecomunicacion.es'!H235)&gt;0</f>
        <v>0</v>
      </c>
    </row>
    <row r="236" spans="1:9">
      <c r="A236" t="s">
        <v>885</v>
      </c>
      <c r="B236" t="s">
        <v>10</v>
      </c>
      <c r="C236" t="s">
        <v>886</v>
      </c>
      <c r="D236" t="s">
        <v>796</v>
      </c>
      <c r="E236" t="s">
        <v>796</v>
      </c>
      <c r="F236" t="s">
        <v>887</v>
      </c>
      <c r="G236" t="s">
        <v>888</v>
      </c>
      <c r="H236" t="s">
        <v>691</v>
      </c>
      <c r="I236" t="b">
        <f>COUNTIF(Estadísticas!I:I,'centraldecomunicacion.es'!H236)&gt;0</f>
        <v>0</v>
      </c>
    </row>
    <row r="237" spans="1:9">
      <c r="A237" t="s">
        <v>889</v>
      </c>
      <c r="B237" t="s">
        <v>10</v>
      </c>
      <c r="C237" t="s">
        <v>890</v>
      </c>
      <c r="D237" t="s">
        <v>796</v>
      </c>
      <c r="E237" t="s">
        <v>796</v>
      </c>
      <c r="F237" t="s">
        <v>28</v>
      </c>
      <c r="G237" t="s">
        <v>891</v>
      </c>
      <c r="H237" t="s">
        <v>30</v>
      </c>
      <c r="I237" t="b">
        <f>COUNTIF(Estadísticas!I:I,'centraldecomunicacion.es'!H237)&gt;0</f>
        <v>0</v>
      </c>
    </row>
    <row r="238" spans="1:9">
      <c r="A238" t="s">
        <v>892</v>
      </c>
      <c r="B238" t="s">
        <v>10</v>
      </c>
      <c r="C238" t="s">
        <v>893</v>
      </c>
      <c r="D238" t="s">
        <v>796</v>
      </c>
      <c r="E238" t="s">
        <v>796</v>
      </c>
      <c r="F238" t="s">
        <v>38</v>
      </c>
      <c r="G238" t="s">
        <v>894</v>
      </c>
      <c r="H238" t="s">
        <v>30</v>
      </c>
      <c r="I238" t="b">
        <f>COUNTIF(Estadísticas!I:I,'centraldecomunicacion.es'!H238)&gt;0</f>
        <v>0</v>
      </c>
    </row>
    <row r="239" spans="1:9">
      <c r="A239" t="s">
        <v>895</v>
      </c>
      <c r="B239" t="s">
        <v>10</v>
      </c>
      <c r="C239" t="s">
        <v>896</v>
      </c>
      <c r="D239" t="s">
        <v>796</v>
      </c>
      <c r="E239" t="s">
        <v>796</v>
      </c>
      <c r="F239" t="s">
        <v>50</v>
      </c>
      <c r="G239" t="s">
        <v>897</v>
      </c>
      <c r="H239" t="s">
        <v>30</v>
      </c>
      <c r="I239" t="b">
        <f>COUNTIF(Estadísticas!I:I,'centraldecomunicacion.es'!H239)&gt;0</f>
        <v>0</v>
      </c>
    </row>
    <row r="240" spans="1:9">
      <c r="A240" t="s">
        <v>898</v>
      </c>
      <c r="B240" t="s">
        <v>10</v>
      </c>
      <c r="C240" t="s">
        <v>899</v>
      </c>
      <c r="D240" t="s">
        <v>796</v>
      </c>
      <c r="E240" t="s">
        <v>796</v>
      </c>
      <c r="F240" t="s">
        <v>50</v>
      </c>
      <c r="G240" t="s">
        <v>900</v>
      </c>
      <c r="H240" t="s">
        <v>30</v>
      </c>
      <c r="I240" t="b">
        <f>COUNTIF(Estadísticas!I:I,'centraldecomunicacion.es'!H240)&gt;0</f>
        <v>0</v>
      </c>
    </row>
    <row r="241" spans="1:9">
      <c r="A241" t="s">
        <v>901</v>
      </c>
      <c r="B241" t="s">
        <v>10</v>
      </c>
      <c r="C241" t="s">
        <v>902</v>
      </c>
      <c r="D241" t="s">
        <v>796</v>
      </c>
      <c r="E241" t="s">
        <v>796</v>
      </c>
      <c r="F241" t="s">
        <v>28</v>
      </c>
      <c r="G241" t="s">
        <v>903</v>
      </c>
      <c r="H241" t="s">
        <v>30</v>
      </c>
      <c r="I241" t="b">
        <f>COUNTIF(Estadísticas!I:I,'centraldecomunicacion.es'!H241)&gt;0</f>
        <v>0</v>
      </c>
    </row>
    <row r="242" spans="1:9">
      <c r="A242" t="s">
        <v>904</v>
      </c>
      <c r="B242" t="s">
        <v>10</v>
      </c>
      <c r="C242" t="s">
        <v>905</v>
      </c>
      <c r="D242" t="s">
        <v>796</v>
      </c>
      <c r="E242" t="s">
        <v>796</v>
      </c>
      <c r="F242" t="s">
        <v>50</v>
      </c>
      <c r="G242" t="s">
        <v>906</v>
      </c>
      <c r="H242" t="s">
        <v>30</v>
      </c>
      <c r="I242" t="b">
        <f>COUNTIF(Estadísticas!I:I,'centraldecomunicacion.es'!H242)&gt;0</f>
        <v>0</v>
      </c>
    </row>
    <row r="243" spans="1:9">
      <c r="A243" t="s">
        <v>907</v>
      </c>
      <c r="B243" t="s">
        <v>10</v>
      </c>
      <c r="C243" t="s">
        <v>908</v>
      </c>
      <c r="D243" t="s">
        <v>796</v>
      </c>
      <c r="E243" t="s">
        <v>796</v>
      </c>
      <c r="F243" t="s">
        <v>28</v>
      </c>
      <c r="G243" t="s">
        <v>909</v>
      </c>
      <c r="H243" t="s">
        <v>30</v>
      </c>
      <c r="I243" t="b">
        <f>COUNTIF(Estadísticas!I:I,'centraldecomunicacion.es'!H243)&gt;0</f>
        <v>0</v>
      </c>
    </row>
    <row r="244" spans="1:9">
      <c r="A244" t="s">
        <v>910</v>
      </c>
      <c r="B244" t="s">
        <v>10</v>
      </c>
      <c r="C244" t="s">
        <v>911</v>
      </c>
      <c r="D244" t="s">
        <v>796</v>
      </c>
      <c r="E244" t="s">
        <v>796</v>
      </c>
      <c r="F244" t="s">
        <v>28</v>
      </c>
      <c r="G244" t="s">
        <v>912</v>
      </c>
      <c r="H244" t="s">
        <v>30</v>
      </c>
      <c r="I244" t="b">
        <f>COUNTIF(Estadísticas!I:I,'centraldecomunicacion.es'!H244)&gt;0</f>
        <v>0</v>
      </c>
    </row>
    <row r="245" spans="1:9">
      <c r="A245" t="s">
        <v>913</v>
      </c>
      <c r="B245" t="s">
        <v>10</v>
      </c>
      <c r="C245" t="s">
        <v>914</v>
      </c>
      <c r="D245" t="s">
        <v>796</v>
      </c>
      <c r="E245" t="s">
        <v>796</v>
      </c>
      <c r="F245" t="s">
        <v>50</v>
      </c>
      <c r="G245" t="s">
        <v>915</v>
      </c>
      <c r="H245" t="s">
        <v>30</v>
      </c>
      <c r="I245" t="b">
        <f>COUNTIF(Estadísticas!I:I,'centraldecomunicacion.es'!H245)&gt;0</f>
        <v>0</v>
      </c>
    </row>
    <row r="246" spans="1:9">
      <c r="A246" t="s">
        <v>916</v>
      </c>
      <c r="B246" t="s">
        <v>10</v>
      </c>
      <c r="C246" t="s">
        <v>917</v>
      </c>
      <c r="D246" t="s">
        <v>796</v>
      </c>
      <c r="E246" t="s">
        <v>796</v>
      </c>
      <c r="F246" t="s">
        <v>28</v>
      </c>
      <c r="G246" t="s">
        <v>918</v>
      </c>
      <c r="H246" t="s">
        <v>30</v>
      </c>
      <c r="I246" t="b">
        <f>COUNTIF(Estadísticas!I:I,'centraldecomunicacion.es'!H246)&gt;0</f>
        <v>0</v>
      </c>
    </row>
    <row r="247" spans="1:9">
      <c r="A247" t="s">
        <v>919</v>
      </c>
      <c r="B247" t="s">
        <v>10</v>
      </c>
      <c r="C247" t="s">
        <v>920</v>
      </c>
      <c r="D247" t="s">
        <v>796</v>
      </c>
      <c r="E247" t="s">
        <v>796</v>
      </c>
      <c r="F247" t="s">
        <v>921</v>
      </c>
      <c r="G247" t="s">
        <v>922</v>
      </c>
      <c r="H247" t="s">
        <v>923</v>
      </c>
      <c r="I247" t="b">
        <f>COUNTIF(Estadísticas!I:I,'centraldecomunicacion.es'!H247)&gt;0</f>
        <v>1</v>
      </c>
    </row>
    <row r="248" spans="1:9">
      <c r="A248" t="s">
        <v>924</v>
      </c>
      <c r="B248" t="s">
        <v>10</v>
      </c>
      <c r="C248" t="s">
        <v>925</v>
      </c>
      <c r="D248" t="s">
        <v>796</v>
      </c>
      <c r="E248" t="s">
        <v>796</v>
      </c>
      <c r="F248" t="s">
        <v>28</v>
      </c>
      <c r="G248" t="s">
        <v>28</v>
      </c>
      <c r="H248" t="s">
        <v>30</v>
      </c>
      <c r="I248" t="b">
        <f>COUNTIF(Estadísticas!I:I,'centraldecomunicacion.es'!H248)&gt;0</f>
        <v>0</v>
      </c>
    </row>
    <row r="249" spans="1:9">
      <c r="A249" t="s">
        <v>926</v>
      </c>
      <c r="B249" t="s">
        <v>10</v>
      </c>
      <c r="C249" t="s">
        <v>927</v>
      </c>
      <c r="D249" t="s">
        <v>796</v>
      </c>
      <c r="E249" t="s">
        <v>796</v>
      </c>
      <c r="F249" t="s">
        <v>28</v>
      </c>
      <c r="G249" t="s">
        <v>928</v>
      </c>
      <c r="H249" t="s">
        <v>30</v>
      </c>
      <c r="I249" t="b">
        <f>COUNTIF(Estadísticas!I:I,'centraldecomunicacion.es'!H249)&gt;0</f>
        <v>0</v>
      </c>
    </row>
    <row r="250" spans="1:9">
      <c r="A250" t="s">
        <v>929</v>
      </c>
      <c r="B250" t="s">
        <v>10</v>
      </c>
      <c r="C250" t="s">
        <v>930</v>
      </c>
      <c r="D250" t="s">
        <v>796</v>
      </c>
      <c r="E250" t="s">
        <v>796</v>
      </c>
      <c r="F250" t="s">
        <v>38</v>
      </c>
      <c r="G250" t="s">
        <v>931</v>
      </c>
      <c r="H250" t="s">
        <v>30</v>
      </c>
      <c r="I250" t="b">
        <f>COUNTIF(Estadísticas!I:I,'centraldecomunicacion.es'!H250)&gt;0</f>
        <v>0</v>
      </c>
    </row>
    <row r="251" spans="1:9">
      <c r="A251" t="s">
        <v>932</v>
      </c>
      <c r="B251" t="s">
        <v>10</v>
      </c>
      <c r="C251" t="s">
        <v>933</v>
      </c>
      <c r="D251" t="s">
        <v>796</v>
      </c>
      <c r="E251" t="s">
        <v>796</v>
      </c>
      <c r="F251" t="s">
        <v>28</v>
      </c>
      <c r="G251" t="s">
        <v>934</v>
      </c>
      <c r="H251" t="s">
        <v>30</v>
      </c>
      <c r="I251" t="b">
        <f>COUNTIF(Estadísticas!I:I,'centraldecomunicacion.es'!H251)&gt;0</f>
        <v>0</v>
      </c>
    </row>
    <row r="252" spans="1:9">
      <c r="A252" t="s">
        <v>935</v>
      </c>
      <c r="B252" t="s">
        <v>10</v>
      </c>
      <c r="C252" t="s">
        <v>936</v>
      </c>
      <c r="D252" t="s">
        <v>796</v>
      </c>
      <c r="E252" t="s">
        <v>796</v>
      </c>
      <c r="F252" t="s">
        <v>28</v>
      </c>
      <c r="G252" t="s">
        <v>937</v>
      </c>
      <c r="H252" t="s">
        <v>30</v>
      </c>
      <c r="I252" t="b">
        <f>COUNTIF(Estadísticas!I:I,'centraldecomunicacion.es'!H252)&gt;0</f>
        <v>0</v>
      </c>
    </row>
    <row r="253" spans="1:9">
      <c r="A253" t="s">
        <v>938</v>
      </c>
      <c r="B253" t="s">
        <v>10</v>
      </c>
      <c r="C253" t="s">
        <v>939</v>
      </c>
      <c r="D253" t="s">
        <v>796</v>
      </c>
      <c r="E253" t="s">
        <v>796</v>
      </c>
      <c r="F253" t="s">
        <v>28</v>
      </c>
      <c r="G253" t="s">
        <v>940</v>
      </c>
      <c r="H253" t="s">
        <v>30</v>
      </c>
      <c r="I253" t="b">
        <f>COUNTIF(Estadísticas!I:I,'centraldecomunicacion.es'!H253)&gt;0</f>
        <v>0</v>
      </c>
    </row>
    <row r="254" spans="1:9">
      <c r="A254" t="s">
        <v>941</v>
      </c>
      <c r="B254" t="s">
        <v>10</v>
      </c>
      <c r="C254" t="s">
        <v>806</v>
      </c>
      <c r="D254" t="s">
        <v>796</v>
      </c>
      <c r="E254" t="s">
        <v>796</v>
      </c>
      <c r="F254" t="s">
        <v>28</v>
      </c>
      <c r="G254" t="s">
        <v>808</v>
      </c>
      <c r="H254" t="s">
        <v>30</v>
      </c>
      <c r="I254" t="b">
        <f>COUNTIF(Estadísticas!I:I,'centraldecomunicacion.es'!H254)&gt;0</f>
        <v>0</v>
      </c>
    </row>
    <row r="255" spans="1:9">
      <c r="A255" t="s">
        <v>942</v>
      </c>
      <c r="B255" t="s">
        <v>10</v>
      </c>
      <c r="C255" t="s">
        <v>943</v>
      </c>
      <c r="D255" t="s">
        <v>796</v>
      </c>
      <c r="E255" t="s">
        <v>796</v>
      </c>
      <c r="F255" t="s">
        <v>28</v>
      </c>
      <c r="G255" t="s">
        <v>944</v>
      </c>
      <c r="H255" t="s">
        <v>30</v>
      </c>
      <c r="I255" t="b">
        <f>COUNTIF(Estadísticas!I:I,'centraldecomunicacion.es'!H255)&gt;0</f>
        <v>0</v>
      </c>
    </row>
    <row r="256" spans="1:9">
      <c r="A256" t="s">
        <v>945</v>
      </c>
      <c r="B256" t="s">
        <v>10</v>
      </c>
      <c r="C256" t="s">
        <v>831</v>
      </c>
      <c r="D256" t="s">
        <v>796</v>
      </c>
      <c r="E256" t="s">
        <v>796</v>
      </c>
      <c r="F256" t="s">
        <v>28</v>
      </c>
      <c r="G256" t="s">
        <v>946</v>
      </c>
      <c r="H256" t="s">
        <v>30</v>
      </c>
      <c r="I256" t="b">
        <f>COUNTIF(Estadísticas!I:I,'centraldecomunicacion.es'!H256)&gt;0</f>
        <v>0</v>
      </c>
    </row>
    <row r="257" spans="1:9">
      <c r="A257" t="s">
        <v>947</v>
      </c>
      <c r="B257" t="s">
        <v>10</v>
      </c>
      <c r="C257" t="s">
        <v>948</v>
      </c>
      <c r="D257" t="s">
        <v>796</v>
      </c>
      <c r="E257" t="s">
        <v>796</v>
      </c>
      <c r="F257" t="s">
        <v>949</v>
      </c>
      <c r="G257" t="s">
        <v>950</v>
      </c>
      <c r="H257" t="s">
        <v>951</v>
      </c>
      <c r="I257" t="b">
        <f>COUNTIF(Estadísticas!I:I,'centraldecomunicacion.es'!H257)&gt;0</f>
        <v>0</v>
      </c>
    </row>
    <row r="258" spans="1:9">
      <c r="A258" t="s">
        <v>952</v>
      </c>
      <c r="B258" t="s">
        <v>10</v>
      </c>
      <c r="C258" t="s">
        <v>953</v>
      </c>
      <c r="D258" t="s">
        <v>796</v>
      </c>
      <c r="E258" t="s">
        <v>796</v>
      </c>
      <c r="F258" t="s">
        <v>50</v>
      </c>
      <c r="G258" t="s">
        <v>954</v>
      </c>
      <c r="H258" t="s">
        <v>30</v>
      </c>
      <c r="I258" t="b">
        <f>COUNTIF(Estadísticas!I:I,'centraldecomunicacion.es'!H258)&gt;0</f>
        <v>0</v>
      </c>
    </row>
    <row r="259" spans="1:9">
      <c r="A259" t="s">
        <v>955</v>
      </c>
      <c r="B259" t="s">
        <v>10</v>
      </c>
      <c r="C259" t="s">
        <v>28</v>
      </c>
      <c r="D259" t="s">
        <v>956</v>
      </c>
      <c r="E259" t="s">
        <v>28</v>
      </c>
      <c r="F259" t="s">
        <v>38</v>
      </c>
      <c r="G259" t="s">
        <v>957</v>
      </c>
      <c r="H259" t="s">
        <v>30</v>
      </c>
      <c r="I259" t="b">
        <f>COUNTIF(Estadísticas!I:I,'centraldecomunicacion.es'!H259)&gt;0</f>
        <v>0</v>
      </c>
    </row>
    <row r="260" spans="1:9">
      <c r="A260" t="s">
        <v>958</v>
      </c>
      <c r="B260" t="s">
        <v>10</v>
      </c>
      <c r="C260" t="s">
        <v>959</v>
      </c>
      <c r="D260" t="s">
        <v>796</v>
      </c>
      <c r="E260" t="s">
        <v>796</v>
      </c>
      <c r="F260" t="s">
        <v>28</v>
      </c>
      <c r="G260" t="s">
        <v>28</v>
      </c>
      <c r="H260" t="s">
        <v>30</v>
      </c>
      <c r="I260" t="b">
        <f>COUNTIF(Estadísticas!I:I,'centraldecomunicacion.es'!H260)&gt;0</f>
        <v>0</v>
      </c>
    </row>
    <row r="261" spans="1:9">
      <c r="A261" t="s">
        <v>960</v>
      </c>
      <c r="B261" t="s">
        <v>10</v>
      </c>
      <c r="C261" t="s">
        <v>961</v>
      </c>
      <c r="D261" t="s">
        <v>796</v>
      </c>
      <c r="E261" t="s">
        <v>796</v>
      </c>
      <c r="F261" t="s">
        <v>28</v>
      </c>
      <c r="G261" t="s">
        <v>28</v>
      </c>
      <c r="H261" t="s">
        <v>30</v>
      </c>
      <c r="I261" t="b">
        <f>COUNTIF(Estadísticas!I:I,'centraldecomunicacion.es'!H261)&gt;0</f>
        <v>0</v>
      </c>
    </row>
    <row r="262" spans="1:9">
      <c r="A262" t="s">
        <v>962</v>
      </c>
      <c r="B262" t="s">
        <v>10</v>
      </c>
      <c r="C262" t="s">
        <v>963</v>
      </c>
      <c r="D262" t="s">
        <v>796</v>
      </c>
      <c r="E262" t="s">
        <v>796</v>
      </c>
      <c r="F262" t="s">
        <v>964</v>
      </c>
      <c r="G262" t="s">
        <v>965</v>
      </c>
      <c r="H262" t="s">
        <v>966</v>
      </c>
      <c r="I262" t="b">
        <f>COUNTIF(Estadísticas!I:I,'centraldecomunicacion.es'!H262)&gt;0</f>
        <v>1</v>
      </c>
    </row>
    <row r="263" spans="1:9">
      <c r="A263" t="s">
        <v>52</v>
      </c>
      <c r="B263" t="s">
        <v>10</v>
      </c>
      <c r="C263" t="s">
        <v>930</v>
      </c>
      <c r="D263" t="s">
        <v>796</v>
      </c>
      <c r="E263" t="s">
        <v>796</v>
      </c>
      <c r="F263" t="s">
        <v>28</v>
      </c>
      <c r="G263" t="s">
        <v>28</v>
      </c>
      <c r="H263" t="s">
        <v>30</v>
      </c>
      <c r="I263" t="b">
        <f>COUNTIF(Estadísticas!I:I,'centraldecomunicacion.es'!H263)&gt;0</f>
        <v>0</v>
      </c>
    </row>
    <row r="264" spans="1:9">
      <c r="A264" t="s">
        <v>967</v>
      </c>
      <c r="B264" t="s">
        <v>10</v>
      </c>
      <c r="C264" t="s">
        <v>968</v>
      </c>
      <c r="D264" t="s">
        <v>796</v>
      </c>
      <c r="E264" t="s">
        <v>796</v>
      </c>
      <c r="F264" t="s">
        <v>969</v>
      </c>
      <c r="G264" t="s">
        <v>970</v>
      </c>
      <c r="H264" t="s">
        <v>513</v>
      </c>
      <c r="I264" t="b">
        <f>COUNTIF(Estadísticas!I:I,'centraldecomunicacion.es'!H264)&gt;0</f>
        <v>1</v>
      </c>
    </row>
    <row r="265" spans="1:9">
      <c r="A265" t="s">
        <v>971</v>
      </c>
      <c r="B265" t="s">
        <v>10</v>
      </c>
      <c r="C265" t="s">
        <v>930</v>
      </c>
      <c r="D265" t="s">
        <v>796</v>
      </c>
      <c r="E265" t="s">
        <v>796</v>
      </c>
      <c r="F265" t="s">
        <v>28</v>
      </c>
      <c r="G265" t="s">
        <v>28</v>
      </c>
      <c r="H265" t="s">
        <v>30</v>
      </c>
      <c r="I265" t="b">
        <f>COUNTIF(Estadísticas!I:I,'centraldecomunicacion.es'!H265)&gt;0</f>
        <v>0</v>
      </c>
    </row>
    <row r="266" spans="1:9">
      <c r="A266" t="s">
        <v>972</v>
      </c>
      <c r="B266" t="s">
        <v>10</v>
      </c>
      <c r="C266" t="s">
        <v>973</v>
      </c>
      <c r="D266" t="s">
        <v>796</v>
      </c>
      <c r="E266" t="s">
        <v>796</v>
      </c>
      <c r="F266" t="s">
        <v>974</v>
      </c>
      <c r="G266" t="s">
        <v>975</v>
      </c>
      <c r="H266" t="s">
        <v>976</v>
      </c>
      <c r="I266" t="b">
        <f>COUNTIF(Estadísticas!I:I,'centraldecomunicacion.es'!H266)&gt;0</f>
        <v>0</v>
      </c>
    </row>
    <row r="267" spans="1:9">
      <c r="A267" t="s">
        <v>977</v>
      </c>
      <c r="B267" t="s">
        <v>10</v>
      </c>
      <c r="C267" t="s">
        <v>978</v>
      </c>
      <c r="D267" t="s">
        <v>796</v>
      </c>
      <c r="E267" t="s">
        <v>796</v>
      </c>
      <c r="F267" t="s">
        <v>969</v>
      </c>
      <c r="G267" t="s">
        <v>979</v>
      </c>
      <c r="H267" t="s">
        <v>513</v>
      </c>
      <c r="I267" t="b">
        <f>COUNTIF(Estadísticas!I:I,'centraldecomunicacion.es'!H267)&gt;0</f>
        <v>1</v>
      </c>
    </row>
    <row r="268" spans="1:9">
      <c r="A268" t="s">
        <v>980</v>
      </c>
      <c r="B268" t="s">
        <v>10</v>
      </c>
      <c r="C268" t="s">
        <v>981</v>
      </c>
      <c r="D268" t="s">
        <v>982</v>
      </c>
      <c r="E268" t="s">
        <v>796</v>
      </c>
      <c r="F268" t="s">
        <v>983</v>
      </c>
      <c r="G268" t="s">
        <v>984</v>
      </c>
      <c r="H268" t="s">
        <v>985</v>
      </c>
      <c r="I268" t="b">
        <f>COUNTIF(Estadísticas!I:I,'centraldecomunicacion.es'!H268)&gt;0</f>
        <v>0</v>
      </c>
    </row>
    <row r="269" spans="1:9">
      <c r="A269" t="s">
        <v>986</v>
      </c>
      <c r="B269" t="s">
        <v>10</v>
      </c>
      <c r="C269" t="s">
        <v>987</v>
      </c>
      <c r="D269" t="s">
        <v>796</v>
      </c>
      <c r="E269" t="s">
        <v>796</v>
      </c>
      <c r="F269" t="s">
        <v>988</v>
      </c>
      <c r="G269" t="s">
        <v>989</v>
      </c>
      <c r="H269" t="s">
        <v>990</v>
      </c>
      <c r="I269" t="b">
        <f>COUNTIF(Estadísticas!I:I,'centraldecomunicacion.es'!H269)&gt;0</f>
        <v>0</v>
      </c>
    </row>
    <row r="270" spans="1:9">
      <c r="A270" t="s">
        <v>991</v>
      </c>
      <c r="B270" t="s">
        <v>10</v>
      </c>
      <c r="C270" t="s">
        <v>992</v>
      </c>
      <c r="D270" t="s">
        <v>796</v>
      </c>
      <c r="E270" t="s">
        <v>796</v>
      </c>
      <c r="F270" t="s">
        <v>993</v>
      </c>
      <c r="G270" t="s">
        <v>994</v>
      </c>
      <c r="H270" t="s">
        <v>995</v>
      </c>
      <c r="I270" t="b">
        <f>COUNTIF(Estadísticas!I:I,'centraldecomunicacion.es'!H270)&gt;0</f>
        <v>0</v>
      </c>
    </row>
    <row r="271" spans="1:9">
      <c r="A271" t="s">
        <v>996</v>
      </c>
      <c r="B271" t="s">
        <v>10</v>
      </c>
      <c r="C271" t="s">
        <v>997</v>
      </c>
      <c r="D271" t="s">
        <v>956</v>
      </c>
      <c r="E271" t="s">
        <v>796</v>
      </c>
      <c r="F271" t="s">
        <v>28</v>
      </c>
      <c r="G271" t="s">
        <v>28</v>
      </c>
      <c r="H271" t="s">
        <v>30</v>
      </c>
      <c r="I271" t="b">
        <f>COUNTIF(Estadísticas!I:I,'centraldecomunicacion.es'!H271)&gt;0</f>
        <v>0</v>
      </c>
    </row>
    <row r="272" spans="1:9">
      <c r="A272" t="s">
        <v>998</v>
      </c>
      <c r="B272" t="s">
        <v>10</v>
      </c>
      <c r="C272" t="s">
        <v>999</v>
      </c>
      <c r="D272" t="s">
        <v>1000</v>
      </c>
      <c r="E272" t="s">
        <v>1000</v>
      </c>
      <c r="F272" t="s">
        <v>28</v>
      </c>
      <c r="G272" t="s">
        <v>1001</v>
      </c>
      <c r="H272" t="s">
        <v>30</v>
      </c>
      <c r="I272" t="b">
        <f>COUNTIF(Estadísticas!I:I,'centraldecomunicacion.es'!H272)&gt;0</f>
        <v>0</v>
      </c>
    </row>
    <row r="273" spans="1:9">
      <c r="A273" t="s">
        <v>1002</v>
      </c>
      <c r="B273" t="s">
        <v>10</v>
      </c>
      <c r="C273" t="s">
        <v>1003</v>
      </c>
      <c r="D273" t="s">
        <v>796</v>
      </c>
      <c r="E273" t="s">
        <v>796</v>
      </c>
      <c r="F273" t="s">
        <v>28</v>
      </c>
      <c r="G273" t="s">
        <v>1004</v>
      </c>
      <c r="H273" t="s">
        <v>30</v>
      </c>
      <c r="I273" t="b">
        <f>COUNTIF(Estadísticas!I:I,'centraldecomunicacion.es'!H273)&gt;0</f>
        <v>0</v>
      </c>
    </row>
    <row r="274" spans="1:9">
      <c r="A274" t="s">
        <v>1005</v>
      </c>
      <c r="B274" t="s">
        <v>10</v>
      </c>
      <c r="C274" t="s">
        <v>1006</v>
      </c>
      <c r="D274" t="s">
        <v>1007</v>
      </c>
      <c r="E274" t="s">
        <v>796</v>
      </c>
      <c r="F274" t="s">
        <v>1008</v>
      </c>
      <c r="G274" t="s">
        <v>1009</v>
      </c>
      <c r="H274" t="s">
        <v>30</v>
      </c>
      <c r="I274" t="b">
        <f>COUNTIF(Estadísticas!I:I,'centraldecomunicacion.es'!H274)&gt;0</f>
        <v>0</v>
      </c>
    </row>
    <row r="275" spans="1:9">
      <c r="A275" t="s">
        <v>1010</v>
      </c>
      <c r="B275" t="s">
        <v>10</v>
      </c>
      <c r="C275" t="s">
        <v>1011</v>
      </c>
      <c r="D275" t="s">
        <v>1012</v>
      </c>
      <c r="E275" t="s">
        <v>796</v>
      </c>
      <c r="F275" t="s">
        <v>1013</v>
      </c>
      <c r="G275" t="s">
        <v>1014</v>
      </c>
      <c r="H275" t="s">
        <v>30</v>
      </c>
      <c r="I275" t="b">
        <f>COUNTIF(Estadísticas!I:I,'centraldecomunicacion.es'!H275)&gt;0</f>
        <v>0</v>
      </c>
    </row>
    <row r="276" spans="1:9">
      <c r="A276" t="s">
        <v>1015</v>
      </c>
      <c r="B276" t="s">
        <v>10</v>
      </c>
      <c r="C276" t="s">
        <v>1016</v>
      </c>
      <c r="D276" t="s">
        <v>1007</v>
      </c>
      <c r="E276" t="s">
        <v>796</v>
      </c>
      <c r="F276" t="s">
        <v>28</v>
      </c>
      <c r="G276" t="s">
        <v>1017</v>
      </c>
      <c r="H276" t="s">
        <v>30</v>
      </c>
      <c r="I276" t="b">
        <f>COUNTIF(Estadísticas!I:I,'centraldecomunicacion.es'!H276)&gt;0</f>
        <v>0</v>
      </c>
    </row>
    <row r="277" spans="1:9">
      <c r="A277" t="s">
        <v>1018</v>
      </c>
      <c r="B277" t="s">
        <v>10</v>
      </c>
      <c r="C277" t="s">
        <v>1019</v>
      </c>
      <c r="D277" t="s">
        <v>1020</v>
      </c>
      <c r="E277" t="s">
        <v>796</v>
      </c>
      <c r="F277" t="s">
        <v>1021</v>
      </c>
      <c r="G277" t="s">
        <v>1022</v>
      </c>
      <c r="H277" t="s">
        <v>30</v>
      </c>
      <c r="I277" t="b">
        <f>COUNTIF(Estadísticas!I:I,'centraldecomunicacion.es'!H277)&gt;0</f>
        <v>0</v>
      </c>
    </row>
    <row r="278" spans="1:9">
      <c r="A278" t="s">
        <v>1023</v>
      </c>
      <c r="B278" t="s">
        <v>10</v>
      </c>
      <c r="C278" t="s">
        <v>1024</v>
      </c>
      <c r="D278" t="s">
        <v>956</v>
      </c>
      <c r="E278" t="s">
        <v>796</v>
      </c>
      <c r="F278" t="s">
        <v>28</v>
      </c>
      <c r="G278" t="s">
        <v>1025</v>
      </c>
      <c r="H278" t="s">
        <v>30</v>
      </c>
      <c r="I278" t="b">
        <f>COUNTIF(Estadísticas!I:I,'centraldecomunicacion.es'!H278)&gt;0</f>
        <v>0</v>
      </c>
    </row>
    <row r="279" spans="1:9">
      <c r="A279" t="s">
        <v>1026</v>
      </c>
      <c r="B279" t="s">
        <v>10</v>
      </c>
      <c r="C279" t="s">
        <v>1027</v>
      </c>
      <c r="D279" t="s">
        <v>1028</v>
      </c>
      <c r="E279" t="s">
        <v>796</v>
      </c>
      <c r="F279" t="s">
        <v>28</v>
      </c>
      <c r="G279" t="s">
        <v>1029</v>
      </c>
      <c r="H279" t="s">
        <v>30</v>
      </c>
      <c r="I279" t="b">
        <f>COUNTIF(Estadísticas!I:I,'centraldecomunicacion.es'!H279)&gt;0</f>
        <v>0</v>
      </c>
    </row>
    <row r="280" spans="1:9">
      <c r="A280" t="s">
        <v>1030</v>
      </c>
      <c r="B280" t="s">
        <v>10</v>
      </c>
      <c r="C280" t="s">
        <v>1031</v>
      </c>
      <c r="D280" t="s">
        <v>1032</v>
      </c>
      <c r="E280" t="s">
        <v>796</v>
      </c>
      <c r="F280" t="s">
        <v>38</v>
      </c>
      <c r="G280" t="s">
        <v>1033</v>
      </c>
      <c r="H280" t="s">
        <v>30</v>
      </c>
      <c r="I280" t="b">
        <f>COUNTIF(Estadísticas!I:I,'centraldecomunicacion.es'!H280)&gt;0</f>
        <v>0</v>
      </c>
    </row>
    <row r="281" spans="1:9">
      <c r="A281" t="s">
        <v>1034</v>
      </c>
      <c r="B281" t="s">
        <v>10</v>
      </c>
      <c r="C281" t="s">
        <v>1035</v>
      </c>
      <c r="D281" t="s">
        <v>1028</v>
      </c>
      <c r="E281" t="s">
        <v>796</v>
      </c>
      <c r="F281" t="s">
        <v>28</v>
      </c>
      <c r="G281" t="s">
        <v>1036</v>
      </c>
      <c r="H281" t="s">
        <v>30</v>
      </c>
      <c r="I281" t="b">
        <f>COUNTIF(Estadísticas!I:I,'centraldecomunicacion.es'!H281)&gt;0</f>
        <v>0</v>
      </c>
    </row>
    <row r="282" spans="1:9">
      <c r="A282" t="s">
        <v>1037</v>
      </c>
      <c r="B282" t="s">
        <v>10</v>
      </c>
      <c r="C282" t="s">
        <v>1038</v>
      </c>
      <c r="D282" t="s">
        <v>1039</v>
      </c>
      <c r="E282" t="s">
        <v>796</v>
      </c>
      <c r="F282" t="s">
        <v>28</v>
      </c>
      <c r="G282" t="s">
        <v>1040</v>
      </c>
      <c r="H282" t="s">
        <v>30</v>
      </c>
      <c r="I282" t="b">
        <f>COUNTIF(Estadísticas!I:I,'centraldecomunicacion.es'!H282)&gt;0</f>
        <v>0</v>
      </c>
    </row>
    <row r="283" spans="1:9">
      <c r="A283" t="s">
        <v>1041</v>
      </c>
      <c r="B283" t="s">
        <v>10</v>
      </c>
      <c r="C283" t="s">
        <v>1042</v>
      </c>
      <c r="D283" t="s">
        <v>1043</v>
      </c>
      <c r="E283" t="s">
        <v>796</v>
      </c>
      <c r="F283" t="s">
        <v>28</v>
      </c>
      <c r="G283" t="s">
        <v>1044</v>
      </c>
      <c r="H283" t="s">
        <v>30</v>
      </c>
      <c r="I283" t="b">
        <f>COUNTIF(Estadísticas!I:I,'centraldecomunicacion.es'!H283)&gt;0</f>
        <v>0</v>
      </c>
    </row>
    <row r="284" spans="1:9">
      <c r="A284" t="s">
        <v>1045</v>
      </c>
      <c r="B284" t="s">
        <v>10</v>
      </c>
      <c r="C284" t="s">
        <v>1046</v>
      </c>
      <c r="D284" t="s">
        <v>1047</v>
      </c>
      <c r="E284" t="s">
        <v>796</v>
      </c>
      <c r="F284" t="s">
        <v>1048</v>
      </c>
      <c r="G284" t="s">
        <v>1049</v>
      </c>
      <c r="H284" t="s">
        <v>30</v>
      </c>
      <c r="I284" t="b">
        <f>COUNTIF(Estadísticas!I:I,'centraldecomunicacion.es'!H284)&gt;0</f>
        <v>0</v>
      </c>
    </row>
    <row r="285" spans="1:9">
      <c r="A285" t="s">
        <v>1050</v>
      </c>
      <c r="B285" t="s">
        <v>10</v>
      </c>
      <c r="C285" t="s">
        <v>1051</v>
      </c>
      <c r="D285" t="s">
        <v>1052</v>
      </c>
      <c r="E285" t="s">
        <v>796</v>
      </c>
      <c r="F285" t="s">
        <v>28</v>
      </c>
      <c r="G285" t="s">
        <v>28</v>
      </c>
      <c r="H285" t="s">
        <v>30</v>
      </c>
      <c r="I285" t="b">
        <f>COUNTIF(Estadísticas!I:I,'centraldecomunicacion.es'!H285)&gt;0</f>
        <v>0</v>
      </c>
    </row>
    <row r="286" spans="1:9">
      <c r="A286" t="s">
        <v>1053</v>
      </c>
      <c r="B286" t="s">
        <v>10</v>
      </c>
      <c r="C286" t="s">
        <v>1054</v>
      </c>
      <c r="D286" t="s">
        <v>1055</v>
      </c>
      <c r="E286" t="s">
        <v>796</v>
      </c>
      <c r="F286" t="s">
        <v>28</v>
      </c>
      <c r="G286" t="s">
        <v>1056</v>
      </c>
      <c r="H286" t="s">
        <v>30</v>
      </c>
      <c r="I286" t="b">
        <f>COUNTIF(Estadísticas!I:I,'centraldecomunicacion.es'!H286)&gt;0</f>
        <v>0</v>
      </c>
    </row>
    <row r="287" spans="1:9">
      <c r="A287" t="s">
        <v>1057</v>
      </c>
      <c r="B287" t="s">
        <v>10</v>
      </c>
      <c r="C287" t="s">
        <v>1058</v>
      </c>
      <c r="D287" t="s">
        <v>1059</v>
      </c>
      <c r="E287" t="s">
        <v>796</v>
      </c>
      <c r="F287" t="s">
        <v>50</v>
      </c>
      <c r="G287" t="s">
        <v>1060</v>
      </c>
      <c r="H287" t="s">
        <v>30</v>
      </c>
      <c r="I287" t="b">
        <f>COUNTIF(Estadísticas!I:I,'centraldecomunicacion.es'!H287)&gt;0</f>
        <v>0</v>
      </c>
    </row>
    <row r="288" spans="1:9">
      <c r="A288" t="s">
        <v>1045</v>
      </c>
      <c r="B288" t="s">
        <v>10</v>
      </c>
      <c r="C288" t="s">
        <v>1061</v>
      </c>
      <c r="D288" t="s">
        <v>1047</v>
      </c>
      <c r="E288" t="s">
        <v>796</v>
      </c>
      <c r="F288" t="s">
        <v>28</v>
      </c>
      <c r="G288" t="s">
        <v>28</v>
      </c>
      <c r="H288" t="s">
        <v>30</v>
      </c>
      <c r="I288" t="b">
        <f>COUNTIF(Estadísticas!I:I,'centraldecomunicacion.es'!H288)&gt;0</f>
        <v>0</v>
      </c>
    </row>
    <row r="289" spans="1:9">
      <c r="A289" t="s">
        <v>1062</v>
      </c>
      <c r="B289" t="s">
        <v>10</v>
      </c>
      <c r="C289" t="s">
        <v>1063</v>
      </c>
      <c r="D289" t="s">
        <v>1047</v>
      </c>
      <c r="E289" t="s">
        <v>796</v>
      </c>
      <c r="F289" t="s">
        <v>863</v>
      </c>
      <c r="G289" t="s">
        <v>1064</v>
      </c>
      <c r="H289" t="s">
        <v>30</v>
      </c>
      <c r="I289" t="b">
        <f>COUNTIF(Estadísticas!I:I,'centraldecomunicacion.es'!H289)&gt;0</f>
        <v>0</v>
      </c>
    </row>
    <row r="290" spans="1:9">
      <c r="A290" t="s">
        <v>1065</v>
      </c>
      <c r="B290" t="s">
        <v>10</v>
      </c>
      <c r="C290" t="s">
        <v>1066</v>
      </c>
      <c r="D290" t="s">
        <v>1055</v>
      </c>
      <c r="E290" t="s">
        <v>796</v>
      </c>
      <c r="F290" t="s">
        <v>28</v>
      </c>
      <c r="G290" t="s">
        <v>1067</v>
      </c>
      <c r="H290" t="s">
        <v>30</v>
      </c>
      <c r="I290" t="b">
        <f>COUNTIF(Estadísticas!I:I,'centraldecomunicacion.es'!H290)&gt;0</f>
        <v>0</v>
      </c>
    </row>
    <row r="291" spans="1:9">
      <c r="A291" t="s">
        <v>1068</v>
      </c>
      <c r="B291" t="s">
        <v>10</v>
      </c>
      <c r="C291" t="s">
        <v>1069</v>
      </c>
      <c r="D291" t="s">
        <v>956</v>
      </c>
      <c r="E291" t="s">
        <v>796</v>
      </c>
      <c r="F291" t="s">
        <v>28</v>
      </c>
      <c r="G291" t="s">
        <v>1070</v>
      </c>
      <c r="H291" t="s">
        <v>30</v>
      </c>
      <c r="I291" t="b">
        <f>COUNTIF(Estadísticas!I:I,'centraldecomunicacion.es'!H291)&gt;0</f>
        <v>0</v>
      </c>
    </row>
    <row r="292" spans="1:9">
      <c r="A292" t="s">
        <v>1071</v>
      </c>
      <c r="B292" t="s">
        <v>10</v>
      </c>
      <c r="C292" t="s">
        <v>1072</v>
      </c>
      <c r="D292" t="s">
        <v>1073</v>
      </c>
      <c r="E292" t="s">
        <v>796</v>
      </c>
      <c r="F292" t="s">
        <v>28</v>
      </c>
      <c r="G292" t="s">
        <v>1074</v>
      </c>
      <c r="H292" t="s">
        <v>30</v>
      </c>
      <c r="I292" t="b">
        <f>COUNTIF(Estadísticas!I:I,'centraldecomunicacion.es'!H292)&gt;0</f>
        <v>0</v>
      </c>
    </row>
    <row r="293" spans="1:9">
      <c r="A293" t="s">
        <v>1075</v>
      </c>
      <c r="B293" t="s">
        <v>10</v>
      </c>
      <c r="C293" t="s">
        <v>1076</v>
      </c>
      <c r="D293" t="s">
        <v>1073</v>
      </c>
      <c r="E293" t="s">
        <v>796</v>
      </c>
      <c r="F293" t="s">
        <v>28</v>
      </c>
      <c r="G293" t="s">
        <v>1077</v>
      </c>
      <c r="H293" t="s">
        <v>30</v>
      </c>
      <c r="I293" t="b">
        <f>COUNTIF(Estadísticas!I:I,'centraldecomunicacion.es'!H293)&gt;0</f>
        <v>0</v>
      </c>
    </row>
    <row r="294" spans="1:9">
      <c r="A294" t="s">
        <v>1078</v>
      </c>
      <c r="B294" t="s">
        <v>10</v>
      </c>
      <c r="C294" t="s">
        <v>1079</v>
      </c>
      <c r="D294" t="s">
        <v>1080</v>
      </c>
      <c r="E294" t="s">
        <v>796</v>
      </c>
      <c r="F294" t="s">
        <v>28</v>
      </c>
      <c r="G294" t="s">
        <v>1081</v>
      </c>
      <c r="H294" t="s">
        <v>30</v>
      </c>
      <c r="I294" t="b">
        <f>COUNTIF(Estadísticas!I:I,'centraldecomunicacion.es'!H294)&gt;0</f>
        <v>0</v>
      </c>
    </row>
    <row r="295" spans="1:9">
      <c r="A295" t="s">
        <v>1082</v>
      </c>
      <c r="B295" t="s">
        <v>10</v>
      </c>
      <c r="C295" t="s">
        <v>1083</v>
      </c>
      <c r="D295" t="s">
        <v>1073</v>
      </c>
      <c r="E295" t="s">
        <v>796</v>
      </c>
      <c r="F295" t="s">
        <v>28</v>
      </c>
      <c r="G295" t="s">
        <v>1084</v>
      </c>
      <c r="H295" t="s">
        <v>30</v>
      </c>
      <c r="I295" t="b">
        <f>COUNTIF(Estadísticas!I:I,'centraldecomunicacion.es'!H295)&gt;0</f>
        <v>0</v>
      </c>
    </row>
    <row r="296" spans="1:9">
      <c r="A296" t="s">
        <v>1085</v>
      </c>
      <c r="B296" t="s">
        <v>10</v>
      </c>
      <c r="C296" t="s">
        <v>1086</v>
      </c>
      <c r="D296" t="s">
        <v>1052</v>
      </c>
      <c r="E296" t="s">
        <v>796</v>
      </c>
      <c r="F296" t="s">
        <v>28</v>
      </c>
      <c r="G296" t="s">
        <v>28</v>
      </c>
      <c r="H296" t="s">
        <v>30</v>
      </c>
      <c r="I296" t="b">
        <f>COUNTIF(Estadísticas!I:I,'centraldecomunicacion.es'!H296)&gt;0</f>
        <v>0</v>
      </c>
    </row>
    <row r="297" spans="1:9">
      <c r="A297" t="s">
        <v>1087</v>
      </c>
      <c r="B297" t="s">
        <v>219</v>
      </c>
      <c r="C297" t="s">
        <v>1088</v>
      </c>
      <c r="D297" t="s">
        <v>796</v>
      </c>
      <c r="E297" t="s">
        <v>796</v>
      </c>
      <c r="F297" t="s">
        <v>28</v>
      </c>
      <c r="G297" t="s">
        <v>28</v>
      </c>
      <c r="H297" t="s">
        <v>30</v>
      </c>
      <c r="I297" t="b">
        <f>COUNTIF(Estadísticas!I:I,'centraldecomunicacion.es'!H297)&gt;0</f>
        <v>0</v>
      </c>
    </row>
    <row r="298" spans="1:9">
      <c r="A298" t="s">
        <v>1089</v>
      </c>
      <c r="B298" t="s">
        <v>10</v>
      </c>
      <c r="C298" t="s">
        <v>1090</v>
      </c>
      <c r="D298" t="s">
        <v>1047</v>
      </c>
      <c r="E298" t="s">
        <v>796</v>
      </c>
      <c r="F298" t="s">
        <v>28</v>
      </c>
      <c r="G298" t="s">
        <v>1091</v>
      </c>
      <c r="H298" t="s">
        <v>30</v>
      </c>
      <c r="I298" t="b">
        <f>COUNTIF(Estadísticas!I:I,'centraldecomunicacion.es'!H298)&gt;0</f>
        <v>0</v>
      </c>
    </row>
    <row r="299" spans="1:9">
      <c r="A299" t="s">
        <v>1092</v>
      </c>
      <c r="B299" t="s">
        <v>10</v>
      </c>
      <c r="C299" t="s">
        <v>1093</v>
      </c>
      <c r="D299" t="s">
        <v>1094</v>
      </c>
      <c r="E299" t="s">
        <v>796</v>
      </c>
      <c r="F299" t="s">
        <v>1095</v>
      </c>
      <c r="G299" t="s">
        <v>1096</v>
      </c>
      <c r="H299" t="s">
        <v>30</v>
      </c>
      <c r="I299" t="b">
        <f>COUNTIF(Estadísticas!I:I,'centraldecomunicacion.es'!H299)&gt;0</f>
        <v>0</v>
      </c>
    </row>
    <row r="300" spans="1:9">
      <c r="A300" t="s">
        <v>1097</v>
      </c>
      <c r="B300" t="s">
        <v>10</v>
      </c>
      <c r="C300" t="s">
        <v>1098</v>
      </c>
      <c r="D300" t="s">
        <v>956</v>
      </c>
      <c r="E300" t="s">
        <v>796</v>
      </c>
      <c r="F300" t="s">
        <v>28</v>
      </c>
      <c r="G300" t="s">
        <v>28</v>
      </c>
      <c r="H300" t="s">
        <v>30</v>
      </c>
      <c r="I300" t="b">
        <f>COUNTIF(Estadísticas!I:I,'centraldecomunicacion.es'!H300)&gt;0</f>
        <v>0</v>
      </c>
    </row>
    <row r="301" spans="1:9">
      <c r="A301" t="s">
        <v>1099</v>
      </c>
      <c r="B301" t="s">
        <v>10</v>
      </c>
      <c r="C301" t="s">
        <v>1100</v>
      </c>
      <c r="D301" t="s">
        <v>1101</v>
      </c>
      <c r="E301" t="s">
        <v>796</v>
      </c>
      <c r="F301" t="s">
        <v>28</v>
      </c>
      <c r="G301" t="s">
        <v>1102</v>
      </c>
      <c r="H301" t="s">
        <v>30</v>
      </c>
      <c r="I301" t="b">
        <f>COUNTIF(Estadísticas!I:I,'centraldecomunicacion.es'!H301)&gt;0</f>
        <v>0</v>
      </c>
    </row>
    <row r="302" spans="1:9">
      <c r="A302" t="s">
        <v>1103</v>
      </c>
      <c r="B302" t="s">
        <v>10</v>
      </c>
      <c r="C302" t="s">
        <v>1104</v>
      </c>
      <c r="D302" t="s">
        <v>1105</v>
      </c>
      <c r="E302" t="s">
        <v>796</v>
      </c>
      <c r="F302" t="s">
        <v>28</v>
      </c>
      <c r="G302" t="s">
        <v>1106</v>
      </c>
      <c r="H302" t="s">
        <v>30</v>
      </c>
      <c r="I302" t="b">
        <f>COUNTIF(Estadísticas!I:I,'centraldecomunicacion.es'!H302)&gt;0</f>
        <v>0</v>
      </c>
    </row>
    <row r="303" spans="1:9">
      <c r="A303" t="s">
        <v>1107</v>
      </c>
      <c r="B303" t="s">
        <v>10</v>
      </c>
      <c r="C303" t="s">
        <v>1108</v>
      </c>
      <c r="D303" t="s">
        <v>1109</v>
      </c>
      <c r="E303" t="s">
        <v>796</v>
      </c>
      <c r="F303" t="s">
        <v>1110</v>
      </c>
      <c r="G303" t="s">
        <v>1111</v>
      </c>
      <c r="H303" t="s">
        <v>1112</v>
      </c>
      <c r="I303" t="b">
        <f>COUNTIF(Estadísticas!I:I,'centraldecomunicacion.es'!H303)&gt;0</f>
        <v>1</v>
      </c>
    </row>
    <row r="304" spans="1:9">
      <c r="A304" t="s">
        <v>1113</v>
      </c>
      <c r="B304" t="s">
        <v>10</v>
      </c>
      <c r="C304" t="s">
        <v>1114</v>
      </c>
      <c r="D304" t="s">
        <v>1105</v>
      </c>
      <c r="E304" t="s">
        <v>796</v>
      </c>
      <c r="F304" t="s">
        <v>1115</v>
      </c>
      <c r="G304" t="s">
        <v>1116</v>
      </c>
      <c r="H304" t="s">
        <v>30</v>
      </c>
      <c r="I304" t="b">
        <f>COUNTIF(Estadísticas!I:I,'centraldecomunicacion.es'!H304)&gt;0</f>
        <v>0</v>
      </c>
    </row>
    <row r="305" spans="1:9">
      <c r="A305" t="s">
        <v>1117</v>
      </c>
      <c r="B305" t="s">
        <v>10</v>
      </c>
      <c r="C305" t="s">
        <v>1118</v>
      </c>
      <c r="D305" t="s">
        <v>1080</v>
      </c>
      <c r="E305" t="s">
        <v>796</v>
      </c>
      <c r="F305" t="s">
        <v>28</v>
      </c>
      <c r="G305" t="s">
        <v>1119</v>
      </c>
      <c r="H305" t="s">
        <v>30</v>
      </c>
      <c r="I305" t="b">
        <f>COUNTIF(Estadísticas!I:I,'centraldecomunicacion.es'!H305)&gt;0</f>
        <v>0</v>
      </c>
    </row>
    <row r="306" spans="1:9">
      <c r="A306" t="s">
        <v>1120</v>
      </c>
      <c r="B306" t="s">
        <v>10</v>
      </c>
      <c r="C306" t="s">
        <v>1121</v>
      </c>
      <c r="D306" t="s">
        <v>1052</v>
      </c>
      <c r="E306" t="s">
        <v>796</v>
      </c>
      <c r="F306" t="s">
        <v>28</v>
      </c>
      <c r="G306" t="s">
        <v>1122</v>
      </c>
      <c r="H306" t="s">
        <v>30</v>
      </c>
      <c r="I306" t="b">
        <f>COUNTIF(Estadísticas!I:I,'centraldecomunicacion.es'!H306)&gt;0</f>
        <v>0</v>
      </c>
    </row>
    <row r="307" spans="1:9">
      <c r="A307" t="s">
        <v>1123</v>
      </c>
      <c r="B307" t="s">
        <v>10</v>
      </c>
      <c r="C307" t="s">
        <v>1124</v>
      </c>
      <c r="D307" t="s">
        <v>1125</v>
      </c>
      <c r="E307" t="s">
        <v>796</v>
      </c>
      <c r="F307" t="s">
        <v>1126</v>
      </c>
      <c r="G307" t="s">
        <v>1127</v>
      </c>
      <c r="H307" t="s">
        <v>1128</v>
      </c>
      <c r="I307" t="b">
        <f>COUNTIF(Estadísticas!I:I,'centraldecomunicacion.es'!H307)&gt;0</f>
        <v>1</v>
      </c>
    </row>
    <row r="308" spans="1:9">
      <c r="A308" t="s">
        <v>1129</v>
      </c>
      <c r="B308" t="s">
        <v>10</v>
      </c>
      <c r="C308" t="s">
        <v>1130</v>
      </c>
      <c r="D308" t="s">
        <v>1131</v>
      </c>
      <c r="E308" t="s">
        <v>796</v>
      </c>
      <c r="F308" t="s">
        <v>1132</v>
      </c>
      <c r="G308" t="s">
        <v>1133</v>
      </c>
      <c r="H308" t="s">
        <v>30</v>
      </c>
      <c r="I308" t="b">
        <f>COUNTIF(Estadísticas!I:I,'centraldecomunicacion.es'!H308)&gt;0</f>
        <v>0</v>
      </c>
    </row>
    <row r="309" spans="1:9">
      <c r="A309" t="s">
        <v>1134</v>
      </c>
      <c r="B309" t="s">
        <v>10</v>
      </c>
      <c r="C309" t="s">
        <v>1135</v>
      </c>
      <c r="D309" t="s">
        <v>1125</v>
      </c>
      <c r="E309" t="s">
        <v>796</v>
      </c>
      <c r="F309" t="s">
        <v>28</v>
      </c>
      <c r="G309" t="s">
        <v>28</v>
      </c>
      <c r="H309" t="s">
        <v>30</v>
      </c>
      <c r="I309" t="b">
        <f>COUNTIF(Estadísticas!I:I,'centraldecomunicacion.es'!H309)&gt;0</f>
        <v>0</v>
      </c>
    </row>
    <row r="310" spans="1:9">
      <c r="A310" t="s">
        <v>1136</v>
      </c>
      <c r="B310" t="s">
        <v>10</v>
      </c>
      <c r="C310" t="s">
        <v>1137</v>
      </c>
      <c r="D310" t="s">
        <v>1125</v>
      </c>
      <c r="E310" t="s">
        <v>796</v>
      </c>
      <c r="F310" t="s">
        <v>1138</v>
      </c>
      <c r="G310" t="s">
        <v>1139</v>
      </c>
      <c r="H310" t="s">
        <v>1140</v>
      </c>
      <c r="I310" t="b">
        <f>COUNTIF(Estadísticas!I:I,'centraldecomunicacion.es'!H310)&gt;0</f>
        <v>0</v>
      </c>
    </row>
    <row r="311" spans="1:9">
      <c r="A311" t="s">
        <v>1141</v>
      </c>
      <c r="B311" t="s">
        <v>10</v>
      </c>
      <c r="C311" t="s">
        <v>1142</v>
      </c>
      <c r="D311" t="s">
        <v>1143</v>
      </c>
      <c r="E311" t="s">
        <v>796</v>
      </c>
      <c r="F311" t="s">
        <v>28</v>
      </c>
      <c r="G311" t="s">
        <v>1144</v>
      </c>
      <c r="H311" t="s">
        <v>30</v>
      </c>
      <c r="I311" t="b">
        <f>COUNTIF(Estadísticas!I:I,'centraldecomunicacion.es'!H311)&gt;0</f>
        <v>0</v>
      </c>
    </row>
    <row r="312" spans="1:9">
      <c r="A312" t="s">
        <v>1145</v>
      </c>
      <c r="B312" t="s">
        <v>10</v>
      </c>
      <c r="C312" t="s">
        <v>1146</v>
      </c>
      <c r="D312" t="s">
        <v>1131</v>
      </c>
      <c r="E312" t="s">
        <v>796</v>
      </c>
      <c r="F312" t="s">
        <v>1147</v>
      </c>
      <c r="G312" t="s">
        <v>1148</v>
      </c>
      <c r="H312" t="s">
        <v>1149</v>
      </c>
      <c r="I312" t="b">
        <f>COUNTIF(Estadísticas!I:I,'centraldecomunicacion.es'!H312)&gt;0</f>
        <v>1</v>
      </c>
    </row>
    <row r="313" spans="1:9">
      <c r="A313" t="s">
        <v>1150</v>
      </c>
      <c r="B313" t="s">
        <v>10</v>
      </c>
      <c r="C313" t="s">
        <v>1151</v>
      </c>
      <c r="D313" t="s">
        <v>1152</v>
      </c>
      <c r="E313" t="s">
        <v>796</v>
      </c>
      <c r="F313" t="s">
        <v>28</v>
      </c>
      <c r="G313" t="s">
        <v>1153</v>
      </c>
      <c r="H313" t="s">
        <v>30</v>
      </c>
      <c r="I313" t="b">
        <f>COUNTIF(Estadísticas!I:I,'centraldecomunicacion.es'!H313)&gt;0</f>
        <v>0</v>
      </c>
    </row>
    <row r="314" spans="1:9">
      <c r="A314" t="s">
        <v>1154</v>
      </c>
      <c r="B314" t="s">
        <v>10</v>
      </c>
      <c r="C314" t="s">
        <v>1155</v>
      </c>
      <c r="D314" t="s">
        <v>1073</v>
      </c>
      <c r="E314" t="s">
        <v>796</v>
      </c>
      <c r="F314" t="s">
        <v>28</v>
      </c>
      <c r="G314" t="s">
        <v>1156</v>
      </c>
      <c r="H314" t="s">
        <v>30</v>
      </c>
      <c r="I314" t="b">
        <f>COUNTIF(Estadísticas!I:I,'centraldecomunicacion.es'!H314)&gt;0</f>
        <v>0</v>
      </c>
    </row>
    <row r="315" spans="1:9">
      <c r="A315" t="s">
        <v>1157</v>
      </c>
      <c r="B315" t="s">
        <v>10</v>
      </c>
      <c r="C315" t="s">
        <v>1158</v>
      </c>
      <c r="D315" t="s">
        <v>1159</v>
      </c>
      <c r="E315" t="s">
        <v>796</v>
      </c>
      <c r="F315" t="s">
        <v>28</v>
      </c>
      <c r="G315" t="s">
        <v>1160</v>
      </c>
      <c r="H315" t="s">
        <v>30</v>
      </c>
      <c r="I315" t="b">
        <f>COUNTIF(Estadísticas!I:I,'centraldecomunicacion.es'!H315)&gt;0</f>
        <v>0</v>
      </c>
    </row>
    <row r="316" spans="1:9">
      <c r="A316" t="s">
        <v>1161</v>
      </c>
      <c r="B316" t="s">
        <v>10</v>
      </c>
      <c r="C316" t="s">
        <v>1162</v>
      </c>
      <c r="D316" t="s">
        <v>1143</v>
      </c>
      <c r="E316" t="s">
        <v>796</v>
      </c>
      <c r="F316" t="s">
        <v>28</v>
      </c>
      <c r="G316" t="s">
        <v>1163</v>
      </c>
      <c r="H316" t="s">
        <v>30</v>
      </c>
      <c r="I316" t="b">
        <f>COUNTIF(Estadísticas!I:I,'centraldecomunicacion.es'!H316)&gt;0</f>
        <v>0</v>
      </c>
    </row>
    <row r="317" spans="1:9">
      <c r="A317" t="s">
        <v>1164</v>
      </c>
      <c r="B317" t="s">
        <v>10</v>
      </c>
      <c r="C317" t="s">
        <v>1165</v>
      </c>
      <c r="D317" t="s">
        <v>1166</v>
      </c>
      <c r="E317" t="s">
        <v>796</v>
      </c>
      <c r="F317" t="s">
        <v>1167</v>
      </c>
      <c r="G317" t="s">
        <v>1168</v>
      </c>
      <c r="H317" t="s">
        <v>1169</v>
      </c>
      <c r="I317" t="b">
        <f>COUNTIF(Estadísticas!I:I,'centraldecomunicacion.es'!H317)&gt;0</f>
        <v>1</v>
      </c>
    </row>
    <row r="318" spans="1:9">
      <c r="A318" t="s">
        <v>1170</v>
      </c>
      <c r="B318" t="s">
        <v>10</v>
      </c>
      <c r="C318" t="s">
        <v>1171</v>
      </c>
      <c r="D318" t="s">
        <v>1172</v>
      </c>
      <c r="E318" t="s">
        <v>796</v>
      </c>
      <c r="F318" t="s">
        <v>28</v>
      </c>
      <c r="G318" t="s">
        <v>1173</v>
      </c>
      <c r="H318" t="s">
        <v>30</v>
      </c>
      <c r="I318" t="b">
        <f>COUNTIF(Estadísticas!I:I,'centraldecomunicacion.es'!H318)&gt;0</f>
        <v>0</v>
      </c>
    </row>
    <row r="319" spans="1:9">
      <c r="A319" t="s">
        <v>1174</v>
      </c>
      <c r="B319" t="s">
        <v>10</v>
      </c>
      <c r="C319" t="s">
        <v>1175</v>
      </c>
      <c r="D319" t="s">
        <v>1176</v>
      </c>
      <c r="E319" t="s">
        <v>796</v>
      </c>
      <c r="F319" t="s">
        <v>1177</v>
      </c>
      <c r="G319" t="s">
        <v>1178</v>
      </c>
      <c r="H319" t="s">
        <v>30</v>
      </c>
      <c r="I319" t="b">
        <f>COUNTIF(Estadísticas!I:I,'centraldecomunicacion.es'!H319)&gt;0</f>
        <v>0</v>
      </c>
    </row>
    <row r="320" spans="1:9">
      <c r="A320" t="s">
        <v>1179</v>
      </c>
      <c r="B320" t="s">
        <v>10</v>
      </c>
      <c r="C320" t="s">
        <v>1180</v>
      </c>
      <c r="D320" t="s">
        <v>1181</v>
      </c>
      <c r="E320" t="s">
        <v>796</v>
      </c>
      <c r="F320" t="s">
        <v>28</v>
      </c>
      <c r="G320" t="s">
        <v>1182</v>
      </c>
      <c r="H320" t="s">
        <v>30</v>
      </c>
      <c r="I320" t="b">
        <f>COUNTIF(Estadísticas!I:I,'centraldecomunicacion.es'!H320)&gt;0</f>
        <v>0</v>
      </c>
    </row>
    <row r="321" spans="1:9">
      <c r="A321" t="s">
        <v>1183</v>
      </c>
      <c r="B321" t="s">
        <v>10</v>
      </c>
      <c r="C321" t="s">
        <v>1184</v>
      </c>
      <c r="D321" t="s">
        <v>1176</v>
      </c>
      <c r="E321" t="s">
        <v>796</v>
      </c>
      <c r="F321" t="s">
        <v>28</v>
      </c>
      <c r="G321" t="s">
        <v>1185</v>
      </c>
      <c r="H321" t="s">
        <v>30</v>
      </c>
      <c r="I321" t="b">
        <f>COUNTIF(Estadísticas!I:I,'centraldecomunicacion.es'!H321)&gt;0</f>
        <v>0</v>
      </c>
    </row>
    <row r="322" spans="1:9">
      <c r="A322" t="s">
        <v>1186</v>
      </c>
      <c r="B322" t="s">
        <v>10</v>
      </c>
      <c r="C322" t="s">
        <v>1187</v>
      </c>
      <c r="D322" t="s">
        <v>1176</v>
      </c>
      <c r="E322" t="s">
        <v>796</v>
      </c>
      <c r="F322" t="s">
        <v>50</v>
      </c>
      <c r="G322" t="s">
        <v>1188</v>
      </c>
      <c r="H322" t="s">
        <v>30</v>
      </c>
      <c r="I322" t="b">
        <f>COUNTIF(Estadísticas!I:I,'centraldecomunicacion.es'!H322)&gt;0</f>
        <v>0</v>
      </c>
    </row>
    <row r="323" spans="1:9">
      <c r="A323" t="s">
        <v>1189</v>
      </c>
      <c r="B323" t="s">
        <v>10</v>
      </c>
      <c r="C323" t="s">
        <v>1190</v>
      </c>
      <c r="D323" t="s">
        <v>1191</v>
      </c>
      <c r="E323" t="s">
        <v>796</v>
      </c>
      <c r="F323" t="s">
        <v>1192</v>
      </c>
      <c r="G323" t="s">
        <v>1193</v>
      </c>
      <c r="H323" t="s">
        <v>1194</v>
      </c>
      <c r="I323" t="b">
        <f>COUNTIF(Estadísticas!I:I,'centraldecomunicacion.es'!H323)&gt;0</f>
        <v>0</v>
      </c>
    </row>
    <row r="324" spans="1:9">
      <c r="A324" t="s">
        <v>1195</v>
      </c>
      <c r="B324" t="s">
        <v>10</v>
      </c>
      <c r="C324" t="s">
        <v>1196</v>
      </c>
      <c r="D324" t="s">
        <v>1197</v>
      </c>
      <c r="E324" t="s">
        <v>796</v>
      </c>
      <c r="F324" t="s">
        <v>28</v>
      </c>
      <c r="G324" t="s">
        <v>1198</v>
      </c>
      <c r="H324" t="s">
        <v>30</v>
      </c>
      <c r="I324" t="b">
        <f>COUNTIF(Estadísticas!I:I,'centraldecomunicacion.es'!H324)&gt;0</f>
        <v>0</v>
      </c>
    </row>
    <row r="325" spans="1:9">
      <c r="A325" t="s">
        <v>1199</v>
      </c>
      <c r="B325" t="s">
        <v>10</v>
      </c>
      <c r="C325" t="s">
        <v>1200</v>
      </c>
      <c r="D325" t="s">
        <v>1191</v>
      </c>
      <c r="E325" t="s">
        <v>796</v>
      </c>
      <c r="F325" t="s">
        <v>28</v>
      </c>
      <c r="G325" t="s">
        <v>1201</v>
      </c>
      <c r="H325" t="s">
        <v>30</v>
      </c>
      <c r="I325" t="b">
        <f>COUNTIF(Estadísticas!I:I,'centraldecomunicacion.es'!H325)&gt;0</f>
        <v>0</v>
      </c>
    </row>
    <row r="326" spans="1:9">
      <c r="A326" t="s">
        <v>1202</v>
      </c>
      <c r="B326" t="s">
        <v>10</v>
      </c>
      <c r="C326" t="s">
        <v>1203</v>
      </c>
      <c r="D326" t="s">
        <v>1172</v>
      </c>
      <c r="E326" t="s">
        <v>796</v>
      </c>
      <c r="F326" t="s">
        <v>28</v>
      </c>
      <c r="G326" t="s">
        <v>1204</v>
      </c>
      <c r="H326" t="s">
        <v>30</v>
      </c>
      <c r="I326" t="b">
        <f>COUNTIF(Estadísticas!I:I,'centraldecomunicacion.es'!H326)&gt;0</f>
        <v>0</v>
      </c>
    </row>
    <row r="327" spans="1:9">
      <c r="A327" t="s">
        <v>1205</v>
      </c>
      <c r="B327" t="s">
        <v>10</v>
      </c>
      <c r="C327" t="s">
        <v>1206</v>
      </c>
      <c r="D327" t="s">
        <v>1047</v>
      </c>
      <c r="E327" t="s">
        <v>796</v>
      </c>
      <c r="F327" t="s">
        <v>1207</v>
      </c>
      <c r="G327" t="s">
        <v>1208</v>
      </c>
      <c r="H327" t="s">
        <v>30</v>
      </c>
      <c r="I327" t="b">
        <f>COUNTIF(Estadísticas!I:I,'centraldecomunicacion.es'!H327)&gt;0</f>
        <v>0</v>
      </c>
    </row>
    <row r="328" spans="1:9">
      <c r="A328" t="s">
        <v>1209</v>
      </c>
      <c r="B328" t="s">
        <v>10</v>
      </c>
      <c r="C328" t="s">
        <v>1210</v>
      </c>
      <c r="D328" t="s">
        <v>373</v>
      </c>
      <c r="E328" t="s">
        <v>373</v>
      </c>
      <c r="F328" t="s">
        <v>1211</v>
      </c>
      <c r="G328" t="s">
        <v>1212</v>
      </c>
      <c r="H328" t="s">
        <v>30</v>
      </c>
      <c r="I328" t="b">
        <f>COUNTIF(Estadísticas!I:I,'centraldecomunicacion.es'!H328)&gt;0</f>
        <v>0</v>
      </c>
    </row>
    <row r="329" spans="1:9">
      <c r="A329" t="s">
        <v>1213</v>
      </c>
      <c r="B329" t="s">
        <v>10</v>
      </c>
      <c r="C329" t="s">
        <v>1214</v>
      </c>
      <c r="D329" t="s">
        <v>373</v>
      </c>
      <c r="E329" t="s">
        <v>373</v>
      </c>
      <c r="F329" t="s">
        <v>1215</v>
      </c>
      <c r="G329" t="s">
        <v>1216</v>
      </c>
      <c r="H329" t="s">
        <v>30</v>
      </c>
      <c r="I329" t="b">
        <f>COUNTIF(Estadísticas!I:I,'centraldecomunicacion.es'!H329)&gt;0</f>
        <v>0</v>
      </c>
    </row>
    <row r="330" spans="1:9">
      <c r="A330" t="s">
        <v>1217</v>
      </c>
      <c r="B330" t="s">
        <v>10</v>
      </c>
      <c r="C330" t="s">
        <v>1218</v>
      </c>
      <c r="D330" t="s">
        <v>373</v>
      </c>
      <c r="E330" t="s">
        <v>373</v>
      </c>
      <c r="F330" t="s">
        <v>1219</v>
      </c>
      <c r="G330" t="s">
        <v>1220</v>
      </c>
      <c r="H330" t="s">
        <v>30</v>
      </c>
      <c r="I330" t="b">
        <f>COUNTIF(Estadísticas!I:I,'centraldecomunicacion.es'!H330)&gt;0</f>
        <v>0</v>
      </c>
    </row>
    <row r="331" spans="1:9">
      <c r="A331" t="s">
        <v>1221</v>
      </c>
      <c r="B331" t="s">
        <v>10</v>
      </c>
      <c r="C331" t="s">
        <v>1222</v>
      </c>
      <c r="D331" t="s">
        <v>373</v>
      </c>
      <c r="E331" t="s">
        <v>373</v>
      </c>
      <c r="F331" t="s">
        <v>1223</v>
      </c>
      <c r="G331" t="s">
        <v>1224</v>
      </c>
      <c r="H331" t="s">
        <v>30</v>
      </c>
      <c r="I331" t="b">
        <f>COUNTIF(Estadísticas!I:I,'centraldecomunicacion.es'!H331)&gt;0</f>
        <v>0</v>
      </c>
    </row>
    <row r="332" spans="1:9">
      <c r="A332" t="s">
        <v>1225</v>
      </c>
      <c r="B332" t="s">
        <v>10</v>
      </c>
      <c r="C332" t="s">
        <v>1226</v>
      </c>
      <c r="D332" t="s">
        <v>373</v>
      </c>
      <c r="E332" t="s">
        <v>373</v>
      </c>
      <c r="F332" t="s">
        <v>1227</v>
      </c>
      <c r="G332" t="s">
        <v>1228</v>
      </c>
      <c r="H332" t="s">
        <v>1229</v>
      </c>
      <c r="I332" t="b">
        <f>COUNTIF(Estadísticas!I:I,'centraldecomunicacion.es'!H332)&gt;0</f>
        <v>1</v>
      </c>
    </row>
    <row r="333" spans="1:9">
      <c r="A333" t="s">
        <v>1230</v>
      </c>
      <c r="B333" t="s">
        <v>10</v>
      </c>
      <c r="C333" t="s">
        <v>1231</v>
      </c>
      <c r="D333" t="s">
        <v>373</v>
      </c>
      <c r="E333" t="s">
        <v>373</v>
      </c>
      <c r="F333" t="s">
        <v>1232</v>
      </c>
      <c r="G333" t="s">
        <v>1233</v>
      </c>
      <c r="H333" t="s">
        <v>1234</v>
      </c>
      <c r="I333" t="b">
        <f>COUNTIF(Estadísticas!I:I,'centraldecomunicacion.es'!H333)&gt;0</f>
        <v>0</v>
      </c>
    </row>
    <row r="334" spans="1:9">
      <c r="A334" t="s">
        <v>1235</v>
      </c>
      <c r="B334" t="s">
        <v>10</v>
      </c>
      <c r="C334" t="s">
        <v>1236</v>
      </c>
      <c r="D334" t="s">
        <v>373</v>
      </c>
      <c r="E334" t="s">
        <v>373</v>
      </c>
      <c r="F334" t="s">
        <v>38</v>
      </c>
      <c r="G334" t="s">
        <v>1237</v>
      </c>
      <c r="H334" t="s">
        <v>30</v>
      </c>
      <c r="I334" t="b">
        <f>COUNTIF(Estadísticas!I:I,'centraldecomunicacion.es'!H334)&gt;0</f>
        <v>0</v>
      </c>
    </row>
    <row r="335" spans="1:9">
      <c r="A335" t="s">
        <v>1238</v>
      </c>
      <c r="B335" t="s">
        <v>10</v>
      </c>
      <c r="C335" t="s">
        <v>28</v>
      </c>
      <c r="D335" t="s">
        <v>1239</v>
      </c>
      <c r="E335" t="s">
        <v>28</v>
      </c>
      <c r="F335" t="s">
        <v>1240</v>
      </c>
      <c r="G335" t="s">
        <v>1241</v>
      </c>
      <c r="H335" t="s">
        <v>1242</v>
      </c>
      <c r="I335" t="b">
        <f>COUNTIF(Estadísticas!I:I,'centraldecomunicacion.es'!H335)&gt;0</f>
        <v>0</v>
      </c>
    </row>
    <row r="336" spans="1:9">
      <c r="A336" t="s">
        <v>1243</v>
      </c>
      <c r="B336" t="s">
        <v>10</v>
      </c>
      <c r="C336" t="s">
        <v>1244</v>
      </c>
      <c r="D336" t="s">
        <v>373</v>
      </c>
      <c r="E336" t="s">
        <v>373</v>
      </c>
      <c r="F336" t="s">
        <v>1245</v>
      </c>
      <c r="G336" t="s">
        <v>1246</v>
      </c>
      <c r="H336" t="s">
        <v>30</v>
      </c>
      <c r="I336" t="b">
        <f>COUNTIF(Estadísticas!I:I,'centraldecomunicacion.es'!H336)&gt;0</f>
        <v>0</v>
      </c>
    </row>
    <row r="337" spans="1:9">
      <c r="A337" t="s">
        <v>1247</v>
      </c>
      <c r="B337" t="s">
        <v>10</v>
      </c>
      <c r="C337" t="s">
        <v>1248</v>
      </c>
      <c r="D337" t="s">
        <v>373</v>
      </c>
      <c r="E337" t="s">
        <v>373</v>
      </c>
      <c r="F337" t="s">
        <v>1249</v>
      </c>
      <c r="G337" t="s">
        <v>1250</v>
      </c>
      <c r="H337" t="s">
        <v>1251</v>
      </c>
      <c r="I337" t="b">
        <f>COUNTIF(Estadísticas!I:I,'centraldecomunicacion.es'!H337)&gt;0</f>
        <v>0</v>
      </c>
    </row>
    <row r="338" spans="1:9">
      <c r="A338" t="s">
        <v>1252</v>
      </c>
      <c r="B338" t="s">
        <v>10</v>
      </c>
      <c r="C338" t="s">
        <v>1253</v>
      </c>
      <c r="D338" t="s">
        <v>373</v>
      </c>
      <c r="E338" t="s">
        <v>373</v>
      </c>
      <c r="F338" t="s">
        <v>50</v>
      </c>
      <c r="G338" t="s">
        <v>1254</v>
      </c>
      <c r="H338" t="s">
        <v>30</v>
      </c>
      <c r="I338" t="b">
        <f>COUNTIF(Estadísticas!I:I,'centraldecomunicacion.es'!H338)&gt;0</f>
        <v>0</v>
      </c>
    </row>
    <row r="339" spans="1:9">
      <c r="A339" t="s">
        <v>1255</v>
      </c>
      <c r="B339" t="s">
        <v>10</v>
      </c>
      <c r="C339" t="s">
        <v>1256</v>
      </c>
      <c r="D339" t="s">
        <v>373</v>
      </c>
      <c r="E339" t="s">
        <v>373</v>
      </c>
      <c r="F339" t="s">
        <v>28</v>
      </c>
      <c r="G339" t="s">
        <v>1257</v>
      </c>
      <c r="H339" t="s">
        <v>30</v>
      </c>
      <c r="I339" t="b">
        <f>COUNTIF(Estadísticas!I:I,'centraldecomunicacion.es'!H339)&gt;0</f>
        <v>0</v>
      </c>
    </row>
    <row r="340" spans="1:9">
      <c r="A340" t="s">
        <v>1258</v>
      </c>
      <c r="B340" t="s">
        <v>10</v>
      </c>
      <c r="C340" t="s">
        <v>1259</v>
      </c>
      <c r="D340" t="s">
        <v>373</v>
      </c>
      <c r="E340" t="s">
        <v>373</v>
      </c>
      <c r="F340" t="s">
        <v>38</v>
      </c>
      <c r="G340" t="s">
        <v>1260</v>
      </c>
      <c r="H340" t="s">
        <v>30</v>
      </c>
      <c r="I340" t="b">
        <f>COUNTIF(Estadísticas!I:I,'centraldecomunicacion.es'!H340)&gt;0</f>
        <v>0</v>
      </c>
    </row>
    <row r="341" spans="1:9">
      <c r="A341" t="s">
        <v>1261</v>
      </c>
      <c r="B341" t="s">
        <v>10</v>
      </c>
      <c r="C341" t="s">
        <v>1262</v>
      </c>
      <c r="D341" t="s">
        <v>373</v>
      </c>
      <c r="E341" t="s">
        <v>373</v>
      </c>
      <c r="F341" t="s">
        <v>28</v>
      </c>
      <c r="G341" t="s">
        <v>1263</v>
      </c>
      <c r="H341" t="s">
        <v>30</v>
      </c>
      <c r="I341" t="b">
        <f>COUNTIF(Estadísticas!I:I,'centraldecomunicacion.es'!H341)&gt;0</f>
        <v>0</v>
      </c>
    </row>
    <row r="342" spans="1:9">
      <c r="A342" t="s">
        <v>1264</v>
      </c>
      <c r="B342" t="s">
        <v>10</v>
      </c>
      <c r="C342" t="s">
        <v>1265</v>
      </c>
      <c r="D342" t="s">
        <v>373</v>
      </c>
      <c r="E342" t="s">
        <v>373</v>
      </c>
      <c r="F342" t="s">
        <v>1266</v>
      </c>
      <c r="G342" t="s">
        <v>1267</v>
      </c>
      <c r="H342" t="s">
        <v>1268</v>
      </c>
      <c r="I342" t="b">
        <f>COUNTIF(Estadísticas!I:I,'centraldecomunicacion.es'!H342)&gt;0</f>
        <v>1</v>
      </c>
    </row>
    <row r="343" spans="1:9">
      <c r="A343" t="s">
        <v>1269</v>
      </c>
      <c r="B343" t="s">
        <v>10</v>
      </c>
      <c r="C343" t="s">
        <v>1270</v>
      </c>
      <c r="D343" t="s">
        <v>373</v>
      </c>
      <c r="E343" t="s">
        <v>373</v>
      </c>
      <c r="F343" t="s">
        <v>1271</v>
      </c>
      <c r="G343" t="s">
        <v>1272</v>
      </c>
      <c r="H343" t="s">
        <v>30</v>
      </c>
      <c r="I343" t="b">
        <f>COUNTIF(Estadísticas!I:I,'centraldecomunicacion.es'!H343)&gt;0</f>
        <v>0</v>
      </c>
    </row>
    <row r="344" spans="1:9">
      <c r="A344" t="s">
        <v>1273</v>
      </c>
      <c r="B344" t="s">
        <v>10</v>
      </c>
      <c r="C344" t="s">
        <v>1274</v>
      </c>
      <c r="D344" t="s">
        <v>373</v>
      </c>
      <c r="E344" t="s">
        <v>373</v>
      </c>
      <c r="F344" t="s">
        <v>1275</v>
      </c>
      <c r="G344" t="s">
        <v>1276</v>
      </c>
      <c r="H344" t="s">
        <v>1277</v>
      </c>
      <c r="I344" t="b">
        <f>COUNTIF(Estadísticas!I:I,'centraldecomunicacion.es'!H344)&gt;0</f>
        <v>0</v>
      </c>
    </row>
    <row r="345" spans="1:9">
      <c r="A345" t="s">
        <v>1278</v>
      </c>
      <c r="B345" t="s">
        <v>10</v>
      </c>
      <c r="C345" t="s">
        <v>1279</v>
      </c>
      <c r="D345" t="s">
        <v>373</v>
      </c>
      <c r="E345" t="s">
        <v>373</v>
      </c>
      <c r="F345" t="s">
        <v>1280</v>
      </c>
      <c r="G345" t="s">
        <v>1281</v>
      </c>
      <c r="H345" t="s">
        <v>1282</v>
      </c>
      <c r="I345" t="b">
        <f>COUNTIF(Estadísticas!I:I,'centraldecomunicacion.es'!H345)&gt;0</f>
        <v>1</v>
      </c>
    </row>
    <row r="346" spans="1:9">
      <c r="A346" t="s">
        <v>1283</v>
      </c>
      <c r="B346" t="s">
        <v>10</v>
      </c>
      <c r="C346" t="s">
        <v>1284</v>
      </c>
      <c r="D346" t="s">
        <v>373</v>
      </c>
      <c r="E346" t="s">
        <v>373</v>
      </c>
      <c r="F346" t="s">
        <v>28</v>
      </c>
      <c r="G346" t="s">
        <v>1285</v>
      </c>
      <c r="H346" t="s">
        <v>30</v>
      </c>
      <c r="I346" t="b">
        <f>COUNTIF(Estadísticas!I:I,'centraldecomunicacion.es'!H346)&gt;0</f>
        <v>0</v>
      </c>
    </row>
    <row r="347" spans="1:9">
      <c r="A347" t="s">
        <v>26</v>
      </c>
      <c r="B347" t="s">
        <v>10</v>
      </c>
      <c r="C347" t="s">
        <v>1286</v>
      </c>
      <c r="D347" t="s">
        <v>373</v>
      </c>
      <c r="E347" t="s">
        <v>373</v>
      </c>
      <c r="F347" t="s">
        <v>1223</v>
      </c>
      <c r="G347" t="s">
        <v>396</v>
      </c>
      <c r="H347" t="s">
        <v>30</v>
      </c>
      <c r="I347" t="b">
        <f>COUNTIF(Estadísticas!I:I,'centraldecomunicacion.es'!H347)&gt;0</f>
        <v>0</v>
      </c>
    </row>
    <row r="348" spans="1:9">
      <c r="A348" t="s">
        <v>10</v>
      </c>
      <c r="B348" t="s">
        <v>10</v>
      </c>
      <c r="C348" t="s">
        <v>1287</v>
      </c>
      <c r="D348" t="s">
        <v>373</v>
      </c>
      <c r="E348" t="s">
        <v>373</v>
      </c>
      <c r="F348" t="s">
        <v>28</v>
      </c>
      <c r="G348" t="s">
        <v>28</v>
      </c>
      <c r="H348" t="s">
        <v>30</v>
      </c>
      <c r="I348" t="b">
        <f>COUNTIF(Estadísticas!I:I,'centraldecomunicacion.es'!H348)&gt;0</f>
        <v>0</v>
      </c>
    </row>
    <row r="349" spans="1:9">
      <c r="A349" t="s">
        <v>1288</v>
      </c>
      <c r="B349" t="s">
        <v>10</v>
      </c>
      <c r="C349" t="s">
        <v>1289</v>
      </c>
      <c r="D349" t="s">
        <v>373</v>
      </c>
      <c r="E349" t="s">
        <v>373</v>
      </c>
      <c r="F349" t="s">
        <v>28</v>
      </c>
      <c r="G349" t="s">
        <v>1290</v>
      </c>
      <c r="H349" t="s">
        <v>30</v>
      </c>
      <c r="I349" t="b">
        <f>COUNTIF(Estadísticas!I:I,'centraldecomunicacion.es'!H349)&gt;0</f>
        <v>0</v>
      </c>
    </row>
    <row r="350" spans="1:9">
      <c r="A350" t="s">
        <v>1291</v>
      </c>
      <c r="B350" t="s">
        <v>10</v>
      </c>
      <c r="C350" t="s">
        <v>1292</v>
      </c>
      <c r="D350" t="s">
        <v>373</v>
      </c>
      <c r="E350" t="s">
        <v>373</v>
      </c>
      <c r="F350" t="s">
        <v>28</v>
      </c>
      <c r="G350" t="s">
        <v>1293</v>
      </c>
      <c r="H350" t="s">
        <v>30</v>
      </c>
      <c r="I350" t="b">
        <f>COUNTIF(Estadísticas!I:I,'centraldecomunicacion.es'!H350)&gt;0</f>
        <v>0</v>
      </c>
    </row>
    <row r="351" spans="1:9">
      <c r="A351" t="s">
        <v>1294</v>
      </c>
      <c r="B351" t="s">
        <v>10</v>
      </c>
      <c r="C351" t="s">
        <v>1295</v>
      </c>
      <c r="D351" t="s">
        <v>373</v>
      </c>
      <c r="E351" t="s">
        <v>373</v>
      </c>
      <c r="F351" t="s">
        <v>1296</v>
      </c>
      <c r="G351" t="s">
        <v>1297</v>
      </c>
      <c r="H351" t="s">
        <v>30</v>
      </c>
      <c r="I351" t="b">
        <f>COUNTIF(Estadísticas!I:I,'centraldecomunicacion.es'!H351)&gt;0</f>
        <v>0</v>
      </c>
    </row>
    <row r="352" spans="1:9">
      <c r="A352" t="s">
        <v>1298</v>
      </c>
      <c r="B352" t="s">
        <v>10</v>
      </c>
      <c r="C352" t="s">
        <v>1299</v>
      </c>
      <c r="D352" t="s">
        <v>373</v>
      </c>
      <c r="E352" t="s">
        <v>373</v>
      </c>
      <c r="F352" t="s">
        <v>28</v>
      </c>
      <c r="G352" t="s">
        <v>1212</v>
      </c>
      <c r="H352" t="s">
        <v>30</v>
      </c>
      <c r="I352" t="b">
        <f>COUNTIF(Estadísticas!I:I,'centraldecomunicacion.es'!H352)&gt;0</f>
        <v>0</v>
      </c>
    </row>
    <row r="353" spans="1:9">
      <c r="A353" t="s">
        <v>1300</v>
      </c>
      <c r="B353" t="s">
        <v>10</v>
      </c>
      <c r="C353" t="s">
        <v>1301</v>
      </c>
      <c r="D353" t="s">
        <v>373</v>
      </c>
      <c r="E353" t="s">
        <v>373</v>
      </c>
      <c r="F353" t="s">
        <v>28</v>
      </c>
      <c r="G353" t="s">
        <v>1302</v>
      </c>
      <c r="H353" t="s">
        <v>30</v>
      </c>
      <c r="I353" t="b">
        <f>COUNTIF(Estadísticas!I:I,'centraldecomunicacion.es'!H353)&gt;0</f>
        <v>0</v>
      </c>
    </row>
    <row r="354" spans="1:9">
      <c r="A354" t="s">
        <v>1303</v>
      </c>
      <c r="B354" t="s">
        <v>10</v>
      </c>
      <c r="C354" t="s">
        <v>1304</v>
      </c>
      <c r="D354" t="s">
        <v>373</v>
      </c>
      <c r="E354" t="s">
        <v>373</v>
      </c>
      <c r="F354" t="s">
        <v>642</v>
      </c>
      <c r="G354" t="s">
        <v>1305</v>
      </c>
      <c r="H354" t="s">
        <v>30</v>
      </c>
      <c r="I354" t="b">
        <f>COUNTIF(Estadísticas!I:I,'centraldecomunicacion.es'!H354)&gt;0</f>
        <v>0</v>
      </c>
    </row>
    <row r="355" spans="1:9">
      <c r="A355" t="s">
        <v>1306</v>
      </c>
      <c r="B355" t="s">
        <v>10</v>
      </c>
      <c r="C355" t="s">
        <v>1307</v>
      </c>
      <c r="D355" t="s">
        <v>373</v>
      </c>
      <c r="E355" t="s">
        <v>373</v>
      </c>
      <c r="F355" t="s">
        <v>28</v>
      </c>
      <c r="G355" t="s">
        <v>1308</v>
      </c>
      <c r="H355" t="s">
        <v>30</v>
      </c>
      <c r="I355" t="b">
        <f>COUNTIF(Estadísticas!I:I,'centraldecomunicacion.es'!H355)&gt;0</f>
        <v>0</v>
      </c>
    </row>
    <row r="356" spans="1:9">
      <c r="A356" t="s">
        <v>1309</v>
      </c>
      <c r="B356" t="s">
        <v>10</v>
      </c>
      <c r="C356" t="s">
        <v>1310</v>
      </c>
      <c r="D356" t="s">
        <v>373</v>
      </c>
      <c r="E356" t="s">
        <v>373</v>
      </c>
      <c r="F356" t="s">
        <v>1311</v>
      </c>
      <c r="G356" t="s">
        <v>1312</v>
      </c>
      <c r="H356" t="s">
        <v>30</v>
      </c>
      <c r="I356" t="b">
        <f>COUNTIF(Estadísticas!I:I,'centraldecomunicacion.es'!H356)&gt;0</f>
        <v>0</v>
      </c>
    </row>
    <row r="357" spans="1:9">
      <c r="A357" t="s">
        <v>1313</v>
      </c>
      <c r="B357" t="s">
        <v>10</v>
      </c>
      <c r="C357" t="s">
        <v>1314</v>
      </c>
      <c r="D357" t="s">
        <v>373</v>
      </c>
      <c r="E357" t="s">
        <v>373</v>
      </c>
      <c r="F357" t="s">
        <v>28</v>
      </c>
      <c r="G357" t="s">
        <v>1315</v>
      </c>
      <c r="H357" t="s">
        <v>30</v>
      </c>
      <c r="I357" t="b">
        <f>COUNTIF(Estadísticas!I:I,'centraldecomunicacion.es'!H357)&gt;0</f>
        <v>0</v>
      </c>
    </row>
    <row r="358" spans="1:9">
      <c r="A358" t="s">
        <v>1316</v>
      </c>
      <c r="B358" t="s">
        <v>10</v>
      </c>
      <c r="C358" t="s">
        <v>1317</v>
      </c>
      <c r="D358" t="s">
        <v>1318</v>
      </c>
      <c r="E358" t="s">
        <v>373</v>
      </c>
      <c r="F358" t="s">
        <v>1319</v>
      </c>
      <c r="G358" t="s">
        <v>1320</v>
      </c>
      <c r="H358" t="s">
        <v>30</v>
      </c>
      <c r="I358" t="b">
        <f>COUNTIF(Estadísticas!I:I,'centraldecomunicacion.es'!H358)&gt;0</f>
        <v>0</v>
      </c>
    </row>
    <row r="359" spans="1:9">
      <c r="A359" t="s">
        <v>1321</v>
      </c>
      <c r="B359" t="s">
        <v>10</v>
      </c>
      <c r="C359" t="s">
        <v>1322</v>
      </c>
      <c r="D359" t="s">
        <v>373</v>
      </c>
      <c r="E359" t="s">
        <v>373</v>
      </c>
      <c r="F359" t="s">
        <v>28</v>
      </c>
      <c r="G359" t="s">
        <v>1323</v>
      </c>
      <c r="H359" t="s">
        <v>30</v>
      </c>
      <c r="I359" t="b">
        <f>COUNTIF(Estadísticas!I:I,'centraldecomunicacion.es'!H359)&gt;0</f>
        <v>0</v>
      </c>
    </row>
    <row r="360" spans="1:9">
      <c r="A360" t="s">
        <v>1324</v>
      </c>
      <c r="B360" t="s">
        <v>10</v>
      </c>
      <c r="C360" t="s">
        <v>1325</v>
      </c>
      <c r="D360" t="s">
        <v>373</v>
      </c>
      <c r="E360" t="s">
        <v>373</v>
      </c>
      <c r="F360" t="s">
        <v>1326</v>
      </c>
      <c r="G360" t="s">
        <v>1327</v>
      </c>
      <c r="H360" t="s">
        <v>30</v>
      </c>
      <c r="I360" t="b">
        <f>COUNTIF(Estadísticas!I:I,'centraldecomunicacion.es'!H360)&gt;0</f>
        <v>0</v>
      </c>
    </row>
    <row r="361" spans="1:9">
      <c r="A361" t="s">
        <v>1328</v>
      </c>
      <c r="B361" t="s">
        <v>10</v>
      </c>
      <c r="C361" t="s">
        <v>1329</v>
      </c>
      <c r="D361" t="s">
        <v>1239</v>
      </c>
      <c r="E361" t="s">
        <v>373</v>
      </c>
      <c r="F361" t="s">
        <v>28</v>
      </c>
      <c r="G361" t="s">
        <v>1330</v>
      </c>
      <c r="H361" t="s">
        <v>30</v>
      </c>
      <c r="I361" t="b">
        <f>COUNTIF(Estadísticas!I:I,'centraldecomunicacion.es'!H361)&gt;0</f>
        <v>0</v>
      </c>
    </row>
    <row r="362" spans="1:9">
      <c r="A362" t="s">
        <v>1331</v>
      </c>
      <c r="B362" t="s">
        <v>219</v>
      </c>
      <c r="C362" t="s">
        <v>28</v>
      </c>
      <c r="D362" t="s">
        <v>1239</v>
      </c>
      <c r="E362" t="s">
        <v>28</v>
      </c>
      <c r="F362" t="s">
        <v>1332</v>
      </c>
      <c r="G362" t="s">
        <v>1333</v>
      </c>
      <c r="H362" t="s">
        <v>1334</v>
      </c>
      <c r="I362" t="b">
        <f>COUNTIF(Estadísticas!I:I,'centraldecomunicacion.es'!H362)&gt;0</f>
        <v>0</v>
      </c>
    </row>
    <row r="363" spans="1:9">
      <c r="A363" t="s">
        <v>1161</v>
      </c>
      <c r="B363" t="s">
        <v>10</v>
      </c>
      <c r="C363" t="s">
        <v>1335</v>
      </c>
      <c r="D363" t="s">
        <v>373</v>
      </c>
      <c r="E363" t="s">
        <v>373</v>
      </c>
      <c r="F363" t="s">
        <v>28</v>
      </c>
      <c r="G363" t="s">
        <v>28</v>
      </c>
      <c r="H363" t="s">
        <v>30</v>
      </c>
      <c r="I363" t="b">
        <f>COUNTIF(Estadísticas!I:I,'centraldecomunicacion.es'!H363)&gt;0</f>
        <v>0</v>
      </c>
    </row>
    <row r="364" spans="1:9">
      <c r="A364" t="s">
        <v>1336</v>
      </c>
      <c r="B364" t="s">
        <v>10</v>
      </c>
      <c r="C364" t="s">
        <v>1337</v>
      </c>
      <c r="D364" t="s">
        <v>373</v>
      </c>
      <c r="E364" t="s">
        <v>373</v>
      </c>
      <c r="F364" t="s">
        <v>28</v>
      </c>
      <c r="G364" t="s">
        <v>1338</v>
      </c>
      <c r="H364" t="s">
        <v>30</v>
      </c>
      <c r="I364" t="b">
        <f>COUNTIF(Estadísticas!I:I,'centraldecomunicacion.es'!H364)&gt;0</f>
        <v>0</v>
      </c>
    </row>
    <row r="365" spans="1:9">
      <c r="A365" t="s">
        <v>1339</v>
      </c>
      <c r="B365" t="s">
        <v>10</v>
      </c>
      <c r="C365" t="s">
        <v>1340</v>
      </c>
      <c r="D365" t="s">
        <v>373</v>
      </c>
      <c r="E365" t="s">
        <v>373</v>
      </c>
      <c r="F365" t="s">
        <v>28</v>
      </c>
      <c r="G365" t="s">
        <v>1341</v>
      </c>
      <c r="H365" t="s">
        <v>30</v>
      </c>
      <c r="I365" t="b">
        <f>COUNTIF(Estadísticas!I:I,'centraldecomunicacion.es'!H365)&gt;0</f>
        <v>0</v>
      </c>
    </row>
    <row r="366" spans="1:9">
      <c r="A366" t="s">
        <v>1342</v>
      </c>
      <c r="B366" t="s">
        <v>10</v>
      </c>
      <c r="C366" t="s">
        <v>1343</v>
      </c>
      <c r="D366" t="s">
        <v>373</v>
      </c>
      <c r="E366" t="s">
        <v>373</v>
      </c>
      <c r="F366" t="s">
        <v>28</v>
      </c>
      <c r="G366" t="s">
        <v>1344</v>
      </c>
      <c r="H366" t="s">
        <v>30</v>
      </c>
      <c r="I366" t="b">
        <f>COUNTIF(Estadísticas!I:I,'centraldecomunicacion.es'!H366)&gt;0</f>
        <v>0</v>
      </c>
    </row>
    <row r="367" spans="1:9">
      <c r="A367" t="s">
        <v>1345</v>
      </c>
      <c r="B367" t="s">
        <v>10</v>
      </c>
      <c r="C367" t="s">
        <v>1346</v>
      </c>
      <c r="D367" t="s">
        <v>373</v>
      </c>
      <c r="E367" t="s">
        <v>373</v>
      </c>
      <c r="F367" t="s">
        <v>28</v>
      </c>
      <c r="G367" t="s">
        <v>1347</v>
      </c>
      <c r="H367" t="s">
        <v>30</v>
      </c>
      <c r="I367" t="b">
        <f>COUNTIF(Estadísticas!I:I,'centraldecomunicacion.es'!H367)&gt;0</f>
        <v>0</v>
      </c>
    </row>
    <row r="368" spans="1:9">
      <c r="A368" t="s">
        <v>1348</v>
      </c>
      <c r="B368" t="s">
        <v>10</v>
      </c>
      <c r="C368" t="s">
        <v>1349</v>
      </c>
      <c r="D368" t="s">
        <v>1350</v>
      </c>
      <c r="E368" t="s">
        <v>373</v>
      </c>
      <c r="F368" t="s">
        <v>28</v>
      </c>
      <c r="G368" t="s">
        <v>1351</v>
      </c>
      <c r="H368" t="s">
        <v>30</v>
      </c>
      <c r="I368" t="b">
        <f>COUNTIF(Estadísticas!I:I,'centraldecomunicacion.es'!H368)&gt;0</f>
        <v>0</v>
      </c>
    </row>
    <row r="369" spans="1:9">
      <c r="A369" t="s">
        <v>1352</v>
      </c>
      <c r="B369" t="s">
        <v>10</v>
      </c>
      <c r="C369" t="s">
        <v>1353</v>
      </c>
      <c r="D369" t="s">
        <v>373</v>
      </c>
      <c r="E369" t="s">
        <v>373</v>
      </c>
      <c r="F369" t="s">
        <v>50</v>
      </c>
      <c r="G369" t="s">
        <v>1354</v>
      </c>
      <c r="H369" t="s">
        <v>30</v>
      </c>
      <c r="I369" t="b">
        <f>COUNTIF(Estadísticas!I:I,'centraldecomunicacion.es'!H369)&gt;0</f>
        <v>0</v>
      </c>
    </row>
    <row r="370" spans="1:9">
      <c r="A370" t="s">
        <v>1355</v>
      </c>
      <c r="B370" t="s">
        <v>10</v>
      </c>
      <c r="C370" t="s">
        <v>1356</v>
      </c>
      <c r="D370" t="s">
        <v>373</v>
      </c>
      <c r="E370" t="s">
        <v>373</v>
      </c>
      <c r="F370" t="s">
        <v>28</v>
      </c>
      <c r="G370" t="s">
        <v>28</v>
      </c>
      <c r="H370" t="s">
        <v>30</v>
      </c>
      <c r="I370" t="b">
        <f>COUNTIF(Estadísticas!I:I,'centraldecomunicacion.es'!H370)&gt;0</f>
        <v>0</v>
      </c>
    </row>
    <row r="371" spans="1:9">
      <c r="A371" t="s">
        <v>1357</v>
      </c>
      <c r="B371" t="s">
        <v>10</v>
      </c>
      <c r="C371" t="s">
        <v>28</v>
      </c>
      <c r="D371" t="s">
        <v>1239</v>
      </c>
      <c r="E371" t="s">
        <v>28</v>
      </c>
      <c r="F371" t="s">
        <v>559</v>
      </c>
      <c r="G371" t="s">
        <v>1276</v>
      </c>
      <c r="H371" t="s">
        <v>561</v>
      </c>
      <c r="I371" t="b">
        <f>COUNTIF(Estadísticas!I:I,'centraldecomunicacion.es'!H371)&gt;0</f>
        <v>0</v>
      </c>
    </row>
    <row r="372" spans="1:9">
      <c r="A372" t="s">
        <v>1358</v>
      </c>
      <c r="B372" t="s">
        <v>10</v>
      </c>
      <c r="C372" t="s">
        <v>1359</v>
      </c>
      <c r="D372" t="s">
        <v>373</v>
      </c>
      <c r="E372" t="s">
        <v>373</v>
      </c>
      <c r="F372" t="s">
        <v>1360</v>
      </c>
      <c r="G372" t="s">
        <v>1361</v>
      </c>
      <c r="H372" t="s">
        <v>30</v>
      </c>
      <c r="I372" t="b">
        <f>COUNTIF(Estadísticas!I:I,'centraldecomunicacion.es'!H372)&gt;0</f>
        <v>0</v>
      </c>
    </row>
    <row r="373" spans="1:9">
      <c r="A373" t="s">
        <v>1362</v>
      </c>
      <c r="B373" t="s">
        <v>10</v>
      </c>
      <c r="C373" t="s">
        <v>1363</v>
      </c>
      <c r="D373" t="s">
        <v>373</v>
      </c>
      <c r="E373" t="s">
        <v>373</v>
      </c>
      <c r="F373" t="s">
        <v>28</v>
      </c>
      <c r="G373" t="s">
        <v>28</v>
      </c>
      <c r="H373" t="s">
        <v>30</v>
      </c>
      <c r="I373" t="b">
        <f>COUNTIF(Estadísticas!I:I,'centraldecomunicacion.es'!H373)&gt;0</f>
        <v>0</v>
      </c>
    </row>
    <row r="374" spans="1:9">
      <c r="A374" t="s">
        <v>1278</v>
      </c>
      <c r="B374" t="s">
        <v>10</v>
      </c>
      <c r="C374" t="s">
        <v>1364</v>
      </c>
      <c r="D374" t="s">
        <v>373</v>
      </c>
      <c r="E374" t="s">
        <v>373</v>
      </c>
      <c r="F374" t="s">
        <v>1280</v>
      </c>
      <c r="G374" t="s">
        <v>1281</v>
      </c>
      <c r="H374" t="s">
        <v>1282</v>
      </c>
      <c r="I374" t="b">
        <f>COUNTIF(Estadísticas!I:I,'centraldecomunicacion.es'!H374)&gt;0</f>
        <v>1</v>
      </c>
    </row>
    <row r="375" spans="1:9">
      <c r="A375" t="s">
        <v>1365</v>
      </c>
      <c r="B375" t="s">
        <v>10</v>
      </c>
      <c r="C375" t="s">
        <v>1366</v>
      </c>
      <c r="D375" t="s">
        <v>373</v>
      </c>
      <c r="E375" t="s">
        <v>373</v>
      </c>
      <c r="F375" t="s">
        <v>1232</v>
      </c>
      <c r="G375" t="s">
        <v>1367</v>
      </c>
      <c r="H375" t="s">
        <v>1234</v>
      </c>
      <c r="I375" t="b">
        <f>COUNTIF(Estadísticas!I:I,'centraldecomunicacion.es'!H375)&gt;0</f>
        <v>0</v>
      </c>
    </row>
    <row r="376" spans="1:9">
      <c r="A376" t="s">
        <v>1368</v>
      </c>
      <c r="B376" t="s">
        <v>10</v>
      </c>
      <c r="C376" t="s">
        <v>1369</v>
      </c>
      <c r="D376" t="s">
        <v>1370</v>
      </c>
      <c r="E376" t="s">
        <v>373</v>
      </c>
      <c r="F376" t="s">
        <v>28</v>
      </c>
      <c r="G376" t="s">
        <v>28</v>
      </c>
      <c r="H376" t="s">
        <v>30</v>
      </c>
      <c r="I376" t="b">
        <f>COUNTIF(Estadísticas!I:I,'centraldecomunicacion.es'!H376)&gt;0</f>
        <v>0</v>
      </c>
    </row>
    <row r="377" spans="1:9">
      <c r="A377" t="s">
        <v>1371</v>
      </c>
      <c r="B377" t="s">
        <v>10</v>
      </c>
      <c r="C377" t="s">
        <v>1372</v>
      </c>
      <c r="D377" t="s">
        <v>373</v>
      </c>
      <c r="E377" t="s">
        <v>373</v>
      </c>
      <c r="F377" t="s">
        <v>28</v>
      </c>
      <c r="G377" t="s">
        <v>1373</v>
      </c>
      <c r="H377" t="s">
        <v>30</v>
      </c>
      <c r="I377" t="b">
        <f>COUNTIF(Estadísticas!I:I,'centraldecomunicacion.es'!H377)&gt;0</f>
        <v>0</v>
      </c>
    </row>
    <row r="378" spans="1:9">
      <c r="A378" t="s">
        <v>1374</v>
      </c>
      <c r="B378" t="s">
        <v>10</v>
      </c>
      <c r="C378" t="s">
        <v>1375</v>
      </c>
      <c r="D378" t="s">
        <v>373</v>
      </c>
      <c r="E378" t="s">
        <v>373</v>
      </c>
      <c r="F378" t="s">
        <v>28</v>
      </c>
      <c r="G378" t="s">
        <v>1376</v>
      </c>
      <c r="H378" t="s">
        <v>30</v>
      </c>
      <c r="I378" t="b">
        <f>COUNTIF(Estadísticas!I:I,'centraldecomunicacion.es'!H378)&gt;0</f>
        <v>0</v>
      </c>
    </row>
    <row r="379" spans="1:9">
      <c r="A379" t="s">
        <v>1377</v>
      </c>
      <c r="B379" t="s">
        <v>10</v>
      </c>
      <c r="C379" t="s">
        <v>1378</v>
      </c>
      <c r="D379" t="s">
        <v>373</v>
      </c>
      <c r="E379" t="s">
        <v>373</v>
      </c>
      <c r="F379" t="s">
        <v>28</v>
      </c>
      <c r="G379" t="s">
        <v>1379</v>
      </c>
      <c r="H379" t="s">
        <v>30</v>
      </c>
      <c r="I379" t="b">
        <f>COUNTIF(Estadísticas!I:I,'centraldecomunicacion.es'!H379)&gt;0</f>
        <v>0</v>
      </c>
    </row>
    <row r="380" spans="1:9">
      <c r="A380" t="s">
        <v>1380</v>
      </c>
      <c r="B380" t="s">
        <v>10</v>
      </c>
      <c r="C380" t="s">
        <v>1381</v>
      </c>
      <c r="D380" t="s">
        <v>1382</v>
      </c>
      <c r="E380" t="s">
        <v>373</v>
      </c>
      <c r="F380" t="s">
        <v>38</v>
      </c>
      <c r="G380" t="s">
        <v>1383</v>
      </c>
      <c r="H380" t="s">
        <v>30</v>
      </c>
      <c r="I380" t="b">
        <f>COUNTIF(Estadísticas!I:I,'centraldecomunicacion.es'!H380)&gt;0</f>
        <v>0</v>
      </c>
    </row>
    <row r="381" spans="1:9">
      <c r="A381" t="s">
        <v>1384</v>
      </c>
      <c r="B381" t="s">
        <v>10</v>
      </c>
      <c r="C381" t="s">
        <v>1385</v>
      </c>
      <c r="D381" t="s">
        <v>373</v>
      </c>
      <c r="E381" t="s">
        <v>373</v>
      </c>
      <c r="F381" t="s">
        <v>28</v>
      </c>
      <c r="G381" t="s">
        <v>28</v>
      </c>
      <c r="H381" t="s">
        <v>30</v>
      </c>
      <c r="I381" t="b">
        <f>COUNTIF(Estadísticas!I:I,'centraldecomunicacion.es'!H381)&gt;0</f>
        <v>0</v>
      </c>
    </row>
    <row r="382" spans="1:9">
      <c r="A382" t="s">
        <v>1386</v>
      </c>
      <c r="B382" t="s">
        <v>10</v>
      </c>
      <c r="C382" t="s">
        <v>1387</v>
      </c>
      <c r="D382" t="s">
        <v>373</v>
      </c>
      <c r="E382" t="s">
        <v>373</v>
      </c>
      <c r="F382" t="s">
        <v>28</v>
      </c>
      <c r="G382" t="s">
        <v>1388</v>
      </c>
      <c r="H382" t="s">
        <v>30</v>
      </c>
      <c r="I382" t="b">
        <f>COUNTIF(Estadísticas!I:I,'centraldecomunicacion.es'!H382)&gt;0</f>
        <v>0</v>
      </c>
    </row>
    <row r="383" spans="1:9">
      <c r="A383" t="s">
        <v>10</v>
      </c>
      <c r="B383" t="s">
        <v>10</v>
      </c>
      <c r="C383" t="s">
        <v>1389</v>
      </c>
      <c r="D383" t="s">
        <v>373</v>
      </c>
      <c r="E383" t="s">
        <v>373</v>
      </c>
      <c r="F383" t="s">
        <v>28</v>
      </c>
      <c r="G383" t="s">
        <v>28</v>
      </c>
      <c r="H383" t="s">
        <v>30</v>
      </c>
      <c r="I383" t="b">
        <f>COUNTIF(Estadísticas!I:I,'centraldecomunicacion.es'!H383)&gt;0</f>
        <v>0</v>
      </c>
    </row>
    <row r="384" spans="1:9">
      <c r="A384" t="s">
        <v>1390</v>
      </c>
      <c r="B384" t="s">
        <v>10</v>
      </c>
      <c r="C384" t="s">
        <v>1391</v>
      </c>
      <c r="D384" t="s">
        <v>373</v>
      </c>
      <c r="E384" t="s">
        <v>373</v>
      </c>
      <c r="F384" t="s">
        <v>511</v>
      </c>
      <c r="G384" t="s">
        <v>1392</v>
      </c>
      <c r="H384" t="s">
        <v>513</v>
      </c>
      <c r="I384" t="b">
        <f>COUNTIF(Estadísticas!I:I,'centraldecomunicacion.es'!H384)&gt;0</f>
        <v>1</v>
      </c>
    </row>
    <row r="385" spans="1:9">
      <c r="A385" t="s">
        <v>1393</v>
      </c>
      <c r="B385" t="s">
        <v>10</v>
      </c>
      <c r="C385" t="s">
        <v>1394</v>
      </c>
      <c r="D385" t="s">
        <v>1395</v>
      </c>
      <c r="E385" t="s">
        <v>373</v>
      </c>
      <c r="F385" t="s">
        <v>28</v>
      </c>
      <c r="G385" t="s">
        <v>1396</v>
      </c>
      <c r="H385" t="s">
        <v>30</v>
      </c>
      <c r="I385" t="b">
        <f>COUNTIF(Estadísticas!I:I,'centraldecomunicacion.es'!H385)&gt;0</f>
        <v>0</v>
      </c>
    </row>
    <row r="386" spans="1:9">
      <c r="A386" t="s">
        <v>1397</v>
      </c>
      <c r="B386" t="s">
        <v>10</v>
      </c>
      <c r="C386" t="s">
        <v>1398</v>
      </c>
      <c r="D386" t="s">
        <v>373</v>
      </c>
      <c r="E386" t="s">
        <v>373</v>
      </c>
      <c r="F386" t="s">
        <v>1219</v>
      </c>
      <c r="G386" t="s">
        <v>1399</v>
      </c>
      <c r="H386" t="s">
        <v>1400</v>
      </c>
      <c r="I386" t="b">
        <f>COUNTIF(Estadísticas!I:I,'centraldecomunicacion.es'!H386)&gt;0</f>
        <v>1</v>
      </c>
    </row>
    <row r="387" spans="1:9">
      <c r="A387" t="s">
        <v>1401</v>
      </c>
      <c r="B387" t="s">
        <v>10</v>
      </c>
      <c r="C387" t="s">
        <v>1402</v>
      </c>
      <c r="D387" t="s">
        <v>1403</v>
      </c>
      <c r="E387" t="s">
        <v>373</v>
      </c>
      <c r="F387" t="s">
        <v>28</v>
      </c>
      <c r="G387" t="s">
        <v>1404</v>
      </c>
      <c r="H387" t="s">
        <v>30</v>
      </c>
      <c r="I387" t="b">
        <f>COUNTIF(Estadísticas!I:I,'centraldecomunicacion.es'!H387)&gt;0</f>
        <v>0</v>
      </c>
    </row>
    <row r="388" spans="1:9">
      <c r="A388" t="s">
        <v>1405</v>
      </c>
      <c r="B388" t="s">
        <v>10</v>
      </c>
      <c r="C388" t="s">
        <v>1406</v>
      </c>
      <c r="D388" t="s">
        <v>1407</v>
      </c>
      <c r="E388" t="s">
        <v>373</v>
      </c>
      <c r="F388" t="s">
        <v>50</v>
      </c>
      <c r="G388" t="s">
        <v>1408</v>
      </c>
      <c r="H388" t="s">
        <v>30</v>
      </c>
      <c r="I388" t="b">
        <f>COUNTIF(Estadísticas!I:I,'centraldecomunicacion.es'!H388)&gt;0</f>
        <v>0</v>
      </c>
    </row>
    <row r="389" spans="1:9">
      <c r="A389" t="s">
        <v>1409</v>
      </c>
      <c r="B389" t="s">
        <v>10</v>
      </c>
      <c r="C389" t="s">
        <v>1410</v>
      </c>
      <c r="D389" t="s">
        <v>1403</v>
      </c>
      <c r="E389" t="s">
        <v>373</v>
      </c>
      <c r="F389" t="s">
        <v>28</v>
      </c>
      <c r="G389" t="s">
        <v>1411</v>
      </c>
      <c r="H389" t="s">
        <v>30</v>
      </c>
      <c r="I389" t="b">
        <f>COUNTIF(Estadísticas!I:I,'centraldecomunicacion.es'!H389)&gt;0</f>
        <v>0</v>
      </c>
    </row>
    <row r="390" spans="1:9">
      <c r="A390" t="s">
        <v>1412</v>
      </c>
      <c r="B390" t="s">
        <v>10</v>
      </c>
      <c r="C390" t="s">
        <v>1389</v>
      </c>
      <c r="D390" t="s">
        <v>373</v>
      </c>
      <c r="E390" t="s">
        <v>373</v>
      </c>
      <c r="F390" t="s">
        <v>28</v>
      </c>
      <c r="G390" t="s">
        <v>28</v>
      </c>
      <c r="H390" t="s">
        <v>30</v>
      </c>
      <c r="I390" t="b">
        <f>COUNTIF(Estadísticas!I:I,'centraldecomunicacion.es'!H390)&gt;0</f>
        <v>0</v>
      </c>
    </row>
    <row r="391" spans="1:9">
      <c r="A391" t="s">
        <v>1413</v>
      </c>
      <c r="B391" t="s">
        <v>10</v>
      </c>
      <c r="C391" t="s">
        <v>1414</v>
      </c>
      <c r="D391" t="s">
        <v>1350</v>
      </c>
      <c r="E391" t="s">
        <v>373</v>
      </c>
      <c r="F391" t="s">
        <v>1415</v>
      </c>
      <c r="G391" t="s">
        <v>1416</v>
      </c>
      <c r="H391" t="s">
        <v>30</v>
      </c>
      <c r="I391" t="b">
        <f>COUNTIF(Estadísticas!I:I,'centraldecomunicacion.es'!H391)&gt;0</f>
        <v>0</v>
      </c>
    </row>
    <row r="392" spans="1:9">
      <c r="A392" t="s">
        <v>1417</v>
      </c>
      <c r="B392" t="s">
        <v>10</v>
      </c>
      <c r="C392" t="s">
        <v>1418</v>
      </c>
      <c r="D392" t="s">
        <v>1407</v>
      </c>
      <c r="E392" t="s">
        <v>373</v>
      </c>
      <c r="F392" t="s">
        <v>28</v>
      </c>
      <c r="G392" t="s">
        <v>28</v>
      </c>
      <c r="H392" t="s">
        <v>30</v>
      </c>
      <c r="I392" t="b">
        <f>COUNTIF(Estadísticas!I:I,'centraldecomunicacion.es'!H392)&gt;0</f>
        <v>0</v>
      </c>
    </row>
    <row r="393" spans="1:9">
      <c r="A393" t="s">
        <v>1419</v>
      </c>
      <c r="B393" t="s">
        <v>10</v>
      </c>
      <c r="C393" t="s">
        <v>1420</v>
      </c>
      <c r="D393" t="s">
        <v>1421</v>
      </c>
      <c r="E393" t="s">
        <v>373</v>
      </c>
      <c r="F393" t="s">
        <v>1422</v>
      </c>
      <c r="G393" t="s">
        <v>1423</v>
      </c>
      <c r="H393" t="s">
        <v>1424</v>
      </c>
      <c r="I393" t="b">
        <f>COUNTIF(Estadísticas!I:I,'centraldecomunicacion.es'!H393)&gt;0</f>
        <v>0</v>
      </c>
    </row>
    <row r="394" spans="1:9">
      <c r="A394" t="s">
        <v>1425</v>
      </c>
      <c r="B394" t="s">
        <v>10</v>
      </c>
      <c r="C394" t="s">
        <v>1426</v>
      </c>
      <c r="D394" t="s">
        <v>1407</v>
      </c>
      <c r="E394" t="s">
        <v>373</v>
      </c>
      <c r="F394" t="s">
        <v>50</v>
      </c>
      <c r="G394" t="s">
        <v>1427</v>
      </c>
      <c r="H394" t="s">
        <v>30</v>
      </c>
      <c r="I394" t="b">
        <f>COUNTIF(Estadísticas!I:I,'centraldecomunicacion.es'!H394)&gt;0</f>
        <v>0</v>
      </c>
    </row>
    <row r="395" spans="1:9">
      <c r="A395" t="s">
        <v>1428</v>
      </c>
      <c r="B395" t="s">
        <v>10</v>
      </c>
      <c r="C395" t="s">
        <v>1429</v>
      </c>
      <c r="D395" t="s">
        <v>1430</v>
      </c>
      <c r="E395" t="s">
        <v>373</v>
      </c>
      <c r="F395" t="s">
        <v>28</v>
      </c>
      <c r="G395" t="s">
        <v>1431</v>
      </c>
      <c r="H395" t="s">
        <v>30</v>
      </c>
      <c r="I395" t="b">
        <f>COUNTIF(Estadísticas!I:I,'centraldecomunicacion.es'!H395)&gt;0</f>
        <v>0</v>
      </c>
    </row>
    <row r="396" spans="1:9">
      <c r="A396" t="s">
        <v>1432</v>
      </c>
      <c r="B396" t="s">
        <v>10</v>
      </c>
      <c r="C396" t="s">
        <v>1433</v>
      </c>
      <c r="D396" t="s">
        <v>1430</v>
      </c>
      <c r="E396" t="s">
        <v>373</v>
      </c>
      <c r="F396" t="s">
        <v>28</v>
      </c>
      <c r="G396" t="s">
        <v>1434</v>
      </c>
      <c r="H396" t="s">
        <v>30</v>
      </c>
      <c r="I396" t="b">
        <f>COUNTIF(Estadísticas!I:I,'centraldecomunicacion.es'!H396)&gt;0</f>
        <v>0</v>
      </c>
    </row>
    <row r="397" spans="1:9">
      <c r="A397" t="s">
        <v>1435</v>
      </c>
      <c r="B397" t="s">
        <v>10</v>
      </c>
      <c r="C397" t="s">
        <v>1436</v>
      </c>
      <c r="D397" t="s">
        <v>1437</v>
      </c>
      <c r="E397" t="s">
        <v>373</v>
      </c>
      <c r="F397" t="s">
        <v>1438</v>
      </c>
      <c r="G397" t="s">
        <v>1439</v>
      </c>
      <c r="H397" t="s">
        <v>30</v>
      </c>
      <c r="I397" t="b">
        <f>COUNTIF(Estadísticas!I:I,'centraldecomunicacion.es'!H397)&gt;0</f>
        <v>0</v>
      </c>
    </row>
    <row r="398" spans="1:9">
      <c r="A398" t="s">
        <v>1440</v>
      </c>
      <c r="B398" t="s">
        <v>10</v>
      </c>
      <c r="C398" t="s">
        <v>1441</v>
      </c>
      <c r="D398" t="s">
        <v>1442</v>
      </c>
      <c r="E398" t="s">
        <v>373</v>
      </c>
      <c r="F398" t="s">
        <v>28</v>
      </c>
      <c r="G398" t="s">
        <v>1443</v>
      </c>
      <c r="H398" t="s">
        <v>30</v>
      </c>
      <c r="I398" t="b">
        <f>COUNTIF(Estadísticas!I:I,'centraldecomunicacion.es'!H398)&gt;0</f>
        <v>0</v>
      </c>
    </row>
    <row r="399" spans="1:9">
      <c r="A399" t="s">
        <v>1444</v>
      </c>
      <c r="B399" t="s">
        <v>10</v>
      </c>
      <c r="C399" t="s">
        <v>1445</v>
      </c>
      <c r="D399" t="s">
        <v>1446</v>
      </c>
      <c r="E399" t="s">
        <v>373</v>
      </c>
      <c r="F399" t="s">
        <v>1447</v>
      </c>
      <c r="G399" t="s">
        <v>1448</v>
      </c>
      <c r="H399" t="s">
        <v>1449</v>
      </c>
      <c r="I399" t="b">
        <f>COUNTIF(Estadísticas!I:I,'centraldecomunicacion.es'!H399)&gt;0</f>
        <v>1</v>
      </c>
    </row>
    <row r="400" spans="1:9">
      <c r="A400" t="s">
        <v>1450</v>
      </c>
      <c r="B400" t="s">
        <v>10</v>
      </c>
      <c r="C400" t="s">
        <v>1451</v>
      </c>
      <c r="D400" t="s">
        <v>1446</v>
      </c>
      <c r="E400" t="s">
        <v>373</v>
      </c>
      <c r="F400" t="s">
        <v>28</v>
      </c>
      <c r="G400" t="s">
        <v>1452</v>
      </c>
      <c r="H400" t="s">
        <v>30</v>
      </c>
      <c r="I400" t="b">
        <f>COUNTIF(Estadísticas!I:I,'centraldecomunicacion.es'!H400)&gt;0</f>
        <v>0</v>
      </c>
    </row>
    <row r="401" spans="1:9">
      <c r="A401" t="s">
        <v>1453</v>
      </c>
      <c r="B401" t="s">
        <v>10</v>
      </c>
      <c r="C401" t="s">
        <v>1454</v>
      </c>
      <c r="D401" t="s">
        <v>1407</v>
      </c>
      <c r="E401" t="s">
        <v>373</v>
      </c>
      <c r="F401" t="s">
        <v>28</v>
      </c>
      <c r="G401" t="s">
        <v>1455</v>
      </c>
      <c r="H401" t="s">
        <v>30</v>
      </c>
      <c r="I401" t="b">
        <f>COUNTIF(Estadísticas!I:I,'centraldecomunicacion.es'!H401)&gt;0</f>
        <v>0</v>
      </c>
    </row>
    <row r="402" spans="1:9">
      <c r="A402" t="s">
        <v>1456</v>
      </c>
      <c r="B402" t="s">
        <v>10</v>
      </c>
      <c r="C402" t="s">
        <v>1457</v>
      </c>
      <c r="D402" t="s">
        <v>1437</v>
      </c>
      <c r="E402" t="s">
        <v>373</v>
      </c>
      <c r="F402" t="s">
        <v>28</v>
      </c>
      <c r="G402" t="s">
        <v>28</v>
      </c>
      <c r="H402" t="s">
        <v>30</v>
      </c>
      <c r="I402" t="b">
        <f>COUNTIF(Estadísticas!I:I,'centraldecomunicacion.es'!H402)&gt;0</f>
        <v>0</v>
      </c>
    </row>
    <row r="403" spans="1:9">
      <c r="A403" t="s">
        <v>1458</v>
      </c>
      <c r="B403" t="s">
        <v>10</v>
      </c>
      <c r="C403" t="s">
        <v>1459</v>
      </c>
      <c r="D403" t="s">
        <v>1442</v>
      </c>
      <c r="E403" t="s">
        <v>373</v>
      </c>
      <c r="F403" t="s">
        <v>38</v>
      </c>
      <c r="G403" t="s">
        <v>1460</v>
      </c>
      <c r="H403" t="s">
        <v>30</v>
      </c>
      <c r="I403" t="b">
        <f>COUNTIF(Estadísticas!I:I,'centraldecomunicacion.es'!H403)&gt;0</f>
        <v>0</v>
      </c>
    </row>
    <row r="404" spans="1:9">
      <c r="A404" t="s">
        <v>1461</v>
      </c>
      <c r="B404" t="s">
        <v>10</v>
      </c>
      <c r="C404" t="s">
        <v>1462</v>
      </c>
      <c r="D404" t="s">
        <v>1437</v>
      </c>
      <c r="E404" t="s">
        <v>373</v>
      </c>
      <c r="F404" t="s">
        <v>50</v>
      </c>
      <c r="G404" t="s">
        <v>1463</v>
      </c>
      <c r="H404" t="s">
        <v>30</v>
      </c>
      <c r="I404" t="b">
        <f>COUNTIF(Estadísticas!I:I,'centraldecomunicacion.es'!H404)&gt;0</f>
        <v>0</v>
      </c>
    </row>
    <row r="405" spans="1:9">
      <c r="A405" t="s">
        <v>1464</v>
      </c>
      <c r="B405" t="s">
        <v>10</v>
      </c>
      <c r="C405" t="s">
        <v>1465</v>
      </c>
      <c r="D405" t="s">
        <v>1350</v>
      </c>
      <c r="E405" t="s">
        <v>373</v>
      </c>
      <c r="F405" t="s">
        <v>50</v>
      </c>
      <c r="G405" t="s">
        <v>1466</v>
      </c>
      <c r="H405" t="s">
        <v>30</v>
      </c>
      <c r="I405" t="b">
        <f>COUNTIF(Estadísticas!I:I,'centraldecomunicacion.es'!H405)&gt;0</f>
        <v>0</v>
      </c>
    </row>
    <row r="406" spans="1:9">
      <c r="A406" t="s">
        <v>1467</v>
      </c>
      <c r="B406" t="s">
        <v>10</v>
      </c>
      <c r="C406" t="s">
        <v>1468</v>
      </c>
      <c r="D406" t="s">
        <v>1469</v>
      </c>
      <c r="E406" t="s">
        <v>373</v>
      </c>
      <c r="F406" t="s">
        <v>28</v>
      </c>
      <c r="G406" t="s">
        <v>1470</v>
      </c>
      <c r="H406" t="s">
        <v>30</v>
      </c>
      <c r="I406" t="b">
        <f>COUNTIF(Estadísticas!I:I,'centraldecomunicacion.es'!H406)&gt;0</f>
        <v>0</v>
      </c>
    </row>
    <row r="407" spans="1:9">
      <c r="A407" t="s">
        <v>1471</v>
      </c>
      <c r="B407" t="s">
        <v>10</v>
      </c>
      <c r="C407" t="s">
        <v>1472</v>
      </c>
      <c r="D407" t="s">
        <v>1421</v>
      </c>
      <c r="E407" t="s">
        <v>1473</v>
      </c>
      <c r="F407" t="s">
        <v>28</v>
      </c>
      <c r="G407" t="s">
        <v>28</v>
      </c>
      <c r="H407" t="s">
        <v>30</v>
      </c>
      <c r="I407" t="b">
        <f>COUNTIF(Estadísticas!I:I,'centraldecomunicacion.es'!H407)&gt;0</f>
        <v>0</v>
      </c>
    </row>
    <row r="408" spans="1:9">
      <c r="A408" t="s">
        <v>1474</v>
      </c>
      <c r="B408" t="s">
        <v>10</v>
      </c>
      <c r="C408" t="s">
        <v>1475</v>
      </c>
      <c r="D408" t="s">
        <v>1476</v>
      </c>
      <c r="E408" t="s">
        <v>373</v>
      </c>
      <c r="F408" t="s">
        <v>28</v>
      </c>
      <c r="G408" t="s">
        <v>1477</v>
      </c>
      <c r="H408" t="s">
        <v>30</v>
      </c>
      <c r="I408" t="b">
        <f>COUNTIF(Estadísticas!I:I,'centraldecomunicacion.es'!H408)&gt;0</f>
        <v>0</v>
      </c>
    </row>
    <row r="409" spans="1:9">
      <c r="A409" t="s">
        <v>1478</v>
      </c>
      <c r="B409" t="s">
        <v>10</v>
      </c>
      <c r="C409" t="s">
        <v>1479</v>
      </c>
      <c r="D409" t="s">
        <v>1480</v>
      </c>
      <c r="E409" t="s">
        <v>373</v>
      </c>
      <c r="F409" t="s">
        <v>642</v>
      </c>
      <c r="G409" t="s">
        <v>1481</v>
      </c>
      <c r="H409" t="s">
        <v>30</v>
      </c>
      <c r="I409" t="b">
        <f>COUNTIF(Estadísticas!I:I,'centraldecomunicacion.es'!H409)&gt;0</f>
        <v>0</v>
      </c>
    </row>
    <row r="410" spans="1:9">
      <c r="A410" t="s">
        <v>873</v>
      </c>
      <c r="B410" t="s">
        <v>10</v>
      </c>
      <c r="C410" t="s">
        <v>1482</v>
      </c>
      <c r="D410" t="s">
        <v>1483</v>
      </c>
      <c r="E410" t="s">
        <v>373</v>
      </c>
      <c r="F410" t="s">
        <v>28</v>
      </c>
      <c r="G410" t="s">
        <v>1484</v>
      </c>
      <c r="H410" t="s">
        <v>30</v>
      </c>
      <c r="I410" t="b">
        <f>COUNTIF(Estadísticas!I:I,'centraldecomunicacion.es'!H410)&gt;0</f>
        <v>0</v>
      </c>
    </row>
    <row r="411" spans="1:9">
      <c r="A411" t="s">
        <v>1450</v>
      </c>
      <c r="B411" t="s">
        <v>10</v>
      </c>
      <c r="C411" t="s">
        <v>1485</v>
      </c>
      <c r="D411" t="s">
        <v>1483</v>
      </c>
      <c r="E411" t="s">
        <v>373</v>
      </c>
      <c r="F411" t="s">
        <v>28</v>
      </c>
      <c r="G411" t="s">
        <v>1452</v>
      </c>
      <c r="H411" t="s">
        <v>30</v>
      </c>
      <c r="I411" t="b">
        <f>COUNTIF(Estadísticas!I:I,'centraldecomunicacion.es'!H411)&gt;0</f>
        <v>0</v>
      </c>
    </row>
    <row r="412" spans="1:9">
      <c r="A412" t="s">
        <v>1486</v>
      </c>
      <c r="B412" t="s">
        <v>10</v>
      </c>
      <c r="C412" t="s">
        <v>1487</v>
      </c>
      <c r="D412" t="s">
        <v>1483</v>
      </c>
      <c r="E412" t="s">
        <v>373</v>
      </c>
      <c r="F412" t="s">
        <v>28</v>
      </c>
      <c r="G412" t="s">
        <v>1488</v>
      </c>
      <c r="H412" t="s">
        <v>30</v>
      </c>
      <c r="I412" t="b">
        <f>COUNTIF(Estadísticas!I:I,'centraldecomunicacion.es'!H412)&gt;0</f>
        <v>0</v>
      </c>
    </row>
    <row r="413" spans="1:9">
      <c r="A413" t="s">
        <v>1489</v>
      </c>
      <c r="B413" t="s">
        <v>10</v>
      </c>
      <c r="C413" t="s">
        <v>1490</v>
      </c>
      <c r="D413" t="s">
        <v>1491</v>
      </c>
      <c r="E413" t="s">
        <v>373</v>
      </c>
      <c r="F413" t="s">
        <v>28</v>
      </c>
      <c r="G413" t="s">
        <v>1492</v>
      </c>
      <c r="H413" t="s">
        <v>30</v>
      </c>
      <c r="I413" t="b">
        <f>COUNTIF(Estadísticas!I:I,'centraldecomunicacion.es'!H413)&gt;0</f>
        <v>0</v>
      </c>
    </row>
    <row r="414" spans="1:9">
      <c r="A414" t="s">
        <v>1493</v>
      </c>
      <c r="B414" t="s">
        <v>10</v>
      </c>
      <c r="C414" t="s">
        <v>1494</v>
      </c>
      <c r="D414" t="s">
        <v>1483</v>
      </c>
      <c r="E414" t="s">
        <v>373</v>
      </c>
      <c r="F414" t="s">
        <v>28</v>
      </c>
      <c r="G414" t="s">
        <v>1495</v>
      </c>
      <c r="H414" t="s">
        <v>30</v>
      </c>
      <c r="I414" t="b">
        <f>COUNTIF(Estadísticas!I:I,'centraldecomunicacion.es'!H414)&gt;0</f>
        <v>0</v>
      </c>
    </row>
    <row r="415" spans="1:9">
      <c r="A415" t="s">
        <v>1496</v>
      </c>
      <c r="B415" t="s">
        <v>10</v>
      </c>
      <c r="C415" t="s">
        <v>1497</v>
      </c>
      <c r="D415" t="s">
        <v>1476</v>
      </c>
      <c r="E415" t="s">
        <v>373</v>
      </c>
      <c r="F415" t="s">
        <v>28</v>
      </c>
      <c r="G415" t="s">
        <v>1498</v>
      </c>
      <c r="H415" t="s">
        <v>30</v>
      </c>
      <c r="I415" t="b">
        <f>COUNTIF(Estadísticas!I:I,'centraldecomunicacion.es'!H415)&gt;0</f>
        <v>0</v>
      </c>
    </row>
    <row r="416" spans="1:9">
      <c r="A416" t="s">
        <v>1499</v>
      </c>
      <c r="B416" t="s">
        <v>10</v>
      </c>
      <c r="C416" t="s">
        <v>1500</v>
      </c>
      <c r="D416" t="s">
        <v>1403</v>
      </c>
      <c r="E416" t="s">
        <v>373</v>
      </c>
      <c r="F416" t="s">
        <v>28</v>
      </c>
      <c r="G416" t="s">
        <v>28</v>
      </c>
      <c r="H416" t="s">
        <v>30</v>
      </c>
      <c r="I416" t="b">
        <f>COUNTIF(Estadísticas!I:I,'centraldecomunicacion.es'!H416)&gt;0</f>
        <v>0</v>
      </c>
    </row>
    <row r="417" spans="1:9">
      <c r="A417" t="s">
        <v>1501</v>
      </c>
      <c r="B417" t="s">
        <v>10</v>
      </c>
      <c r="C417" t="s">
        <v>1502</v>
      </c>
      <c r="D417" t="s">
        <v>1437</v>
      </c>
      <c r="E417" t="s">
        <v>373</v>
      </c>
      <c r="F417" t="s">
        <v>50</v>
      </c>
      <c r="G417" t="s">
        <v>1463</v>
      </c>
      <c r="H417" t="s">
        <v>30</v>
      </c>
      <c r="I417" t="b">
        <f>COUNTIF(Estadísticas!I:I,'centraldecomunicacion.es'!H417)&gt;0</f>
        <v>0</v>
      </c>
    </row>
    <row r="418" spans="1:9">
      <c r="A418" t="s">
        <v>1503</v>
      </c>
      <c r="B418" t="s">
        <v>10</v>
      </c>
      <c r="C418" t="s">
        <v>1504</v>
      </c>
      <c r="D418" t="s">
        <v>1505</v>
      </c>
      <c r="E418" t="s">
        <v>373</v>
      </c>
      <c r="F418" t="s">
        <v>28</v>
      </c>
      <c r="G418" t="s">
        <v>1506</v>
      </c>
      <c r="H418" t="s">
        <v>30</v>
      </c>
      <c r="I418" t="b">
        <f>COUNTIF(Estadísticas!I:I,'centraldecomunicacion.es'!H418)&gt;0</f>
        <v>0</v>
      </c>
    </row>
    <row r="419" spans="1:9">
      <c r="A419" t="s">
        <v>1507</v>
      </c>
      <c r="B419" t="s">
        <v>10</v>
      </c>
      <c r="C419" t="s">
        <v>1508</v>
      </c>
      <c r="D419" t="s">
        <v>1505</v>
      </c>
      <c r="E419" t="s">
        <v>373</v>
      </c>
      <c r="F419" t="s">
        <v>28</v>
      </c>
      <c r="G419" t="s">
        <v>1506</v>
      </c>
      <c r="H419" t="s">
        <v>30</v>
      </c>
      <c r="I419" t="b">
        <f>COUNTIF(Estadísticas!I:I,'centraldecomunicacion.es'!H419)&gt;0</f>
        <v>0</v>
      </c>
    </row>
    <row r="420" spans="1:9">
      <c r="A420" t="s">
        <v>1509</v>
      </c>
      <c r="B420" t="s">
        <v>10</v>
      </c>
      <c r="C420" t="s">
        <v>1510</v>
      </c>
      <c r="D420" t="s">
        <v>1505</v>
      </c>
      <c r="E420" t="s">
        <v>373</v>
      </c>
      <c r="F420" t="s">
        <v>28</v>
      </c>
      <c r="G420" t="s">
        <v>1511</v>
      </c>
      <c r="H420" t="s">
        <v>30</v>
      </c>
      <c r="I420" t="b">
        <f>COUNTIF(Estadísticas!I:I,'centraldecomunicacion.es'!H420)&gt;0</f>
        <v>0</v>
      </c>
    </row>
    <row r="421" spans="1:9">
      <c r="A421" t="s">
        <v>1512</v>
      </c>
      <c r="B421" t="s">
        <v>10</v>
      </c>
      <c r="C421" t="s">
        <v>1513</v>
      </c>
      <c r="D421" t="s">
        <v>1505</v>
      </c>
      <c r="E421" t="s">
        <v>1505</v>
      </c>
      <c r="F421" t="s">
        <v>28</v>
      </c>
      <c r="G421" t="s">
        <v>1514</v>
      </c>
      <c r="H421" t="s">
        <v>30</v>
      </c>
      <c r="I421" t="b">
        <f>COUNTIF(Estadísticas!I:I,'centraldecomunicacion.es'!H421)&gt;0</f>
        <v>0</v>
      </c>
    </row>
    <row r="422" spans="1:9">
      <c r="A422" t="s">
        <v>1515</v>
      </c>
      <c r="B422" t="s">
        <v>10</v>
      </c>
      <c r="C422" t="s">
        <v>28</v>
      </c>
      <c r="D422" t="s">
        <v>1239</v>
      </c>
      <c r="E422" t="s">
        <v>28</v>
      </c>
      <c r="F422" t="s">
        <v>38</v>
      </c>
      <c r="G422" t="s">
        <v>1516</v>
      </c>
      <c r="H422" t="s">
        <v>30</v>
      </c>
      <c r="I422" t="b">
        <f>COUNTIF(Estadísticas!I:I,'centraldecomunicacion.es'!H422)&gt;0</f>
        <v>0</v>
      </c>
    </row>
    <row r="423" spans="1:9">
      <c r="A423" t="s">
        <v>1517</v>
      </c>
      <c r="B423" t="s">
        <v>10</v>
      </c>
      <c r="C423" t="s">
        <v>1518</v>
      </c>
      <c r="D423" t="s">
        <v>1519</v>
      </c>
      <c r="E423" t="s">
        <v>373</v>
      </c>
      <c r="F423" t="s">
        <v>28</v>
      </c>
      <c r="G423" t="s">
        <v>1520</v>
      </c>
      <c r="H423" t="s">
        <v>30</v>
      </c>
      <c r="I423" t="b">
        <f>COUNTIF(Estadísticas!I:I,'centraldecomunicacion.es'!H423)&gt;0</f>
        <v>0</v>
      </c>
    </row>
    <row r="424" spans="1:9">
      <c r="A424" t="s">
        <v>1521</v>
      </c>
      <c r="B424" t="s">
        <v>10</v>
      </c>
      <c r="C424" t="s">
        <v>1522</v>
      </c>
      <c r="D424" t="s">
        <v>1523</v>
      </c>
      <c r="E424" t="s">
        <v>373</v>
      </c>
      <c r="F424" t="s">
        <v>28</v>
      </c>
      <c r="G424" t="s">
        <v>1524</v>
      </c>
      <c r="H424" t="s">
        <v>30</v>
      </c>
      <c r="I424" t="b">
        <f>COUNTIF(Estadísticas!I:I,'centraldecomunicacion.es'!H424)&gt;0</f>
        <v>0</v>
      </c>
    </row>
    <row r="425" spans="1:9">
      <c r="A425" t="s">
        <v>1525</v>
      </c>
      <c r="B425" t="s">
        <v>10</v>
      </c>
      <c r="C425" t="s">
        <v>1526</v>
      </c>
      <c r="D425" t="s">
        <v>1527</v>
      </c>
      <c r="E425" t="s">
        <v>373</v>
      </c>
      <c r="F425" t="s">
        <v>1528</v>
      </c>
      <c r="G425" t="s">
        <v>1529</v>
      </c>
      <c r="H425" t="s">
        <v>1530</v>
      </c>
      <c r="I425" t="b">
        <f>COUNTIF(Estadísticas!I:I,'centraldecomunicacion.es'!H425)&gt;0</f>
        <v>0</v>
      </c>
    </row>
    <row r="426" spans="1:9">
      <c r="A426" t="s">
        <v>1531</v>
      </c>
      <c r="B426" t="s">
        <v>10</v>
      </c>
      <c r="C426" t="s">
        <v>1532</v>
      </c>
      <c r="D426" t="s">
        <v>1505</v>
      </c>
      <c r="E426" t="s">
        <v>373</v>
      </c>
      <c r="F426" t="s">
        <v>28</v>
      </c>
      <c r="G426" t="s">
        <v>1533</v>
      </c>
      <c r="H426" t="s">
        <v>30</v>
      </c>
      <c r="I426" t="b">
        <f>COUNTIF(Estadísticas!I:I,'centraldecomunicacion.es'!H426)&gt;0</f>
        <v>0</v>
      </c>
    </row>
    <row r="427" spans="1:9">
      <c r="A427" t="s">
        <v>1534</v>
      </c>
      <c r="B427" t="s">
        <v>10</v>
      </c>
      <c r="C427" t="s">
        <v>1535</v>
      </c>
      <c r="D427" t="s">
        <v>1505</v>
      </c>
      <c r="E427" t="s">
        <v>373</v>
      </c>
      <c r="F427" t="s">
        <v>28</v>
      </c>
      <c r="G427" t="s">
        <v>1506</v>
      </c>
      <c r="H427" t="s">
        <v>30</v>
      </c>
      <c r="I427" t="b">
        <f>COUNTIF(Estadísticas!I:I,'centraldecomunicacion.es'!H427)&gt;0</f>
        <v>0</v>
      </c>
    </row>
    <row r="428" spans="1:9">
      <c r="A428" t="s">
        <v>1536</v>
      </c>
      <c r="B428" t="s">
        <v>10</v>
      </c>
      <c r="C428" t="s">
        <v>1537</v>
      </c>
      <c r="D428" t="s">
        <v>1538</v>
      </c>
      <c r="E428" t="s">
        <v>373</v>
      </c>
      <c r="F428" t="s">
        <v>28</v>
      </c>
      <c r="G428" t="s">
        <v>1539</v>
      </c>
      <c r="H428" t="s">
        <v>30</v>
      </c>
      <c r="I428" t="b">
        <f>COUNTIF(Estadísticas!I:I,'centraldecomunicacion.es'!H428)&gt;0</f>
        <v>0</v>
      </c>
    </row>
    <row r="429" spans="1:9">
      <c r="A429" t="s">
        <v>1540</v>
      </c>
      <c r="B429" t="s">
        <v>10</v>
      </c>
      <c r="C429" t="s">
        <v>1541</v>
      </c>
      <c r="D429" t="s">
        <v>1538</v>
      </c>
      <c r="E429" t="s">
        <v>373</v>
      </c>
      <c r="F429" t="s">
        <v>28</v>
      </c>
      <c r="G429" t="s">
        <v>1542</v>
      </c>
      <c r="H429" t="s">
        <v>30</v>
      </c>
      <c r="I429" t="b">
        <f>COUNTIF(Estadísticas!I:I,'centraldecomunicacion.es'!H429)&gt;0</f>
        <v>0</v>
      </c>
    </row>
    <row r="430" spans="1:9">
      <c r="A430" t="s">
        <v>1543</v>
      </c>
      <c r="B430" t="s">
        <v>10</v>
      </c>
      <c r="C430" t="s">
        <v>1544</v>
      </c>
      <c r="D430" t="s">
        <v>1545</v>
      </c>
      <c r="E430" t="s">
        <v>373</v>
      </c>
      <c r="F430" t="s">
        <v>746</v>
      </c>
      <c r="G430" t="s">
        <v>1546</v>
      </c>
      <c r="H430" t="s">
        <v>30</v>
      </c>
      <c r="I430" t="b">
        <f>COUNTIF(Estadísticas!I:I,'centraldecomunicacion.es'!H430)&gt;0</f>
        <v>0</v>
      </c>
    </row>
    <row r="431" spans="1:9">
      <c r="A431" t="s">
        <v>1547</v>
      </c>
      <c r="B431" t="s">
        <v>10</v>
      </c>
      <c r="C431" t="s">
        <v>1548</v>
      </c>
      <c r="D431" t="s">
        <v>1549</v>
      </c>
      <c r="E431" t="s">
        <v>373</v>
      </c>
      <c r="F431" t="s">
        <v>28</v>
      </c>
      <c r="G431" t="s">
        <v>1550</v>
      </c>
      <c r="H431" t="s">
        <v>30</v>
      </c>
      <c r="I431" t="b">
        <f>COUNTIF(Estadísticas!I:I,'centraldecomunicacion.es'!H431)&gt;0</f>
        <v>0</v>
      </c>
    </row>
    <row r="432" spans="1:9">
      <c r="A432" t="s">
        <v>1499</v>
      </c>
      <c r="B432" t="s">
        <v>10</v>
      </c>
      <c r="C432" t="s">
        <v>1551</v>
      </c>
      <c r="D432" t="s">
        <v>1483</v>
      </c>
      <c r="E432" t="s">
        <v>373</v>
      </c>
      <c r="F432" t="s">
        <v>1552</v>
      </c>
      <c r="G432" t="s">
        <v>1553</v>
      </c>
      <c r="H432" t="s">
        <v>30</v>
      </c>
      <c r="I432" t="b">
        <f>COUNTIF(Estadísticas!I:I,'centraldecomunicacion.es'!H432)&gt;0</f>
        <v>0</v>
      </c>
    </row>
    <row r="433" spans="1:9">
      <c r="A433" t="s">
        <v>1554</v>
      </c>
      <c r="B433" t="s">
        <v>10</v>
      </c>
      <c r="C433" t="s">
        <v>1555</v>
      </c>
      <c r="D433" t="s">
        <v>1556</v>
      </c>
      <c r="E433" t="s">
        <v>373</v>
      </c>
      <c r="F433" t="s">
        <v>1557</v>
      </c>
      <c r="G433" t="s">
        <v>1558</v>
      </c>
      <c r="H433" t="s">
        <v>30</v>
      </c>
      <c r="I433" t="b">
        <f>COUNTIF(Estadísticas!I:I,'centraldecomunicacion.es'!H433)&gt;0</f>
        <v>0</v>
      </c>
    </row>
    <row r="434" spans="1:9">
      <c r="A434" t="s">
        <v>1559</v>
      </c>
      <c r="B434" t="s">
        <v>10</v>
      </c>
      <c r="C434" t="s">
        <v>1560</v>
      </c>
      <c r="D434" t="s">
        <v>1523</v>
      </c>
      <c r="E434" t="s">
        <v>373</v>
      </c>
      <c r="F434" t="s">
        <v>1561</v>
      </c>
      <c r="G434" t="s">
        <v>1562</v>
      </c>
      <c r="H434" t="s">
        <v>30</v>
      </c>
      <c r="I434" t="b">
        <f>COUNTIF(Estadísticas!I:I,'centraldecomunicacion.es'!H434)&gt;0</f>
        <v>0</v>
      </c>
    </row>
    <row r="435" spans="1:9">
      <c r="A435" t="s">
        <v>1563</v>
      </c>
      <c r="B435" t="s">
        <v>10</v>
      </c>
      <c r="C435" t="s">
        <v>1564</v>
      </c>
      <c r="D435" t="s">
        <v>1446</v>
      </c>
      <c r="E435" t="s">
        <v>373</v>
      </c>
      <c r="F435" t="s">
        <v>28</v>
      </c>
      <c r="G435" t="s">
        <v>1565</v>
      </c>
      <c r="H435" t="s">
        <v>30</v>
      </c>
      <c r="I435" t="b">
        <f>COUNTIF(Estadísticas!I:I,'centraldecomunicacion.es'!H435)&gt;0</f>
        <v>0</v>
      </c>
    </row>
    <row r="436" spans="1:9">
      <c r="A436" t="s">
        <v>1566</v>
      </c>
      <c r="B436" t="s">
        <v>219</v>
      </c>
      <c r="C436" t="s">
        <v>1567</v>
      </c>
      <c r="D436" t="s">
        <v>1483</v>
      </c>
      <c r="E436" t="s">
        <v>373</v>
      </c>
      <c r="F436" t="s">
        <v>1568</v>
      </c>
      <c r="G436" t="s">
        <v>1569</v>
      </c>
      <c r="H436" t="s">
        <v>30</v>
      </c>
      <c r="I436" t="b">
        <f>COUNTIF(Estadísticas!I:I,'centraldecomunicacion.es'!H436)&gt;0</f>
        <v>0</v>
      </c>
    </row>
    <row r="437" spans="1:9">
      <c r="A437" t="s">
        <v>1570</v>
      </c>
      <c r="B437" t="s">
        <v>10</v>
      </c>
      <c r="C437" t="s">
        <v>1571</v>
      </c>
      <c r="D437" t="s">
        <v>1572</v>
      </c>
      <c r="E437" t="s">
        <v>373</v>
      </c>
      <c r="F437" t="s">
        <v>28</v>
      </c>
      <c r="G437" t="s">
        <v>1573</v>
      </c>
      <c r="H437" t="s">
        <v>30</v>
      </c>
      <c r="I437" t="b">
        <f>COUNTIF(Estadísticas!I:I,'centraldecomunicacion.es'!H437)&gt;0</f>
        <v>0</v>
      </c>
    </row>
    <row r="438" spans="1:9">
      <c r="A438" t="s">
        <v>1574</v>
      </c>
      <c r="B438" t="s">
        <v>10</v>
      </c>
      <c r="C438" t="s">
        <v>1575</v>
      </c>
      <c r="D438" t="s">
        <v>1576</v>
      </c>
      <c r="E438" t="s">
        <v>373</v>
      </c>
      <c r="F438" t="s">
        <v>28</v>
      </c>
      <c r="G438" t="s">
        <v>1577</v>
      </c>
      <c r="H438" t="s">
        <v>30</v>
      </c>
      <c r="I438" t="b">
        <f>COUNTIF(Estadísticas!I:I,'centraldecomunicacion.es'!H438)&gt;0</f>
        <v>0</v>
      </c>
    </row>
    <row r="439" spans="1:9">
      <c r="A439" t="s">
        <v>1578</v>
      </c>
      <c r="B439" t="s">
        <v>10</v>
      </c>
      <c r="C439" t="s">
        <v>1579</v>
      </c>
      <c r="D439" t="s">
        <v>1580</v>
      </c>
      <c r="E439" t="s">
        <v>373</v>
      </c>
      <c r="F439" t="s">
        <v>28</v>
      </c>
      <c r="G439" t="s">
        <v>1581</v>
      </c>
      <c r="H439" t="s">
        <v>30</v>
      </c>
      <c r="I439" t="b">
        <f>COUNTIF(Estadísticas!I:I,'centraldecomunicacion.es'!H439)&gt;0</f>
        <v>0</v>
      </c>
    </row>
    <row r="440" spans="1:9">
      <c r="A440" t="s">
        <v>1582</v>
      </c>
      <c r="B440" t="s">
        <v>10</v>
      </c>
      <c r="C440" t="s">
        <v>1583</v>
      </c>
      <c r="D440" t="s">
        <v>1505</v>
      </c>
      <c r="E440" t="s">
        <v>373</v>
      </c>
      <c r="F440" t="s">
        <v>1584</v>
      </c>
      <c r="G440" t="s">
        <v>1585</v>
      </c>
      <c r="H440" t="s">
        <v>1586</v>
      </c>
      <c r="I440" t="b">
        <f>COUNTIF(Estadísticas!I:I,'centraldecomunicacion.es'!H440)&gt;0</f>
        <v>1</v>
      </c>
    </row>
    <row r="441" spans="1:9">
      <c r="A441" t="s">
        <v>1587</v>
      </c>
      <c r="B441" t="s">
        <v>10</v>
      </c>
      <c r="C441" t="s">
        <v>1588</v>
      </c>
      <c r="D441" t="s">
        <v>1589</v>
      </c>
      <c r="E441" t="s">
        <v>373</v>
      </c>
      <c r="F441" t="s">
        <v>28</v>
      </c>
      <c r="G441" t="s">
        <v>1590</v>
      </c>
      <c r="H441" t="s">
        <v>30</v>
      </c>
      <c r="I441" t="b">
        <f>COUNTIF(Estadísticas!I:I,'centraldecomunicacion.es'!H441)&gt;0</f>
        <v>0</v>
      </c>
    </row>
    <row r="442" spans="1:9">
      <c r="A442" t="s">
        <v>1591</v>
      </c>
      <c r="B442" t="s">
        <v>10</v>
      </c>
      <c r="C442" t="s">
        <v>1592</v>
      </c>
      <c r="D442" t="s">
        <v>1593</v>
      </c>
      <c r="E442" t="s">
        <v>373</v>
      </c>
      <c r="F442" t="s">
        <v>28</v>
      </c>
      <c r="G442" t="s">
        <v>1594</v>
      </c>
      <c r="H442" t="s">
        <v>30</v>
      </c>
      <c r="I442" t="b">
        <f>COUNTIF(Estadísticas!I:I,'centraldecomunicacion.es'!H442)&gt;0</f>
        <v>0</v>
      </c>
    </row>
    <row r="443" spans="1:9">
      <c r="A443" t="s">
        <v>1595</v>
      </c>
      <c r="B443" t="s">
        <v>10</v>
      </c>
      <c r="C443" t="s">
        <v>1596</v>
      </c>
      <c r="D443" t="s">
        <v>1597</v>
      </c>
      <c r="E443" t="s">
        <v>373</v>
      </c>
      <c r="F443" t="s">
        <v>28</v>
      </c>
      <c r="G443" t="s">
        <v>1598</v>
      </c>
      <c r="H443" t="s">
        <v>30</v>
      </c>
      <c r="I443" t="b">
        <f>COUNTIF(Estadísticas!I:I,'centraldecomunicacion.es'!H443)&gt;0</f>
        <v>0</v>
      </c>
    </row>
    <row r="444" spans="1:9">
      <c r="A444" t="s">
        <v>1599</v>
      </c>
      <c r="B444" t="s">
        <v>10</v>
      </c>
      <c r="C444" t="s">
        <v>1600</v>
      </c>
      <c r="D444" t="s">
        <v>1601</v>
      </c>
      <c r="E444" t="s">
        <v>373</v>
      </c>
      <c r="F444" t="s">
        <v>28</v>
      </c>
      <c r="G444" t="s">
        <v>1602</v>
      </c>
      <c r="H444" t="s">
        <v>30</v>
      </c>
      <c r="I444" t="b">
        <f>COUNTIF(Estadísticas!I:I,'centraldecomunicacion.es'!H444)&gt;0</f>
        <v>0</v>
      </c>
    </row>
    <row r="445" spans="1:9">
      <c r="A445" t="s">
        <v>1603</v>
      </c>
      <c r="B445" t="s">
        <v>482</v>
      </c>
      <c r="C445" t="s">
        <v>1604</v>
      </c>
      <c r="D445" t="s">
        <v>373</v>
      </c>
      <c r="E445" t="s">
        <v>373</v>
      </c>
      <c r="F445" t="s">
        <v>1605</v>
      </c>
      <c r="G445" t="s">
        <v>1606</v>
      </c>
      <c r="H445" t="s">
        <v>30</v>
      </c>
      <c r="I445" t="b">
        <f>COUNTIF(Estadísticas!I:I,'centraldecomunicacion.es'!H445)&gt;0</f>
        <v>0</v>
      </c>
    </row>
    <row r="446" spans="1:9">
      <c r="A446" t="s">
        <v>1607</v>
      </c>
      <c r="B446" t="s">
        <v>10</v>
      </c>
      <c r="C446" t="s">
        <v>1608</v>
      </c>
      <c r="D446" t="s">
        <v>1609</v>
      </c>
      <c r="E446" t="s">
        <v>1609</v>
      </c>
      <c r="F446" t="s">
        <v>28</v>
      </c>
      <c r="G446" t="s">
        <v>1610</v>
      </c>
      <c r="H446" t="s">
        <v>30</v>
      </c>
      <c r="I446" t="b">
        <f>COUNTIF(Estadísticas!I:I,'centraldecomunicacion.es'!H446)&gt;0</f>
        <v>0</v>
      </c>
    </row>
    <row r="447" spans="1:9">
      <c r="A447" t="s">
        <v>1611</v>
      </c>
      <c r="B447" t="s">
        <v>10</v>
      </c>
      <c r="C447" t="s">
        <v>1612</v>
      </c>
      <c r="D447" t="s">
        <v>1609</v>
      </c>
      <c r="E447" t="s">
        <v>1609</v>
      </c>
      <c r="F447" t="s">
        <v>28</v>
      </c>
      <c r="G447" t="s">
        <v>1613</v>
      </c>
      <c r="H447" t="s">
        <v>30</v>
      </c>
      <c r="I447" t="b">
        <f>COUNTIF(Estadísticas!I:I,'centraldecomunicacion.es'!H447)&gt;0</f>
        <v>0</v>
      </c>
    </row>
    <row r="448" spans="1:9">
      <c r="A448" t="s">
        <v>1614</v>
      </c>
      <c r="B448" t="s">
        <v>10</v>
      </c>
      <c r="C448" t="s">
        <v>1615</v>
      </c>
      <c r="D448" t="s">
        <v>1609</v>
      </c>
      <c r="E448" t="s">
        <v>1609</v>
      </c>
      <c r="F448" t="s">
        <v>1616</v>
      </c>
      <c r="G448" t="s">
        <v>1617</v>
      </c>
      <c r="H448" t="s">
        <v>1618</v>
      </c>
      <c r="I448" t="b">
        <f>COUNTIF(Estadísticas!I:I,'centraldecomunicacion.es'!H448)&gt;0</f>
        <v>0</v>
      </c>
    </row>
    <row r="449" spans="1:9">
      <c r="A449" t="s">
        <v>1619</v>
      </c>
      <c r="B449" t="s">
        <v>10</v>
      </c>
      <c r="C449" t="s">
        <v>1620</v>
      </c>
      <c r="D449" t="s">
        <v>1609</v>
      </c>
      <c r="E449" t="s">
        <v>1609</v>
      </c>
      <c r="F449" t="s">
        <v>1621</v>
      </c>
      <c r="G449" t="s">
        <v>1622</v>
      </c>
      <c r="H449" t="s">
        <v>30</v>
      </c>
      <c r="I449" t="b">
        <f>COUNTIF(Estadísticas!I:I,'centraldecomunicacion.es'!H449)&gt;0</f>
        <v>0</v>
      </c>
    </row>
    <row r="450" spans="1:9">
      <c r="A450" t="s">
        <v>1623</v>
      </c>
      <c r="B450" t="s">
        <v>10</v>
      </c>
      <c r="C450" t="s">
        <v>1624</v>
      </c>
      <c r="D450" t="s">
        <v>1609</v>
      </c>
      <c r="E450" t="s">
        <v>1609</v>
      </c>
      <c r="F450" t="s">
        <v>1625</v>
      </c>
      <c r="G450" t="s">
        <v>1626</v>
      </c>
      <c r="H450" t="s">
        <v>1627</v>
      </c>
      <c r="I450" t="b">
        <f>COUNTIF(Estadísticas!I:I,'centraldecomunicacion.es'!H450)&gt;0</f>
        <v>0</v>
      </c>
    </row>
    <row r="451" spans="1:9">
      <c r="A451" t="s">
        <v>1628</v>
      </c>
      <c r="B451" t="s">
        <v>10</v>
      </c>
      <c r="C451" t="s">
        <v>1629</v>
      </c>
      <c r="D451" t="s">
        <v>1609</v>
      </c>
      <c r="E451" t="s">
        <v>1609</v>
      </c>
      <c r="F451" t="s">
        <v>1630</v>
      </c>
      <c r="G451" t="s">
        <v>1631</v>
      </c>
      <c r="H451" t="s">
        <v>30</v>
      </c>
      <c r="I451" t="b">
        <f>COUNTIF(Estadísticas!I:I,'centraldecomunicacion.es'!H451)&gt;0</f>
        <v>0</v>
      </c>
    </row>
    <row r="452" spans="1:9">
      <c r="A452" t="s">
        <v>1632</v>
      </c>
      <c r="B452" t="s">
        <v>10</v>
      </c>
      <c r="C452" t="s">
        <v>1633</v>
      </c>
      <c r="D452" t="s">
        <v>1609</v>
      </c>
      <c r="E452" t="s">
        <v>1609</v>
      </c>
      <c r="F452" t="s">
        <v>28</v>
      </c>
      <c r="G452" t="s">
        <v>1634</v>
      </c>
      <c r="H452" t="s">
        <v>30</v>
      </c>
      <c r="I452" t="b">
        <f>COUNTIF(Estadísticas!I:I,'centraldecomunicacion.es'!H452)&gt;0</f>
        <v>0</v>
      </c>
    </row>
    <row r="453" spans="1:9">
      <c r="A453" t="s">
        <v>1635</v>
      </c>
      <c r="B453" t="s">
        <v>10</v>
      </c>
      <c r="C453" t="s">
        <v>1636</v>
      </c>
      <c r="D453" t="s">
        <v>1609</v>
      </c>
      <c r="E453" t="s">
        <v>1609</v>
      </c>
      <c r="F453" t="s">
        <v>1637</v>
      </c>
      <c r="G453" t="s">
        <v>1638</v>
      </c>
      <c r="H453" t="s">
        <v>1639</v>
      </c>
      <c r="I453" t="b">
        <f>COUNTIF(Estadísticas!I:I,'centraldecomunicacion.es'!H453)&gt;0</f>
        <v>1</v>
      </c>
    </row>
    <row r="454" spans="1:9">
      <c r="A454" t="s">
        <v>1005</v>
      </c>
      <c r="B454" t="s">
        <v>10</v>
      </c>
      <c r="C454" t="s">
        <v>1640</v>
      </c>
      <c r="D454" t="s">
        <v>1609</v>
      </c>
      <c r="E454" t="s">
        <v>1609</v>
      </c>
      <c r="F454" t="s">
        <v>1641</v>
      </c>
      <c r="G454" t="s">
        <v>1642</v>
      </c>
      <c r="H454" t="s">
        <v>1643</v>
      </c>
      <c r="I454" t="b">
        <f>COUNTIF(Estadísticas!I:I,'centraldecomunicacion.es'!H454)&gt;0</f>
        <v>0</v>
      </c>
    </row>
    <row r="455" spans="1:9">
      <c r="A455" t="s">
        <v>1644</v>
      </c>
      <c r="B455" t="s">
        <v>10</v>
      </c>
      <c r="C455" t="s">
        <v>1645</v>
      </c>
      <c r="D455" t="s">
        <v>1609</v>
      </c>
      <c r="E455" t="s">
        <v>1609</v>
      </c>
      <c r="F455" t="s">
        <v>50</v>
      </c>
      <c r="G455" t="s">
        <v>1646</v>
      </c>
      <c r="H455" t="s">
        <v>30</v>
      </c>
      <c r="I455" t="b">
        <f>COUNTIF(Estadísticas!I:I,'centraldecomunicacion.es'!H455)&gt;0</f>
        <v>0</v>
      </c>
    </row>
    <row r="456" spans="1:9">
      <c r="A456" t="s">
        <v>1647</v>
      </c>
      <c r="B456" t="s">
        <v>10</v>
      </c>
      <c r="C456" t="s">
        <v>1648</v>
      </c>
      <c r="D456" t="s">
        <v>1609</v>
      </c>
      <c r="E456" t="s">
        <v>1609</v>
      </c>
      <c r="F456" t="s">
        <v>28</v>
      </c>
      <c r="G456" t="s">
        <v>1649</v>
      </c>
      <c r="H456" t="s">
        <v>30</v>
      </c>
      <c r="I456" t="b">
        <f>COUNTIF(Estadísticas!I:I,'centraldecomunicacion.es'!H456)&gt;0</f>
        <v>0</v>
      </c>
    </row>
    <row r="457" spans="1:9">
      <c r="A457" t="s">
        <v>1650</v>
      </c>
      <c r="B457" t="s">
        <v>10</v>
      </c>
      <c r="C457" t="s">
        <v>1651</v>
      </c>
      <c r="D457" t="s">
        <v>1609</v>
      </c>
      <c r="E457" t="s">
        <v>1609</v>
      </c>
      <c r="F457" t="s">
        <v>28</v>
      </c>
      <c r="G457" t="s">
        <v>1652</v>
      </c>
      <c r="H457" t="s">
        <v>30</v>
      </c>
      <c r="I457" t="b">
        <f>COUNTIF(Estadísticas!I:I,'centraldecomunicacion.es'!H457)&gt;0</f>
        <v>0</v>
      </c>
    </row>
    <row r="458" spans="1:9">
      <c r="A458" t="s">
        <v>1653</v>
      </c>
      <c r="B458" t="s">
        <v>10</v>
      </c>
      <c r="C458" t="s">
        <v>1654</v>
      </c>
      <c r="D458" t="s">
        <v>1609</v>
      </c>
      <c r="E458" t="s">
        <v>1609</v>
      </c>
      <c r="F458" t="s">
        <v>28</v>
      </c>
      <c r="G458" t="s">
        <v>1655</v>
      </c>
      <c r="H458" t="s">
        <v>30</v>
      </c>
      <c r="I458" t="b">
        <f>COUNTIF(Estadísticas!I:I,'centraldecomunicacion.es'!H458)&gt;0</f>
        <v>0</v>
      </c>
    </row>
    <row r="459" spans="1:9">
      <c r="A459" t="s">
        <v>1656</v>
      </c>
      <c r="B459" t="s">
        <v>10</v>
      </c>
      <c r="C459" t="s">
        <v>1657</v>
      </c>
      <c r="D459" t="s">
        <v>1609</v>
      </c>
      <c r="E459" t="s">
        <v>1609</v>
      </c>
      <c r="F459" t="s">
        <v>28</v>
      </c>
      <c r="G459" t="s">
        <v>1658</v>
      </c>
      <c r="H459" t="s">
        <v>30</v>
      </c>
      <c r="I459" t="b">
        <f>COUNTIF(Estadísticas!I:I,'centraldecomunicacion.es'!H459)&gt;0</f>
        <v>0</v>
      </c>
    </row>
    <row r="460" spans="1:9">
      <c r="A460" t="s">
        <v>1659</v>
      </c>
      <c r="B460" t="s">
        <v>10</v>
      </c>
      <c r="C460" t="s">
        <v>1660</v>
      </c>
      <c r="D460" t="s">
        <v>1609</v>
      </c>
      <c r="E460" t="s">
        <v>1609</v>
      </c>
      <c r="F460" t="s">
        <v>28</v>
      </c>
      <c r="G460" t="s">
        <v>28</v>
      </c>
      <c r="H460" t="s">
        <v>30</v>
      </c>
      <c r="I460" t="b">
        <f>COUNTIF(Estadísticas!I:I,'centraldecomunicacion.es'!H460)&gt;0</f>
        <v>0</v>
      </c>
    </row>
    <row r="461" spans="1:9">
      <c r="A461" t="s">
        <v>1661</v>
      </c>
      <c r="B461" t="s">
        <v>10</v>
      </c>
      <c r="C461" t="s">
        <v>1662</v>
      </c>
      <c r="D461" t="s">
        <v>1609</v>
      </c>
      <c r="E461" t="s">
        <v>1609</v>
      </c>
      <c r="F461" t="s">
        <v>28</v>
      </c>
      <c r="G461" t="s">
        <v>1663</v>
      </c>
      <c r="H461" t="s">
        <v>30</v>
      </c>
      <c r="I461" t="b">
        <f>COUNTIF(Estadísticas!I:I,'centraldecomunicacion.es'!H461)&gt;0</f>
        <v>0</v>
      </c>
    </row>
    <row r="462" spans="1:9">
      <c r="A462" t="s">
        <v>1664</v>
      </c>
      <c r="B462" t="s">
        <v>10</v>
      </c>
      <c r="C462" t="s">
        <v>1665</v>
      </c>
      <c r="D462" t="s">
        <v>1609</v>
      </c>
      <c r="E462" t="s">
        <v>1609</v>
      </c>
      <c r="F462" t="s">
        <v>28</v>
      </c>
      <c r="G462" t="s">
        <v>1666</v>
      </c>
      <c r="H462" t="s">
        <v>30</v>
      </c>
      <c r="I462" t="b">
        <f>COUNTIF(Estadísticas!I:I,'centraldecomunicacion.es'!H462)&gt;0</f>
        <v>0</v>
      </c>
    </row>
    <row r="463" spans="1:9">
      <c r="A463" t="s">
        <v>1667</v>
      </c>
      <c r="B463" t="s">
        <v>10</v>
      </c>
      <c r="C463" t="s">
        <v>1668</v>
      </c>
      <c r="D463" t="s">
        <v>1609</v>
      </c>
      <c r="E463" t="s">
        <v>1609</v>
      </c>
      <c r="F463" t="s">
        <v>1669</v>
      </c>
      <c r="G463" t="s">
        <v>1670</v>
      </c>
      <c r="H463" t="s">
        <v>30</v>
      </c>
      <c r="I463" t="b">
        <f>COUNTIF(Estadísticas!I:I,'centraldecomunicacion.es'!H463)&gt;0</f>
        <v>0</v>
      </c>
    </row>
    <row r="464" spans="1:9">
      <c r="A464" t="s">
        <v>1671</v>
      </c>
      <c r="B464" t="s">
        <v>10</v>
      </c>
      <c r="C464" t="s">
        <v>1672</v>
      </c>
      <c r="D464" t="s">
        <v>1673</v>
      </c>
      <c r="E464" t="s">
        <v>1609</v>
      </c>
      <c r="F464" t="s">
        <v>28</v>
      </c>
      <c r="G464" t="s">
        <v>1674</v>
      </c>
      <c r="H464" t="s">
        <v>30</v>
      </c>
      <c r="I464" t="b">
        <f>COUNTIF(Estadísticas!I:I,'centraldecomunicacion.es'!H464)&gt;0</f>
        <v>0</v>
      </c>
    </row>
    <row r="465" spans="1:9">
      <c r="A465" t="s">
        <v>1671</v>
      </c>
      <c r="B465" t="s">
        <v>10</v>
      </c>
      <c r="C465" t="s">
        <v>1675</v>
      </c>
      <c r="D465" t="s">
        <v>1609</v>
      </c>
      <c r="E465" t="s">
        <v>1609</v>
      </c>
      <c r="F465" t="s">
        <v>28</v>
      </c>
      <c r="G465" t="s">
        <v>1676</v>
      </c>
      <c r="H465" t="s">
        <v>30</v>
      </c>
      <c r="I465" t="b">
        <f>COUNTIF(Estadísticas!I:I,'centraldecomunicacion.es'!H465)&gt;0</f>
        <v>0</v>
      </c>
    </row>
    <row r="466" spans="1:9">
      <c r="A466" t="s">
        <v>1677</v>
      </c>
      <c r="B466" t="s">
        <v>10</v>
      </c>
      <c r="C466" t="s">
        <v>1633</v>
      </c>
      <c r="D466" t="s">
        <v>1609</v>
      </c>
      <c r="E466" t="s">
        <v>1609</v>
      </c>
      <c r="F466" t="s">
        <v>28</v>
      </c>
      <c r="G466" t="s">
        <v>1678</v>
      </c>
      <c r="H466" t="s">
        <v>30</v>
      </c>
      <c r="I466" t="b">
        <f>COUNTIF(Estadísticas!I:I,'centraldecomunicacion.es'!H466)&gt;0</f>
        <v>0</v>
      </c>
    </row>
    <row r="467" spans="1:9">
      <c r="A467" t="s">
        <v>1679</v>
      </c>
      <c r="B467" t="s">
        <v>10</v>
      </c>
      <c r="C467" t="s">
        <v>1680</v>
      </c>
      <c r="D467" t="s">
        <v>1609</v>
      </c>
      <c r="E467" t="s">
        <v>1609</v>
      </c>
      <c r="F467" t="s">
        <v>1681</v>
      </c>
      <c r="G467" t="s">
        <v>1682</v>
      </c>
      <c r="H467" t="s">
        <v>30</v>
      </c>
      <c r="I467" t="b">
        <f>COUNTIF(Estadísticas!I:I,'centraldecomunicacion.es'!H467)&gt;0</f>
        <v>0</v>
      </c>
    </row>
    <row r="468" spans="1:9">
      <c r="A468" t="s">
        <v>1683</v>
      </c>
      <c r="B468" t="s">
        <v>10</v>
      </c>
      <c r="C468" t="s">
        <v>1645</v>
      </c>
      <c r="D468" t="s">
        <v>1609</v>
      </c>
      <c r="E468" t="s">
        <v>1609</v>
      </c>
      <c r="F468" t="s">
        <v>28</v>
      </c>
      <c r="G468" t="s">
        <v>1646</v>
      </c>
      <c r="H468" t="s">
        <v>30</v>
      </c>
      <c r="I468" t="b">
        <f>COUNTIF(Estadísticas!I:I,'centraldecomunicacion.es'!H468)&gt;0</f>
        <v>0</v>
      </c>
    </row>
    <row r="469" spans="1:9">
      <c r="A469" t="s">
        <v>1684</v>
      </c>
      <c r="B469" t="s">
        <v>10</v>
      </c>
      <c r="C469" t="s">
        <v>1685</v>
      </c>
      <c r="D469" t="s">
        <v>1609</v>
      </c>
      <c r="E469" t="s">
        <v>1609</v>
      </c>
      <c r="F469" t="s">
        <v>969</v>
      </c>
      <c r="G469" t="s">
        <v>1686</v>
      </c>
      <c r="H469" t="s">
        <v>513</v>
      </c>
      <c r="I469" t="b">
        <f>COUNTIF(Estadísticas!I:I,'centraldecomunicacion.es'!H469)&gt;0</f>
        <v>1</v>
      </c>
    </row>
    <row r="470" spans="1:9">
      <c r="A470" t="s">
        <v>1687</v>
      </c>
      <c r="B470" t="s">
        <v>10</v>
      </c>
      <c r="C470" t="s">
        <v>1688</v>
      </c>
      <c r="D470" t="s">
        <v>1609</v>
      </c>
      <c r="E470" t="s">
        <v>1609</v>
      </c>
      <c r="F470" t="s">
        <v>50</v>
      </c>
      <c r="G470" t="s">
        <v>1689</v>
      </c>
      <c r="H470" t="s">
        <v>30</v>
      </c>
      <c r="I470" t="b">
        <f>COUNTIF(Estadísticas!I:I,'centraldecomunicacion.es'!H470)&gt;0</f>
        <v>0</v>
      </c>
    </row>
    <row r="471" spans="1:9">
      <c r="A471" t="s">
        <v>1690</v>
      </c>
      <c r="B471" t="s">
        <v>10</v>
      </c>
      <c r="C471" t="s">
        <v>1691</v>
      </c>
      <c r="D471" t="s">
        <v>1692</v>
      </c>
      <c r="E471" t="s">
        <v>1609</v>
      </c>
      <c r="F471" t="s">
        <v>28</v>
      </c>
      <c r="G471" t="s">
        <v>1693</v>
      </c>
      <c r="H471" t="s">
        <v>30</v>
      </c>
      <c r="I471" t="b">
        <f>COUNTIF(Estadísticas!I:I,'centraldecomunicacion.es'!H471)&gt;0</f>
        <v>0</v>
      </c>
    </row>
    <row r="472" spans="1:9">
      <c r="A472" t="s">
        <v>1694</v>
      </c>
      <c r="B472" t="s">
        <v>10</v>
      </c>
      <c r="C472" t="s">
        <v>1695</v>
      </c>
      <c r="D472" t="s">
        <v>1696</v>
      </c>
      <c r="E472" t="s">
        <v>1609</v>
      </c>
      <c r="F472" t="s">
        <v>38</v>
      </c>
      <c r="G472" t="s">
        <v>1697</v>
      </c>
      <c r="H472" t="s">
        <v>30</v>
      </c>
      <c r="I472" t="b">
        <f>COUNTIF(Estadísticas!I:I,'centraldecomunicacion.es'!H472)&gt;0</f>
        <v>0</v>
      </c>
    </row>
    <row r="473" spans="1:9">
      <c r="A473" t="s">
        <v>1698</v>
      </c>
      <c r="B473" t="s">
        <v>10</v>
      </c>
      <c r="C473" t="s">
        <v>1699</v>
      </c>
      <c r="D473" t="s">
        <v>1692</v>
      </c>
      <c r="E473" t="s">
        <v>1609</v>
      </c>
      <c r="F473" t="s">
        <v>28</v>
      </c>
      <c r="G473" t="s">
        <v>1700</v>
      </c>
      <c r="H473" t="s">
        <v>30</v>
      </c>
      <c r="I473" t="b">
        <f>COUNTIF(Estadísticas!I:I,'centraldecomunicacion.es'!H473)&gt;0</f>
        <v>0</v>
      </c>
    </row>
    <row r="474" spans="1:9">
      <c r="A474" t="s">
        <v>1701</v>
      </c>
      <c r="B474" t="s">
        <v>10</v>
      </c>
      <c r="C474" t="s">
        <v>1702</v>
      </c>
      <c r="D474" t="s">
        <v>1692</v>
      </c>
      <c r="E474" t="s">
        <v>1609</v>
      </c>
      <c r="F474" t="s">
        <v>28</v>
      </c>
      <c r="G474" t="s">
        <v>1703</v>
      </c>
      <c r="H474" t="s">
        <v>30</v>
      </c>
      <c r="I474" t="b">
        <f>COUNTIF(Estadísticas!I:I,'centraldecomunicacion.es'!H474)&gt;0</f>
        <v>0</v>
      </c>
    </row>
    <row r="475" spans="1:9">
      <c r="A475" t="s">
        <v>1704</v>
      </c>
      <c r="B475" t="s">
        <v>10</v>
      </c>
      <c r="C475" t="s">
        <v>1705</v>
      </c>
      <c r="D475" t="s">
        <v>1706</v>
      </c>
      <c r="E475" t="s">
        <v>1609</v>
      </c>
      <c r="F475" t="s">
        <v>28</v>
      </c>
      <c r="G475" t="s">
        <v>1707</v>
      </c>
      <c r="H475" t="s">
        <v>30</v>
      </c>
      <c r="I475" t="b">
        <f>COUNTIF(Estadísticas!I:I,'centraldecomunicacion.es'!H475)&gt;0</f>
        <v>0</v>
      </c>
    </row>
    <row r="476" spans="1:9">
      <c r="A476" t="s">
        <v>1708</v>
      </c>
      <c r="B476" t="s">
        <v>10</v>
      </c>
      <c r="C476" t="s">
        <v>1709</v>
      </c>
      <c r="D476" t="s">
        <v>1710</v>
      </c>
      <c r="E476" t="s">
        <v>1609</v>
      </c>
      <c r="F476" t="s">
        <v>28</v>
      </c>
      <c r="G476" t="s">
        <v>1711</v>
      </c>
      <c r="H476" t="s">
        <v>30</v>
      </c>
      <c r="I476" t="b">
        <f>COUNTIF(Estadísticas!I:I,'centraldecomunicacion.es'!H476)&gt;0</f>
        <v>0</v>
      </c>
    </row>
    <row r="477" spans="1:9">
      <c r="A477" t="s">
        <v>1712</v>
      </c>
      <c r="B477" t="s">
        <v>10</v>
      </c>
      <c r="C477" t="s">
        <v>1713</v>
      </c>
      <c r="D477" t="s">
        <v>1714</v>
      </c>
      <c r="E477" t="s">
        <v>1609</v>
      </c>
      <c r="F477" t="s">
        <v>38</v>
      </c>
      <c r="G477" t="s">
        <v>1715</v>
      </c>
      <c r="H477" t="s">
        <v>30</v>
      </c>
      <c r="I477" t="b">
        <f>COUNTIF(Estadísticas!I:I,'centraldecomunicacion.es'!H477)&gt;0</f>
        <v>0</v>
      </c>
    </row>
    <row r="478" spans="1:9">
      <c r="A478" t="s">
        <v>1716</v>
      </c>
      <c r="B478" t="s">
        <v>10</v>
      </c>
      <c r="C478" t="s">
        <v>1717</v>
      </c>
      <c r="D478" t="s">
        <v>1718</v>
      </c>
      <c r="E478" t="s">
        <v>1609</v>
      </c>
      <c r="F478" t="s">
        <v>1719</v>
      </c>
      <c r="G478" t="s">
        <v>1720</v>
      </c>
      <c r="H478" t="s">
        <v>30</v>
      </c>
      <c r="I478" t="b">
        <f>COUNTIF(Estadísticas!I:I,'centraldecomunicacion.es'!H478)&gt;0</f>
        <v>0</v>
      </c>
    </row>
    <row r="479" spans="1:9">
      <c r="A479" t="s">
        <v>1721</v>
      </c>
      <c r="B479" t="s">
        <v>10</v>
      </c>
      <c r="C479" t="s">
        <v>1722</v>
      </c>
      <c r="D479" t="s">
        <v>1714</v>
      </c>
      <c r="E479" t="s">
        <v>1609</v>
      </c>
      <c r="F479" t="s">
        <v>28</v>
      </c>
      <c r="G479" t="s">
        <v>1723</v>
      </c>
      <c r="H479" t="s">
        <v>30</v>
      </c>
      <c r="I479" t="b">
        <f>COUNTIF(Estadísticas!I:I,'centraldecomunicacion.es'!H479)&gt;0</f>
        <v>0</v>
      </c>
    </row>
    <row r="480" spans="1:9">
      <c r="A480" t="s">
        <v>1724</v>
      </c>
      <c r="B480" t="s">
        <v>10</v>
      </c>
      <c r="C480" t="s">
        <v>1725</v>
      </c>
      <c r="D480" t="s">
        <v>1718</v>
      </c>
      <c r="E480" t="s">
        <v>1609</v>
      </c>
      <c r="F480" t="s">
        <v>28</v>
      </c>
      <c r="G480" t="s">
        <v>28</v>
      </c>
      <c r="H480" t="s">
        <v>30</v>
      </c>
      <c r="I480" t="b">
        <f>COUNTIF(Estadísticas!I:I,'centraldecomunicacion.es'!H480)&gt;0</f>
        <v>0</v>
      </c>
    </row>
    <row r="481" spans="1:9">
      <c r="A481" t="s">
        <v>1726</v>
      </c>
      <c r="B481" t="s">
        <v>10</v>
      </c>
      <c r="C481" t="s">
        <v>1727</v>
      </c>
      <c r="D481" t="s">
        <v>1706</v>
      </c>
      <c r="E481" t="s">
        <v>1609</v>
      </c>
      <c r="F481" t="s">
        <v>50</v>
      </c>
      <c r="G481" t="s">
        <v>1728</v>
      </c>
      <c r="H481" t="s">
        <v>30</v>
      </c>
      <c r="I481" t="b">
        <f>COUNTIF(Estadísticas!I:I,'centraldecomunicacion.es'!H481)&gt;0</f>
        <v>0</v>
      </c>
    </row>
    <row r="482" spans="1:9">
      <c r="A482" t="s">
        <v>1729</v>
      </c>
      <c r="B482" t="s">
        <v>10</v>
      </c>
      <c r="C482" t="s">
        <v>28</v>
      </c>
      <c r="D482" t="s">
        <v>1673</v>
      </c>
      <c r="E482" t="s">
        <v>28</v>
      </c>
      <c r="F482" t="s">
        <v>1730</v>
      </c>
      <c r="G482" t="s">
        <v>1731</v>
      </c>
      <c r="H482" t="s">
        <v>30</v>
      </c>
      <c r="I482" t="b">
        <f>COUNTIF(Estadísticas!I:I,'centraldecomunicacion.es'!H482)&gt;0</f>
        <v>0</v>
      </c>
    </row>
    <row r="483" spans="1:9">
      <c r="A483" t="s">
        <v>1732</v>
      </c>
      <c r="B483" t="s">
        <v>10</v>
      </c>
      <c r="C483" t="s">
        <v>1733</v>
      </c>
      <c r="D483" t="s">
        <v>1734</v>
      </c>
      <c r="E483" t="s">
        <v>1609</v>
      </c>
      <c r="F483" t="s">
        <v>28</v>
      </c>
      <c r="G483" t="s">
        <v>1735</v>
      </c>
      <c r="H483" t="s">
        <v>30</v>
      </c>
      <c r="I483" t="b">
        <f>COUNTIF(Estadísticas!I:I,'centraldecomunicacion.es'!H483)&gt;0</f>
        <v>0</v>
      </c>
    </row>
    <row r="484" spans="1:9">
      <c r="A484" t="s">
        <v>1736</v>
      </c>
      <c r="B484" t="s">
        <v>10</v>
      </c>
      <c r="C484" t="s">
        <v>1737</v>
      </c>
      <c r="D484" t="s">
        <v>1718</v>
      </c>
      <c r="E484" t="s">
        <v>1609</v>
      </c>
      <c r="F484" t="s">
        <v>1738</v>
      </c>
      <c r="G484" t="s">
        <v>1739</v>
      </c>
      <c r="H484" t="s">
        <v>30</v>
      </c>
      <c r="I484" t="b">
        <f>COUNTIF(Estadísticas!I:I,'centraldecomunicacion.es'!H484)&gt;0</f>
        <v>0</v>
      </c>
    </row>
    <row r="485" spans="1:9">
      <c r="A485" t="s">
        <v>1740</v>
      </c>
      <c r="B485" t="s">
        <v>10</v>
      </c>
      <c r="C485" t="s">
        <v>1741</v>
      </c>
      <c r="D485" t="s">
        <v>1742</v>
      </c>
      <c r="E485" t="s">
        <v>1609</v>
      </c>
      <c r="F485" t="s">
        <v>1743</v>
      </c>
      <c r="G485" t="s">
        <v>1744</v>
      </c>
      <c r="H485" t="s">
        <v>1745</v>
      </c>
      <c r="I485" t="b">
        <f>COUNTIF(Estadísticas!I:I,'centraldecomunicacion.es'!H485)&gt;0</f>
        <v>0</v>
      </c>
    </row>
    <row r="486" spans="1:9">
      <c r="A486" t="s">
        <v>1746</v>
      </c>
      <c r="B486" t="s">
        <v>10</v>
      </c>
      <c r="C486" t="s">
        <v>1747</v>
      </c>
      <c r="D486" t="s">
        <v>1748</v>
      </c>
      <c r="E486" t="s">
        <v>1609</v>
      </c>
      <c r="F486" t="s">
        <v>28</v>
      </c>
      <c r="G486" t="s">
        <v>1749</v>
      </c>
      <c r="H486" t="s">
        <v>30</v>
      </c>
      <c r="I486" t="b">
        <f>COUNTIF(Estadísticas!I:I,'centraldecomunicacion.es'!H486)&gt;0</f>
        <v>0</v>
      </c>
    </row>
    <row r="487" spans="1:9">
      <c r="A487" t="s">
        <v>1750</v>
      </c>
      <c r="B487" t="s">
        <v>10</v>
      </c>
      <c r="C487" t="s">
        <v>1751</v>
      </c>
      <c r="D487" t="s">
        <v>1748</v>
      </c>
      <c r="E487" t="s">
        <v>1609</v>
      </c>
      <c r="F487" t="s">
        <v>28</v>
      </c>
      <c r="G487" t="s">
        <v>1752</v>
      </c>
      <c r="H487" t="s">
        <v>30</v>
      </c>
      <c r="I487" t="b">
        <f>COUNTIF(Estadísticas!I:I,'centraldecomunicacion.es'!H487)&gt;0</f>
        <v>0</v>
      </c>
    </row>
    <row r="488" spans="1:9">
      <c r="A488" t="s">
        <v>1753</v>
      </c>
      <c r="B488" t="s">
        <v>10</v>
      </c>
      <c r="C488" t="s">
        <v>1754</v>
      </c>
      <c r="D488" t="s">
        <v>1755</v>
      </c>
      <c r="E488" t="s">
        <v>1609</v>
      </c>
      <c r="F488" t="s">
        <v>28</v>
      </c>
      <c r="G488" t="s">
        <v>1756</v>
      </c>
      <c r="H488" t="s">
        <v>30</v>
      </c>
      <c r="I488" t="b">
        <f>COUNTIF(Estadísticas!I:I,'centraldecomunicacion.es'!H488)&gt;0</f>
        <v>0</v>
      </c>
    </row>
    <row r="489" spans="1:9">
      <c r="A489" t="s">
        <v>788</v>
      </c>
      <c r="B489" t="s">
        <v>10</v>
      </c>
      <c r="C489" t="s">
        <v>1757</v>
      </c>
      <c r="D489" t="s">
        <v>1748</v>
      </c>
      <c r="E489" t="s">
        <v>1609</v>
      </c>
      <c r="F489" t="s">
        <v>28</v>
      </c>
      <c r="G489" t="s">
        <v>28</v>
      </c>
      <c r="H489" t="s">
        <v>30</v>
      </c>
      <c r="I489" t="b">
        <f>COUNTIF(Estadísticas!I:I,'centraldecomunicacion.es'!H489)&gt;0</f>
        <v>0</v>
      </c>
    </row>
    <row r="490" spans="1:9">
      <c r="A490" t="s">
        <v>1758</v>
      </c>
      <c r="B490" t="s">
        <v>10</v>
      </c>
      <c r="C490" t="s">
        <v>28</v>
      </c>
      <c r="D490" t="s">
        <v>1673</v>
      </c>
      <c r="E490" t="s">
        <v>28</v>
      </c>
      <c r="F490" t="s">
        <v>993</v>
      </c>
      <c r="G490" t="s">
        <v>28</v>
      </c>
      <c r="H490" t="s">
        <v>995</v>
      </c>
      <c r="I490" t="b">
        <f>COUNTIF(Estadísticas!I:I,'centraldecomunicacion.es'!H490)&gt;0</f>
        <v>0</v>
      </c>
    </row>
    <row r="491" spans="1:9">
      <c r="A491" t="s">
        <v>1759</v>
      </c>
      <c r="B491" t="s">
        <v>10</v>
      </c>
      <c r="C491" t="s">
        <v>1760</v>
      </c>
      <c r="D491" t="s">
        <v>1734</v>
      </c>
      <c r="E491" t="s">
        <v>1609</v>
      </c>
      <c r="F491" t="s">
        <v>1761</v>
      </c>
      <c r="G491" t="s">
        <v>1762</v>
      </c>
      <c r="H491" t="s">
        <v>30</v>
      </c>
      <c r="I491" t="b">
        <f>COUNTIF(Estadísticas!I:I,'centraldecomunicacion.es'!H491)&gt;0</f>
        <v>0</v>
      </c>
    </row>
    <row r="492" spans="1:9">
      <c r="A492" t="s">
        <v>1763</v>
      </c>
      <c r="B492" t="s">
        <v>10</v>
      </c>
      <c r="C492" t="s">
        <v>1764</v>
      </c>
      <c r="D492" t="s">
        <v>1765</v>
      </c>
      <c r="E492" t="s">
        <v>1609</v>
      </c>
      <c r="F492" t="s">
        <v>28</v>
      </c>
      <c r="G492" t="s">
        <v>1766</v>
      </c>
      <c r="H492" t="s">
        <v>30</v>
      </c>
      <c r="I492" t="b">
        <f>COUNTIF(Estadísticas!I:I,'centraldecomunicacion.es'!H492)&gt;0</f>
        <v>0</v>
      </c>
    </row>
    <row r="493" spans="1:9">
      <c r="A493" t="s">
        <v>1050</v>
      </c>
      <c r="B493" t="s">
        <v>10</v>
      </c>
      <c r="C493" t="s">
        <v>1767</v>
      </c>
      <c r="D493" t="s">
        <v>1768</v>
      </c>
      <c r="E493" t="s">
        <v>1609</v>
      </c>
      <c r="F493" t="s">
        <v>1769</v>
      </c>
      <c r="G493" t="s">
        <v>1770</v>
      </c>
      <c r="H493" t="s">
        <v>30</v>
      </c>
      <c r="I493" t="b">
        <f>COUNTIF(Estadísticas!I:I,'centraldecomunicacion.es'!H493)&gt;0</f>
        <v>0</v>
      </c>
    </row>
    <row r="494" spans="1:9">
      <c r="A494" t="s">
        <v>1771</v>
      </c>
      <c r="B494" t="s">
        <v>10</v>
      </c>
      <c r="C494" t="s">
        <v>1772</v>
      </c>
      <c r="D494" t="s">
        <v>1773</v>
      </c>
      <c r="E494" t="s">
        <v>1609</v>
      </c>
      <c r="F494" t="s">
        <v>1774</v>
      </c>
      <c r="G494" t="s">
        <v>1775</v>
      </c>
      <c r="H494" t="s">
        <v>30</v>
      </c>
      <c r="I494" t="b">
        <f>COUNTIF(Estadísticas!I:I,'centraldecomunicacion.es'!H494)&gt;0</f>
        <v>0</v>
      </c>
    </row>
    <row r="495" spans="1:9">
      <c r="A495" t="s">
        <v>1776</v>
      </c>
      <c r="B495" t="s">
        <v>10</v>
      </c>
      <c r="C495" t="s">
        <v>1777</v>
      </c>
      <c r="D495" t="s">
        <v>1765</v>
      </c>
      <c r="E495" t="s">
        <v>1609</v>
      </c>
      <c r="F495" t="s">
        <v>28</v>
      </c>
      <c r="G495" t="s">
        <v>1778</v>
      </c>
      <c r="H495" t="s">
        <v>30</v>
      </c>
      <c r="I495" t="b">
        <f>COUNTIF(Estadísticas!I:I,'centraldecomunicacion.es'!H495)&gt;0</f>
        <v>0</v>
      </c>
    </row>
    <row r="496" spans="1:9">
      <c r="A496" t="s">
        <v>1779</v>
      </c>
      <c r="B496" t="s">
        <v>10</v>
      </c>
      <c r="C496" t="s">
        <v>1780</v>
      </c>
      <c r="D496" t="s">
        <v>1748</v>
      </c>
      <c r="E496" t="s">
        <v>1609</v>
      </c>
      <c r="F496" t="s">
        <v>28</v>
      </c>
      <c r="G496" t="s">
        <v>1749</v>
      </c>
      <c r="H496" t="s">
        <v>30</v>
      </c>
      <c r="I496" t="b">
        <f>COUNTIF(Estadísticas!I:I,'centraldecomunicacion.es'!H496)&gt;0</f>
        <v>0</v>
      </c>
    </row>
    <row r="497" spans="1:9">
      <c r="A497" t="s">
        <v>1781</v>
      </c>
      <c r="B497" t="s">
        <v>10</v>
      </c>
      <c r="C497" t="s">
        <v>1782</v>
      </c>
      <c r="D497" t="s">
        <v>1773</v>
      </c>
      <c r="E497" t="s">
        <v>1609</v>
      </c>
      <c r="F497" t="s">
        <v>28</v>
      </c>
      <c r="G497" t="s">
        <v>1783</v>
      </c>
      <c r="H497" t="s">
        <v>30</v>
      </c>
      <c r="I497" t="b">
        <f>COUNTIF(Estadísticas!I:I,'centraldecomunicacion.es'!H497)&gt;0</f>
        <v>0</v>
      </c>
    </row>
    <row r="498" spans="1:9">
      <c r="A498" t="s">
        <v>1784</v>
      </c>
      <c r="B498" t="s">
        <v>10</v>
      </c>
      <c r="C498" t="s">
        <v>1785</v>
      </c>
      <c r="D498" t="s">
        <v>1786</v>
      </c>
      <c r="E498" t="s">
        <v>1609</v>
      </c>
      <c r="F498" t="s">
        <v>28</v>
      </c>
      <c r="G498" t="s">
        <v>1787</v>
      </c>
      <c r="H498" t="s">
        <v>30</v>
      </c>
      <c r="I498" t="b">
        <f>COUNTIF(Estadísticas!I:I,'centraldecomunicacion.es'!H498)&gt;0</f>
        <v>0</v>
      </c>
    </row>
    <row r="499" spans="1:9">
      <c r="A499" t="s">
        <v>1788</v>
      </c>
      <c r="B499" t="s">
        <v>10</v>
      </c>
      <c r="C499" t="s">
        <v>1789</v>
      </c>
      <c r="D499" t="s">
        <v>1765</v>
      </c>
      <c r="E499" t="s">
        <v>1609</v>
      </c>
      <c r="F499" t="s">
        <v>1790</v>
      </c>
      <c r="G499" t="s">
        <v>1791</v>
      </c>
      <c r="H499" t="s">
        <v>30</v>
      </c>
      <c r="I499" t="b">
        <f>COUNTIF(Estadísticas!I:I,'centraldecomunicacion.es'!H499)&gt;0</f>
        <v>0</v>
      </c>
    </row>
    <row r="500" spans="1:9">
      <c r="A500" t="s">
        <v>1792</v>
      </c>
      <c r="B500" t="s">
        <v>10</v>
      </c>
      <c r="C500" t="s">
        <v>1793</v>
      </c>
      <c r="D500" t="s">
        <v>1794</v>
      </c>
      <c r="E500" t="s">
        <v>1609</v>
      </c>
      <c r="F500" t="s">
        <v>28</v>
      </c>
      <c r="G500" t="s">
        <v>1795</v>
      </c>
      <c r="H500" t="s">
        <v>30</v>
      </c>
      <c r="I500" t="b">
        <f>COUNTIF(Estadísticas!I:I,'centraldecomunicacion.es'!H500)&gt;0</f>
        <v>0</v>
      </c>
    </row>
    <row r="501" spans="1:9">
      <c r="A501" t="s">
        <v>1796</v>
      </c>
      <c r="B501" t="s">
        <v>10</v>
      </c>
      <c r="C501" t="s">
        <v>1797</v>
      </c>
      <c r="D501" t="s">
        <v>1786</v>
      </c>
      <c r="E501" t="s">
        <v>1609</v>
      </c>
      <c r="F501" t="s">
        <v>28</v>
      </c>
      <c r="G501" t="s">
        <v>1798</v>
      </c>
      <c r="H501" t="s">
        <v>30</v>
      </c>
      <c r="I501" t="b">
        <f>COUNTIF(Estadísticas!I:I,'centraldecomunicacion.es'!H501)&gt;0</f>
        <v>0</v>
      </c>
    </row>
    <row r="502" spans="1:9">
      <c r="A502" t="s">
        <v>1799</v>
      </c>
      <c r="B502" t="s">
        <v>10</v>
      </c>
      <c r="C502" t="s">
        <v>1800</v>
      </c>
      <c r="D502" t="s">
        <v>1801</v>
      </c>
      <c r="E502" t="s">
        <v>1609</v>
      </c>
      <c r="F502" t="s">
        <v>28</v>
      </c>
      <c r="G502" t="s">
        <v>1802</v>
      </c>
      <c r="H502" t="s">
        <v>30</v>
      </c>
      <c r="I502" t="b">
        <f>COUNTIF(Estadísticas!I:I,'centraldecomunicacion.es'!H502)&gt;0</f>
        <v>0</v>
      </c>
    </row>
    <row r="503" spans="1:9">
      <c r="A503" t="s">
        <v>1803</v>
      </c>
      <c r="B503" t="s">
        <v>10</v>
      </c>
      <c r="C503" t="s">
        <v>1804</v>
      </c>
      <c r="D503" t="s">
        <v>1805</v>
      </c>
      <c r="E503" t="s">
        <v>1609</v>
      </c>
      <c r="F503" t="s">
        <v>28</v>
      </c>
      <c r="G503" t="s">
        <v>1806</v>
      </c>
      <c r="H503" t="s">
        <v>30</v>
      </c>
      <c r="I503" t="b">
        <f>COUNTIF(Estadísticas!I:I,'centraldecomunicacion.es'!H503)&gt;0</f>
        <v>0</v>
      </c>
    </row>
    <row r="504" spans="1:9">
      <c r="A504" t="s">
        <v>1807</v>
      </c>
      <c r="B504" t="s">
        <v>10</v>
      </c>
      <c r="C504" t="s">
        <v>1808</v>
      </c>
      <c r="D504" t="s">
        <v>1809</v>
      </c>
      <c r="E504" t="s">
        <v>1609</v>
      </c>
      <c r="F504" t="s">
        <v>28</v>
      </c>
      <c r="G504" t="s">
        <v>1810</v>
      </c>
      <c r="H504" t="s">
        <v>30</v>
      </c>
      <c r="I504" t="b">
        <f>COUNTIF(Estadísticas!I:I,'centraldecomunicacion.es'!H504)&gt;0</f>
        <v>0</v>
      </c>
    </row>
    <row r="505" spans="1:9">
      <c r="A505" t="s">
        <v>1811</v>
      </c>
      <c r="B505" t="s">
        <v>10</v>
      </c>
      <c r="C505" t="s">
        <v>1812</v>
      </c>
      <c r="D505" t="s">
        <v>1786</v>
      </c>
      <c r="E505" t="s">
        <v>1609</v>
      </c>
      <c r="F505" t="s">
        <v>28</v>
      </c>
      <c r="G505" t="s">
        <v>1813</v>
      </c>
      <c r="H505" t="s">
        <v>30</v>
      </c>
      <c r="I505" t="b">
        <f>COUNTIF(Estadísticas!I:I,'centraldecomunicacion.es'!H505)&gt;0</f>
        <v>0</v>
      </c>
    </row>
    <row r="506" spans="1:9">
      <c r="A506" t="s">
        <v>1814</v>
      </c>
      <c r="B506" t="s">
        <v>10</v>
      </c>
      <c r="C506" t="s">
        <v>1815</v>
      </c>
      <c r="D506" t="s">
        <v>1816</v>
      </c>
      <c r="E506" t="s">
        <v>1609</v>
      </c>
      <c r="F506" t="s">
        <v>1817</v>
      </c>
      <c r="G506" t="s">
        <v>1818</v>
      </c>
      <c r="H506" t="s">
        <v>30</v>
      </c>
      <c r="I506" t="b">
        <f>COUNTIF(Estadísticas!I:I,'centraldecomunicacion.es'!H506)&gt;0</f>
        <v>0</v>
      </c>
    </row>
    <row r="507" spans="1:9">
      <c r="A507" t="s">
        <v>1819</v>
      </c>
      <c r="B507" t="s">
        <v>10</v>
      </c>
      <c r="C507" t="s">
        <v>1820</v>
      </c>
      <c r="D507" t="s">
        <v>1816</v>
      </c>
      <c r="E507" t="s">
        <v>1609</v>
      </c>
      <c r="F507" t="s">
        <v>28</v>
      </c>
      <c r="G507" t="s">
        <v>1821</v>
      </c>
      <c r="H507" t="s">
        <v>30</v>
      </c>
      <c r="I507" t="b">
        <f>COUNTIF(Estadísticas!I:I,'centraldecomunicacion.es'!H507)&gt;0</f>
        <v>0</v>
      </c>
    </row>
    <row r="508" spans="1:9">
      <c r="A508" t="s">
        <v>1822</v>
      </c>
      <c r="B508" t="s">
        <v>10</v>
      </c>
      <c r="C508" t="s">
        <v>1823</v>
      </c>
      <c r="D508" t="s">
        <v>1824</v>
      </c>
      <c r="E508" t="s">
        <v>1609</v>
      </c>
      <c r="F508" t="s">
        <v>28</v>
      </c>
      <c r="G508" t="s">
        <v>1825</v>
      </c>
      <c r="H508" t="s">
        <v>30</v>
      </c>
      <c r="I508" t="b">
        <f>COUNTIF(Estadísticas!I:I,'centraldecomunicacion.es'!H508)&gt;0</f>
        <v>0</v>
      </c>
    </row>
    <row r="509" spans="1:9">
      <c r="A509" t="s">
        <v>1826</v>
      </c>
      <c r="B509" t="s">
        <v>10</v>
      </c>
      <c r="C509" t="s">
        <v>1827</v>
      </c>
      <c r="D509" t="s">
        <v>1773</v>
      </c>
      <c r="E509" t="s">
        <v>1609</v>
      </c>
      <c r="F509" t="s">
        <v>50</v>
      </c>
      <c r="G509" t="s">
        <v>1828</v>
      </c>
      <c r="H509" t="s">
        <v>30</v>
      </c>
      <c r="I509" t="b">
        <f>COUNTIF(Estadísticas!I:I,'centraldecomunicacion.es'!H509)&gt;0</f>
        <v>0</v>
      </c>
    </row>
    <row r="510" spans="1:9">
      <c r="A510" t="s">
        <v>1829</v>
      </c>
      <c r="B510" t="s">
        <v>10</v>
      </c>
      <c r="C510" t="s">
        <v>1830</v>
      </c>
      <c r="D510" t="s">
        <v>1831</v>
      </c>
      <c r="E510" t="s">
        <v>1609</v>
      </c>
      <c r="F510" t="s">
        <v>28</v>
      </c>
      <c r="G510" t="s">
        <v>1832</v>
      </c>
      <c r="H510" t="s">
        <v>30</v>
      </c>
      <c r="I510" t="b">
        <f>COUNTIF(Estadísticas!I:I,'centraldecomunicacion.es'!H510)&gt;0</f>
        <v>0</v>
      </c>
    </row>
    <row r="511" spans="1:9">
      <c r="A511" t="s">
        <v>1833</v>
      </c>
      <c r="B511" t="s">
        <v>10</v>
      </c>
      <c r="C511" t="s">
        <v>1834</v>
      </c>
      <c r="D511" t="s">
        <v>1835</v>
      </c>
      <c r="E511" t="s">
        <v>1609</v>
      </c>
      <c r="F511" t="s">
        <v>28</v>
      </c>
      <c r="G511" t="s">
        <v>1836</v>
      </c>
      <c r="H511" t="s">
        <v>30</v>
      </c>
      <c r="I511" t="b">
        <f>COUNTIF(Estadísticas!I:I,'centraldecomunicacion.es'!H511)&gt;0</f>
        <v>0</v>
      </c>
    </row>
    <row r="512" spans="1:9">
      <c r="A512" t="s">
        <v>1837</v>
      </c>
      <c r="B512" t="s">
        <v>10</v>
      </c>
      <c r="C512" t="s">
        <v>1838</v>
      </c>
      <c r="D512" t="s">
        <v>1765</v>
      </c>
      <c r="E512" t="s">
        <v>1609</v>
      </c>
      <c r="F512" t="s">
        <v>28</v>
      </c>
      <c r="G512" t="s">
        <v>1839</v>
      </c>
      <c r="H512" t="s">
        <v>30</v>
      </c>
      <c r="I512" t="b">
        <f>COUNTIF(Estadísticas!I:I,'centraldecomunicacion.es'!H512)&gt;0</f>
        <v>0</v>
      </c>
    </row>
    <row r="513" spans="1:9">
      <c r="A513" t="s">
        <v>1840</v>
      </c>
      <c r="B513" t="s">
        <v>10</v>
      </c>
      <c r="C513" t="s">
        <v>1841</v>
      </c>
      <c r="D513" t="s">
        <v>1824</v>
      </c>
      <c r="E513" t="s">
        <v>1609</v>
      </c>
      <c r="F513" t="s">
        <v>28</v>
      </c>
      <c r="G513" t="s">
        <v>1842</v>
      </c>
      <c r="H513" t="s">
        <v>30</v>
      </c>
      <c r="I513" t="b">
        <f>COUNTIF(Estadísticas!I:I,'centraldecomunicacion.es'!H513)&gt;0</f>
        <v>0</v>
      </c>
    </row>
    <row r="514" spans="1:9">
      <c r="A514" t="s">
        <v>1843</v>
      </c>
      <c r="B514" t="s">
        <v>10</v>
      </c>
      <c r="C514" t="s">
        <v>1844</v>
      </c>
      <c r="D514" t="s">
        <v>1845</v>
      </c>
      <c r="E514" t="s">
        <v>1609</v>
      </c>
      <c r="F514" t="s">
        <v>28</v>
      </c>
      <c r="G514" t="s">
        <v>1846</v>
      </c>
      <c r="H514" t="s">
        <v>30</v>
      </c>
      <c r="I514" t="b">
        <f>COUNTIF(Estadísticas!I:I,'centraldecomunicacion.es'!H514)&gt;0</f>
        <v>0</v>
      </c>
    </row>
    <row r="515" spans="1:9">
      <c r="A515" t="s">
        <v>1847</v>
      </c>
      <c r="B515" t="s">
        <v>10</v>
      </c>
      <c r="C515" t="s">
        <v>1848</v>
      </c>
      <c r="D515" t="s">
        <v>1824</v>
      </c>
      <c r="E515" t="s">
        <v>1609</v>
      </c>
      <c r="F515" t="s">
        <v>38</v>
      </c>
      <c r="G515" t="s">
        <v>1849</v>
      </c>
      <c r="H515" t="s">
        <v>30</v>
      </c>
      <c r="I515" t="b">
        <f>COUNTIF(Estadísticas!I:I,'centraldecomunicacion.es'!H515)&gt;0</f>
        <v>0</v>
      </c>
    </row>
    <row r="516" spans="1:9">
      <c r="A516" t="s">
        <v>1850</v>
      </c>
      <c r="B516" t="s">
        <v>10</v>
      </c>
      <c r="C516" t="s">
        <v>1851</v>
      </c>
      <c r="D516" t="s">
        <v>1852</v>
      </c>
      <c r="E516" t="s">
        <v>732</v>
      </c>
      <c r="F516" t="s">
        <v>28</v>
      </c>
      <c r="G516" t="s">
        <v>1853</v>
      </c>
      <c r="H516" t="s">
        <v>30</v>
      </c>
      <c r="I516" t="b">
        <f>COUNTIF(Estadísticas!I:I,'centraldecomunicacion.es'!H516)&gt;0</f>
        <v>0</v>
      </c>
    </row>
    <row r="517" spans="1:9">
      <c r="A517" t="s">
        <v>1854</v>
      </c>
      <c r="B517" t="s">
        <v>10</v>
      </c>
      <c r="C517" t="s">
        <v>1855</v>
      </c>
      <c r="D517" t="s">
        <v>732</v>
      </c>
      <c r="E517" t="s">
        <v>732</v>
      </c>
      <c r="F517" t="s">
        <v>1856</v>
      </c>
      <c r="G517" t="s">
        <v>1857</v>
      </c>
      <c r="H517" t="s">
        <v>30</v>
      </c>
      <c r="I517" t="b">
        <f>COUNTIF(Estadísticas!I:I,'centraldecomunicacion.es'!H517)&gt;0</f>
        <v>0</v>
      </c>
    </row>
    <row r="518" spans="1:9">
      <c r="A518" t="s">
        <v>1858</v>
      </c>
      <c r="B518" t="s">
        <v>10</v>
      </c>
      <c r="C518" t="s">
        <v>1859</v>
      </c>
      <c r="D518" t="s">
        <v>1860</v>
      </c>
      <c r="E518" t="s">
        <v>1861</v>
      </c>
      <c r="F518" t="s">
        <v>28</v>
      </c>
      <c r="G518" t="s">
        <v>1862</v>
      </c>
      <c r="H518" t="s">
        <v>30</v>
      </c>
      <c r="I518" t="b">
        <f>COUNTIF(Estadísticas!I:I,'centraldecomunicacion.es'!H518)&gt;0</f>
        <v>0</v>
      </c>
    </row>
    <row r="519" spans="1:9">
      <c r="A519" t="s">
        <v>1863</v>
      </c>
      <c r="B519" t="s">
        <v>10</v>
      </c>
      <c r="C519" t="s">
        <v>1864</v>
      </c>
      <c r="D519" t="s">
        <v>732</v>
      </c>
      <c r="E519" t="s">
        <v>732</v>
      </c>
      <c r="F519" t="s">
        <v>28</v>
      </c>
      <c r="G519" t="s">
        <v>1865</v>
      </c>
      <c r="H519" t="s">
        <v>30</v>
      </c>
      <c r="I519" t="b">
        <f>COUNTIF(Estadísticas!I:I,'centraldecomunicacion.es'!H519)&gt;0</f>
        <v>0</v>
      </c>
    </row>
    <row r="520" spans="1:9">
      <c r="A520" t="s">
        <v>1866</v>
      </c>
      <c r="B520" t="s">
        <v>10</v>
      </c>
      <c r="C520" t="s">
        <v>1867</v>
      </c>
      <c r="D520" t="s">
        <v>1868</v>
      </c>
      <c r="E520" t="s">
        <v>1868</v>
      </c>
      <c r="F520" t="s">
        <v>1869</v>
      </c>
      <c r="G520" t="s">
        <v>1870</v>
      </c>
      <c r="H520" t="s">
        <v>30</v>
      </c>
      <c r="I520" t="b">
        <f>COUNTIF(Estadísticas!I:I,'centraldecomunicacion.es'!H520)&gt;0</f>
        <v>0</v>
      </c>
    </row>
    <row r="521" spans="1:9">
      <c r="A521" t="s">
        <v>1871</v>
      </c>
      <c r="B521" t="s">
        <v>10</v>
      </c>
      <c r="C521" t="s">
        <v>1872</v>
      </c>
      <c r="D521" t="s">
        <v>1868</v>
      </c>
      <c r="E521" t="s">
        <v>1868</v>
      </c>
      <c r="F521" t="s">
        <v>1873</v>
      </c>
      <c r="G521" t="s">
        <v>1874</v>
      </c>
      <c r="H521" t="s">
        <v>1875</v>
      </c>
      <c r="I521" t="b">
        <f>COUNTIF(Estadísticas!I:I,'centraldecomunicacion.es'!H521)&gt;0</f>
        <v>0</v>
      </c>
    </row>
    <row r="522" spans="1:9">
      <c r="A522" t="s">
        <v>1876</v>
      </c>
      <c r="B522" t="s">
        <v>10</v>
      </c>
      <c r="C522" t="s">
        <v>1877</v>
      </c>
      <c r="D522" t="s">
        <v>1878</v>
      </c>
      <c r="E522" t="s">
        <v>1879</v>
      </c>
      <c r="F522" t="s">
        <v>1880</v>
      </c>
      <c r="G522" t="s">
        <v>1881</v>
      </c>
      <c r="H522" t="s">
        <v>30</v>
      </c>
      <c r="I522" t="b">
        <f>COUNTIF(Estadísticas!I:I,'centraldecomunicacion.es'!H522)&gt;0</f>
        <v>0</v>
      </c>
    </row>
    <row r="523" spans="1:9">
      <c r="A523" t="s">
        <v>1882</v>
      </c>
      <c r="B523" t="s">
        <v>10</v>
      </c>
      <c r="C523" t="s">
        <v>1883</v>
      </c>
      <c r="D523" t="s">
        <v>1884</v>
      </c>
      <c r="E523" t="s">
        <v>1884</v>
      </c>
      <c r="F523" t="s">
        <v>1885</v>
      </c>
      <c r="G523" t="s">
        <v>1886</v>
      </c>
      <c r="H523" t="s">
        <v>30</v>
      </c>
      <c r="I523" t="b">
        <f>COUNTIF(Estadísticas!I:I,'centraldecomunicacion.es'!H523)&gt;0</f>
        <v>0</v>
      </c>
    </row>
    <row r="524" spans="1:9">
      <c r="A524" t="s">
        <v>1887</v>
      </c>
      <c r="B524" t="s">
        <v>10</v>
      </c>
      <c r="C524" t="s">
        <v>1888</v>
      </c>
      <c r="D524" t="s">
        <v>1884</v>
      </c>
      <c r="E524" t="s">
        <v>1884</v>
      </c>
      <c r="F524" t="s">
        <v>1889</v>
      </c>
      <c r="G524" t="s">
        <v>1890</v>
      </c>
      <c r="H524" t="s">
        <v>1891</v>
      </c>
      <c r="I524" t="b">
        <f>COUNTIF(Estadísticas!I:I,'centraldecomunicacion.es'!H524)&gt;0</f>
        <v>0</v>
      </c>
    </row>
    <row r="525" spans="1:9">
      <c r="A525" t="s">
        <v>1892</v>
      </c>
      <c r="B525" t="s">
        <v>10</v>
      </c>
      <c r="C525" t="s">
        <v>1893</v>
      </c>
      <c r="D525" t="s">
        <v>1884</v>
      </c>
      <c r="E525" t="s">
        <v>1884</v>
      </c>
      <c r="F525" t="s">
        <v>1894</v>
      </c>
      <c r="G525" t="s">
        <v>1895</v>
      </c>
      <c r="H525" t="s">
        <v>30</v>
      </c>
      <c r="I525" t="b">
        <f>COUNTIF(Estadísticas!I:I,'centraldecomunicacion.es'!H525)&gt;0</f>
        <v>0</v>
      </c>
    </row>
    <row r="526" spans="1:9">
      <c r="A526" t="s">
        <v>1887</v>
      </c>
      <c r="B526" t="s">
        <v>10</v>
      </c>
      <c r="C526" t="s">
        <v>1896</v>
      </c>
      <c r="D526" t="s">
        <v>1884</v>
      </c>
      <c r="E526" t="s">
        <v>1884</v>
      </c>
      <c r="F526" t="s">
        <v>1889</v>
      </c>
      <c r="G526" t="s">
        <v>1897</v>
      </c>
      <c r="H526" t="s">
        <v>1891</v>
      </c>
      <c r="I526" t="b">
        <f>COUNTIF(Estadísticas!I:I,'centraldecomunicacion.es'!H526)&gt;0</f>
        <v>0</v>
      </c>
    </row>
    <row r="527" spans="1:9">
      <c r="A527" t="s">
        <v>1898</v>
      </c>
      <c r="B527" t="s">
        <v>10</v>
      </c>
      <c r="C527" t="s">
        <v>1899</v>
      </c>
      <c r="D527" t="s">
        <v>1884</v>
      </c>
      <c r="E527" t="s">
        <v>1884</v>
      </c>
      <c r="F527" t="s">
        <v>28</v>
      </c>
      <c r="G527" t="s">
        <v>1900</v>
      </c>
      <c r="H527" t="s">
        <v>30</v>
      </c>
      <c r="I527" t="b">
        <f>COUNTIF(Estadísticas!I:I,'centraldecomunicacion.es'!H527)&gt;0</f>
        <v>0</v>
      </c>
    </row>
    <row r="528" spans="1:9">
      <c r="A528" t="s">
        <v>1901</v>
      </c>
      <c r="B528" t="s">
        <v>10</v>
      </c>
      <c r="C528" t="s">
        <v>1902</v>
      </c>
      <c r="D528" t="s">
        <v>1884</v>
      </c>
      <c r="E528" t="s">
        <v>1884</v>
      </c>
      <c r="F528" t="s">
        <v>1903</v>
      </c>
      <c r="G528" t="s">
        <v>1904</v>
      </c>
      <c r="H528" t="s">
        <v>1905</v>
      </c>
      <c r="I528" t="b">
        <f>COUNTIF(Estadísticas!I:I,'centraldecomunicacion.es'!H528)&gt;0</f>
        <v>1</v>
      </c>
    </row>
    <row r="529" spans="1:9">
      <c r="A529" t="s">
        <v>1906</v>
      </c>
      <c r="B529" t="s">
        <v>10</v>
      </c>
      <c r="C529" t="s">
        <v>1907</v>
      </c>
      <c r="D529" t="s">
        <v>1884</v>
      </c>
      <c r="E529" t="s">
        <v>1884</v>
      </c>
      <c r="F529" t="s">
        <v>28</v>
      </c>
      <c r="G529" t="s">
        <v>1908</v>
      </c>
      <c r="H529" t="s">
        <v>30</v>
      </c>
      <c r="I529" t="b">
        <f>COUNTIF(Estadísticas!I:I,'centraldecomunicacion.es'!H529)&gt;0</f>
        <v>0</v>
      </c>
    </row>
    <row r="530" spans="1:9">
      <c r="A530" t="s">
        <v>1909</v>
      </c>
      <c r="B530" t="s">
        <v>10</v>
      </c>
      <c r="C530" t="s">
        <v>1910</v>
      </c>
      <c r="D530" t="s">
        <v>1884</v>
      </c>
      <c r="E530" t="s">
        <v>1884</v>
      </c>
      <c r="F530" t="s">
        <v>28</v>
      </c>
      <c r="G530" t="s">
        <v>1911</v>
      </c>
      <c r="H530" t="s">
        <v>30</v>
      </c>
      <c r="I530" t="b">
        <f>COUNTIF(Estadísticas!I:I,'centraldecomunicacion.es'!H530)&gt;0</f>
        <v>0</v>
      </c>
    </row>
    <row r="531" spans="1:9">
      <c r="A531" t="s">
        <v>1887</v>
      </c>
      <c r="B531" t="s">
        <v>10</v>
      </c>
      <c r="C531" t="s">
        <v>1912</v>
      </c>
      <c r="D531" t="s">
        <v>1884</v>
      </c>
      <c r="E531" t="s">
        <v>1884</v>
      </c>
      <c r="F531" t="s">
        <v>1889</v>
      </c>
      <c r="G531" t="s">
        <v>1913</v>
      </c>
      <c r="H531" t="s">
        <v>1891</v>
      </c>
      <c r="I531" t="b">
        <f>COUNTIF(Estadísticas!I:I,'centraldecomunicacion.es'!H531)&gt;0</f>
        <v>0</v>
      </c>
    </row>
    <row r="532" spans="1:9">
      <c r="A532" t="s">
        <v>1914</v>
      </c>
      <c r="B532" t="s">
        <v>10</v>
      </c>
      <c r="C532" t="s">
        <v>1915</v>
      </c>
      <c r="D532" t="s">
        <v>1884</v>
      </c>
      <c r="E532" t="s">
        <v>1884</v>
      </c>
      <c r="F532" t="s">
        <v>28</v>
      </c>
      <c r="G532" t="s">
        <v>1916</v>
      </c>
      <c r="H532" t="s">
        <v>30</v>
      </c>
      <c r="I532" t="b">
        <f>COUNTIF(Estadísticas!I:I,'centraldecomunicacion.es'!H532)&gt;0</f>
        <v>0</v>
      </c>
    </row>
    <row r="533" spans="1:9">
      <c r="A533" t="s">
        <v>1917</v>
      </c>
      <c r="B533" t="s">
        <v>10</v>
      </c>
      <c r="C533" t="s">
        <v>1918</v>
      </c>
      <c r="D533" t="s">
        <v>1884</v>
      </c>
      <c r="E533" t="s">
        <v>1884</v>
      </c>
      <c r="F533" t="s">
        <v>28</v>
      </c>
      <c r="G533" t="s">
        <v>1919</v>
      </c>
      <c r="H533" t="s">
        <v>30</v>
      </c>
      <c r="I533" t="b">
        <f>COUNTIF(Estadísticas!I:I,'centraldecomunicacion.es'!H533)&gt;0</f>
        <v>0</v>
      </c>
    </row>
    <row r="534" spans="1:9">
      <c r="A534" t="s">
        <v>1920</v>
      </c>
      <c r="B534" t="s">
        <v>10</v>
      </c>
      <c r="C534" t="s">
        <v>1921</v>
      </c>
      <c r="D534" t="s">
        <v>1884</v>
      </c>
      <c r="E534" t="s">
        <v>1884</v>
      </c>
      <c r="F534" t="s">
        <v>28</v>
      </c>
      <c r="G534" t="s">
        <v>1922</v>
      </c>
      <c r="H534" t="s">
        <v>30</v>
      </c>
      <c r="I534" t="b">
        <f>COUNTIF(Estadísticas!I:I,'centraldecomunicacion.es'!H534)&gt;0</f>
        <v>0</v>
      </c>
    </row>
    <row r="535" spans="1:9">
      <c r="A535" t="s">
        <v>1923</v>
      </c>
      <c r="B535" t="s">
        <v>10</v>
      </c>
      <c r="C535" t="s">
        <v>1924</v>
      </c>
      <c r="D535" t="s">
        <v>1884</v>
      </c>
      <c r="E535" t="s">
        <v>1884</v>
      </c>
      <c r="F535" t="s">
        <v>28</v>
      </c>
      <c r="G535" t="s">
        <v>28</v>
      </c>
      <c r="H535" t="s">
        <v>30</v>
      </c>
      <c r="I535" t="b">
        <f>COUNTIF(Estadísticas!I:I,'centraldecomunicacion.es'!H535)&gt;0</f>
        <v>0</v>
      </c>
    </row>
    <row r="536" spans="1:9">
      <c r="A536" t="s">
        <v>1925</v>
      </c>
      <c r="B536" t="s">
        <v>10</v>
      </c>
      <c r="C536" t="s">
        <v>1926</v>
      </c>
      <c r="D536" t="s">
        <v>1884</v>
      </c>
      <c r="E536" t="s">
        <v>1884</v>
      </c>
      <c r="F536" t="s">
        <v>28</v>
      </c>
      <c r="G536" t="s">
        <v>28</v>
      </c>
      <c r="H536" t="s">
        <v>30</v>
      </c>
      <c r="I536" t="b">
        <f>COUNTIF(Estadísticas!I:I,'centraldecomunicacion.es'!H536)&gt;0</f>
        <v>0</v>
      </c>
    </row>
    <row r="537" spans="1:9">
      <c r="A537" t="s">
        <v>1927</v>
      </c>
      <c r="B537" t="s">
        <v>10</v>
      </c>
      <c r="C537" t="s">
        <v>1928</v>
      </c>
      <c r="D537" t="s">
        <v>1884</v>
      </c>
      <c r="E537" t="s">
        <v>1884</v>
      </c>
      <c r="F537" t="s">
        <v>1929</v>
      </c>
      <c r="G537" t="s">
        <v>28</v>
      </c>
      <c r="H537" t="s">
        <v>1930</v>
      </c>
      <c r="I537" t="b">
        <f>COUNTIF(Estadísticas!I:I,'centraldecomunicacion.es'!H537)&gt;0</f>
        <v>1</v>
      </c>
    </row>
    <row r="538" spans="1:9">
      <c r="A538" t="s">
        <v>1931</v>
      </c>
      <c r="B538" t="s">
        <v>10</v>
      </c>
      <c r="C538" t="s">
        <v>1932</v>
      </c>
      <c r="D538" t="s">
        <v>1884</v>
      </c>
      <c r="E538" t="s">
        <v>1884</v>
      </c>
      <c r="F538" t="s">
        <v>511</v>
      </c>
      <c r="G538" t="s">
        <v>1933</v>
      </c>
      <c r="H538" t="s">
        <v>513</v>
      </c>
      <c r="I538" t="b">
        <f>COUNTIF(Estadísticas!I:I,'centraldecomunicacion.es'!H538)&gt;0</f>
        <v>1</v>
      </c>
    </row>
    <row r="539" spans="1:9">
      <c r="A539" t="s">
        <v>557</v>
      </c>
      <c r="B539" t="s">
        <v>10</v>
      </c>
      <c r="C539" t="s">
        <v>1934</v>
      </c>
      <c r="D539" t="s">
        <v>1884</v>
      </c>
      <c r="E539" t="s">
        <v>1884</v>
      </c>
      <c r="F539" t="s">
        <v>559</v>
      </c>
      <c r="G539" t="s">
        <v>1935</v>
      </c>
      <c r="H539" t="s">
        <v>561</v>
      </c>
      <c r="I539" t="b">
        <f>COUNTIF(Estadísticas!I:I,'centraldecomunicacion.es'!H539)&gt;0</f>
        <v>0</v>
      </c>
    </row>
    <row r="540" spans="1:9">
      <c r="A540" t="s">
        <v>1936</v>
      </c>
      <c r="B540" t="s">
        <v>10</v>
      </c>
      <c r="C540" t="s">
        <v>1937</v>
      </c>
      <c r="D540" t="s">
        <v>1938</v>
      </c>
      <c r="E540" t="s">
        <v>1884</v>
      </c>
      <c r="F540" t="s">
        <v>28</v>
      </c>
      <c r="G540" t="s">
        <v>1939</v>
      </c>
      <c r="H540" t="s">
        <v>30</v>
      </c>
      <c r="I540" t="b">
        <f>COUNTIF(Estadísticas!I:I,'centraldecomunicacion.es'!H540)&gt;0</f>
        <v>0</v>
      </c>
    </row>
    <row r="541" spans="1:9">
      <c r="A541" t="s">
        <v>1940</v>
      </c>
      <c r="B541" t="s">
        <v>10</v>
      </c>
      <c r="C541" t="s">
        <v>1941</v>
      </c>
      <c r="D541" t="s">
        <v>1938</v>
      </c>
      <c r="E541" t="s">
        <v>1884</v>
      </c>
      <c r="F541" t="s">
        <v>50</v>
      </c>
      <c r="G541" t="s">
        <v>1942</v>
      </c>
      <c r="H541" t="s">
        <v>30</v>
      </c>
      <c r="I541" t="b">
        <f>COUNTIF(Estadísticas!I:I,'centraldecomunicacion.es'!H541)&gt;0</f>
        <v>0</v>
      </c>
    </row>
    <row r="542" spans="1:9">
      <c r="A542" t="s">
        <v>1943</v>
      </c>
      <c r="B542" t="s">
        <v>10</v>
      </c>
      <c r="C542" t="s">
        <v>1944</v>
      </c>
      <c r="D542" t="s">
        <v>1945</v>
      </c>
      <c r="E542" t="s">
        <v>1884</v>
      </c>
      <c r="F542" t="s">
        <v>28</v>
      </c>
      <c r="G542" t="s">
        <v>1946</v>
      </c>
      <c r="H542" t="s">
        <v>30</v>
      </c>
      <c r="I542" t="b">
        <f>COUNTIF(Estadísticas!I:I,'centraldecomunicacion.es'!H542)&gt;0</f>
        <v>0</v>
      </c>
    </row>
    <row r="543" spans="1:9">
      <c r="A543" t="s">
        <v>1947</v>
      </c>
      <c r="B543" t="s">
        <v>10</v>
      </c>
      <c r="C543" t="s">
        <v>1948</v>
      </c>
      <c r="D543" t="s">
        <v>1945</v>
      </c>
      <c r="E543" t="s">
        <v>1884</v>
      </c>
      <c r="F543" t="s">
        <v>28</v>
      </c>
      <c r="G543" t="s">
        <v>1949</v>
      </c>
      <c r="H543" t="s">
        <v>30</v>
      </c>
      <c r="I543" t="b">
        <f>COUNTIF(Estadísticas!I:I,'centraldecomunicacion.es'!H543)&gt;0</f>
        <v>0</v>
      </c>
    </row>
    <row r="544" spans="1:9">
      <c r="A544" t="s">
        <v>1940</v>
      </c>
      <c r="B544" t="s">
        <v>10</v>
      </c>
      <c r="C544" t="s">
        <v>1950</v>
      </c>
      <c r="D544" t="s">
        <v>1951</v>
      </c>
      <c r="E544" t="s">
        <v>1884</v>
      </c>
      <c r="F544" t="s">
        <v>50</v>
      </c>
      <c r="G544" t="s">
        <v>1942</v>
      </c>
      <c r="H544" t="s">
        <v>30</v>
      </c>
      <c r="I544" t="b">
        <f>COUNTIF(Estadísticas!I:I,'centraldecomunicacion.es'!H544)&gt;0</f>
        <v>0</v>
      </c>
    </row>
    <row r="545" spans="1:9">
      <c r="A545" t="s">
        <v>1952</v>
      </c>
      <c r="B545" t="s">
        <v>10</v>
      </c>
      <c r="C545" t="s">
        <v>1953</v>
      </c>
      <c r="D545" t="s">
        <v>1954</v>
      </c>
      <c r="E545" t="s">
        <v>1884</v>
      </c>
      <c r="F545" t="s">
        <v>28</v>
      </c>
      <c r="G545" t="s">
        <v>28</v>
      </c>
      <c r="H545" t="s">
        <v>30</v>
      </c>
      <c r="I545" t="b">
        <f>COUNTIF(Estadísticas!I:I,'centraldecomunicacion.es'!H545)&gt;0</f>
        <v>0</v>
      </c>
    </row>
    <row r="546" spans="1:9">
      <c r="A546" t="s">
        <v>1955</v>
      </c>
      <c r="B546" t="s">
        <v>10</v>
      </c>
      <c r="C546" t="s">
        <v>1956</v>
      </c>
      <c r="D546" t="s">
        <v>1957</v>
      </c>
      <c r="E546" t="s">
        <v>1884</v>
      </c>
      <c r="F546" t="s">
        <v>1958</v>
      </c>
      <c r="G546" t="s">
        <v>1959</v>
      </c>
      <c r="H546" t="s">
        <v>30</v>
      </c>
      <c r="I546" t="b">
        <f>COUNTIF(Estadísticas!I:I,'centraldecomunicacion.es'!H546)&gt;0</f>
        <v>0</v>
      </c>
    </row>
    <row r="547" spans="1:9">
      <c r="A547" t="s">
        <v>1960</v>
      </c>
      <c r="B547" t="s">
        <v>10</v>
      </c>
      <c r="C547" t="s">
        <v>1961</v>
      </c>
      <c r="D547" t="s">
        <v>1962</v>
      </c>
      <c r="E547" t="s">
        <v>1884</v>
      </c>
      <c r="F547" t="s">
        <v>1963</v>
      </c>
      <c r="G547" t="s">
        <v>1964</v>
      </c>
      <c r="H547" t="s">
        <v>1965</v>
      </c>
      <c r="I547" t="b">
        <f>COUNTIF(Estadísticas!I:I,'centraldecomunicacion.es'!H547)&gt;0</f>
        <v>1</v>
      </c>
    </row>
    <row r="548" spans="1:9">
      <c r="A548" t="s">
        <v>1966</v>
      </c>
      <c r="B548" t="s">
        <v>10</v>
      </c>
      <c r="C548" t="s">
        <v>1967</v>
      </c>
      <c r="D548" t="s">
        <v>1954</v>
      </c>
      <c r="E548" t="s">
        <v>1884</v>
      </c>
      <c r="F548" t="s">
        <v>1968</v>
      </c>
      <c r="G548" t="s">
        <v>1969</v>
      </c>
      <c r="H548" t="s">
        <v>30</v>
      </c>
      <c r="I548" t="b">
        <f>COUNTIF(Estadísticas!I:I,'centraldecomunicacion.es'!H548)&gt;0</f>
        <v>0</v>
      </c>
    </row>
    <row r="549" spans="1:9">
      <c r="A549" t="s">
        <v>1970</v>
      </c>
      <c r="B549" t="s">
        <v>10</v>
      </c>
      <c r="C549" t="s">
        <v>1971</v>
      </c>
      <c r="D549" t="s">
        <v>1957</v>
      </c>
      <c r="E549" t="s">
        <v>1884</v>
      </c>
      <c r="F549" t="s">
        <v>1972</v>
      </c>
      <c r="G549" t="s">
        <v>1973</v>
      </c>
      <c r="H549" t="s">
        <v>30</v>
      </c>
      <c r="I549" t="b">
        <f>COUNTIF(Estadísticas!I:I,'centraldecomunicacion.es'!H549)&gt;0</f>
        <v>0</v>
      </c>
    </row>
    <row r="550" spans="1:9">
      <c r="A550" t="s">
        <v>1974</v>
      </c>
      <c r="B550" t="s">
        <v>10</v>
      </c>
      <c r="C550" t="s">
        <v>1975</v>
      </c>
      <c r="D550" t="s">
        <v>1962</v>
      </c>
      <c r="E550" t="s">
        <v>1884</v>
      </c>
      <c r="F550" t="s">
        <v>28</v>
      </c>
      <c r="G550" t="s">
        <v>1976</v>
      </c>
      <c r="H550" t="s">
        <v>30</v>
      </c>
      <c r="I550" t="b">
        <f>COUNTIF(Estadísticas!I:I,'centraldecomunicacion.es'!H550)&gt;0</f>
        <v>0</v>
      </c>
    </row>
    <row r="551" spans="1:9">
      <c r="A551" t="s">
        <v>1977</v>
      </c>
      <c r="B551" t="s">
        <v>10</v>
      </c>
      <c r="C551" t="s">
        <v>1978</v>
      </c>
      <c r="D551" t="s">
        <v>1954</v>
      </c>
      <c r="E551" t="s">
        <v>1884</v>
      </c>
      <c r="F551" t="s">
        <v>28</v>
      </c>
      <c r="G551" t="s">
        <v>28</v>
      </c>
      <c r="H551" t="s">
        <v>30</v>
      </c>
      <c r="I551" t="b">
        <f>COUNTIF(Estadísticas!I:I,'centraldecomunicacion.es'!H551)&gt;0</f>
        <v>0</v>
      </c>
    </row>
    <row r="552" spans="1:9">
      <c r="A552" t="s">
        <v>1979</v>
      </c>
      <c r="B552" t="s">
        <v>10</v>
      </c>
      <c r="C552" t="s">
        <v>1980</v>
      </c>
      <c r="D552" t="s">
        <v>1981</v>
      </c>
      <c r="E552" t="s">
        <v>1884</v>
      </c>
      <c r="F552" t="s">
        <v>50</v>
      </c>
      <c r="G552" t="s">
        <v>1982</v>
      </c>
      <c r="H552" t="s">
        <v>30</v>
      </c>
      <c r="I552" t="b">
        <f>COUNTIF(Estadísticas!I:I,'centraldecomunicacion.es'!H552)&gt;0</f>
        <v>0</v>
      </c>
    </row>
    <row r="553" spans="1:9">
      <c r="A553" t="s">
        <v>1983</v>
      </c>
      <c r="B553" t="s">
        <v>10</v>
      </c>
      <c r="C553" t="s">
        <v>1984</v>
      </c>
      <c r="D553" t="s">
        <v>1985</v>
      </c>
      <c r="E553" t="s">
        <v>1884</v>
      </c>
      <c r="F553" t="s">
        <v>28</v>
      </c>
      <c r="G553" t="s">
        <v>1986</v>
      </c>
      <c r="H553" t="s">
        <v>30</v>
      </c>
      <c r="I553" t="b">
        <f>COUNTIF(Estadísticas!I:I,'centraldecomunicacion.es'!H553)&gt;0</f>
        <v>0</v>
      </c>
    </row>
    <row r="554" spans="1:9">
      <c r="A554" t="s">
        <v>1987</v>
      </c>
      <c r="B554" t="s">
        <v>10</v>
      </c>
      <c r="C554" t="s">
        <v>1988</v>
      </c>
      <c r="D554" t="s">
        <v>1989</v>
      </c>
      <c r="E554" t="s">
        <v>1884</v>
      </c>
      <c r="F554" t="s">
        <v>28</v>
      </c>
      <c r="G554" t="s">
        <v>1990</v>
      </c>
      <c r="H554" t="s">
        <v>30</v>
      </c>
      <c r="I554" t="b">
        <f>COUNTIF(Estadísticas!I:I,'centraldecomunicacion.es'!H554)&gt;0</f>
        <v>0</v>
      </c>
    </row>
    <row r="555" spans="1:9">
      <c r="A555" t="s">
        <v>1991</v>
      </c>
      <c r="B555" t="s">
        <v>10</v>
      </c>
      <c r="C555" t="s">
        <v>1992</v>
      </c>
      <c r="D555" t="s">
        <v>1993</v>
      </c>
      <c r="E555" t="s">
        <v>1884</v>
      </c>
      <c r="F555" t="s">
        <v>50</v>
      </c>
      <c r="G555" t="s">
        <v>1994</v>
      </c>
      <c r="H555" t="s">
        <v>30</v>
      </c>
      <c r="I555" t="b">
        <f>COUNTIF(Estadísticas!I:I,'centraldecomunicacion.es'!H555)&gt;0</f>
        <v>0</v>
      </c>
    </row>
    <row r="556" spans="1:9">
      <c r="A556" t="s">
        <v>1995</v>
      </c>
      <c r="B556" t="s">
        <v>10</v>
      </c>
      <c r="C556" t="s">
        <v>1996</v>
      </c>
      <c r="D556" t="s">
        <v>1997</v>
      </c>
      <c r="E556" t="s">
        <v>1884</v>
      </c>
      <c r="F556" t="s">
        <v>1998</v>
      </c>
      <c r="G556" t="s">
        <v>1999</v>
      </c>
      <c r="H556" t="s">
        <v>30</v>
      </c>
      <c r="I556" t="b">
        <f>COUNTIF(Estadísticas!I:I,'centraldecomunicacion.es'!H556)&gt;0</f>
        <v>0</v>
      </c>
    </row>
    <row r="557" spans="1:9">
      <c r="A557" t="s">
        <v>2000</v>
      </c>
      <c r="B557" t="s">
        <v>10</v>
      </c>
      <c r="C557" t="s">
        <v>2001</v>
      </c>
      <c r="D557" t="s">
        <v>2002</v>
      </c>
      <c r="E557" t="s">
        <v>1884</v>
      </c>
      <c r="F557" t="s">
        <v>2003</v>
      </c>
      <c r="G557" t="s">
        <v>2004</v>
      </c>
      <c r="H557" t="s">
        <v>2005</v>
      </c>
      <c r="I557" t="b">
        <f>COUNTIF(Estadísticas!I:I,'centraldecomunicacion.es'!H557)&gt;0</f>
        <v>1</v>
      </c>
    </row>
    <row r="558" spans="1:9">
      <c r="A558" t="s">
        <v>2006</v>
      </c>
      <c r="B558" t="s">
        <v>10</v>
      </c>
      <c r="C558" t="s">
        <v>2007</v>
      </c>
      <c r="D558" t="s">
        <v>2008</v>
      </c>
      <c r="E558" t="s">
        <v>1884</v>
      </c>
      <c r="F558" t="s">
        <v>38</v>
      </c>
      <c r="G558" t="s">
        <v>2009</v>
      </c>
      <c r="H558" t="s">
        <v>30</v>
      </c>
      <c r="I558" t="b">
        <f>COUNTIF(Estadísticas!I:I,'centraldecomunicacion.es'!H558)&gt;0</f>
        <v>0</v>
      </c>
    </row>
    <row r="559" spans="1:9">
      <c r="A559" t="s">
        <v>2010</v>
      </c>
      <c r="B559" t="s">
        <v>10</v>
      </c>
      <c r="C559" t="s">
        <v>2011</v>
      </c>
      <c r="D559" t="s">
        <v>2008</v>
      </c>
      <c r="E559" t="s">
        <v>1884</v>
      </c>
      <c r="F559" t="s">
        <v>28</v>
      </c>
      <c r="G559" t="s">
        <v>2012</v>
      </c>
      <c r="H559" t="s">
        <v>30</v>
      </c>
      <c r="I559" t="b">
        <f>COUNTIF(Estadísticas!I:I,'centraldecomunicacion.es'!H559)&gt;0</f>
        <v>0</v>
      </c>
    </row>
    <row r="560" spans="1:9">
      <c r="A560" t="s">
        <v>2013</v>
      </c>
      <c r="B560" t="s">
        <v>10</v>
      </c>
      <c r="C560" t="s">
        <v>2014</v>
      </c>
      <c r="D560" t="s">
        <v>2015</v>
      </c>
      <c r="E560" t="s">
        <v>1884</v>
      </c>
      <c r="F560" t="s">
        <v>28</v>
      </c>
      <c r="G560" t="s">
        <v>2016</v>
      </c>
      <c r="H560" t="s">
        <v>30</v>
      </c>
      <c r="I560" t="b">
        <f>COUNTIF(Estadísticas!I:I,'centraldecomunicacion.es'!H560)&gt;0</f>
        <v>0</v>
      </c>
    </row>
    <row r="561" spans="1:9">
      <c r="A561" t="s">
        <v>1306</v>
      </c>
      <c r="B561" t="s">
        <v>10</v>
      </c>
      <c r="C561" t="s">
        <v>2017</v>
      </c>
      <c r="D561" t="s">
        <v>2002</v>
      </c>
      <c r="E561" t="s">
        <v>1884</v>
      </c>
      <c r="F561" t="s">
        <v>28</v>
      </c>
      <c r="G561" t="s">
        <v>2018</v>
      </c>
      <c r="H561" t="s">
        <v>30</v>
      </c>
      <c r="I561" t="b">
        <f>COUNTIF(Estadísticas!I:I,'centraldecomunicacion.es'!H561)&gt;0</f>
        <v>0</v>
      </c>
    </row>
    <row r="562" spans="1:9">
      <c r="A562" t="s">
        <v>436</v>
      </c>
      <c r="B562" t="s">
        <v>10</v>
      </c>
      <c r="C562" t="s">
        <v>2019</v>
      </c>
      <c r="D562" t="s">
        <v>2020</v>
      </c>
      <c r="E562" t="s">
        <v>1884</v>
      </c>
      <c r="F562" t="s">
        <v>50</v>
      </c>
      <c r="G562" t="s">
        <v>2021</v>
      </c>
      <c r="H562" t="s">
        <v>30</v>
      </c>
      <c r="I562" t="b">
        <f>COUNTIF(Estadísticas!I:I,'centraldecomunicacion.es'!H562)&gt;0</f>
        <v>0</v>
      </c>
    </row>
    <row r="563" spans="1:9">
      <c r="A563" t="s">
        <v>2022</v>
      </c>
      <c r="B563" t="s">
        <v>10</v>
      </c>
      <c r="C563" t="s">
        <v>2023</v>
      </c>
      <c r="D563" t="s">
        <v>1997</v>
      </c>
      <c r="E563" t="s">
        <v>1884</v>
      </c>
      <c r="F563" t="s">
        <v>2024</v>
      </c>
      <c r="G563" t="s">
        <v>2025</v>
      </c>
      <c r="H563" t="s">
        <v>30</v>
      </c>
      <c r="I563" t="b">
        <f>COUNTIF(Estadísticas!I:I,'centraldecomunicacion.es'!H563)&gt;0</f>
        <v>0</v>
      </c>
    </row>
    <row r="564" spans="1:9">
      <c r="A564" t="s">
        <v>2026</v>
      </c>
      <c r="B564" t="s">
        <v>10</v>
      </c>
      <c r="C564" t="s">
        <v>2027</v>
      </c>
      <c r="D564" t="s">
        <v>1997</v>
      </c>
      <c r="E564" t="s">
        <v>1884</v>
      </c>
      <c r="F564" t="s">
        <v>2028</v>
      </c>
      <c r="G564" t="s">
        <v>2029</v>
      </c>
      <c r="H564" t="s">
        <v>2030</v>
      </c>
      <c r="I564" t="b">
        <f>COUNTIF(Estadísticas!I:I,'centraldecomunicacion.es'!H564)&gt;0</f>
        <v>0</v>
      </c>
    </row>
    <row r="565" spans="1:9">
      <c r="A565" t="s">
        <v>2031</v>
      </c>
      <c r="B565" t="s">
        <v>10</v>
      </c>
      <c r="C565" t="s">
        <v>2032</v>
      </c>
      <c r="D565" t="s">
        <v>2033</v>
      </c>
      <c r="E565" t="s">
        <v>1884</v>
      </c>
      <c r="F565" t="s">
        <v>28</v>
      </c>
      <c r="G565" t="s">
        <v>2034</v>
      </c>
      <c r="H565" t="s">
        <v>30</v>
      </c>
      <c r="I565" t="b">
        <f>COUNTIF(Estadísticas!I:I,'centraldecomunicacion.es'!H565)&gt;0</f>
        <v>0</v>
      </c>
    </row>
    <row r="566" spans="1:9">
      <c r="A566" t="s">
        <v>2035</v>
      </c>
      <c r="B566" t="s">
        <v>10</v>
      </c>
      <c r="C566" t="s">
        <v>2036</v>
      </c>
      <c r="D566" t="s">
        <v>2020</v>
      </c>
      <c r="E566" t="s">
        <v>1884</v>
      </c>
      <c r="F566" t="s">
        <v>2037</v>
      </c>
      <c r="G566" t="s">
        <v>2038</v>
      </c>
      <c r="H566" t="s">
        <v>2039</v>
      </c>
      <c r="I566" t="b">
        <f>COUNTIF(Estadísticas!I:I,'centraldecomunicacion.es'!H566)&gt;0</f>
        <v>0</v>
      </c>
    </row>
    <row r="567" spans="1:9">
      <c r="A567" t="s">
        <v>2040</v>
      </c>
      <c r="B567" t="s">
        <v>10</v>
      </c>
      <c r="C567" t="s">
        <v>2041</v>
      </c>
      <c r="D567" t="s">
        <v>2042</v>
      </c>
      <c r="E567" t="s">
        <v>1884</v>
      </c>
      <c r="F567" t="s">
        <v>2043</v>
      </c>
      <c r="G567" t="s">
        <v>2044</v>
      </c>
      <c r="H567" t="s">
        <v>2045</v>
      </c>
      <c r="I567" t="b">
        <f>COUNTIF(Estadísticas!I:I,'centraldecomunicacion.es'!H567)&gt;0</f>
        <v>0</v>
      </c>
    </row>
    <row r="568" spans="1:9">
      <c r="A568" t="s">
        <v>2046</v>
      </c>
      <c r="B568" t="s">
        <v>10</v>
      </c>
      <c r="C568" t="s">
        <v>2047</v>
      </c>
      <c r="D568" t="s">
        <v>2042</v>
      </c>
      <c r="E568" t="s">
        <v>1884</v>
      </c>
      <c r="F568" t="s">
        <v>28</v>
      </c>
      <c r="G568" t="s">
        <v>2048</v>
      </c>
      <c r="H568" t="s">
        <v>30</v>
      </c>
      <c r="I568" t="b">
        <f>COUNTIF(Estadísticas!I:I,'centraldecomunicacion.es'!H568)&gt;0</f>
        <v>0</v>
      </c>
    </row>
    <row r="569" spans="1:9">
      <c r="A569" t="s">
        <v>2049</v>
      </c>
      <c r="B569" t="s">
        <v>10</v>
      </c>
      <c r="C569" t="s">
        <v>2050</v>
      </c>
      <c r="D569" t="s">
        <v>2042</v>
      </c>
      <c r="E569" t="s">
        <v>1884</v>
      </c>
      <c r="F569" t="s">
        <v>2051</v>
      </c>
      <c r="G569" t="s">
        <v>2052</v>
      </c>
      <c r="H569" t="s">
        <v>2053</v>
      </c>
      <c r="I569" t="b">
        <f>COUNTIF(Estadísticas!I:I,'centraldecomunicacion.es'!H569)&gt;0</f>
        <v>1</v>
      </c>
    </row>
    <row r="570" spans="1:9">
      <c r="A570" t="s">
        <v>2054</v>
      </c>
      <c r="B570" t="s">
        <v>10</v>
      </c>
      <c r="C570" t="s">
        <v>2055</v>
      </c>
      <c r="D570" t="s">
        <v>2020</v>
      </c>
      <c r="E570" t="s">
        <v>1884</v>
      </c>
      <c r="F570" t="s">
        <v>2037</v>
      </c>
      <c r="G570" t="s">
        <v>2056</v>
      </c>
      <c r="H570" t="s">
        <v>2039</v>
      </c>
      <c r="I570" t="b">
        <f>COUNTIF(Estadísticas!I:I,'centraldecomunicacion.es'!H570)&gt;0</f>
        <v>0</v>
      </c>
    </row>
    <row r="571" spans="1:9">
      <c r="A571" t="s">
        <v>2057</v>
      </c>
      <c r="B571" t="s">
        <v>10</v>
      </c>
      <c r="C571" t="s">
        <v>2058</v>
      </c>
      <c r="D571" t="s">
        <v>2059</v>
      </c>
      <c r="E571" t="s">
        <v>1884</v>
      </c>
      <c r="F571" t="s">
        <v>87</v>
      </c>
      <c r="G571" t="s">
        <v>2060</v>
      </c>
      <c r="H571" t="s">
        <v>30</v>
      </c>
      <c r="I571" t="b">
        <f>COUNTIF(Estadísticas!I:I,'centraldecomunicacion.es'!H571)&gt;0</f>
        <v>0</v>
      </c>
    </row>
    <row r="572" spans="1:9">
      <c r="A572" t="s">
        <v>2061</v>
      </c>
      <c r="B572" t="s">
        <v>10</v>
      </c>
      <c r="C572" t="s">
        <v>2062</v>
      </c>
      <c r="D572" t="s">
        <v>2063</v>
      </c>
      <c r="E572" t="s">
        <v>1884</v>
      </c>
      <c r="F572" t="s">
        <v>2064</v>
      </c>
      <c r="G572" t="s">
        <v>2065</v>
      </c>
      <c r="H572" t="s">
        <v>2066</v>
      </c>
      <c r="I572" t="b">
        <f>COUNTIF(Estadísticas!I:I,'centraldecomunicacion.es'!H572)&gt;0</f>
        <v>0</v>
      </c>
    </row>
    <row r="573" spans="1:9">
      <c r="A573" t="s">
        <v>2067</v>
      </c>
      <c r="B573" t="s">
        <v>10</v>
      </c>
      <c r="C573" t="s">
        <v>2068</v>
      </c>
      <c r="D573" t="s">
        <v>1997</v>
      </c>
      <c r="E573" t="s">
        <v>1884</v>
      </c>
      <c r="F573" t="s">
        <v>28</v>
      </c>
      <c r="G573" t="s">
        <v>2069</v>
      </c>
      <c r="H573" t="s">
        <v>30</v>
      </c>
      <c r="I573" t="b">
        <f>COUNTIF(Estadísticas!I:I,'centraldecomunicacion.es'!H573)&gt;0</f>
        <v>0</v>
      </c>
    </row>
    <row r="574" spans="1:9">
      <c r="A574" t="s">
        <v>2070</v>
      </c>
      <c r="B574" t="s">
        <v>10</v>
      </c>
      <c r="C574" t="s">
        <v>2071</v>
      </c>
      <c r="D574" t="s">
        <v>2059</v>
      </c>
      <c r="E574" t="s">
        <v>1884</v>
      </c>
      <c r="F574" t="s">
        <v>28</v>
      </c>
      <c r="G574" t="s">
        <v>2072</v>
      </c>
      <c r="H574" t="s">
        <v>30</v>
      </c>
      <c r="I574" t="b">
        <f>COUNTIF(Estadísticas!I:I,'centraldecomunicacion.es'!H574)&gt;0</f>
        <v>0</v>
      </c>
    </row>
    <row r="575" spans="1:9">
      <c r="A575" t="s">
        <v>2073</v>
      </c>
      <c r="B575" t="s">
        <v>10</v>
      </c>
      <c r="C575" t="s">
        <v>2074</v>
      </c>
      <c r="D575" t="s">
        <v>2075</v>
      </c>
      <c r="E575" t="s">
        <v>1884</v>
      </c>
      <c r="F575" t="s">
        <v>28</v>
      </c>
      <c r="G575" t="s">
        <v>28</v>
      </c>
      <c r="H575" t="s">
        <v>30</v>
      </c>
      <c r="I575" t="b">
        <f>COUNTIF(Estadísticas!I:I,'centraldecomunicacion.es'!H575)&gt;0</f>
        <v>0</v>
      </c>
    </row>
    <row r="576" spans="1:9">
      <c r="A576" t="s">
        <v>2076</v>
      </c>
      <c r="B576" t="s">
        <v>10</v>
      </c>
      <c r="C576" t="s">
        <v>28</v>
      </c>
      <c r="D576" t="s">
        <v>2077</v>
      </c>
      <c r="E576" t="s">
        <v>28</v>
      </c>
      <c r="F576" t="s">
        <v>28</v>
      </c>
      <c r="G576" t="s">
        <v>2078</v>
      </c>
      <c r="H576" t="s">
        <v>30</v>
      </c>
      <c r="I576" t="b">
        <f>COUNTIF(Estadísticas!I:I,'centraldecomunicacion.es'!H576)&gt;0</f>
        <v>0</v>
      </c>
    </row>
    <row r="577" spans="1:9">
      <c r="A577" t="s">
        <v>2079</v>
      </c>
      <c r="B577" t="s">
        <v>10</v>
      </c>
      <c r="C577" t="s">
        <v>2080</v>
      </c>
      <c r="D577" t="s">
        <v>2020</v>
      </c>
      <c r="E577" t="s">
        <v>1884</v>
      </c>
      <c r="F577" t="s">
        <v>28</v>
      </c>
      <c r="G577" t="s">
        <v>2081</v>
      </c>
      <c r="H577" t="s">
        <v>30</v>
      </c>
      <c r="I577" t="b">
        <f>COUNTIF(Estadísticas!I:I,'centraldecomunicacion.es'!H577)&gt;0</f>
        <v>0</v>
      </c>
    </row>
    <row r="578" spans="1:9">
      <c r="A578" t="s">
        <v>2082</v>
      </c>
      <c r="B578" t="s">
        <v>10</v>
      </c>
      <c r="C578" t="s">
        <v>2083</v>
      </c>
      <c r="D578" t="s">
        <v>2084</v>
      </c>
      <c r="E578" t="s">
        <v>1884</v>
      </c>
      <c r="F578" t="s">
        <v>2085</v>
      </c>
      <c r="G578" t="s">
        <v>2086</v>
      </c>
      <c r="H578" t="s">
        <v>2087</v>
      </c>
      <c r="I578" t="b">
        <f>COUNTIF(Estadísticas!I:I,'centraldecomunicacion.es'!H578)&gt;0</f>
        <v>1</v>
      </c>
    </row>
    <row r="579" spans="1:9">
      <c r="A579" t="s">
        <v>2088</v>
      </c>
      <c r="B579" t="s">
        <v>10</v>
      </c>
      <c r="C579" t="s">
        <v>2089</v>
      </c>
      <c r="D579" t="s">
        <v>2090</v>
      </c>
      <c r="E579" t="s">
        <v>1884</v>
      </c>
      <c r="F579" t="s">
        <v>28</v>
      </c>
      <c r="G579" t="s">
        <v>2091</v>
      </c>
      <c r="H579" t="s">
        <v>30</v>
      </c>
      <c r="I579" t="b">
        <f>COUNTIF(Estadísticas!I:I,'centraldecomunicacion.es'!H579)&gt;0</f>
        <v>0</v>
      </c>
    </row>
    <row r="580" spans="1:9">
      <c r="A580" t="s">
        <v>2092</v>
      </c>
      <c r="B580" t="s">
        <v>10</v>
      </c>
      <c r="C580" t="s">
        <v>2093</v>
      </c>
      <c r="D580" t="s">
        <v>2094</v>
      </c>
      <c r="E580" t="s">
        <v>1884</v>
      </c>
      <c r="F580" t="s">
        <v>2095</v>
      </c>
      <c r="G580" t="s">
        <v>2096</v>
      </c>
      <c r="H580" t="s">
        <v>30</v>
      </c>
      <c r="I580" t="b">
        <f>COUNTIF(Estadísticas!I:I,'centraldecomunicacion.es'!H580)&gt;0</f>
        <v>0</v>
      </c>
    </row>
    <row r="581" spans="1:9">
      <c r="A581" t="s">
        <v>2097</v>
      </c>
      <c r="B581" t="s">
        <v>10</v>
      </c>
      <c r="C581" t="s">
        <v>2098</v>
      </c>
      <c r="D581" t="s">
        <v>2094</v>
      </c>
      <c r="E581" t="s">
        <v>1884</v>
      </c>
      <c r="F581" t="s">
        <v>28</v>
      </c>
      <c r="G581" t="s">
        <v>2099</v>
      </c>
      <c r="H581" t="s">
        <v>30</v>
      </c>
      <c r="I581" t="b">
        <f>COUNTIF(Estadísticas!I:I,'centraldecomunicacion.es'!H581)&gt;0</f>
        <v>0</v>
      </c>
    </row>
    <row r="582" spans="1:9">
      <c r="A582" t="s">
        <v>2100</v>
      </c>
      <c r="B582" t="s">
        <v>10</v>
      </c>
      <c r="C582" t="s">
        <v>2101</v>
      </c>
      <c r="D582" t="s">
        <v>2002</v>
      </c>
      <c r="E582" t="s">
        <v>1884</v>
      </c>
      <c r="F582" t="s">
        <v>28</v>
      </c>
      <c r="G582" t="s">
        <v>2102</v>
      </c>
      <c r="H582" t="s">
        <v>30</v>
      </c>
      <c r="I582" t="b">
        <f>COUNTIF(Estadísticas!I:I,'centraldecomunicacion.es'!H582)&gt;0</f>
        <v>0</v>
      </c>
    </row>
    <row r="583" spans="1:9">
      <c r="A583" t="s">
        <v>2103</v>
      </c>
      <c r="B583" t="s">
        <v>10</v>
      </c>
      <c r="C583" t="s">
        <v>2104</v>
      </c>
      <c r="D583" t="s">
        <v>2094</v>
      </c>
      <c r="E583" t="s">
        <v>1884</v>
      </c>
      <c r="F583" t="s">
        <v>2105</v>
      </c>
      <c r="G583" t="s">
        <v>2106</v>
      </c>
      <c r="H583" t="s">
        <v>2107</v>
      </c>
      <c r="I583" t="b">
        <f>COUNTIF(Estadísticas!I:I,'centraldecomunicacion.es'!H583)&gt;0</f>
        <v>1</v>
      </c>
    </row>
    <row r="584" spans="1:9">
      <c r="A584" t="s">
        <v>2108</v>
      </c>
      <c r="B584" t="s">
        <v>10</v>
      </c>
      <c r="C584" t="s">
        <v>2109</v>
      </c>
      <c r="D584" t="s">
        <v>2110</v>
      </c>
      <c r="E584" t="s">
        <v>1884</v>
      </c>
      <c r="F584" t="s">
        <v>2111</v>
      </c>
      <c r="G584" t="s">
        <v>2112</v>
      </c>
      <c r="H584" t="s">
        <v>30</v>
      </c>
      <c r="I584" t="b">
        <f>COUNTIF(Estadísticas!I:I,'centraldecomunicacion.es'!H584)&gt;0</f>
        <v>0</v>
      </c>
    </row>
    <row r="585" spans="1:9">
      <c r="A585" t="s">
        <v>2113</v>
      </c>
      <c r="B585" t="s">
        <v>10</v>
      </c>
      <c r="C585" t="s">
        <v>2114</v>
      </c>
      <c r="D585" t="s">
        <v>2042</v>
      </c>
      <c r="E585" t="s">
        <v>1884</v>
      </c>
      <c r="F585" t="s">
        <v>28</v>
      </c>
      <c r="G585" t="s">
        <v>2115</v>
      </c>
      <c r="H585" t="s">
        <v>30</v>
      </c>
      <c r="I585" t="b">
        <f>COUNTIF(Estadísticas!I:I,'centraldecomunicacion.es'!H585)&gt;0</f>
        <v>0</v>
      </c>
    </row>
    <row r="586" spans="1:9">
      <c r="A586" t="s">
        <v>2116</v>
      </c>
      <c r="B586" t="s">
        <v>10</v>
      </c>
      <c r="C586" t="s">
        <v>2117</v>
      </c>
      <c r="D586" t="s">
        <v>1997</v>
      </c>
      <c r="E586" t="s">
        <v>1884</v>
      </c>
      <c r="F586" t="s">
        <v>28</v>
      </c>
      <c r="G586" t="s">
        <v>2118</v>
      </c>
      <c r="H586" t="s">
        <v>30</v>
      </c>
      <c r="I586" t="b">
        <f>COUNTIF(Estadísticas!I:I,'centraldecomunicacion.es'!H586)&gt;0</f>
        <v>0</v>
      </c>
    </row>
    <row r="587" spans="1:9">
      <c r="A587" t="s">
        <v>2119</v>
      </c>
      <c r="B587" t="s">
        <v>10</v>
      </c>
      <c r="C587" t="s">
        <v>2120</v>
      </c>
      <c r="D587" t="s">
        <v>1997</v>
      </c>
      <c r="E587" t="s">
        <v>1884</v>
      </c>
      <c r="F587" t="s">
        <v>28</v>
      </c>
      <c r="G587" t="s">
        <v>2121</v>
      </c>
      <c r="H587" t="s">
        <v>30</v>
      </c>
      <c r="I587" t="b">
        <f>COUNTIF(Estadísticas!I:I,'centraldecomunicacion.es'!H587)&gt;0</f>
        <v>0</v>
      </c>
    </row>
    <row r="588" spans="1:9">
      <c r="A588" t="s">
        <v>2122</v>
      </c>
      <c r="B588" t="s">
        <v>10</v>
      </c>
      <c r="C588" t="s">
        <v>2123</v>
      </c>
      <c r="D588" t="s">
        <v>2094</v>
      </c>
      <c r="E588" t="s">
        <v>1884</v>
      </c>
      <c r="F588" t="s">
        <v>28</v>
      </c>
      <c r="G588" t="s">
        <v>2124</v>
      </c>
      <c r="H588" t="s">
        <v>30</v>
      </c>
      <c r="I588" t="b">
        <f>COUNTIF(Estadísticas!I:I,'centraldecomunicacion.es'!H588)&gt;0</f>
        <v>0</v>
      </c>
    </row>
    <row r="589" spans="1:9">
      <c r="A589" t="s">
        <v>2125</v>
      </c>
      <c r="B589" t="s">
        <v>10</v>
      </c>
      <c r="C589" t="s">
        <v>2126</v>
      </c>
      <c r="D589" t="s">
        <v>2127</v>
      </c>
      <c r="E589" t="s">
        <v>1884</v>
      </c>
      <c r="F589" t="s">
        <v>28</v>
      </c>
      <c r="G589" t="s">
        <v>2128</v>
      </c>
      <c r="H589" t="s">
        <v>30</v>
      </c>
      <c r="I589" t="b">
        <f>COUNTIF(Estadísticas!I:I,'centraldecomunicacion.es'!H589)&gt;0</f>
        <v>0</v>
      </c>
    </row>
    <row r="590" spans="1:9">
      <c r="A590" t="s">
        <v>2129</v>
      </c>
      <c r="B590" t="s">
        <v>10</v>
      </c>
      <c r="C590" t="s">
        <v>2130</v>
      </c>
      <c r="D590" t="s">
        <v>2020</v>
      </c>
      <c r="E590" t="s">
        <v>1884</v>
      </c>
      <c r="F590" t="s">
        <v>2131</v>
      </c>
      <c r="G590" t="s">
        <v>2132</v>
      </c>
      <c r="H590" t="s">
        <v>2133</v>
      </c>
      <c r="I590" t="b">
        <f>COUNTIF(Estadísticas!I:I,'centraldecomunicacion.es'!H590)&gt;0</f>
        <v>0</v>
      </c>
    </row>
    <row r="591" spans="1:9">
      <c r="A591" t="s">
        <v>2134</v>
      </c>
      <c r="B591" t="s">
        <v>10</v>
      </c>
      <c r="C591" t="s">
        <v>2135</v>
      </c>
      <c r="D591" t="s">
        <v>2094</v>
      </c>
      <c r="E591" t="s">
        <v>1884</v>
      </c>
      <c r="F591" t="s">
        <v>28</v>
      </c>
      <c r="G591" t="s">
        <v>2136</v>
      </c>
      <c r="H591" t="s">
        <v>30</v>
      </c>
      <c r="I591" t="b">
        <f>COUNTIF(Estadísticas!I:I,'centraldecomunicacion.es'!H591)&gt;0</f>
        <v>0</v>
      </c>
    </row>
    <row r="592" spans="1:9">
      <c r="A592" t="s">
        <v>2137</v>
      </c>
      <c r="B592" t="s">
        <v>10</v>
      </c>
      <c r="C592" t="s">
        <v>2138</v>
      </c>
      <c r="D592" t="s">
        <v>2020</v>
      </c>
      <c r="E592" t="s">
        <v>1884</v>
      </c>
      <c r="F592" t="s">
        <v>2131</v>
      </c>
      <c r="G592" t="s">
        <v>28</v>
      </c>
      <c r="H592" t="s">
        <v>2133</v>
      </c>
      <c r="I592" t="b">
        <f>COUNTIF(Estadísticas!I:I,'centraldecomunicacion.es'!H592)&gt;0</f>
        <v>0</v>
      </c>
    </row>
    <row r="593" spans="1:9">
      <c r="A593" t="s">
        <v>2139</v>
      </c>
      <c r="B593" t="s">
        <v>10</v>
      </c>
      <c r="C593" t="s">
        <v>2140</v>
      </c>
      <c r="D593" t="s">
        <v>2094</v>
      </c>
      <c r="E593" t="s">
        <v>1884</v>
      </c>
      <c r="F593" t="s">
        <v>28</v>
      </c>
      <c r="G593" t="s">
        <v>28</v>
      </c>
      <c r="H593" t="s">
        <v>30</v>
      </c>
      <c r="I593" t="b">
        <f>COUNTIF(Estadísticas!I:I,'centraldecomunicacion.es'!H593)&gt;0</f>
        <v>0</v>
      </c>
    </row>
    <row r="594" spans="1:9">
      <c r="A594" t="s">
        <v>2141</v>
      </c>
      <c r="B594" t="s">
        <v>10</v>
      </c>
      <c r="C594" t="s">
        <v>2142</v>
      </c>
      <c r="D594" t="s">
        <v>2143</v>
      </c>
      <c r="E594" t="s">
        <v>1884</v>
      </c>
      <c r="F594" t="s">
        <v>2144</v>
      </c>
      <c r="G594" t="s">
        <v>2145</v>
      </c>
      <c r="H594" t="s">
        <v>2146</v>
      </c>
      <c r="I594" t="b">
        <f>COUNTIF(Estadísticas!I:I,'centraldecomunicacion.es'!H594)&gt;0</f>
        <v>1</v>
      </c>
    </row>
    <row r="595" spans="1:9">
      <c r="A595" t="s">
        <v>2147</v>
      </c>
      <c r="B595" t="s">
        <v>10</v>
      </c>
      <c r="C595" t="s">
        <v>2148</v>
      </c>
      <c r="D595" t="s">
        <v>2149</v>
      </c>
      <c r="E595" t="s">
        <v>1884</v>
      </c>
      <c r="F595" t="s">
        <v>2150</v>
      </c>
      <c r="G595" t="s">
        <v>2151</v>
      </c>
      <c r="H595" t="s">
        <v>2152</v>
      </c>
      <c r="I595" t="b">
        <f>COUNTIF(Estadísticas!I:I,'centraldecomunicacion.es'!H595)&gt;0</f>
        <v>1</v>
      </c>
    </row>
    <row r="596" spans="1:9">
      <c r="A596" t="s">
        <v>2153</v>
      </c>
      <c r="B596" t="s">
        <v>10</v>
      </c>
      <c r="C596" t="s">
        <v>2154</v>
      </c>
      <c r="D596" t="s">
        <v>2002</v>
      </c>
      <c r="E596" t="s">
        <v>1884</v>
      </c>
      <c r="F596" t="s">
        <v>28</v>
      </c>
      <c r="G596" t="s">
        <v>2155</v>
      </c>
      <c r="H596" t="s">
        <v>30</v>
      </c>
      <c r="I596" t="b">
        <f>COUNTIF(Estadísticas!I:I,'centraldecomunicacion.es'!H596)&gt;0</f>
        <v>0</v>
      </c>
    </row>
    <row r="597" spans="1:9">
      <c r="A597" t="s">
        <v>2156</v>
      </c>
      <c r="B597" t="s">
        <v>10</v>
      </c>
      <c r="C597" t="s">
        <v>2157</v>
      </c>
      <c r="D597" t="s">
        <v>2059</v>
      </c>
      <c r="E597" t="s">
        <v>1884</v>
      </c>
      <c r="F597" t="s">
        <v>28</v>
      </c>
      <c r="G597" t="s">
        <v>2158</v>
      </c>
      <c r="H597" t="s">
        <v>30</v>
      </c>
      <c r="I597" t="b">
        <f>COUNTIF(Estadísticas!I:I,'centraldecomunicacion.es'!H597)&gt;0</f>
        <v>0</v>
      </c>
    </row>
    <row r="598" spans="1:9">
      <c r="A598" t="s">
        <v>2159</v>
      </c>
      <c r="B598" t="s">
        <v>10</v>
      </c>
      <c r="C598" t="s">
        <v>2160</v>
      </c>
      <c r="D598" t="s">
        <v>2015</v>
      </c>
      <c r="E598" t="s">
        <v>1884</v>
      </c>
      <c r="F598" t="s">
        <v>2161</v>
      </c>
      <c r="G598" t="s">
        <v>2162</v>
      </c>
      <c r="H598" t="s">
        <v>30</v>
      </c>
      <c r="I598" t="b">
        <f>COUNTIF(Estadísticas!I:I,'centraldecomunicacion.es'!H598)&gt;0</f>
        <v>0</v>
      </c>
    </row>
    <row r="599" spans="1:9">
      <c r="A599" t="s">
        <v>2163</v>
      </c>
      <c r="B599" t="s">
        <v>10</v>
      </c>
      <c r="C599" t="s">
        <v>2164</v>
      </c>
      <c r="D599" t="s">
        <v>2165</v>
      </c>
      <c r="E599" t="s">
        <v>1884</v>
      </c>
      <c r="F599" t="s">
        <v>28</v>
      </c>
      <c r="G599" t="s">
        <v>2166</v>
      </c>
      <c r="H599" t="s">
        <v>30</v>
      </c>
      <c r="I599" t="b">
        <f>COUNTIF(Estadísticas!I:I,'centraldecomunicacion.es'!H599)&gt;0</f>
        <v>0</v>
      </c>
    </row>
    <row r="600" spans="1:9">
      <c r="A600" t="s">
        <v>2129</v>
      </c>
      <c r="B600" t="s">
        <v>10</v>
      </c>
      <c r="C600" t="s">
        <v>2167</v>
      </c>
      <c r="D600" t="s">
        <v>2168</v>
      </c>
      <c r="E600" t="s">
        <v>1884</v>
      </c>
      <c r="F600" t="s">
        <v>2131</v>
      </c>
      <c r="G600" t="s">
        <v>2169</v>
      </c>
      <c r="H600" t="s">
        <v>2133</v>
      </c>
      <c r="I600" t="b">
        <f>COUNTIF(Estadísticas!I:I,'centraldecomunicacion.es'!H600)&gt;0</f>
        <v>0</v>
      </c>
    </row>
    <row r="601" spans="1:9">
      <c r="A601" t="s">
        <v>2170</v>
      </c>
      <c r="B601" t="s">
        <v>10</v>
      </c>
      <c r="C601" t="s">
        <v>2171</v>
      </c>
      <c r="D601" t="s">
        <v>2149</v>
      </c>
      <c r="E601" t="s">
        <v>1884</v>
      </c>
      <c r="F601" t="s">
        <v>28</v>
      </c>
      <c r="G601" t="s">
        <v>2172</v>
      </c>
      <c r="H601" t="s">
        <v>30</v>
      </c>
      <c r="I601" t="b">
        <f>COUNTIF(Estadísticas!I:I,'centraldecomunicacion.es'!H601)&gt;0</f>
        <v>0</v>
      </c>
    </row>
    <row r="602" spans="1:9">
      <c r="A602" t="s">
        <v>2173</v>
      </c>
      <c r="B602" t="s">
        <v>10</v>
      </c>
      <c r="C602" t="s">
        <v>2174</v>
      </c>
      <c r="D602" t="s">
        <v>2175</v>
      </c>
      <c r="E602" t="s">
        <v>1884</v>
      </c>
      <c r="F602" t="s">
        <v>2176</v>
      </c>
      <c r="G602" t="s">
        <v>2177</v>
      </c>
      <c r="H602" t="s">
        <v>30</v>
      </c>
      <c r="I602" t="b">
        <f>COUNTIF(Estadísticas!I:I,'centraldecomunicacion.es'!H602)&gt;0</f>
        <v>0</v>
      </c>
    </row>
    <row r="603" spans="1:9">
      <c r="A603" t="s">
        <v>2178</v>
      </c>
      <c r="B603" t="s">
        <v>10</v>
      </c>
      <c r="C603" t="s">
        <v>2179</v>
      </c>
      <c r="D603" t="s">
        <v>2149</v>
      </c>
      <c r="E603" t="s">
        <v>1884</v>
      </c>
      <c r="F603" t="s">
        <v>28</v>
      </c>
      <c r="G603" t="s">
        <v>2180</v>
      </c>
      <c r="H603" t="s">
        <v>30</v>
      </c>
      <c r="I603" t="b">
        <f>COUNTIF(Estadísticas!I:I,'centraldecomunicacion.es'!H603)&gt;0</f>
        <v>0</v>
      </c>
    </row>
    <row r="604" spans="1:9">
      <c r="A604" t="s">
        <v>2181</v>
      </c>
      <c r="B604" t="s">
        <v>10</v>
      </c>
      <c r="C604" t="s">
        <v>2182</v>
      </c>
      <c r="D604" t="s">
        <v>2183</v>
      </c>
      <c r="E604" t="s">
        <v>1884</v>
      </c>
      <c r="F604" t="s">
        <v>28</v>
      </c>
      <c r="G604" t="s">
        <v>28</v>
      </c>
      <c r="H604" t="s">
        <v>30</v>
      </c>
      <c r="I604" t="b">
        <f>COUNTIF(Estadísticas!I:I,'centraldecomunicacion.es'!H604)&gt;0</f>
        <v>0</v>
      </c>
    </row>
    <row r="605" spans="1:9">
      <c r="A605" t="s">
        <v>2184</v>
      </c>
      <c r="B605" t="s">
        <v>219</v>
      </c>
      <c r="C605" t="s">
        <v>2185</v>
      </c>
      <c r="D605" t="s">
        <v>1884</v>
      </c>
      <c r="E605" t="s">
        <v>1884</v>
      </c>
      <c r="F605" t="s">
        <v>2186</v>
      </c>
      <c r="G605" t="s">
        <v>2187</v>
      </c>
      <c r="H605" t="s">
        <v>2188</v>
      </c>
      <c r="I605" t="b">
        <f>COUNTIF(Estadísticas!I:I,'centraldecomunicacion.es'!H605)&gt;0</f>
        <v>0</v>
      </c>
    </row>
    <row r="606" spans="1:9">
      <c r="A606" t="s">
        <v>2189</v>
      </c>
      <c r="B606" t="s">
        <v>10</v>
      </c>
      <c r="C606" t="s">
        <v>2190</v>
      </c>
      <c r="D606" t="s">
        <v>2008</v>
      </c>
      <c r="E606" t="s">
        <v>1884</v>
      </c>
      <c r="F606" t="s">
        <v>2191</v>
      </c>
      <c r="G606" t="s">
        <v>2192</v>
      </c>
      <c r="H606" t="s">
        <v>30</v>
      </c>
      <c r="I606" t="b">
        <f>COUNTIF(Estadísticas!I:I,'centraldecomunicacion.es'!H606)&gt;0</f>
        <v>0</v>
      </c>
    </row>
    <row r="607" spans="1:9">
      <c r="A607" t="s">
        <v>2193</v>
      </c>
      <c r="B607" t="s">
        <v>10</v>
      </c>
      <c r="C607" t="s">
        <v>2194</v>
      </c>
      <c r="D607" t="s">
        <v>2077</v>
      </c>
      <c r="E607" t="s">
        <v>1884</v>
      </c>
      <c r="F607" t="s">
        <v>28</v>
      </c>
      <c r="G607" t="s">
        <v>2195</v>
      </c>
      <c r="H607" t="s">
        <v>30</v>
      </c>
      <c r="I607" t="b">
        <f>COUNTIF(Estadísticas!I:I,'centraldecomunicacion.es'!H607)&gt;0</f>
        <v>0</v>
      </c>
    </row>
    <row r="608" spans="1:9">
      <c r="A608" t="s">
        <v>2196</v>
      </c>
      <c r="B608" t="s">
        <v>10</v>
      </c>
      <c r="C608" t="s">
        <v>2197</v>
      </c>
      <c r="D608" t="s">
        <v>2183</v>
      </c>
      <c r="E608" t="s">
        <v>1884</v>
      </c>
      <c r="F608" t="s">
        <v>28</v>
      </c>
      <c r="G608" t="s">
        <v>2198</v>
      </c>
      <c r="H608" t="s">
        <v>30</v>
      </c>
      <c r="I608" t="b">
        <f>COUNTIF(Estadísticas!I:I,'centraldecomunicacion.es'!H608)&gt;0</f>
        <v>0</v>
      </c>
    </row>
    <row r="609" spans="1:9">
      <c r="A609" t="s">
        <v>2199</v>
      </c>
      <c r="B609" t="s">
        <v>10</v>
      </c>
      <c r="C609" t="s">
        <v>2200</v>
      </c>
      <c r="D609" t="s">
        <v>2201</v>
      </c>
      <c r="E609" t="s">
        <v>1884</v>
      </c>
      <c r="F609" t="s">
        <v>28</v>
      </c>
      <c r="G609" t="s">
        <v>2202</v>
      </c>
      <c r="H609" t="s">
        <v>30</v>
      </c>
      <c r="I609" t="b">
        <f>COUNTIF(Estadísticas!I:I,'centraldecomunicacion.es'!H609)&gt;0</f>
        <v>0</v>
      </c>
    </row>
    <row r="610" spans="1:9">
      <c r="A610" t="s">
        <v>2203</v>
      </c>
      <c r="B610" t="s">
        <v>10</v>
      </c>
      <c r="C610" t="s">
        <v>2135</v>
      </c>
      <c r="D610" t="s">
        <v>2094</v>
      </c>
      <c r="E610" t="s">
        <v>1884</v>
      </c>
      <c r="F610" t="s">
        <v>28</v>
      </c>
      <c r="G610" t="s">
        <v>2136</v>
      </c>
      <c r="H610" t="s">
        <v>30</v>
      </c>
      <c r="I610" t="b">
        <f>COUNTIF(Estadísticas!I:I,'centraldecomunicacion.es'!H610)&gt;0</f>
        <v>0</v>
      </c>
    </row>
    <row r="611" spans="1:9">
      <c r="A611" t="s">
        <v>2204</v>
      </c>
      <c r="B611" t="s">
        <v>10</v>
      </c>
      <c r="C611" t="s">
        <v>2205</v>
      </c>
      <c r="D611" t="s">
        <v>2201</v>
      </c>
      <c r="E611" t="s">
        <v>1884</v>
      </c>
      <c r="F611" t="s">
        <v>28</v>
      </c>
      <c r="G611" t="s">
        <v>2206</v>
      </c>
      <c r="H611" t="s">
        <v>30</v>
      </c>
      <c r="I611" t="b">
        <f>COUNTIF(Estadísticas!I:I,'centraldecomunicacion.es'!H611)&gt;0</f>
        <v>0</v>
      </c>
    </row>
    <row r="612" spans="1:9">
      <c r="A612" t="s">
        <v>2207</v>
      </c>
      <c r="B612" t="s">
        <v>10</v>
      </c>
      <c r="C612" t="s">
        <v>2208</v>
      </c>
      <c r="D612" t="s">
        <v>2209</v>
      </c>
      <c r="E612" t="s">
        <v>1884</v>
      </c>
      <c r="F612" t="s">
        <v>28</v>
      </c>
      <c r="G612" t="s">
        <v>2210</v>
      </c>
      <c r="H612" t="s">
        <v>30</v>
      </c>
      <c r="I612" t="b">
        <f>COUNTIF(Estadísticas!I:I,'centraldecomunicacion.es'!H612)&gt;0</f>
        <v>0</v>
      </c>
    </row>
    <row r="613" spans="1:9">
      <c r="A613" t="s">
        <v>2211</v>
      </c>
      <c r="B613" t="s">
        <v>10</v>
      </c>
      <c r="C613" t="s">
        <v>2212</v>
      </c>
      <c r="D613" t="s">
        <v>2213</v>
      </c>
      <c r="E613" t="s">
        <v>1884</v>
      </c>
      <c r="F613" t="s">
        <v>28</v>
      </c>
      <c r="G613" t="s">
        <v>2214</v>
      </c>
      <c r="H613" t="s">
        <v>30</v>
      </c>
      <c r="I613" t="b">
        <f>COUNTIF(Estadísticas!I:I,'centraldecomunicacion.es'!H613)&gt;0</f>
        <v>0</v>
      </c>
    </row>
    <row r="614" spans="1:9">
      <c r="A614" t="s">
        <v>1781</v>
      </c>
      <c r="B614" t="s">
        <v>10</v>
      </c>
      <c r="C614" t="s">
        <v>2215</v>
      </c>
      <c r="D614" t="s">
        <v>2213</v>
      </c>
      <c r="E614" t="s">
        <v>1884</v>
      </c>
      <c r="F614" t="s">
        <v>28</v>
      </c>
      <c r="G614" t="s">
        <v>2216</v>
      </c>
      <c r="H614" t="s">
        <v>30</v>
      </c>
      <c r="I614" t="b">
        <f>COUNTIF(Estadísticas!I:I,'centraldecomunicacion.es'!H614)&gt;0</f>
        <v>0</v>
      </c>
    </row>
    <row r="615" spans="1:9">
      <c r="A615" t="s">
        <v>2217</v>
      </c>
      <c r="B615" t="s">
        <v>10</v>
      </c>
      <c r="C615" t="s">
        <v>2218</v>
      </c>
      <c r="D615" t="s">
        <v>2219</v>
      </c>
      <c r="E615" t="s">
        <v>1884</v>
      </c>
      <c r="F615" t="s">
        <v>28</v>
      </c>
      <c r="G615" t="s">
        <v>2220</v>
      </c>
      <c r="H615" t="s">
        <v>30</v>
      </c>
      <c r="I615" t="b">
        <f>COUNTIF(Estadísticas!I:I,'centraldecomunicacion.es'!H615)&gt;0</f>
        <v>0</v>
      </c>
    </row>
    <row r="616" spans="1:9">
      <c r="A616" t="s">
        <v>2221</v>
      </c>
      <c r="B616" t="s">
        <v>10</v>
      </c>
      <c r="C616" t="s">
        <v>2222</v>
      </c>
      <c r="D616" t="s">
        <v>2094</v>
      </c>
      <c r="E616" t="s">
        <v>1884</v>
      </c>
      <c r="F616" t="s">
        <v>2223</v>
      </c>
      <c r="G616" t="s">
        <v>2224</v>
      </c>
      <c r="H616" t="s">
        <v>2225</v>
      </c>
      <c r="I616" t="b">
        <f>COUNTIF(Estadísticas!I:I,'centraldecomunicacion.es'!H616)&gt;0</f>
        <v>0</v>
      </c>
    </row>
    <row r="617" spans="1:9">
      <c r="A617" t="s">
        <v>2226</v>
      </c>
      <c r="B617" t="s">
        <v>10</v>
      </c>
      <c r="C617" t="s">
        <v>2227</v>
      </c>
      <c r="D617" t="s">
        <v>2219</v>
      </c>
      <c r="E617" t="s">
        <v>1884</v>
      </c>
      <c r="F617" t="s">
        <v>28</v>
      </c>
      <c r="G617" t="s">
        <v>2228</v>
      </c>
      <c r="H617" t="s">
        <v>30</v>
      </c>
      <c r="I617" t="b">
        <f>COUNTIF(Estadísticas!I:I,'centraldecomunicacion.es'!H617)&gt;0</f>
        <v>0</v>
      </c>
    </row>
    <row r="618" spans="1:9">
      <c r="A618" t="s">
        <v>2204</v>
      </c>
      <c r="B618" t="s">
        <v>10</v>
      </c>
      <c r="C618" t="s">
        <v>2229</v>
      </c>
      <c r="D618" t="s">
        <v>2201</v>
      </c>
      <c r="E618" t="s">
        <v>1884</v>
      </c>
      <c r="F618" t="s">
        <v>28</v>
      </c>
      <c r="G618" t="s">
        <v>2230</v>
      </c>
      <c r="H618" t="s">
        <v>30</v>
      </c>
      <c r="I618" t="b">
        <f>COUNTIF(Estadísticas!I:I,'centraldecomunicacion.es'!H618)&gt;0</f>
        <v>0</v>
      </c>
    </row>
    <row r="619" spans="1:9">
      <c r="A619" t="s">
        <v>2231</v>
      </c>
      <c r="B619" t="s">
        <v>10</v>
      </c>
      <c r="C619" t="s">
        <v>2232</v>
      </c>
      <c r="D619" t="s">
        <v>2233</v>
      </c>
      <c r="E619" t="s">
        <v>1884</v>
      </c>
      <c r="F619" t="s">
        <v>2234</v>
      </c>
      <c r="G619" t="s">
        <v>2235</v>
      </c>
      <c r="H619" t="s">
        <v>2236</v>
      </c>
      <c r="I619" t="b">
        <f>COUNTIF(Estadísticas!I:I,'centraldecomunicacion.es'!H619)&gt;0</f>
        <v>0</v>
      </c>
    </row>
    <row r="620" spans="1:9">
      <c r="A620" t="s">
        <v>2237</v>
      </c>
      <c r="B620" t="s">
        <v>10</v>
      </c>
      <c r="C620" t="s">
        <v>2238</v>
      </c>
      <c r="D620" t="s">
        <v>2233</v>
      </c>
      <c r="E620" t="s">
        <v>1884</v>
      </c>
      <c r="F620" t="s">
        <v>2239</v>
      </c>
      <c r="G620" t="s">
        <v>2240</v>
      </c>
      <c r="H620" t="s">
        <v>2241</v>
      </c>
      <c r="I620" t="b">
        <f>COUNTIF(Estadísticas!I:I,'centraldecomunicacion.es'!H620)&gt;0</f>
        <v>0</v>
      </c>
    </row>
    <row r="621" spans="1:9">
      <c r="A621" t="s">
        <v>2242</v>
      </c>
      <c r="B621" t="s">
        <v>10</v>
      </c>
      <c r="C621" t="s">
        <v>2243</v>
      </c>
      <c r="D621" t="s">
        <v>2219</v>
      </c>
      <c r="E621" t="s">
        <v>1884</v>
      </c>
      <c r="F621" t="s">
        <v>28</v>
      </c>
      <c r="G621" t="s">
        <v>2244</v>
      </c>
      <c r="H621" t="s">
        <v>30</v>
      </c>
      <c r="I621" t="b">
        <f>COUNTIF(Estadísticas!I:I,'centraldecomunicacion.es'!H621)&gt;0</f>
        <v>0</v>
      </c>
    </row>
    <row r="622" spans="1:9">
      <c r="A622" t="s">
        <v>2199</v>
      </c>
      <c r="B622" t="s">
        <v>10</v>
      </c>
      <c r="C622" t="s">
        <v>2245</v>
      </c>
      <c r="D622" t="s">
        <v>2246</v>
      </c>
      <c r="E622" t="s">
        <v>1884</v>
      </c>
      <c r="F622" t="s">
        <v>28</v>
      </c>
      <c r="G622" t="s">
        <v>2247</v>
      </c>
      <c r="H622" t="s">
        <v>30</v>
      </c>
      <c r="I622" t="b">
        <f>COUNTIF(Estadísticas!I:I,'centraldecomunicacion.es'!H622)&gt;0</f>
        <v>0</v>
      </c>
    </row>
    <row r="623" spans="1:9">
      <c r="A623" t="s">
        <v>2248</v>
      </c>
      <c r="B623" t="s">
        <v>10</v>
      </c>
      <c r="C623" t="s">
        <v>2249</v>
      </c>
      <c r="D623" t="s">
        <v>2143</v>
      </c>
      <c r="E623" t="s">
        <v>1884</v>
      </c>
      <c r="F623" t="s">
        <v>28</v>
      </c>
      <c r="G623" t="s">
        <v>2250</v>
      </c>
      <c r="H623" t="s">
        <v>30</v>
      </c>
      <c r="I623" t="b">
        <f>COUNTIF(Estadísticas!I:I,'centraldecomunicacion.es'!H623)&gt;0</f>
        <v>0</v>
      </c>
    </row>
    <row r="624" spans="1:9">
      <c r="A624" t="s">
        <v>2251</v>
      </c>
      <c r="B624" t="s">
        <v>10</v>
      </c>
      <c r="C624" t="s">
        <v>2252</v>
      </c>
      <c r="D624" t="s">
        <v>2233</v>
      </c>
      <c r="E624" t="s">
        <v>1884</v>
      </c>
      <c r="F624" t="s">
        <v>2239</v>
      </c>
      <c r="G624" t="s">
        <v>2240</v>
      </c>
      <c r="H624" t="s">
        <v>2241</v>
      </c>
      <c r="I624" t="b">
        <f>COUNTIF(Estadísticas!I:I,'centraldecomunicacion.es'!H624)&gt;0</f>
        <v>0</v>
      </c>
    </row>
    <row r="625" spans="1:9">
      <c r="A625" t="s">
        <v>2253</v>
      </c>
      <c r="B625" t="s">
        <v>10</v>
      </c>
      <c r="C625" t="s">
        <v>2254</v>
      </c>
      <c r="D625" t="s">
        <v>2255</v>
      </c>
      <c r="E625" t="s">
        <v>1884</v>
      </c>
      <c r="F625" t="s">
        <v>28</v>
      </c>
      <c r="G625" t="s">
        <v>2256</v>
      </c>
      <c r="H625" t="s">
        <v>30</v>
      </c>
      <c r="I625" t="b">
        <f>COUNTIF(Estadísticas!I:I,'centraldecomunicacion.es'!H625)&gt;0</f>
        <v>0</v>
      </c>
    </row>
    <row r="626" spans="1:9">
      <c r="A626" t="s">
        <v>2257</v>
      </c>
      <c r="B626" t="s">
        <v>10</v>
      </c>
      <c r="C626" t="s">
        <v>2258</v>
      </c>
      <c r="D626" t="s">
        <v>2259</v>
      </c>
      <c r="E626" t="s">
        <v>1884</v>
      </c>
      <c r="F626" t="s">
        <v>28</v>
      </c>
      <c r="G626" t="s">
        <v>2260</v>
      </c>
      <c r="H626" t="s">
        <v>30</v>
      </c>
      <c r="I626" t="b">
        <f>COUNTIF(Estadísticas!I:I,'centraldecomunicacion.es'!H626)&gt;0</f>
        <v>0</v>
      </c>
    </row>
    <row r="627" spans="1:9">
      <c r="A627" t="s">
        <v>2261</v>
      </c>
      <c r="B627" t="s">
        <v>10</v>
      </c>
      <c r="C627" t="s">
        <v>2262</v>
      </c>
      <c r="D627" t="s">
        <v>2263</v>
      </c>
      <c r="E627" t="s">
        <v>1884</v>
      </c>
      <c r="F627" t="s">
        <v>28</v>
      </c>
      <c r="G627" t="s">
        <v>2264</v>
      </c>
      <c r="H627" t="s">
        <v>30</v>
      </c>
      <c r="I627" t="b">
        <f>COUNTIF(Estadísticas!I:I,'centraldecomunicacion.es'!H627)&gt;0</f>
        <v>0</v>
      </c>
    </row>
    <row r="628" spans="1:9">
      <c r="A628" t="s">
        <v>2265</v>
      </c>
      <c r="B628" t="s">
        <v>10</v>
      </c>
      <c r="C628" t="s">
        <v>2266</v>
      </c>
      <c r="D628" t="s">
        <v>2267</v>
      </c>
      <c r="E628" t="s">
        <v>1884</v>
      </c>
      <c r="F628" t="s">
        <v>38</v>
      </c>
      <c r="G628" t="s">
        <v>2268</v>
      </c>
      <c r="H628" t="s">
        <v>30</v>
      </c>
      <c r="I628" t="b">
        <f>COUNTIF(Estadísticas!I:I,'centraldecomunicacion.es'!H628)&gt;0</f>
        <v>0</v>
      </c>
    </row>
    <row r="629" spans="1:9">
      <c r="A629" t="s">
        <v>2269</v>
      </c>
      <c r="B629" t="s">
        <v>10</v>
      </c>
      <c r="C629" t="s">
        <v>2270</v>
      </c>
      <c r="D629" t="s">
        <v>780</v>
      </c>
      <c r="E629" t="s">
        <v>780</v>
      </c>
      <c r="F629" t="s">
        <v>2271</v>
      </c>
      <c r="G629" t="s">
        <v>2272</v>
      </c>
      <c r="H629" t="s">
        <v>2273</v>
      </c>
      <c r="I629" t="b">
        <f>COUNTIF(Estadísticas!I:I,'centraldecomunicacion.es'!H629)&gt;0</f>
        <v>0</v>
      </c>
    </row>
    <row r="630" spans="1:9">
      <c r="A630" t="s">
        <v>2274</v>
      </c>
      <c r="B630" t="s">
        <v>10</v>
      </c>
      <c r="C630" t="s">
        <v>2275</v>
      </c>
      <c r="D630" t="s">
        <v>780</v>
      </c>
      <c r="E630" t="s">
        <v>780</v>
      </c>
      <c r="F630" t="s">
        <v>2276</v>
      </c>
      <c r="G630" t="s">
        <v>2277</v>
      </c>
      <c r="H630" t="s">
        <v>691</v>
      </c>
      <c r="I630" t="b">
        <f>COUNTIF(Estadísticas!I:I,'centraldecomunicacion.es'!H630)&gt;0</f>
        <v>0</v>
      </c>
    </row>
    <row r="631" spans="1:9">
      <c r="A631" t="s">
        <v>2278</v>
      </c>
      <c r="B631" t="s">
        <v>10</v>
      </c>
      <c r="C631" t="s">
        <v>2279</v>
      </c>
      <c r="D631" t="s">
        <v>780</v>
      </c>
      <c r="E631" t="s">
        <v>780</v>
      </c>
      <c r="F631" t="s">
        <v>2280</v>
      </c>
      <c r="G631" t="s">
        <v>2281</v>
      </c>
      <c r="H631" t="s">
        <v>30</v>
      </c>
      <c r="I631" t="b">
        <f>COUNTIF(Estadísticas!I:I,'centraldecomunicacion.es'!H631)&gt;0</f>
        <v>0</v>
      </c>
    </row>
    <row r="632" spans="1:9">
      <c r="A632" t="s">
        <v>2282</v>
      </c>
      <c r="B632" t="s">
        <v>10</v>
      </c>
      <c r="C632" t="s">
        <v>2283</v>
      </c>
      <c r="D632" t="s">
        <v>780</v>
      </c>
      <c r="E632" t="s">
        <v>780</v>
      </c>
      <c r="F632" t="s">
        <v>28</v>
      </c>
      <c r="G632" t="s">
        <v>2284</v>
      </c>
      <c r="H632" t="s">
        <v>30</v>
      </c>
      <c r="I632" t="b">
        <f>COUNTIF(Estadísticas!I:I,'centraldecomunicacion.es'!H632)&gt;0</f>
        <v>0</v>
      </c>
    </row>
    <row r="633" spans="1:9">
      <c r="A633" t="s">
        <v>2285</v>
      </c>
      <c r="B633" t="s">
        <v>10</v>
      </c>
      <c r="C633" t="s">
        <v>2286</v>
      </c>
      <c r="D633" t="s">
        <v>780</v>
      </c>
      <c r="E633" t="s">
        <v>780</v>
      </c>
      <c r="F633" t="s">
        <v>28</v>
      </c>
      <c r="G633" t="s">
        <v>2287</v>
      </c>
      <c r="H633" t="s">
        <v>30</v>
      </c>
      <c r="I633" t="b">
        <f>COUNTIF(Estadísticas!I:I,'centraldecomunicacion.es'!H633)&gt;0</f>
        <v>0</v>
      </c>
    </row>
    <row r="634" spans="1:9">
      <c r="A634" t="s">
        <v>2288</v>
      </c>
      <c r="B634" t="s">
        <v>10</v>
      </c>
      <c r="C634" t="s">
        <v>2289</v>
      </c>
      <c r="D634" t="s">
        <v>780</v>
      </c>
      <c r="E634" t="s">
        <v>780</v>
      </c>
      <c r="F634" t="s">
        <v>28</v>
      </c>
      <c r="G634" t="s">
        <v>2290</v>
      </c>
      <c r="H634" t="s">
        <v>30</v>
      </c>
      <c r="I634" t="b">
        <f>COUNTIF(Estadísticas!I:I,'centraldecomunicacion.es'!H634)&gt;0</f>
        <v>0</v>
      </c>
    </row>
    <row r="635" spans="1:9">
      <c r="A635" t="s">
        <v>2291</v>
      </c>
      <c r="B635" t="s">
        <v>10</v>
      </c>
      <c r="C635" t="s">
        <v>2292</v>
      </c>
      <c r="D635" t="s">
        <v>780</v>
      </c>
      <c r="E635" t="s">
        <v>780</v>
      </c>
      <c r="F635" t="s">
        <v>50</v>
      </c>
      <c r="G635" t="s">
        <v>2293</v>
      </c>
      <c r="H635" t="s">
        <v>30</v>
      </c>
      <c r="I635" t="b">
        <f>COUNTIF(Estadísticas!I:I,'centraldecomunicacion.es'!H635)&gt;0</f>
        <v>0</v>
      </c>
    </row>
    <row r="636" spans="1:9">
      <c r="A636" t="s">
        <v>2294</v>
      </c>
      <c r="B636" t="s">
        <v>10</v>
      </c>
      <c r="C636" t="s">
        <v>2295</v>
      </c>
      <c r="D636" t="s">
        <v>780</v>
      </c>
      <c r="E636" t="s">
        <v>780</v>
      </c>
      <c r="F636" t="s">
        <v>2296</v>
      </c>
      <c r="G636" t="s">
        <v>2297</v>
      </c>
      <c r="H636" t="s">
        <v>2298</v>
      </c>
      <c r="I636" t="b">
        <f>COUNTIF(Estadísticas!I:I,'centraldecomunicacion.es'!H636)&gt;0</f>
        <v>0</v>
      </c>
    </row>
    <row r="637" spans="1:9">
      <c r="A637" t="s">
        <v>2299</v>
      </c>
      <c r="B637" t="s">
        <v>10</v>
      </c>
      <c r="C637" t="s">
        <v>2300</v>
      </c>
      <c r="D637" t="s">
        <v>780</v>
      </c>
      <c r="E637" t="s">
        <v>780</v>
      </c>
      <c r="F637" t="s">
        <v>50</v>
      </c>
      <c r="G637" t="s">
        <v>2301</v>
      </c>
      <c r="H637" t="s">
        <v>30</v>
      </c>
      <c r="I637" t="b">
        <f>COUNTIF(Estadísticas!I:I,'centraldecomunicacion.es'!H637)&gt;0</f>
        <v>0</v>
      </c>
    </row>
    <row r="638" spans="1:9">
      <c r="A638" t="s">
        <v>2302</v>
      </c>
      <c r="B638" t="s">
        <v>10</v>
      </c>
      <c r="C638" t="s">
        <v>2303</v>
      </c>
      <c r="D638" t="s">
        <v>780</v>
      </c>
      <c r="E638" t="s">
        <v>780</v>
      </c>
      <c r="F638" t="s">
        <v>2304</v>
      </c>
      <c r="G638" t="s">
        <v>2305</v>
      </c>
      <c r="H638" t="s">
        <v>2306</v>
      </c>
      <c r="I638" t="b">
        <f>COUNTIF(Estadísticas!I:I,'centraldecomunicacion.es'!H638)&gt;0</f>
        <v>0</v>
      </c>
    </row>
    <row r="639" spans="1:9">
      <c r="A639" t="s">
        <v>2307</v>
      </c>
      <c r="B639" t="s">
        <v>10</v>
      </c>
      <c r="C639" t="s">
        <v>2308</v>
      </c>
      <c r="D639" t="s">
        <v>780</v>
      </c>
      <c r="E639" t="s">
        <v>780</v>
      </c>
      <c r="F639" t="s">
        <v>28</v>
      </c>
      <c r="G639" t="s">
        <v>2309</v>
      </c>
      <c r="H639" t="s">
        <v>30</v>
      </c>
      <c r="I639" t="b">
        <f>COUNTIF(Estadísticas!I:I,'centraldecomunicacion.es'!H639)&gt;0</f>
        <v>0</v>
      </c>
    </row>
    <row r="640" spans="1:9">
      <c r="A640" t="s">
        <v>2310</v>
      </c>
      <c r="B640" t="s">
        <v>10</v>
      </c>
      <c r="C640" t="s">
        <v>2311</v>
      </c>
      <c r="D640" t="s">
        <v>780</v>
      </c>
      <c r="E640" t="s">
        <v>780</v>
      </c>
      <c r="F640" t="s">
        <v>87</v>
      </c>
      <c r="G640" t="s">
        <v>2312</v>
      </c>
      <c r="H640" t="s">
        <v>30</v>
      </c>
      <c r="I640" t="b">
        <f>COUNTIF(Estadísticas!I:I,'centraldecomunicacion.es'!H640)&gt;0</f>
        <v>0</v>
      </c>
    </row>
    <row r="641" spans="1:9">
      <c r="A641" t="s">
        <v>2313</v>
      </c>
      <c r="B641" t="s">
        <v>10</v>
      </c>
      <c r="C641" t="s">
        <v>2314</v>
      </c>
      <c r="D641" t="s">
        <v>780</v>
      </c>
      <c r="E641" t="s">
        <v>780</v>
      </c>
      <c r="F641" t="s">
        <v>28</v>
      </c>
      <c r="G641" t="s">
        <v>2315</v>
      </c>
      <c r="H641" t="s">
        <v>30</v>
      </c>
      <c r="I641" t="b">
        <f>COUNTIF(Estadísticas!I:I,'centraldecomunicacion.es'!H641)&gt;0</f>
        <v>0</v>
      </c>
    </row>
    <row r="642" spans="1:9">
      <c r="A642" t="s">
        <v>2316</v>
      </c>
      <c r="B642" t="s">
        <v>10</v>
      </c>
      <c r="C642" t="s">
        <v>2317</v>
      </c>
      <c r="D642" t="s">
        <v>780</v>
      </c>
      <c r="E642" t="s">
        <v>780</v>
      </c>
      <c r="F642" t="s">
        <v>2318</v>
      </c>
      <c r="G642" t="s">
        <v>2319</v>
      </c>
      <c r="H642" t="s">
        <v>2320</v>
      </c>
      <c r="I642" t="b">
        <f>COUNTIF(Estadísticas!I:I,'centraldecomunicacion.es'!H642)&gt;0</f>
        <v>0</v>
      </c>
    </row>
    <row r="643" spans="1:9">
      <c r="A643" t="s">
        <v>2321</v>
      </c>
      <c r="B643" t="s">
        <v>10</v>
      </c>
      <c r="C643" t="s">
        <v>2322</v>
      </c>
      <c r="D643" t="s">
        <v>780</v>
      </c>
      <c r="E643" t="s">
        <v>780</v>
      </c>
      <c r="F643" t="s">
        <v>2323</v>
      </c>
      <c r="G643" t="s">
        <v>2324</v>
      </c>
      <c r="H643" t="s">
        <v>2325</v>
      </c>
      <c r="I643" t="b">
        <f>COUNTIF(Estadísticas!I:I,'centraldecomunicacion.es'!H643)&gt;0</f>
        <v>0</v>
      </c>
    </row>
    <row r="644" spans="1:9">
      <c r="A644" t="s">
        <v>2326</v>
      </c>
      <c r="B644" t="s">
        <v>10</v>
      </c>
      <c r="C644" t="s">
        <v>2327</v>
      </c>
      <c r="D644" t="s">
        <v>780</v>
      </c>
      <c r="E644" t="s">
        <v>780</v>
      </c>
      <c r="F644" t="s">
        <v>2328</v>
      </c>
      <c r="G644" t="s">
        <v>2329</v>
      </c>
      <c r="H644" t="s">
        <v>2330</v>
      </c>
      <c r="I644" t="b">
        <f>COUNTIF(Estadísticas!I:I,'centraldecomunicacion.es'!H644)&gt;0</f>
        <v>0</v>
      </c>
    </row>
    <row r="645" spans="1:9">
      <c r="A645" t="s">
        <v>2331</v>
      </c>
      <c r="B645" t="s">
        <v>10</v>
      </c>
      <c r="C645" t="s">
        <v>2332</v>
      </c>
      <c r="D645" t="s">
        <v>780</v>
      </c>
      <c r="E645" t="s">
        <v>780</v>
      </c>
      <c r="F645" t="s">
        <v>28</v>
      </c>
      <c r="G645" t="s">
        <v>2333</v>
      </c>
      <c r="H645" t="s">
        <v>30</v>
      </c>
      <c r="I645" t="b">
        <f>COUNTIF(Estadísticas!I:I,'centraldecomunicacion.es'!H645)&gt;0</f>
        <v>0</v>
      </c>
    </row>
    <row r="646" spans="1:9">
      <c r="A646" t="s">
        <v>2334</v>
      </c>
      <c r="B646" t="s">
        <v>10</v>
      </c>
      <c r="C646" t="s">
        <v>2335</v>
      </c>
      <c r="D646" t="s">
        <v>780</v>
      </c>
      <c r="E646" t="s">
        <v>2336</v>
      </c>
      <c r="F646" t="s">
        <v>28</v>
      </c>
      <c r="G646" t="s">
        <v>2337</v>
      </c>
      <c r="H646" t="s">
        <v>30</v>
      </c>
      <c r="I646" t="b">
        <f>COUNTIF(Estadísticas!I:I,'centraldecomunicacion.es'!H646)&gt;0</f>
        <v>0</v>
      </c>
    </row>
    <row r="647" spans="1:9">
      <c r="A647" t="s">
        <v>2338</v>
      </c>
      <c r="B647" t="s">
        <v>10</v>
      </c>
      <c r="C647" t="s">
        <v>2339</v>
      </c>
      <c r="D647" t="s">
        <v>780</v>
      </c>
      <c r="E647" t="s">
        <v>780</v>
      </c>
      <c r="F647" t="s">
        <v>2340</v>
      </c>
      <c r="G647" t="s">
        <v>2341</v>
      </c>
      <c r="H647" t="s">
        <v>2342</v>
      </c>
      <c r="I647" t="b">
        <f>COUNTIF(Estadísticas!I:I,'centraldecomunicacion.es'!H647)&gt;0</f>
        <v>1</v>
      </c>
    </row>
    <row r="648" spans="1:9">
      <c r="A648" t="s">
        <v>2343</v>
      </c>
      <c r="B648" t="s">
        <v>10</v>
      </c>
      <c r="C648" t="s">
        <v>2344</v>
      </c>
      <c r="D648" t="s">
        <v>780</v>
      </c>
      <c r="E648" t="s">
        <v>780</v>
      </c>
      <c r="F648" t="s">
        <v>2345</v>
      </c>
      <c r="G648" t="s">
        <v>2346</v>
      </c>
      <c r="H648" t="s">
        <v>30</v>
      </c>
      <c r="I648" t="b">
        <f>COUNTIF(Estadísticas!I:I,'centraldecomunicacion.es'!H648)&gt;0</f>
        <v>0</v>
      </c>
    </row>
    <row r="649" spans="1:9">
      <c r="A649" t="s">
        <v>2347</v>
      </c>
      <c r="B649" t="s">
        <v>10</v>
      </c>
      <c r="C649" t="s">
        <v>2348</v>
      </c>
      <c r="D649" t="s">
        <v>780</v>
      </c>
      <c r="E649" t="s">
        <v>780</v>
      </c>
      <c r="F649" t="s">
        <v>2349</v>
      </c>
      <c r="G649" t="s">
        <v>2350</v>
      </c>
      <c r="H649" t="s">
        <v>30</v>
      </c>
      <c r="I649" t="b">
        <f>COUNTIF(Estadísticas!I:I,'centraldecomunicacion.es'!H649)&gt;0</f>
        <v>0</v>
      </c>
    </row>
    <row r="650" spans="1:9">
      <c r="A650" t="s">
        <v>2351</v>
      </c>
      <c r="B650" t="s">
        <v>10</v>
      </c>
      <c r="C650" t="s">
        <v>2352</v>
      </c>
      <c r="D650" t="s">
        <v>780</v>
      </c>
      <c r="E650" t="s">
        <v>780</v>
      </c>
      <c r="F650" t="s">
        <v>2353</v>
      </c>
      <c r="G650" t="s">
        <v>2354</v>
      </c>
      <c r="H650" t="s">
        <v>30</v>
      </c>
      <c r="I650" t="b">
        <f>COUNTIF(Estadísticas!I:I,'centraldecomunicacion.es'!H650)&gt;0</f>
        <v>0</v>
      </c>
    </row>
    <row r="651" spans="1:9">
      <c r="A651" t="s">
        <v>2355</v>
      </c>
      <c r="B651" t="s">
        <v>10</v>
      </c>
      <c r="C651" t="s">
        <v>2356</v>
      </c>
      <c r="D651" t="s">
        <v>780</v>
      </c>
      <c r="E651" t="s">
        <v>780</v>
      </c>
      <c r="F651" t="s">
        <v>28</v>
      </c>
      <c r="G651" t="s">
        <v>2357</v>
      </c>
      <c r="H651" t="s">
        <v>30</v>
      </c>
      <c r="I651" t="b">
        <f>COUNTIF(Estadísticas!I:I,'centraldecomunicacion.es'!H651)&gt;0</f>
        <v>0</v>
      </c>
    </row>
    <row r="652" spans="1:9">
      <c r="A652" t="s">
        <v>2358</v>
      </c>
      <c r="B652" t="s">
        <v>10</v>
      </c>
      <c r="C652" t="s">
        <v>2359</v>
      </c>
      <c r="D652" t="s">
        <v>780</v>
      </c>
      <c r="E652" t="s">
        <v>780</v>
      </c>
      <c r="F652" t="s">
        <v>2360</v>
      </c>
      <c r="G652" t="s">
        <v>2361</v>
      </c>
      <c r="H652" t="s">
        <v>30</v>
      </c>
      <c r="I652" t="b">
        <f>COUNTIF(Estadísticas!I:I,'centraldecomunicacion.es'!H652)&gt;0</f>
        <v>0</v>
      </c>
    </row>
    <row r="653" spans="1:9">
      <c r="A653" t="s">
        <v>2362</v>
      </c>
      <c r="B653" t="s">
        <v>10</v>
      </c>
      <c r="C653" t="s">
        <v>2363</v>
      </c>
      <c r="D653" t="s">
        <v>780</v>
      </c>
      <c r="E653" t="s">
        <v>780</v>
      </c>
      <c r="F653" t="s">
        <v>2364</v>
      </c>
      <c r="G653" t="s">
        <v>2365</v>
      </c>
      <c r="H653" t="s">
        <v>30</v>
      </c>
      <c r="I653" t="b">
        <f>COUNTIF(Estadísticas!I:I,'centraldecomunicacion.es'!H653)&gt;0</f>
        <v>0</v>
      </c>
    </row>
    <row r="654" spans="1:9">
      <c r="A654" t="s">
        <v>2366</v>
      </c>
      <c r="B654" t="s">
        <v>10</v>
      </c>
      <c r="C654" t="s">
        <v>2367</v>
      </c>
      <c r="D654" t="s">
        <v>780</v>
      </c>
      <c r="E654" t="s">
        <v>780</v>
      </c>
      <c r="F654" t="s">
        <v>28</v>
      </c>
      <c r="G654" t="s">
        <v>2368</v>
      </c>
      <c r="H654" t="s">
        <v>30</v>
      </c>
      <c r="I654" t="b">
        <f>COUNTIF(Estadísticas!I:I,'centraldecomunicacion.es'!H654)&gt;0</f>
        <v>0</v>
      </c>
    </row>
    <row r="655" spans="1:9">
      <c r="A655" t="s">
        <v>2369</v>
      </c>
      <c r="B655" t="s">
        <v>10</v>
      </c>
      <c r="C655" t="s">
        <v>2370</v>
      </c>
      <c r="D655" t="s">
        <v>780</v>
      </c>
      <c r="E655" t="s">
        <v>780</v>
      </c>
      <c r="F655" t="s">
        <v>28</v>
      </c>
      <c r="G655" t="s">
        <v>2371</v>
      </c>
      <c r="H655" t="s">
        <v>30</v>
      </c>
      <c r="I655" t="b">
        <f>COUNTIF(Estadísticas!I:I,'centraldecomunicacion.es'!H655)&gt;0</f>
        <v>0</v>
      </c>
    </row>
    <row r="656" spans="1:9">
      <c r="A656" t="s">
        <v>2372</v>
      </c>
      <c r="B656" t="s">
        <v>10</v>
      </c>
      <c r="C656" t="s">
        <v>2373</v>
      </c>
      <c r="D656" t="s">
        <v>780</v>
      </c>
      <c r="E656" t="s">
        <v>780</v>
      </c>
      <c r="F656" t="s">
        <v>2374</v>
      </c>
      <c r="G656" t="s">
        <v>2375</v>
      </c>
      <c r="H656" t="s">
        <v>2376</v>
      </c>
      <c r="I656" t="b">
        <f>COUNTIF(Estadísticas!I:I,'centraldecomunicacion.es'!H656)&gt;0</f>
        <v>1</v>
      </c>
    </row>
    <row r="657" spans="1:9">
      <c r="A657" t="s">
        <v>2377</v>
      </c>
      <c r="B657" t="s">
        <v>10</v>
      </c>
      <c r="C657" t="s">
        <v>2378</v>
      </c>
      <c r="D657" t="s">
        <v>780</v>
      </c>
      <c r="E657" t="s">
        <v>780</v>
      </c>
      <c r="F657" t="s">
        <v>28</v>
      </c>
      <c r="G657" t="s">
        <v>2379</v>
      </c>
      <c r="H657" t="s">
        <v>30</v>
      </c>
      <c r="I657" t="b">
        <f>COUNTIF(Estadísticas!I:I,'centraldecomunicacion.es'!H657)&gt;0</f>
        <v>0</v>
      </c>
    </row>
    <row r="658" spans="1:9">
      <c r="A658" t="s">
        <v>2380</v>
      </c>
      <c r="B658" t="s">
        <v>10</v>
      </c>
      <c r="C658" t="s">
        <v>2381</v>
      </c>
      <c r="D658" t="s">
        <v>780</v>
      </c>
      <c r="E658" t="s">
        <v>780</v>
      </c>
      <c r="F658" t="s">
        <v>28</v>
      </c>
      <c r="G658" t="s">
        <v>2382</v>
      </c>
      <c r="H658" t="s">
        <v>30</v>
      </c>
      <c r="I658" t="b">
        <f>COUNTIF(Estadísticas!I:I,'centraldecomunicacion.es'!H658)&gt;0</f>
        <v>0</v>
      </c>
    </row>
    <row r="659" spans="1:9">
      <c r="A659" t="s">
        <v>2383</v>
      </c>
      <c r="B659" t="s">
        <v>10</v>
      </c>
      <c r="C659" t="s">
        <v>2384</v>
      </c>
      <c r="D659" t="s">
        <v>780</v>
      </c>
      <c r="E659" t="s">
        <v>780</v>
      </c>
      <c r="F659" t="s">
        <v>28</v>
      </c>
      <c r="G659" t="s">
        <v>2290</v>
      </c>
      <c r="H659" t="s">
        <v>30</v>
      </c>
      <c r="I659" t="b">
        <f>COUNTIF(Estadísticas!I:I,'centraldecomunicacion.es'!H659)&gt;0</f>
        <v>0</v>
      </c>
    </row>
    <row r="660" spans="1:9">
      <c r="A660" t="s">
        <v>2385</v>
      </c>
      <c r="B660" t="s">
        <v>10</v>
      </c>
      <c r="C660" t="s">
        <v>2386</v>
      </c>
      <c r="D660" t="s">
        <v>780</v>
      </c>
      <c r="E660" t="s">
        <v>780</v>
      </c>
      <c r="F660" t="s">
        <v>2387</v>
      </c>
      <c r="G660" t="s">
        <v>2297</v>
      </c>
      <c r="H660" t="s">
        <v>2298</v>
      </c>
      <c r="I660" t="b">
        <f>COUNTIF(Estadísticas!I:I,'centraldecomunicacion.es'!H660)&gt;0</f>
        <v>0</v>
      </c>
    </row>
    <row r="661" spans="1:9">
      <c r="A661" t="s">
        <v>2388</v>
      </c>
      <c r="B661" t="s">
        <v>10</v>
      </c>
      <c r="C661" t="s">
        <v>2389</v>
      </c>
      <c r="D661" t="s">
        <v>780</v>
      </c>
      <c r="E661" t="s">
        <v>780</v>
      </c>
      <c r="F661" t="s">
        <v>28</v>
      </c>
      <c r="G661" t="s">
        <v>28</v>
      </c>
      <c r="H661" t="s">
        <v>30</v>
      </c>
      <c r="I661" t="b">
        <f>COUNTIF(Estadísticas!I:I,'centraldecomunicacion.es'!H661)&gt;0</f>
        <v>0</v>
      </c>
    </row>
    <row r="662" spans="1:9">
      <c r="A662" t="s">
        <v>2390</v>
      </c>
      <c r="B662" t="s">
        <v>10</v>
      </c>
      <c r="C662" t="s">
        <v>2391</v>
      </c>
      <c r="D662" t="s">
        <v>780</v>
      </c>
      <c r="E662" t="s">
        <v>780</v>
      </c>
      <c r="F662" t="s">
        <v>28</v>
      </c>
      <c r="G662" t="s">
        <v>28</v>
      </c>
      <c r="H662" t="s">
        <v>30</v>
      </c>
      <c r="I662" t="b">
        <f>COUNTIF(Estadísticas!I:I,'centraldecomunicacion.es'!H662)&gt;0</f>
        <v>0</v>
      </c>
    </row>
    <row r="663" spans="1:9">
      <c r="A663" t="s">
        <v>2392</v>
      </c>
      <c r="B663" t="s">
        <v>10</v>
      </c>
      <c r="C663" t="s">
        <v>2393</v>
      </c>
      <c r="D663" t="s">
        <v>780</v>
      </c>
      <c r="E663" t="s">
        <v>780</v>
      </c>
      <c r="F663" t="s">
        <v>28</v>
      </c>
      <c r="G663" t="s">
        <v>28</v>
      </c>
      <c r="H663" t="s">
        <v>30</v>
      </c>
      <c r="I663" t="b">
        <f>COUNTIF(Estadísticas!I:I,'centraldecomunicacion.es'!H663)&gt;0</f>
        <v>0</v>
      </c>
    </row>
    <row r="664" spans="1:9">
      <c r="A664" t="s">
        <v>2394</v>
      </c>
      <c r="B664" t="s">
        <v>10</v>
      </c>
      <c r="C664" t="s">
        <v>28</v>
      </c>
      <c r="D664" t="s">
        <v>2395</v>
      </c>
      <c r="E664" t="s">
        <v>28</v>
      </c>
      <c r="F664" t="s">
        <v>28</v>
      </c>
      <c r="G664" t="s">
        <v>2396</v>
      </c>
      <c r="H664" t="s">
        <v>30</v>
      </c>
      <c r="I664" t="b">
        <f>COUNTIF(Estadísticas!I:I,'centraldecomunicacion.es'!H664)&gt;0</f>
        <v>0</v>
      </c>
    </row>
    <row r="665" spans="1:9">
      <c r="A665" t="s">
        <v>2397</v>
      </c>
      <c r="B665" t="s">
        <v>10</v>
      </c>
      <c r="C665" t="s">
        <v>2398</v>
      </c>
      <c r="D665" t="s">
        <v>780</v>
      </c>
      <c r="E665" t="s">
        <v>780</v>
      </c>
      <c r="F665" t="s">
        <v>746</v>
      </c>
      <c r="G665" t="s">
        <v>2399</v>
      </c>
      <c r="H665" t="s">
        <v>30</v>
      </c>
      <c r="I665" t="b">
        <f>COUNTIF(Estadísticas!I:I,'centraldecomunicacion.es'!H665)&gt;0</f>
        <v>0</v>
      </c>
    </row>
    <row r="666" spans="1:9">
      <c r="A666" t="s">
        <v>2400</v>
      </c>
      <c r="B666" t="s">
        <v>10</v>
      </c>
      <c r="C666" t="s">
        <v>2401</v>
      </c>
      <c r="D666" t="s">
        <v>780</v>
      </c>
      <c r="E666" t="s">
        <v>780</v>
      </c>
      <c r="F666" t="s">
        <v>2402</v>
      </c>
      <c r="G666" t="s">
        <v>2403</v>
      </c>
      <c r="H666" t="s">
        <v>2404</v>
      </c>
      <c r="I666" t="b">
        <f>COUNTIF(Estadísticas!I:I,'centraldecomunicacion.es'!H666)&gt;0</f>
        <v>1</v>
      </c>
    </row>
    <row r="667" spans="1:9">
      <c r="A667" t="s">
        <v>2405</v>
      </c>
      <c r="B667" t="s">
        <v>10</v>
      </c>
      <c r="C667" t="s">
        <v>2406</v>
      </c>
      <c r="D667" t="s">
        <v>780</v>
      </c>
      <c r="E667" t="s">
        <v>780</v>
      </c>
      <c r="F667" t="s">
        <v>2407</v>
      </c>
      <c r="G667" t="s">
        <v>2408</v>
      </c>
      <c r="H667" t="s">
        <v>2409</v>
      </c>
      <c r="I667" t="b">
        <f>COUNTIF(Estadísticas!I:I,'centraldecomunicacion.es'!H667)&gt;0</f>
        <v>1</v>
      </c>
    </row>
    <row r="668" spans="1:9">
      <c r="A668" t="s">
        <v>2410</v>
      </c>
      <c r="B668" t="s">
        <v>10</v>
      </c>
      <c r="C668" t="s">
        <v>2411</v>
      </c>
      <c r="D668" t="s">
        <v>780</v>
      </c>
      <c r="E668" t="s">
        <v>780</v>
      </c>
      <c r="F668" t="s">
        <v>28</v>
      </c>
      <c r="G668" t="s">
        <v>2412</v>
      </c>
      <c r="H668" t="s">
        <v>30</v>
      </c>
      <c r="I668" t="b">
        <f>COUNTIF(Estadísticas!I:I,'centraldecomunicacion.es'!H668)&gt;0</f>
        <v>0</v>
      </c>
    </row>
    <row r="669" spans="1:9">
      <c r="A669" t="s">
        <v>1041</v>
      </c>
      <c r="B669" t="s">
        <v>10</v>
      </c>
      <c r="C669" t="s">
        <v>2413</v>
      </c>
      <c r="D669" t="s">
        <v>780</v>
      </c>
      <c r="E669" t="s">
        <v>780</v>
      </c>
      <c r="F669" t="s">
        <v>2414</v>
      </c>
      <c r="G669" t="s">
        <v>2415</v>
      </c>
      <c r="H669" t="s">
        <v>30</v>
      </c>
      <c r="I669" t="b">
        <f>COUNTIF(Estadísticas!I:I,'centraldecomunicacion.es'!H669)&gt;0</f>
        <v>0</v>
      </c>
    </row>
    <row r="670" spans="1:9">
      <c r="A670" t="s">
        <v>2416</v>
      </c>
      <c r="B670" t="s">
        <v>10</v>
      </c>
      <c r="C670" t="s">
        <v>2417</v>
      </c>
      <c r="D670" t="s">
        <v>780</v>
      </c>
      <c r="E670" t="s">
        <v>780</v>
      </c>
      <c r="F670" t="s">
        <v>28</v>
      </c>
      <c r="G670" t="s">
        <v>2418</v>
      </c>
      <c r="H670" t="s">
        <v>30</v>
      </c>
      <c r="I670" t="b">
        <f>COUNTIF(Estadísticas!I:I,'centraldecomunicacion.es'!H670)&gt;0</f>
        <v>0</v>
      </c>
    </row>
    <row r="671" spans="1:9">
      <c r="A671" t="s">
        <v>2419</v>
      </c>
      <c r="B671" t="s">
        <v>10</v>
      </c>
      <c r="C671" t="s">
        <v>2420</v>
      </c>
      <c r="D671" t="s">
        <v>780</v>
      </c>
      <c r="E671" t="s">
        <v>780</v>
      </c>
      <c r="F671" t="s">
        <v>38</v>
      </c>
      <c r="G671" t="s">
        <v>2421</v>
      </c>
      <c r="H671" t="s">
        <v>30</v>
      </c>
      <c r="I671" t="b">
        <f>COUNTIF(Estadísticas!I:I,'centraldecomunicacion.es'!H671)&gt;0</f>
        <v>0</v>
      </c>
    </row>
    <row r="672" spans="1:9">
      <c r="A672" t="s">
        <v>2422</v>
      </c>
      <c r="B672" t="s">
        <v>10</v>
      </c>
      <c r="C672" t="s">
        <v>2423</v>
      </c>
      <c r="D672" t="s">
        <v>2424</v>
      </c>
      <c r="E672" t="s">
        <v>780</v>
      </c>
      <c r="F672" t="s">
        <v>28</v>
      </c>
      <c r="G672" t="s">
        <v>2425</v>
      </c>
      <c r="H672" t="s">
        <v>30</v>
      </c>
      <c r="I672" t="b">
        <f>COUNTIF(Estadísticas!I:I,'centraldecomunicacion.es'!H672)&gt;0</f>
        <v>0</v>
      </c>
    </row>
    <row r="673" spans="1:9">
      <c r="A673" t="s">
        <v>2426</v>
      </c>
      <c r="B673" t="s">
        <v>10</v>
      </c>
      <c r="C673" t="s">
        <v>2427</v>
      </c>
      <c r="D673" t="s">
        <v>2428</v>
      </c>
      <c r="E673" t="s">
        <v>780</v>
      </c>
      <c r="F673" t="s">
        <v>28</v>
      </c>
      <c r="G673" t="s">
        <v>2429</v>
      </c>
      <c r="H673" t="s">
        <v>30</v>
      </c>
      <c r="I673" t="b">
        <f>COUNTIF(Estadísticas!I:I,'centraldecomunicacion.es'!H673)&gt;0</f>
        <v>0</v>
      </c>
    </row>
    <row r="674" spans="1:9">
      <c r="A674" t="s">
        <v>52</v>
      </c>
      <c r="B674" t="s">
        <v>10</v>
      </c>
      <c r="C674" t="s">
        <v>2430</v>
      </c>
      <c r="D674" t="s">
        <v>780</v>
      </c>
      <c r="E674" t="s">
        <v>780</v>
      </c>
      <c r="F674" t="s">
        <v>28</v>
      </c>
      <c r="G674" t="s">
        <v>28</v>
      </c>
      <c r="H674" t="s">
        <v>30</v>
      </c>
      <c r="I674" t="b">
        <f>COUNTIF(Estadísticas!I:I,'centraldecomunicacion.es'!H674)&gt;0</f>
        <v>0</v>
      </c>
    </row>
    <row r="675" spans="1:9">
      <c r="A675" t="s">
        <v>2431</v>
      </c>
      <c r="B675" t="s">
        <v>10</v>
      </c>
      <c r="C675" t="s">
        <v>2432</v>
      </c>
      <c r="D675" t="s">
        <v>780</v>
      </c>
      <c r="E675" t="s">
        <v>780</v>
      </c>
      <c r="F675" t="s">
        <v>28</v>
      </c>
      <c r="G675" t="s">
        <v>2433</v>
      </c>
      <c r="H675" t="s">
        <v>30</v>
      </c>
      <c r="I675" t="b">
        <f>COUNTIF(Estadísticas!I:I,'centraldecomunicacion.es'!H675)&gt;0</f>
        <v>0</v>
      </c>
    </row>
    <row r="676" spans="1:9">
      <c r="A676" t="s">
        <v>557</v>
      </c>
      <c r="B676" t="s">
        <v>10</v>
      </c>
      <c r="C676" t="s">
        <v>2434</v>
      </c>
      <c r="D676" t="s">
        <v>2435</v>
      </c>
      <c r="E676" t="s">
        <v>780</v>
      </c>
      <c r="F676" t="s">
        <v>559</v>
      </c>
      <c r="G676" t="s">
        <v>2436</v>
      </c>
      <c r="H676" t="s">
        <v>561</v>
      </c>
      <c r="I676" t="b">
        <f>COUNTIF(Estadísticas!I:I,'centraldecomunicacion.es'!H676)&gt;0</f>
        <v>0</v>
      </c>
    </row>
    <row r="677" spans="1:9">
      <c r="A677" t="s">
        <v>2437</v>
      </c>
      <c r="B677" t="s">
        <v>10</v>
      </c>
      <c r="C677" t="s">
        <v>2438</v>
      </c>
      <c r="D677" t="s">
        <v>2439</v>
      </c>
      <c r="E677" t="s">
        <v>780</v>
      </c>
      <c r="F677" t="s">
        <v>28</v>
      </c>
      <c r="G677" t="s">
        <v>2440</v>
      </c>
      <c r="H677" t="s">
        <v>30</v>
      </c>
      <c r="I677" t="b">
        <f>COUNTIF(Estadísticas!I:I,'centraldecomunicacion.es'!H677)&gt;0</f>
        <v>0</v>
      </c>
    </row>
    <row r="678" spans="1:9">
      <c r="A678" t="s">
        <v>2441</v>
      </c>
      <c r="B678" t="s">
        <v>10</v>
      </c>
      <c r="C678" t="s">
        <v>2442</v>
      </c>
      <c r="D678" t="s">
        <v>780</v>
      </c>
      <c r="E678" t="s">
        <v>780</v>
      </c>
      <c r="F678" t="s">
        <v>28</v>
      </c>
      <c r="G678" t="s">
        <v>2443</v>
      </c>
      <c r="H678" t="s">
        <v>30</v>
      </c>
      <c r="I678" t="b">
        <f>COUNTIF(Estadísticas!I:I,'centraldecomunicacion.es'!H678)&gt;0</f>
        <v>0</v>
      </c>
    </row>
    <row r="679" spans="1:9">
      <c r="A679" t="s">
        <v>2444</v>
      </c>
      <c r="B679" t="s">
        <v>10</v>
      </c>
      <c r="C679" t="s">
        <v>2445</v>
      </c>
      <c r="D679" t="s">
        <v>780</v>
      </c>
      <c r="E679" t="s">
        <v>780</v>
      </c>
      <c r="F679" t="s">
        <v>28</v>
      </c>
      <c r="G679" t="s">
        <v>2446</v>
      </c>
      <c r="H679" t="s">
        <v>30</v>
      </c>
      <c r="I679" t="b">
        <f>COUNTIF(Estadísticas!I:I,'centraldecomunicacion.es'!H679)&gt;0</f>
        <v>0</v>
      </c>
    </row>
    <row r="680" spans="1:9">
      <c r="A680" t="s">
        <v>2447</v>
      </c>
      <c r="B680" t="s">
        <v>10</v>
      </c>
      <c r="C680" t="s">
        <v>2448</v>
      </c>
      <c r="D680" t="s">
        <v>780</v>
      </c>
      <c r="E680" t="s">
        <v>780</v>
      </c>
      <c r="F680" t="s">
        <v>28</v>
      </c>
      <c r="G680" t="s">
        <v>2449</v>
      </c>
      <c r="H680" t="s">
        <v>30</v>
      </c>
      <c r="I680" t="b">
        <f>COUNTIF(Estadísticas!I:I,'centraldecomunicacion.es'!H680)&gt;0</f>
        <v>0</v>
      </c>
    </row>
    <row r="681" spans="1:9">
      <c r="A681" t="s">
        <v>2450</v>
      </c>
      <c r="B681" t="s">
        <v>10</v>
      </c>
      <c r="C681" t="s">
        <v>2451</v>
      </c>
      <c r="D681" t="s">
        <v>2424</v>
      </c>
      <c r="E681" t="s">
        <v>780</v>
      </c>
      <c r="F681" t="s">
        <v>2452</v>
      </c>
      <c r="G681" t="s">
        <v>2453</v>
      </c>
      <c r="H681" t="s">
        <v>2454</v>
      </c>
      <c r="I681" t="b">
        <f>COUNTIF(Estadísticas!I:I,'centraldecomunicacion.es'!H681)&gt;0</f>
        <v>1</v>
      </c>
    </row>
    <row r="682" spans="1:9">
      <c r="A682" t="s">
        <v>1005</v>
      </c>
      <c r="B682" t="s">
        <v>10</v>
      </c>
      <c r="C682" t="s">
        <v>2455</v>
      </c>
      <c r="D682" t="s">
        <v>780</v>
      </c>
      <c r="E682" t="s">
        <v>780</v>
      </c>
      <c r="F682" t="s">
        <v>28</v>
      </c>
      <c r="G682" t="s">
        <v>2456</v>
      </c>
      <c r="H682" t="s">
        <v>30</v>
      </c>
      <c r="I682" t="b">
        <f>COUNTIF(Estadísticas!I:I,'centraldecomunicacion.es'!H682)&gt;0</f>
        <v>0</v>
      </c>
    </row>
    <row r="683" spans="1:9">
      <c r="A683" t="s">
        <v>2457</v>
      </c>
      <c r="B683" t="s">
        <v>10</v>
      </c>
      <c r="C683" t="s">
        <v>2458</v>
      </c>
      <c r="D683" t="s">
        <v>780</v>
      </c>
      <c r="E683" t="s">
        <v>780</v>
      </c>
      <c r="F683" t="s">
        <v>28</v>
      </c>
      <c r="G683" t="s">
        <v>2459</v>
      </c>
      <c r="H683" t="s">
        <v>30</v>
      </c>
      <c r="I683" t="b">
        <f>COUNTIF(Estadísticas!I:I,'centraldecomunicacion.es'!H683)&gt;0</f>
        <v>0</v>
      </c>
    </row>
    <row r="684" spans="1:9">
      <c r="A684" t="s">
        <v>10</v>
      </c>
      <c r="B684" t="s">
        <v>10</v>
      </c>
      <c r="C684" t="s">
        <v>2460</v>
      </c>
      <c r="D684" t="s">
        <v>780</v>
      </c>
      <c r="E684" t="s">
        <v>780</v>
      </c>
      <c r="F684" t="s">
        <v>28</v>
      </c>
      <c r="G684" t="s">
        <v>28</v>
      </c>
      <c r="H684" t="s">
        <v>30</v>
      </c>
      <c r="I684" t="b">
        <f>COUNTIF(Estadísticas!I:I,'centraldecomunicacion.es'!H684)&gt;0</f>
        <v>0</v>
      </c>
    </row>
    <row r="685" spans="1:9">
      <c r="A685" t="s">
        <v>2461</v>
      </c>
      <c r="B685" t="s">
        <v>10</v>
      </c>
      <c r="C685" t="s">
        <v>2462</v>
      </c>
      <c r="D685" t="s">
        <v>780</v>
      </c>
      <c r="E685" t="s">
        <v>780</v>
      </c>
      <c r="F685" t="s">
        <v>28</v>
      </c>
      <c r="G685" t="s">
        <v>28</v>
      </c>
      <c r="H685" t="s">
        <v>30</v>
      </c>
      <c r="I685" t="b">
        <f>COUNTIF(Estadísticas!I:I,'centraldecomunicacion.es'!H685)&gt;0</f>
        <v>0</v>
      </c>
    </row>
    <row r="686" spans="1:9">
      <c r="A686" t="s">
        <v>2463</v>
      </c>
      <c r="B686" t="s">
        <v>10</v>
      </c>
      <c r="C686" t="s">
        <v>2464</v>
      </c>
      <c r="D686" t="s">
        <v>780</v>
      </c>
      <c r="E686" t="s">
        <v>780</v>
      </c>
      <c r="F686" t="s">
        <v>28</v>
      </c>
      <c r="G686" t="s">
        <v>2465</v>
      </c>
      <c r="H686" t="s">
        <v>30</v>
      </c>
      <c r="I686" t="b">
        <f>COUNTIF(Estadísticas!I:I,'centraldecomunicacion.es'!H686)&gt;0</f>
        <v>0</v>
      </c>
    </row>
    <row r="687" spans="1:9">
      <c r="A687" t="s">
        <v>2466</v>
      </c>
      <c r="B687" t="s">
        <v>10</v>
      </c>
      <c r="C687" t="s">
        <v>2467</v>
      </c>
      <c r="D687" t="s">
        <v>2468</v>
      </c>
      <c r="E687" t="s">
        <v>780</v>
      </c>
      <c r="F687" t="s">
        <v>2469</v>
      </c>
      <c r="G687" t="s">
        <v>2470</v>
      </c>
      <c r="H687" t="s">
        <v>2471</v>
      </c>
      <c r="I687" t="b">
        <f>COUNTIF(Estadísticas!I:I,'centraldecomunicacion.es'!H687)&gt;0</f>
        <v>1</v>
      </c>
    </row>
    <row r="688" spans="1:9">
      <c r="A688" t="s">
        <v>2472</v>
      </c>
      <c r="B688" t="s">
        <v>10</v>
      </c>
      <c r="C688" t="s">
        <v>2473</v>
      </c>
      <c r="D688" t="s">
        <v>780</v>
      </c>
      <c r="E688" t="s">
        <v>780</v>
      </c>
      <c r="F688" t="s">
        <v>28</v>
      </c>
      <c r="G688" t="s">
        <v>2474</v>
      </c>
      <c r="H688" t="s">
        <v>30</v>
      </c>
      <c r="I688" t="b">
        <f>COUNTIF(Estadísticas!I:I,'centraldecomunicacion.es'!H688)&gt;0</f>
        <v>0</v>
      </c>
    </row>
    <row r="689" spans="1:9">
      <c r="A689" t="s">
        <v>2475</v>
      </c>
      <c r="B689" t="s">
        <v>10</v>
      </c>
      <c r="C689" t="s">
        <v>2476</v>
      </c>
      <c r="D689" t="s">
        <v>780</v>
      </c>
      <c r="E689" t="s">
        <v>780</v>
      </c>
      <c r="F689" t="s">
        <v>28</v>
      </c>
      <c r="G689" t="s">
        <v>2477</v>
      </c>
      <c r="H689" t="s">
        <v>30</v>
      </c>
      <c r="I689" t="b">
        <f>COUNTIF(Estadísticas!I:I,'centraldecomunicacion.es'!H689)&gt;0</f>
        <v>0</v>
      </c>
    </row>
    <row r="690" spans="1:9">
      <c r="A690" t="s">
        <v>2478</v>
      </c>
      <c r="B690" t="s">
        <v>10</v>
      </c>
      <c r="C690" t="s">
        <v>2479</v>
      </c>
      <c r="D690" t="s">
        <v>780</v>
      </c>
      <c r="E690" t="s">
        <v>780</v>
      </c>
      <c r="F690" t="s">
        <v>28</v>
      </c>
      <c r="G690" t="s">
        <v>2480</v>
      </c>
      <c r="H690" t="s">
        <v>30</v>
      </c>
      <c r="I690" t="b">
        <f>COUNTIF(Estadísticas!I:I,'centraldecomunicacion.es'!H690)&gt;0</f>
        <v>0</v>
      </c>
    </row>
    <row r="691" spans="1:9">
      <c r="A691" t="s">
        <v>2481</v>
      </c>
      <c r="B691" t="s">
        <v>10</v>
      </c>
      <c r="C691" t="s">
        <v>2482</v>
      </c>
      <c r="D691" t="s">
        <v>780</v>
      </c>
      <c r="E691" t="s">
        <v>780</v>
      </c>
      <c r="F691" t="s">
        <v>28</v>
      </c>
      <c r="G691" t="s">
        <v>28</v>
      </c>
      <c r="H691" t="s">
        <v>30</v>
      </c>
      <c r="I691" t="b">
        <f>COUNTIF(Estadísticas!I:I,'centraldecomunicacion.es'!H691)&gt;0</f>
        <v>0</v>
      </c>
    </row>
    <row r="692" spans="1:9">
      <c r="A692" t="s">
        <v>2441</v>
      </c>
      <c r="B692" t="s">
        <v>10</v>
      </c>
      <c r="C692" t="s">
        <v>2483</v>
      </c>
      <c r="D692" t="s">
        <v>780</v>
      </c>
      <c r="E692" t="s">
        <v>780</v>
      </c>
      <c r="F692" t="s">
        <v>28</v>
      </c>
      <c r="G692" t="s">
        <v>2484</v>
      </c>
      <c r="H692" t="s">
        <v>30</v>
      </c>
      <c r="I692" t="b">
        <f>COUNTIF(Estadísticas!I:I,'centraldecomunicacion.es'!H692)&gt;0</f>
        <v>0</v>
      </c>
    </row>
    <row r="693" spans="1:9">
      <c r="A693" t="s">
        <v>2485</v>
      </c>
      <c r="B693" t="s">
        <v>10</v>
      </c>
      <c r="C693" t="s">
        <v>2486</v>
      </c>
      <c r="D693" t="s">
        <v>2435</v>
      </c>
      <c r="E693" t="s">
        <v>780</v>
      </c>
      <c r="F693" t="s">
        <v>28</v>
      </c>
      <c r="G693" t="s">
        <v>2487</v>
      </c>
      <c r="H693" t="s">
        <v>30</v>
      </c>
      <c r="I693" t="b">
        <f>COUNTIF(Estadísticas!I:I,'centraldecomunicacion.es'!H693)&gt;0</f>
        <v>0</v>
      </c>
    </row>
    <row r="694" spans="1:9">
      <c r="A694" t="s">
        <v>2488</v>
      </c>
      <c r="B694" t="s">
        <v>10</v>
      </c>
      <c r="C694" t="s">
        <v>2489</v>
      </c>
      <c r="D694" t="s">
        <v>780</v>
      </c>
      <c r="E694" t="s">
        <v>780</v>
      </c>
      <c r="F694" t="s">
        <v>28</v>
      </c>
      <c r="G694" t="s">
        <v>2490</v>
      </c>
      <c r="H694" t="s">
        <v>30</v>
      </c>
      <c r="I694" t="b">
        <f>COUNTIF(Estadísticas!I:I,'centraldecomunicacion.es'!H694)&gt;0</f>
        <v>0</v>
      </c>
    </row>
    <row r="695" spans="1:9">
      <c r="A695" t="s">
        <v>2491</v>
      </c>
      <c r="B695" t="s">
        <v>10</v>
      </c>
      <c r="C695" t="s">
        <v>2492</v>
      </c>
      <c r="D695" t="s">
        <v>780</v>
      </c>
      <c r="E695" t="s">
        <v>780</v>
      </c>
      <c r="F695" t="s">
        <v>28</v>
      </c>
      <c r="G695" t="s">
        <v>2493</v>
      </c>
      <c r="H695" t="s">
        <v>30</v>
      </c>
      <c r="I695" t="b">
        <f>COUNTIF(Estadísticas!I:I,'centraldecomunicacion.es'!H695)&gt;0</f>
        <v>0</v>
      </c>
    </row>
    <row r="696" spans="1:9">
      <c r="A696" t="s">
        <v>2494</v>
      </c>
      <c r="B696" t="s">
        <v>10</v>
      </c>
      <c r="C696" t="s">
        <v>2495</v>
      </c>
      <c r="D696" t="s">
        <v>780</v>
      </c>
      <c r="E696" t="s">
        <v>780</v>
      </c>
      <c r="F696" t="s">
        <v>2496</v>
      </c>
      <c r="G696" t="s">
        <v>2497</v>
      </c>
      <c r="H696" t="s">
        <v>2498</v>
      </c>
      <c r="I696" t="b">
        <f>COUNTIF(Estadísticas!I:I,'centraldecomunicacion.es'!H696)&gt;0</f>
        <v>0</v>
      </c>
    </row>
    <row r="697" spans="1:9">
      <c r="A697" t="s">
        <v>2499</v>
      </c>
      <c r="B697" t="s">
        <v>10</v>
      </c>
      <c r="C697" t="s">
        <v>2500</v>
      </c>
      <c r="D697" t="s">
        <v>2501</v>
      </c>
      <c r="E697" t="s">
        <v>780</v>
      </c>
      <c r="F697" t="s">
        <v>2502</v>
      </c>
      <c r="G697" t="s">
        <v>2503</v>
      </c>
      <c r="H697" t="s">
        <v>2504</v>
      </c>
      <c r="I697" t="b">
        <f>COUNTIF(Estadísticas!I:I,'centraldecomunicacion.es'!H697)&gt;0</f>
        <v>1</v>
      </c>
    </row>
    <row r="698" spans="1:9">
      <c r="A698" t="s">
        <v>2505</v>
      </c>
      <c r="B698" t="s">
        <v>10</v>
      </c>
      <c r="C698" t="s">
        <v>2506</v>
      </c>
      <c r="D698" t="s">
        <v>780</v>
      </c>
      <c r="E698" t="s">
        <v>780</v>
      </c>
      <c r="F698" t="s">
        <v>28</v>
      </c>
      <c r="G698" t="s">
        <v>28</v>
      </c>
      <c r="H698" t="s">
        <v>30</v>
      </c>
      <c r="I698" t="b">
        <f>COUNTIF(Estadísticas!I:I,'centraldecomunicacion.es'!H698)&gt;0</f>
        <v>0</v>
      </c>
    </row>
    <row r="699" spans="1:9">
      <c r="A699" t="s">
        <v>2507</v>
      </c>
      <c r="B699" t="s">
        <v>10</v>
      </c>
      <c r="C699" t="s">
        <v>2506</v>
      </c>
      <c r="D699" t="s">
        <v>780</v>
      </c>
      <c r="E699" t="s">
        <v>780</v>
      </c>
      <c r="F699" t="s">
        <v>28</v>
      </c>
      <c r="G699" t="s">
        <v>28</v>
      </c>
      <c r="H699" t="s">
        <v>30</v>
      </c>
      <c r="I699" t="b">
        <f>COUNTIF(Estadísticas!I:I,'centraldecomunicacion.es'!H699)&gt;0</f>
        <v>0</v>
      </c>
    </row>
    <row r="700" spans="1:9">
      <c r="A700" t="s">
        <v>2508</v>
      </c>
      <c r="B700" t="s">
        <v>10</v>
      </c>
      <c r="C700" t="s">
        <v>2509</v>
      </c>
      <c r="D700" t="s">
        <v>780</v>
      </c>
      <c r="E700" t="s">
        <v>780</v>
      </c>
      <c r="F700" t="s">
        <v>2510</v>
      </c>
      <c r="G700" t="s">
        <v>2511</v>
      </c>
      <c r="H700" t="s">
        <v>2512</v>
      </c>
      <c r="I700" t="b">
        <f>COUNTIF(Estadísticas!I:I,'centraldecomunicacion.es'!H700)&gt;0</f>
        <v>1</v>
      </c>
    </row>
    <row r="701" spans="1:9">
      <c r="A701" t="s">
        <v>2513</v>
      </c>
      <c r="B701" t="s">
        <v>10</v>
      </c>
      <c r="C701" t="s">
        <v>2514</v>
      </c>
      <c r="D701" t="s">
        <v>2501</v>
      </c>
      <c r="E701" t="s">
        <v>780</v>
      </c>
      <c r="F701" t="s">
        <v>2515</v>
      </c>
      <c r="G701" t="s">
        <v>2516</v>
      </c>
      <c r="H701" t="s">
        <v>30</v>
      </c>
      <c r="I701" t="b">
        <f>COUNTIF(Estadísticas!I:I,'centraldecomunicacion.es'!H701)&gt;0</f>
        <v>0</v>
      </c>
    </row>
    <row r="702" spans="1:9">
      <c r="A702" t="s">
        <v>2517</v>
      </c>
      <c r="B702" t="s">
        <v>10</v>
      </c>
      <c r="C702" t="s">
        <v>2518</v>
      </c>
      <c r="D702" t="s">
        <v>2501</v>
      </c>
      <c r="E702" t="s">
        <v>780</v>
      </c>
      <c r="F702" t="s">
        <v>2519</v>
      </c>
      <c r="G702" t="s">
        <v>2520</v>
      </c>
      <c r="H702" t="s">
        <v>30</v>
      </c>
      <c r="I702" t="b">
        <f>COUNTIF(Estadísticas!I:I,'centraldecomunicacion.es'!H702)&gt;0</f>
        <v>0</v>
      </c>
    </row>
    <row r="703" spans="1:9">
      <c r="A703" t="s">
        <v>2521</v>
      </c>
      <c r="B703" t="s">
        <v>10</v>
      </c>
      <c r="C703" t="s">
        <v>2522</v>
      </c>
      <c r="D703" t="s">
        <v>2523</v>
      </c>
      <c r="E703" t="s">
        <v>780</v>
      </c>
      <c r="F703" t="s">
        <v>2524</v>
      </c>
      <c r="G703" t="s">
        <v>2525</v>
      </c>
      <c r="H703" t="s">
        <v>2526</v>
      </c>
      <c r="I703" t="b">
        <f>COUNTIF(Estadísticas!I:I,'centraldecomunicacion.es'!H703)&gt;0</f>
        <v>1</v>
      </c>
    </row>
    <row r="704" spans="1:9">
      <c r="A704" t="s">
        <v>2527</v>
      </c>
      <c r="B704" t="s">
        <v>10</v>
      </c>
      <c r="C704" t="s">
        <v>2528</v>
      </c>
      <c r="D704" t="s">
        <v>2501</v>
      </c>
      <c r="E704" t="s">
        <v>780</v>
      </c>
      <c r="F704" t="s">
        <v>2529</v>
      </c>
      <c r="G704" t="s">
        <v>2530</v>
      </c>
      <c r="H704" t="s">
        <v>2531</v>
      </c>
      <c r="I704" t="b">
        <f>COUNTIF(Estadísticas!I:I,'centraldecomunicacion.es'!H704)&gt;0</f>
        <v>1</v>
      </c>
    </row>
    <row r="705" spans="1:9">
      <c r="A705" t="s">
        <v>2532</v>
      </c>
      <c r="B705" t="s">
        <v>10</v>
      </c>
      <c r="C705" t="s">
        <v>2533</v>
      </c>
      <c r="D705" t="s">
        <v>2435</v>
      </c>
      <c r="E705" t="s">
        <v>780</v>
      </c>
      <c r="F705" t="s">
        <v>28</v>
      </c>
      <c r="G705" t="s">
        <v>28</v>
      </c>
      <c r="H705" t="s">
        <v>30</v>
      </c>
      <c r="I705" t="b">
        <f>COUNTIF(Estadísticas!I:I,'centraldecomunicacion.es'!H705)&gt;0</f>
        <v>0</v>
      </c>
    </row>
    <row r="706" spans="1:9">
      <c r="A706" t="s">
        <v>2199</v>
      </c>
      <c r="B706" t="s">
        <v>10</v>
      </c>
      <c r="C706" t="s">
        <v>2534</v>
      </c>
      <c r="D706" t="s">
        <v>780</v>
      </c>
      <c r="E706" t="s">
        <v>780</v>
      </c>
      <c r="F706" t="s">
        <v>28</v>
      </c>
      <c r="G706" t="s">
        <v>28</v>
      </c>
      <c r="H706" t="s">
        <v>30</v>
      </c>
      <c r="I706" t="b">
        <f>COUNTIF(Estadísticas!I:I,'centraldecomunicacion.es'!H706)&gt;0</f>
        <v>0</v>
      </c>
    </row>
    <row r="707" spans="1:9">
      <c r="A707" t="s">
        <v>2535</v>
      </c>
      <c r="B707" t="s">
        <v>10</v>
      </c>
      <c r="C707" t="s">
        <v>2536</v>
      </c>
      <c r="D707" t="s">
        <v>780</v>
      </c>
      <c r="E707" t="s">
        <v>780</v>
      </c>
      <c r="F707" t="s">
        <v>1561</v>
      </c>
      <c r="G707" t="s">
        <v>2537</v>
      </c>
      <c r="H707" t="s">
        <v>30</v>
      </c>
      <c r="I707" t="b">
        <f>COUNTIF(Estadísticas!I:I,'centraldecomunicacion.es'!H707)&gt;0</f>
        <v>0</v>
      </c>
    </row>
    <row r="708" spans="1:9">
      <c r="A708" t="s">
        <v>2538</v>
      </c>
      <c r="B708" t="s">
        <v>10</v>
      </c>
      <c r="C708" t="s">
        <v>2539</v>
      </c>
      <c r="D708" t="s">
        <v>2501</v>
      </c>
      <c r="E708" t="s">
        <v>780</v>
      </c>
      <c r="F708" t="s">
        <v>28</v>
      </c>
      <c r="G708" t="s">
        <v>2540</v>
      </c>
      <c r="H708" t="s">
        <v>30</v>
      </c>
      <c r="I708" t="b">
        <f>COUNTIF(Estadísticas!I:I,'centraldecomunicacion.es'!H708)&gt;0</f>
        <v>0</v>
      </c>
    </row>
    <row r="709" spans="1:9">
      <c r="A709" t="s">
        <v>2541</v>
      </c>
      <c r="B709" t="s">
        <v>10</v>
      </c>
      <c r="C709" t="s">
        <v>2542</v>
      </c>
      <c r="D709" t="s">
        <v>2501</v>
      </c>
      <c r="E709" t="s">
        <v>780</v>
      </c>
      <c r="F709" t="s">
        <v>28</v>
      </c>
      <c r="G709" t="s">
        <v>2543</v>
      </c>
      <c r="H709" t="s">
        <v>30</v>
      </c>
      <c r="I709" t="b">
        <f>COUNTIF(Estadísticas!I:I,'centraldecomunicacion.es'!H709)&gt;0</f>
        <v>0</v>
      </c>
    </row>
    <row r="710" spans="1:9">
      <c r="A710" t="s">
        <v>2544</v>
      </c>
      <c r="B710" t="s">
        <v>10</v>
      </c>
      <c r="C710" t="s">
        <v>2545</v>
      </c>
      <c r="D710" t="s">
        <v>780</v>
      </c>
      <c r="E710" t="s">
        <v>780</v>
      </c>
      <c r="F710" t="s">
        <v>2414</v>
      </c>
      <c r="G710" t="s">
        <v>2546</v>
      </c>
      <c r="H710" t="s">
        <v>30</v>
      </c>
      <c r="I710" t="b">
        <f>COUNTIF(Estadísticas!I:I,'centraldecomunicacion.es'!H710)&gt;0</f>
        <v>0</v>
      </c>
    </row>
    <row r="711" spans="1:9">
      <c r="A711" t="s">
        <v>2547</v>
      </c>
      <c r="B711" t="s">
        <v>10</v>
      </c>
      <c r="C711" t="s">
        <v>2548</v>
      </c>
      <c r="D711" t="s">
        <v>2501</v>
      </c>
      <c r="E711" t="s">
        <v>780</v>
      </c>
      <c r="F711" t="s">
        <v>2549</v>
      </c>
      <c r="G711" t="s">
        <v>2550</v>
      </c>
      <c r="H711" t="s">
        <v>30</v>
      </c>
      <c r="I711" t="b">
        <f>COUNTIF(Estadísticas!I:I,'centraldecomunicacion.es'!H711)&gt;0</f>
        <v>0</v>
      </c>
    </row>
    <row r="712" spans="1:9">
      <c r="A712" t="s">
        <v>2551</v>
      </c>
      <c r="B712" t="s">
        <v>10</v>
      </c>
      <c r="C712" t="s">
        <v>2552</v>
      </c>
      <c r="D712" t="s">
        <v>780</v>
      </c>
      <c r="E712" t="s">
        <v>780</v>
      </c>
      <c r="F712" t="s">
        <v>2553</v>
      </c>
      <c r="G712" t="s">
        <v>2554</v>
      </c>
      <c r="H712" t="s">
        <v>2555</v>
      </c>
      <c r="I712" t="b">
        <f>COUNTIF(Estadísticas!I:I,'centraldecomunicacion.es'!H712)&gt;0</f>
        <v>1</v>
      </c>
    </row>
    <row r="713" spans="1:9">
      <c r="A713" t="s">
        <v>2556</v>
      </c>
      <c r="B713" t="s">
        <v>10</v>
      </c>
      <c r="C713" t="s">
        <v>2557</v>
      </c>
      <c r="D713" t="s">
        <v>2558</v>
      </c>
      <c r="E713" t="s">
        <v>780</v>
      </c>
      <c r="F713" t="s">
        <v>28</v>
      </c>
      <c r="G713" t="s">
        <v>2559</v>
      </c>
      <c r="H713" t="s">
        <v>30</v>
      </c>
      <c r="I713" t="b">
        <f>COUNTIF(Estadísticas!I:I,'centraldecomunicacion.es'!H713)&gt;0</f>
        <v>0</v>
      </c>
    </row>
    <row r="714" spans="1:9">
      <c r="A714" t="s">
        <v>2560</v>
      </c>
      <c r="B714" t="s">
        <v>10</v>
      </c>
      <c r="C714" t="s">
        <v>2561</v>
      </c>
      <c r="D714" t="s">
        <v>2501</v>
      </c>
      <c r="E714" t="s">
        <v>780</v>
      </c>
      <c r="F714" t="s">
        <v>416</v>
      </c>
      <c r="G714" t="s">
        <v>2562</v>
      </c>
      <c r="H714" t="s">
        <v>30</v>
      </c>
      <c r="I714" t="b">
        <f>COUNTIF(Estadísticas!I:I,'centraldecomunicacion.es'!H714)&gt;0</f>
        <v>0</v>
      </c>
    </row>
    <row r="715" spans="1:9">
      <c r="A715" t="s">
        <v>2563</v>
      </c>
      <c r="B715" t="s">
        <v>10</v>
      </c>
      <c r="C715" t="s">
        <v>2564</v>
      </c>
      <c r="D715" t="s">
        <v>2565</v>
      </c>
      <c r="E715" t="s">
        <v>780</v>
      </c>
      <c r="F715" t="s">
        <v>28</v>
      </c>
      <c r="G715" t="s">
        <v>2566</v>
      </c>
      <c r="H715" t="s">
        <v>30</v>
      </c>
      <c r="I715" t="b">
        <f>COUNTIF(Estadísticas!I:I,'centraldecomunicacion.es'!H715)&gt;0</f>
        <v>0</v>
      </c>
    </row>
    <row r="716" spans="1:9">
      <c r="A716" t="s">
        <v>2567</v>
      </c>
      <c r="B716" t="s">
        <v>10</v>
      </c>
      <c r="C716" t="s">
        <v>2568</v>
      </c>
      <c r="D716" t="s">
        <v>2565</v>
      </c>
      <c r="E716" t="s">
        <v>780</v>
      </c>
      <c r="F716" t="s">
        <v>28</v>
      </c>
      <c r="G716" t="s">
        <v>28</v>
      </c>
      <c r="H716" t="s">
        <v>30</v>
      </c>
      <c r="I716" t="b">
        <f>COUNTIF(Estadísticas!I:I,'centraldecomunicacion.es'!H716)&gt;0</f>
        <v>0</v>
      </c>
    </row>
    <row r="717" spans="1:9">
      <c r="A717" t="s">
        <v>2569</v>
      </c>
      <c r="B717" t="s">
        <v>10</v>
      </c>
      <c r="C717" t="s">
        <v>2570</v>
      </c>
      <c r="D717" t="s">
        <v>2501</v>
      </c>
      <c r="E717" t="s">
        <v>780</v>
      </c>
      <c r="F717" t="s">
        <v>2571</v>
      </c>
      <c r="G717" t="s">
        <v>2572</v>
      </c>
      <c r="H717" t="s">
        <v>2573</v>
      </c>
      <c r="I717" t="b">
        <f>COUNTIF(Estadísticas!I:I,'centraldecomunicacion.es'!H717)&gt;0</f>
        <v>0</v>
      </c>
    </row>
    <row r="718" spans="1:9">
      <c r="A718" t="s">
        <v>2574</v>
      </c>
      <c r="B718" t="s">
        <v>10</v>
      </c>
      <c r="C718" t="s">
        <v>2575</v>
      </c>
      <c r="D718" t="s">
        <v>780</v>
      </c>
      <c r="E718" t="s">
        <v>780</v>
      </c>
      <c r="F718" t="s">
        <v>2576</v>
      </c>
      <c r="G718" t="s">
        <v>2577</v>
      </c>
      <c r="H718" t="s">
        <v>30</v>
      </c>
      <c r="I718" t="b">
        <f>COUNTIF(Estadísticas!I:I,'centraldecomunicacion.es'!H718)&gt;0</f>
        <v>0</v>
      </c>
    </row>
    <row r="719" spans="1:9">
      <c r="A719" t="s">
        <v>1050</v>
      </c>
      <c r="B719" t="s">
        <v>10</v>
      </c>
      <c r="C719" t="s">
        <v>2578</v>
      </c>
      <c r="D719" t="s">
        <v>2579</v>
      </c>
      <c r="E719" t="s">
        <v>780</v>
      </c>
      <c r="F719" t="s">
        <v>642</v>
      </c>
      <c r="G719" t="s">
        <v>2580</v>
      </c>
      <c r="H719" t="s">
        <v>30</v>
      </c>
      <c r="I719" t="b">
        <f>COUNTIF(Estadísticas!I:I,'centraldecomunicacion.es'!H719)&gt;0</f>
        <v>0</v>
      </c>
    </row>
    <row r="720" spans="1:9">
      <c r="A720" t="s">
        <v>2581</v>
      </c>
      <c r="B720" t="s">
        <v>10</v>
      </c>
      <c r="C720" t="s">
        <v>2582</v>
      </c>
      <c r="D720" t="s">
        <v>790</v>
      </c>
      <c r="E720" t="s">
        <v>780</v>
      </c>
      <c r="F720" t="s">
        <v>416</v>
      </c>
      <c r="G720" t="s">
        <v>2583</v>
      </c>
      <c r="H720" t="s">
        <v>30</v>
      </c>
      <c r="I720" t="b">
        <f>COUNTIF(Estadísticas!I:I,'centraldecomunicacion.es'!H720)&gt;0</f>
        <v>0</v>
      </c>
    </row>
    <row r="721" spans="1:9">
      <c r="A721" t="s">
        <v>2584</v>
      </c>
      <c r="B721" t="s">
        <v>10</v>
      </c>
      <c r="C721" t="s">
        <v>2585</v>
      </c>
      <c r="D721" t="s">
        <v>2501</v>
      </c>
      <c r="E721" t="s">
        <v>780</v>
      </c>
      <c r="F721" t="s">
        <v>28</v>
      </c>
      <c r="G721" t="s">
        <v>2586</v>
      </c>
      <c r="H721" t="s">
        <v>30</v>
      </c>
      <c r="I721" t="b">
        <f>COUNTIF(Estadísticas!I:I,'centraldecomunicacion.es'!H721)&gt;0</f>
        <v>0</v>
      </c>
    </row>
    <row r="722" spans="1:9">
      <c r="A722" t="s">
        <v>2587</v>
      </c>
      <c r="B722" t="s">
        <v>10</v>
      </c>
      <c r="C722" t="s">
        <v>2588</v>
      </c>
      <c r="D722" t="s">
        <v>780</v>
      </c>
      <c r="E722" t="s">
        <v>780</v>
      </c>
      <c r="F722" t="s">
        <v>2553</v>
      </c>
      <c r="G722" t="s">
        <v>2589</v>
      </c>
      <c r="H722" t="s">
        <v>2555</v>
      </c>
      <c r="I722" t="b">
        <f>COUNTIF(Estadísticas!I:I,'centraldecomunicacion.es'!H722)&gt;0</f>
        <v>1</v>
      </c>
    </row>
    <row r="723" spans="1:9">
      <c r="A723" t="s">
        <v>2590</v>
      </c>
      <c r="B723" t="s">
        <v>10</v>
      </c>
      <c r="C723" t="s">
        <v>2591</v>
      </c>
      <c r="D723" t="s">
        <v>2579</v>
      </c>
      <c r="E723" t="s">
        <v>780</v>
      </c>
      <c r="F723" t="s">
        <v>28</v>
      </c>
      <c r="G723" t="s">
        <v>2592</v>
      </c>
      <c r="H723" t="s">
        <v>30</v>
      </c>
      <c r="I723" t="b">
        <f>COUNTIF(Estadísticas!I:I,'centraldecomunicacion.es'!H723)&gt;0</f>
        <v>0</v>
      </c>
    </row>
    <row r="724" spans="1:9">
      <c r="A724" t="s">
        <v>2593</v>
      </c>
      <c r="B724" t="s">
        <v>10</v>
      </c>
      <c r="C724" t="s">
        <v>2594</v>
      </c>
      <c r="D724" t="s">
        <v>790</v>
      </c>
      <c r="E724" t="s">
        <v>780</v>
      </c>
      <c r="F724" t="s">
        <v>28</v>
      </c>
      <c r="G724" t="s">
        <v>2595</v>
      </c>
      <c r="H724" t="s">
        <v>30</v>
      </c>
      <c r="I724" t="b">
        <f>COUNTIF(Estadísticas!I:I,'centraldecomunicacion.es'!H724)&gt;0</f>
        <v>0</v>
      </c>
    </row>
    <row r="725" spans="1:9">
      <c r="A725" t="s">
        <v>2596</v>
      </c>
      <c r="B725" t="s">
        <v>10</v>
      </c>
      <c r="C725" t="s">
        <v>2597</v>
      </c>
      <c r="D725" t="s">
        <v>780</v>
      </c>
      <c r="E725" t="s">
        <v>780</v>
      </c>
      <c r="F725" t="s">
        <v>2496</v>
      </c>
      <c r="G725" t="s">
        <v>2598</v>
      </c>
      <c r="H725" t="s">
        <v>2498</v>
      </c>
      <c r="I725" t="b">
        <f>COUNTIF(Estadísticas!I:I,'centraldecomunicacion.es'!H725)&gt;0</f>
        <v>0</v>
      </c>
    </row>
    <row r="726" spans="1:9">
      <c r="A726" t="s">
        <v>2599</v>
      </c>
      <c r="B726" t="s">
        <v>10</v>
      </c>
      <c r="C726" t="s">
        <v>2600</v>
      </c>
      <c r="D726" t="s">
        <v>2601</v>
      </c>
      <c r="E726" t="s">
        <v>780</v>
      </c>
      <c r="F726" t="s">
        <v>28</v>
      </c>
      <c r="G726" t="s">
        <v>28</v>
      </c>
      <c r="H726" t="s">
        <v>30</v>
      </c>
      <c r="I726" t="b">
        <f>COUNTIF(Estadísticas!I:I,'centraldecomunicacion.es'!H726)&gt;0</f>
        <v>0</v>
      </c>
    </row>
    <row r="727" spans="1:9">
      <c r="A727" t="s">
        <v>2602</v>
      </c>
      <c r="B727" t="s">
        <v>10</v>
      </c>
      <c r="C727" t="s">
        <v>2603</v>
      </c>
      <c r="D727" t="s">
        <v>2601</v>
      </c>
      <c r="E727" t="s">
        <v>780</v>
      </c>
      <c r="F727" t="s">
        <v>28</v>
      </c>
      <c r="G727" t="s">
        <v>2604</v>
      </c>
      <c r="H727" t="s">
        <v>30</v>
      </c>
      <c r="I727" t="b">
        <f>COUNTIF(Estadísticas!I:I,'centraldecomunicacion.es'!H727)&gt;0</f>
        <v>0</v>
      </c>
    </row>
    <row r="728" spans="1:9">
      <c r="A728" t="s">
        <v>2605</v>
      </c>
      <c r="B728" t="s">
        <v>10</v>
      </c>
      <c r="C728" t="s">
        <v>2606</v>
      </c>
      <c r="D728" t="s">
        <v>2607</v>
      </c>
      <c r="E728" t="s">
        <v>780</v>
      </c>
      <c r="F728" t="s">
        <v>28</v>
      </c>
      <c r="G728" t="s">
        <v>28</v>
      </c>
      <c r="H728" t="s">
        <v>30</v>
      </c>
      <c r="I728" t="b">
        <f>COUNTIF(Estadísticas!I:I,'centraldecomunicacion.es'!H728)&gt;0</f>
        <v>0</v>
      </c>
    </row>
    <row r="729" spans="1:9">
      <c r="A729" t="s">
        <v>2608</v>
      </c>
      <c r="B729" t="s">
        <v>10</v>
      </c>
      <c r="C729" t="s">
        <v>2609</v>
      </c>
      <c r="D729" t="s">
        <v>2610</v>
      </c>
      <c r="E729" t="s">
        <v>780</v>
      </c>
      <c r="F729" t="s">
        <v>28</v>
      </c>
      <c r="G729" t="s">
        <v>2611</v>
      </c>
      <c r="H729" t="s">
        <v>30</v>
      </c>
      <c r="I729" t="b">
        <f>COUNTIF(Estadísticas!I:I,'centraldecomunicacion.es'!H729)&gt;0</f>
        <v>0</v>
      </c>
    </row>
    <row r="730" spans="1:9">
      <c r="A730" t="s">
        <v>2612</v>
      </c>
      <c r="B730" t="s">
        <v>10</v>
      </c>
      <c r="C730" t="s">
        <v>2613</v>
      </c>
      <c r="D730" t="s">
        <v>2614</v>
      </c>
      <c r="E730" t="s">
        <v>780</v>
      </c>
      <c r="F730" t="s">
        <v>50</v>
      </c>
      <c r="G730" t="s">
        <v>2615</v>
      </c>
      <c r="H730" t="s">
        <v>30</v>
      </c>
      <c r="I730" t="b">
        <f>COUNTIF(Estadísticas!I:I,'centraldecomunicacion.es'!H730)&gt;0</f>
        <v>0</v>
      </c>
    </row>
    <row r="731" spans="1:9">
      <c r="A731" t="s">
        <v>2616</v>
      </c>
      <c r="B731" t="s">
        <v>10</v>
      </c>
      <c r="C731" t="s">
        <v>2617</v>
      </c>
      <c r="D731" t="s">
        <v>2618</v>
      </c>
      <c r="E731" t="s">
        <v>780</v>
      </c>
      <c r="F731" t="s">
        <v>28</v>
      </c>
      <c r="G731" t="s">
        <v>28</v>
      </c>
      <c r="H731" t="s">
        <v>30</v>
      </c>
      <c r="I731" t="b">
        <f>COUNTIF(Estadísticas!I:I,'centraldecomunicacion.es'!H731)&gt;0</f>
        <v>0</v>
      </c>
    </row>
    <row r="732" spans="1:9">
      <c r="A732" t="s">
        <v>2358</v>
      </c>
      <c r="B732" t="s">
        <v>10</v>
      </c>
      <c r="C732" t="s">
        <v>2619</v>
      </c>
      <c r="D732" t="s">
        <v>2601</v>
      </c>
      <c r="E732" t="s">
        <v>780</v>
      </c>
      <c r="F732" t="s">
        <v>2360</v>
      </c>
      <c r="G732" t="s">
        <v>2620</v>
      </c>
      <c r="H732" t="s">
        <v>30</v>
      </c>
      <c r="I732" t="b">
        <f>COUNTIF(Estadísticas!I:I,'centraldecomunicacion.es'!H732)&gt;0</f>
        <v>0</v>
      </c>
    </row>
    <row r="733" spans="1:9">
      <c r="A733" t="s">
        <v>436</v>
      </c>
      <c r="B733" t="s">
        <v>10</v>
      </c>
      <c r="C733" t="s">
        <v>2621</v>
      </c>
      <c r="D733" t="s">
        <v>2622</v>
      </c>
      <c r="E733" t="s">
        <v>780</v>
      </c>
      <c r="F733" t="s">
        <v>2623</v>
      </c>
      <c r="G733" t="s">
        <v>2624</v>
      </c>
      <c r="H733" t="s">
        <v>2625</v>
      </c>
      <c r="I733" t="b">
        <f>COUNTIF(Estadísticas!I:I,'centraldecomunicacion.es'!H733)&gt;0</f>
        <v>1</v>
      </c>
    </row>
    <row r="734" spans="1:9">
      <c r="A734" t="s">
        <v>2626</v>
      </c>
      <c r="B734" t="s">
        <v>10</v>
      </c>
      <c r="C734" t="s">
        <v>2627</v>
      </c>
      <c r="D734" t="s">
        <v>2618</v>
      </c>
      <c r="E734" t="s">
        <v>780</v>
      </c>
      <c r="F734" t="s">
        <v>2628</v>
      </c>
      <c r="G734" t="s">
        <v>2629</v>
      </c>
      <c r="H734" t="s">
        <v>2630</v>
      </c>
      <c r="I734" t="b">
        <f>COUNTIF(Estadísticas!I:I,'centraldecomunicacion.es'!H734)&gt;0</f>
        <v>1</v>
      </c>
    </row>
    <row r="735" spans="1:9">
      <c r="A735" t="s">
        <v>2631</v>
      </c>
      <c r="B735" t="s">
        <v>10</v>
      </c>
      <c r="C735" t="s">
        <v>2632</v>
      </c>
      <c r="D735" t="s">
        <v>2622</v>
      </c>
      <c r="E735" t="s">
        <v>780</v>
      </c>
      <c r="F735" t="s">
        <v>28</v>
      </c>
      <c r="G735" t="s">
        <v>2633</v>
      </c>
      <c r="H735" t="s">
        <v>30</v>
      </c>
      <c r="I735" t="b">
        <f>COUNTIF(Estadísticas!I:I,'centraldecomunicacion.es'!H735)&gt;0</f>
        <v>0</v>
      </c>
    </row>
    <row r="736" spans="1:9">
      <c r="A736" t="s">
        <v>2634</v>
      </c>
      <c r="B736" t="s">
        <v>10</v>
      </c>
      <c r="C736" t="s">
        <v>2635</v>
      </c>
      <c r="D736" t="s">
        <v>2622</v>
      </c>
      <c r="E736" t="s">
        <v>780</v>
      </c>
      <c r="F736" t="s">
        <v>28</v>
      </c>
      <c r="G736" t="s">
        <v>2636</v>
      </c>
      <c r="H736" t="s">
        <v>30</v>
      </c>
      <c r="I736" t="b">
        <f>COUNTIF(Estadísticas!I:I,'centraldecomunicacion.es'!H736)&gt;0</f>
        <v>0</v>
      </c>
    </row>
    <row r="737" spans="1:9">
      <c r="A737" t="s">
        <v>2637</v>
      </c>
      <c r="B737" t="s">
        <v>10</v>
      </c>
      <c r="C737" t="s">
        <v>2638</v>
      </c>
      <c r="D737" t="s">
        <v>2622</v>
      </c>
      <c r="E737" t="s">
        <v>780</v>
      </c>
      <c r="F737" t="s">
        <v>2639</v>
      </c>
      <c r="G737" t="s">
        <v>2640</v>
      </c>
      <c r="H737" t="s">
        <v>30</v>
      </c>
      <c r="I737" t="b">
        <f>COUNTIF(Estadísticas!I:I,'centraldecomunicacion.es'!H737)&gt;0</f>
        <v>0</v>
      </c>
    </row>
    <row r="738" spans="1:9">
      <c r="A738" t="s">
        <v>2641</v>
      </c>
      <c r="B738" t="s">
        <v>219</v>
      </c>
      <c r="C738" t="s">
        <v>2642</v>
      </c>
      <c r="D738" t="s">
        <v>780</v>
      </c>
      <c r="E738" t="s">
        <v>780</v>
      </c>
      <c r="F738" t="s">
        <v>28</v>
      </c>
      <c r="G738" t="s">
        <v>2643</v>
      </c>
      <c r="H738" t="s">
        <v>30</v>
      </c>
      <c r="I738" t="b">
        <f>COUNTIF(Estadísticas!I:I,'centraldecomunicacion.es'!H738)&gt;0</f>
        <v>0</v>
      </c>
    </row>
    <row r="739" spans="1:9">
      <c r="A739" t="s">
        <v>2644</v>
      </c>
      <c r="B739" t="s">
        <v>10</v>
      </c>
      <c r="C739" t="s">
        <v>2645</v>
      </c>
      <c r="D739" t="s">
        <v>2622</v>
      </c>
      <c r="E739" t="s">
        <v>780</v>
      </c>
      <c r="F739" t="s">
        <v>2646</v>
      </c>
      <c r="G739" t="s">
        <v>2647</v>
      </c>
      <c r="H739" t="s">
        <v>30</v>
      </c>
      <c r="I739" t="b">
        <f>COUNTIF(Estadísticas!I:I,'centraldecomunicacion.es'!H739)&gt;0</f>
        <v>0</v>
      </c>
    </row>
    <row r="740" spans="1:9">
      <c r="A740" t="s">
        <v>2648</v>
      </c>
      <c r="B740" t="s">
        <v>10</v>
      </c>
      <c r="C740" t="s">
        <v>2649</v>
      </c>
      <c r="D740" t="s">
        <v>2622</v>
      </c>
      <c r="E740" t="s">
        <v>780</v>
      </c>
      <c r="F740" t="s">
        <v>2650</v>
      </c>
      <c r="G740" t="s">
        <v>2651</v>
      </c>
      <c r="H740" t="s">
        <v>2652</v>
      </c>
      <c r="I740" t="b">
        <f>COUNTIF(Estadísticas!I:I,'centraldecomunicacion.es'!H740)&gt;0</f>
        <v>1</v>
      </c>
    </row>
    <row r="741" spans="1:9">
      <c r="A741" t="s">
        <v>2653</v>
      </c>
      <c r="B741" t="s">
        <v>10</v>
      </c>
      <c r="C741" t="s">
        <v>2654</v>
      </c>
      <c r="D741" t="s">
        <v>2655</v>
      </c>
      <c r="E741" t="s">
        <v>780</v>
      </c>
      <c r="F741" t="s">
        <v>2360</v>
      </c>
      <c r="G741" t="s">
        <v>2620</v>
      </c>
      <c r="H741" t="s">
        <v>30</v>
      </c>
      <c r="I741" t="b">
        <f>COUNTIF(Estadísticas!I:I,'centraldecomunicacion.es'!H741)&gt;0</f>
        <v>0</v>
      </c>
    </row>
    <row r="742" spans="1:9">
      <c r="A742" t="s">
        <v>2656</v>
      </c>
      <c r="B742" t="s">
        <v>10</v>
      </c>
      <c r="C742" t="s">
        <v>2657</v>
      </c>
      <c r="D742" t="s">
        <v>2622</v>
      </c>
      <c r="E742" t="s">
        <v>780</v>
      </c>
      <c r="F742" t="s">
        <v>28</v>
      </c>
      <c r="G742" t="s">
        <v>2658</v>
      </c>
      <c r="H742" t="s">
        <v>30</v>
      </c>
      <c r="I742" t="b">
        <f>COUNTIF(Estadísticas!I:I,'centraldecomunicacion.es'!H742)&gt;0</f>
        <v>0</v>
      </c>
    </row>
    <row r="743" spans="1:9">
      <c r="A743" t="s">
        <v>2659</v>
      </c>
      <c r="B743" t="s">
        <v>10</v>
      </c>
      <c r="C743" t="s">
        <v>2660</v>
      </c>
      <c r="D743" t="s">
        <v>2622</v>
      </c>
      <c r="E743" t="s">
        <v>780</v>
      </c>
      <c r="F743" t="s">
        <v>28</v>
      </c>
      <c r="G743" t="s">
        <v>28</v>
      </c>
      <c r="H743" t="s">
        <v>30</v>
      </c>
      <c r="I743" t="b">
        <f>COUNTIF(Estadísticas!I:I,'centraldecomunicacion.es'!H743)&gt;0</f>
        <v>0</v>
      </c>
    </row>
    <row r="744" spans="1:9">
      <c r="A744" t="s">
        <v>2661</v>
      </c>
      <c r="B744" t="s">
        <v>10</v>
      </c>
      <c r="C744" t="s">
        <v>2662</v>
      </c>
      <c r="D744" t="s">
        <v>2655</v>
      </c>
      <c r="E744" t="s">
        <v>780</v>
      </c>
      <c r="F744" t="s">
        <v>28</v>
      </c>
      <c r="G744" t="s">
        <v>2663</v>
      </c>
      <c r="H744" t="s">
        <v>30</v>
      </c>
      <c r="I744" t="b">
        <f>COUNTIF(Estadísticas!I:I,'centraldecomunicacion.es'!H744)&gt;0</f>
        <v>0</v>
      </c>
    </row>
    <row r="745" spans="1:9">
      <c r="A745" t="s">
        <v>2653</v>
      </c>
      <c r="B745" t="s">
        <v>10</v>
      </c>
      <c r="C745" t="s">
        <v>2664</v>
      </c>
      <c r="D745" t="s">
        <v>2655</v>
      </c>
      <c r="E745" t="s">
        <v>780</v>
      </c>
      <c r="F745" t="s">
        <v>2360</v>
      </c>
      <c r="G745" t="s">
        <v>2665</v>
      </c>
      <c r="H745" t="s">
        <v>30</v>
      </c>
      <c r="I745" t="b">
        <f>COUNTIF(Estadísticas!I:I,'centraldecomunicacion.es'!H745)&gt;0</f>
        <v>0</v>
      </c>
    </row>
    <row r="746" spans="1:9">
      <c r="A746" t="s">
        <v>2666</v>
      </c>
      <c r="B746" t="s">
        <v>10</v>
      </c>
      <c r="C746" t="s">
        <v>2667</v>
      </c>
      <c r="D746" t="s">
        <v>2622</v>
      </c>
      <c r="E746" t="s">
        <v>780</v>
      </c>
      <c r="F746" t="s">
        <v>2668</v>
      </c>
      <c r="G746" t="s">
        <v>2669</v>
      </c>
      <c r="H746" t="s">
        <v>2670</v>
      </c>
      <c r="I746" t="b">
        <f>COUNTIF(Estadísticas!I:I,'centraldecomunicacion.es'!H746)&gt;0</f>
        <v>0</v>
      </c>
    </row>
    <row r="747" spans="1:9">
      <c r="A747" t="s">
        <v>2671</v>
      </c>
      <c r="B747" t="s">
        <v>10</v>
      </c>
      <c r="C747" t="s">
        <v>2672</v>
      </c>
      <c r="D747" t="s">
        <v>2622</v>
      </c>
      <c r="E747" t="s">
        <v>780</v>
      </c>
      <c r="F747" t="s">
        <v>2673</v>
      </c>
      <c r="G747" t="s">
        <v>2674</v>
      </c>
      <c r="H747" t="s">
        <v>30</v>
      </c>
      <c r="I747" t="b">
        <f>COUNTIF(Estadísticas!I:I,'centraldecomunicacion.es'!H747)&gt;0</f>
        <v>0</v>
      </c>
    </row>
    <row r="748" spans="1:9">
      <c r="A748" t="s">
        <v>2675</v>
      </c>
      <c r="B748" t="s">
        <v>10</v>
      </c>
      <c r="C748" t="s">
        <v>2676</v>
      </c>
      <c r="D748" t="s">
        <v>2622</v>
      </c>
      <c r="E748" t="s">
        <v>780</v>
      </c>
      <c r="F748" t="s">
        <v>2677</v>
      </c>
      <c r="G748" t="s">
        <v>2678</v>
      </c>
      <c r="H748" t="s">
        <v>30</v>
      </c>
      <c r="I748" t="b">
        <f>COUNTIF(Estadísticas!I:I,'centraldecomunicacion.es'!H748)&gt;0</f>
        <v>0</v>
      </c>
    </row>
    <row r="749" spans="1:9">
      <c r="A749" t="s">
        <v>2679</v>
      </c>
      <c r="B749" t="s">
        <v>10</v>
      </c>
      <c r="C749" t="s">
        <v>2680</v>
      </c>
      <c r="D749" t="s">
        <v>2681</v>
      </c>
      <c r="E749" t="s">
        <v>780</v>
      </c>
      <c r="F749" t="s">
        <v>2682</v>
      </c>
      <c r="G749" t="s">
        <v>2683</v>
      </c>
      <c r="H749" t="s">
        <v>30</v>
      </c>
      <c r="I749" t="b">
        <f>COUNTIF(Estadísticas!I:I,'centraldecomunicacion.es'!H749)&gt;0</f>
        <v>0</v>
      </c>
    </row>
    <row r="750" spans="1:9">
      <c r="A750" t="s">
        <v>2684</v>
      </c>
      <c r="B750" t="s">
        <v>10</v>
      </c>
      <c r="C750" t="s">
        <v>2685</v>
      </c>
      <c r="D750" t="s">
        <v>2622</v>
      </c>
      <c r="E750" t="s">
        <v>780</v>
      </c>
      <c r="F750" t="s">
        <v>2686</v>
      </c>
      <c r="G750" t="s">
        <v>2687</v>
      </c>
      <c r="H750" t="s">
        <v>2688</v>
      </c>
      <c r="I750" t="b">
        <f>COUNTIF(Estadísticas!I:I,'centraldecomunicacion.es'!H750)&gt;0</f>
        <v>1</v>
      </c>
    </row>
    <row r="751" spans="1:9">
      <c r="A751" t="s">
        <v>2689</v>
      </c>
      <c r="B751" t="s">
        <v>10</v>
      </c>
      <c r="C751" t="s">
        <v>2690</v>
      </c>
      <c r="D751" t="s">
        <v>2618</v>
      </c>
      <c r="E751" t="s">
        <v>780</v>
      </c>
      <c r="F751" t="s">
        <v>28</v>
      </c>
      <c r="G751" t="s">
        <v>28</v>
      </c>
      <c r="H751" t="s">
        <v>30</v>
      </c>
      <c r="I751" t="b">
        <f>COUNTIF(Estadísticas!I:I,'centraldecomunicacion.es'!H751)&gt;0</f>
        <v>0</v>
      </c>
    </row>
    <row r="752" spans="1:9">
      <c r="A752" t="s">
        <v>2691</v>
      </c>
      <c r="B752" t="s">
        <v>10</v>
      </c>
      <c r="C752" t="s">
        <v>2692</v>
      </c>
      <c r="D752" t="s">
        <v>2336</v>
      </c>
      <c r="E752" t="s">
        <v>780</v>
      </c>
      <c r="F752" t="s">
        <v>28</v>
      </c>
      <c r="G752" t="s">
        <v>2693</v>
      </c>
      <c r="H752" t="s">
        <v>30</v>
      </c>
      <c r="I752" t="b">
        <f>COUNTIF(Estadísticas!I:I,'centraldecomunicacion.es'!H752)&gt;0</f>
        <v>0</v>
      </c>
    </row>
    <row r="753" spans="1:9">
      <c r="A753" t="s">
        <v>2694</v>
      </c>
      <c r="B753" t="s">
        <v>10</v>
      </c>
      <c r="C753" t="s">
        <v>2695</v>
      </c>
      <c r="D753" t="s">
        <v>2696</v>
      </c>
      <c r="E753" t="s">
        <v>780</v>
      </c>
      <c r="F753" t="s">
        <v>28</v>
      </c>
      <c r="G753" t="s">
        <v>2697</v>
      </c>
      <c r="H753" t="s">
        <v>30</v>
      </c>
      <c r="I753" t="b">
        <f>COUNTIF(Estadísticas!I:I,'centraldecomunicacion.es'!H753)&gt;0</f>
        <v>0</v>
      </c>
    </row>
    <row r="754" spans="1:9">
      <c r="A754" t="s">
        <v>2698</v>
      </c>
      <c r="B754" t="s">
        <v>10</v>
      </c>
      <c r="C754" t="s">
        <v>2699</v>
      </c>
      <c r="D754" t="s">
        <v>2700</v>
      </c>
      <c r="E754" t="s">
        <v>780</v>
      </c>
      <c r="F754" t="s">
        <v>50</v>
      </c>
      <c r="G754" t="s">
        <v>2701</v>
      </c>
      <c r="H754" t="s">
        <v>30</v>
      </c>
      <c r="I754" t="b">
        <f>COUNTIF(Estadísticas!I:I,'centraldecomunicacion.es'!H754)&gt;0</f>
        <v>0</v>
      </c>
    </row>
    <row r="755" spans="1:9">
      <c r="A755" t="s">
        <v>2702</v>
      </c>
      <c r="B755" t="s">
        <v>10</v>
      </c>
      <c r="C755" t="s">
        <v>2703</v>
      </c>
      <c r="D755" t="s">
        <v>2700</v>
      </c>
      <c r="E755" t="s">
        <v>780</v>
      </c>
      <c r="F755" t="s">
        <v>50</v>
      </c>
      <c r="G755" t="s">
        <v>2704</v>
      </c>
      <c r="H755" t="s">
        <v>30</v>
      </c>
      <c r="I755" t="b">
        <f>COUNTIF(Estadísticas!I:I,'centraldecomunicacion.es'!H755)&gt;0</f>
        <v>0</v>
      </c>
    </row>
    <row r="756" spans="1:9">
      <c r="A756" t="s">
        <v>2705</v>
      </c>
      <c r="B756" t="s">
        <v>10</v>
      </c>
      <c r="C756" t="s">
        <v>2609</v>
      </c>
      <c r="D756" t="s">
        <v>2610</v>
      </c>
      <c r="E756" t="s">
        <v>780</v>
      </c>
      <c r="F756" t="s">
        <v>28</v>
      </c>
      <c r="G756" t="s">
        <v>2611</v>
      </c>
      <c r="H756" t="s">
        <v>30</v>
      </c>
      <c r="I756" t="b">
        <f>COUNTIF(Estadísticas!I:I,'centraldecomunicacion.es'!H756)&gt;0</f>
        <v>0</v>
      </c>
    </row>
    <row r="757" spans="1:9">
      <c r="A757" t="s">
        <v>2706</v>
      </c>
      <c r="B757" t="s">
        <v>10</v>
      </c>
      <c r="C757" t="s">
        <v>2707</v>
      </c>
      <c r="D757" t="s">
        <v>2622</v>
      </c>
      <c r="E757" t="s">
        <v>780</v>
      </c>
      <c r="F757" t="s">
        <v>28</v>
      </c>
      <c r="G757" t="s">
        <v>2708</v>
      </c>
      <c r="H757" t="s">
        <v>30</v>
      </c>
      <c r="I757" t="b">
        <f>COUNTIF(Estadísticas!I:I,'centraldecomunicacion.es'!H757)&gt;0</f>
        <v>0</v>
      </c>
    </row>
    <row r="758" spans="1:9">
      <c r="A758" t="s">
        <v>2709</v>
      </c>
      <c r="B758" t="s">
        <v>10</v>
      </c>
      <c r="C758" t="s">
        <v>28</v>
      </c>
      <c r="D758" t="s">
        <v>2395</v>
      </c>
      <c r="E758" t="s">
        <v>28</v>
      </c>
      <c r="F758" t="s">
        <v>2710</v>
      </c>
      <c r="G758" t="s">
        <v>2711</v>
      </c>
      <c r="H758" t="s">
        <v>2712</v>
      </c>
      <c r="I758" t="b">
        <f>COUNTIF(Estadísticas!I:I,'centraldecomunicacion.es'!H758)&gt;0</f>
        <v>0</v>
      </c>
    </row>
    <row r="759" spans="1:9">
      <c r="A759" t="s">
        <v>2713</v>
      </c>
      <c r="B759" t="s">
        <v>10</v>
      </c>
      <c r="C759" t="s">
        <v>2714</v>
      </c>
      <c r="D759" t="s">
        <v>2336</v>
      </c>
      <c r="E759" t="s">
        <v>780</v>
      </c>
      <c r="F759" t="s">
        <v>28</v>
      </c>
      <c r="G759" t="s">
        <v>2715</v>
      </c>
      <c r="H759" t="s">
        <v>30</v>
      </c>
      <c r="I759" t="b">
        <f>COUNTIF(Estadísticas!I:I,'centraldecomunicacion.es'!H759)&gt;0</f>
        <v>0</v>
      </c>
    </row>
    <row r="760" spans="1:9">
      <c r="A760" t="s">
        <v>1278</v>
      </c>
      <c r="B760" t="s">
        <v>10</v>
      </c>
      <c r="C760" t="s">
        <v>2716</v>
      </c>
      <c r="D760" t="s">
        <v>2336</v>
      </c>
      <c r="E760" t="s">
        <v>780</v>
      </c>
      <c r="F760" t="s">
        <v>28</v>
      </c>
      <c r="G760" t="s">
        <v>2717</v>
      </c>
      <c r="H760" t="s">
        <v>30</v>
      </c>
      <c r="I760" t="b">
        <f>COUNTIF(Estadísticas!I:I,'centraldecomunicacion.es'!H760)&gt;0</f>
        <v>0</v>
      </c>
    </row>
    <row r="761" spans="1:9">
      <c r="A761" t="s">
        <v>2718</v>
      </c>
      <c r="B761" t="s">
        <v>10</v>
      </c>
      <c r="C761" t="s">
        <v>2719</v>
      </c>
      <c r="D761" t="s">
        <v>2336</v>
      </c>
      <c r="E761" t="s">
        <v>780</v>
      </c>
      <c r="F761" t="s">
        <v>2720</v>
      </c>
      <c r="G761" t="s">
        <v>2721</v>
      </c>
      <c r="H761" t="s">
        <v>30</v>
      </c>
      <c r="I761" t="b">
        <f>COUNTIF(Estadísticas!I:I,'centraldecomunicacion.es'!H761)&gt;0</f>
        <v>0</v>
      </c>
    </row>
    <row r="762" spans="1:9">
      <c r="A762" t="s">
        <v>2722</v>
      </c>
      <c r="B762" t="s">
        <v>10</v>
      </c>
      <c r="C762" t="s">
        <v>2723</v>
      </c>
      <c r="D762" t="s">
        <v>2655</v>
      </c>
      <c r="E762" t="s">
        <v>780</v>
      </c>
      <c r="F762" t="s">
        <v>28</v>
      </c>
      <c r="G762" t="s">
        <v>2724</v>
      </c>
      <c r="H762" t="s">
        <v>30</v>
      </c>
      <c r="I762" t="b">
        <f>COUNTIF(Estadísticas!I:I,'centraldecomunicacion.es'!H762)&gt;0</f>
        <v>0</v>
      </c>
    </row>
    <row r="763" spans="1:9">
      <c r="A763" t="s">
        <v>2725</v>
      </c>
      <c r="B763" t="s">
        <v>10</v>
      </c>
      <c r="C763" t="s">
        <v>28</v>
      </c>
      <c r="D763" t="s">
        <v>2395</v>
      </c>
      <c r="E763" t="s">
        <v>28</v>
      </c>
      <c r="F763" t="s">
        <v>2726</v>
      </c>
      <c r="G763" t="s">
        <v>2727</v>
      </c>
      <c r="H763" t="s">
        <v>2728</v>
      </c>
      <c r="I763" t="b">
        <f>COUNTIF(Estadísticas!I:I,'centraldecomunicacion.es'!H763)&gt;0</f>
        <v>1</v>
      </c>
    </row>
    <row r="764" spans="1:9">
      <c r="A764" t="s">
        <v>2729</v>
      </c>
      <c r="B764" t="s">
        <v>10</v>
      </c>
      <c r="C764" t="s">
        <v>2730</v>
      </c>
      <c r="D764" t="s">
        <v>2700</v>
      </c>
      <c r="E764" t="s">
        <v>780</v>
      </c>
      <c r="F764" t="s">
        <v>28</v>
      </c>
      <c r="G764" t="s">
        <v>2731</v>
      </c>
      <c r="H764" t="s">
        <v>30</v>
      </c>
      <c r="I764" t="b">
        <f>COUNTIF(Estadísticas!I:I,'centraldecomunicacion.es'!H764)&gt;0</f>
        <v>0</v>
      </c>
    </row>
    <row r="765" spans="1:9">
      <c r="A765" t="s">
        <v>2732</v>
      </c>
      <c r="B765" t="s">
        <v>10</v>
      </c>
      <c r="C765" t="s">
        <v>2733</v>
      </c>
      <c r="D765" t="s">
        <v>2618</v>
      </c>
      <c r="E765" t="s">
        <v>780</v>
      </c>
      <c r="F765" t="s">
        <v>2734</v>
      </c>
      <c r="G765" t="s">
        <v>2735</v>
      </c>
      <c r="H765" t="s">
        <v>2736</v>
      </c>
      <c r="I765" t="b">
        <f>COUNTIF(Estadísticas!I:I,'centraldecomunicacion.es'!H765)&gt;0</f>
        <v>0</v>
      </c>
    </row>
    <row r="766" spans="1:9">
      <c r="A766" t="s">
        <v>2737</v>
      </c>
      <c r="B766" t="s">
        <v>10</v>
      </c>
      <c r="C766" t="s">
        <v>2738</v>
      </c>
      <c r="D766" t="s">
        <v>2655</v>
      </c>
      <c r="E766" t="s">
        <v>780</v>
      </c>
      <c r="F766" t="s">
        <v>28</v>
      </c>
      <c r="G766" t="s">
        <v>2739</v>
      </c>
      <c r="H766" t="s">
        <v>30</v>
      </c>
      <c r="I766" t="b">
        <f>COUNTIF(Estadísticas!I:I,'centraldecomunicacion.es'!H766)&gt;0</f>
        <v>0</v>
      </c>
    </row>
    <row r="767" spans="1:9">
      <c r="A767" t="s">
        <v>2653</v>
      </c>
      <c r="B767" t="s">
        <v>10</v>
      </c>
      <c r="C767" t="s">
        <v>2740</v>
      </c>
      <c r="D767" t="s">
        <v>2681</v>
      </c>
      <c r="E767" t="s">
        <v>780</v>
      </c>
      <c r="F767" t="s">
        <v>2360</v>
      </c>
      <c r="G767" t="s">
        <v>2741</v>
      </c>
      <c r="H767" t="s">
        <v>30</v>
      </c>
      <c r="I767" t="b">
        <f>COUNTIF(Estadísticas!I:I,'centraldecomunicacion.es'!H767)&gt;0</f>
        <v>0</v>
      </c>
    </row>
    <row r="768" spans="1:9">
      <c r="A768" t="s">
        <v>2742</v>
      </c>
      <c r="B768" t="s">
        <v>10</v>
      </c>
      <c r="C768" t="s">
        <v>2743</v>
      </c>
      <c r="D768" t="s">
        <v>2655</v>
      </c>
      <c r="E768" t="s">
        <v>780</v>
      </c>
      <c r="F768" t="s">
        <v>2744</v>
      </c>
      <c r="G768" t="s">
        <v>2745</v>
      </c>
      <c r="H768" t="s">
        <v>30</v>
      </c>
      <c r="I768" t="b">
        <f>COUNTIF(Estadísticas!I:I,'centraldecomunicacion.es'!H768)&gt;0</f>
        <v>0</v>
      </c>
    </row>
    <row r="769" spans="1:9">
      <c r="A769" t="s">
        <v>2746</v>
      </c>
      <c r="B769" t="s">
        <v>10</v>
      </c>
      <c r="C769" t="s">
        <v>2747</v>
      </c>
      <c r="D769" t="s">
        <v>2748</v>
      </c>
      <c r="E769" t="s">
        <v>780</v>
      </c>
      <c r="F769" t="s">
        <v>2749</v>
      </c>
      <c r="G769" t="s">
        <v>2750</v>
      </c>
      <c r="H769" t="s">
        <v>30</v>
      </c>
      <c r="I769" t="b">
        <f>COUNTIF(Estadísticas!I:I,'centraldecomunicacion.es'!H769)&gt;0</f>
        <v>0</v>
      </c>
    </row>
    <row r="770" spans="1:9">
      <c r="A770" t="s">
        <v>2751</v>
      </c>
      <c r="B770" t="s">
        <v>10</v>
      </c>
      <c r="C770" t="s">
        <v>2752</v>
      </c>
      <c r="D770" t="s">
        <v>2748</v>
      </c>
      <c r="E770" t="s">
        <v>780</v>
      </c>
      <c r="F770" t="s">
        <v>2753</v>
      </c>
      <c r="G770" t="s">
        <v>2754</v>
      </c>
      <c r="H770" t="s">
        <v>2755</v>
      </c>
      <c r="I770" t="b">
        <f>COUNTIF(Estadísticas!I:I,'centraldecomunicacion.es'!H770)&gt;0</f>
        <v>0</v>
      </c>
    </row>
    <row r="771" spans="1:9">
      <c r="A771" t="s">
        <v>2756</v>
      </c>
      <c r="B771" t="s">
        <v>10</v>
      </c>
      <c r="C771" t="s">
        <v>2757</v>
      </c>
      <c r="D771" t="s">
        <v>2748</v>
      </c>
      <c r="E771" t="s">
        <v>780</v>
      </c>
      <c r="F771" t="s">
        <v>2758</v>
      </c>
      <c r="G771" t="s">
        <v>2759</v>
      </c>
      <c r="H771" t="s">
        <v>30</v>
      </c>
      <c r="I771" t="b">
        <f>COUNTIF(Estadísticas!I:I,'centraldecomunicacion.es'!H771)&gt;0</f>
        <v>0</v>
      </c>
    </row>
    <row r="772" spans="1:9">
      <c r="A772" t="s">
        <v>2760</v>
      </c>
      <c r="B772" t="s">
        <v>10</v>
      </c>
      <c r="C772" t="s">
        <v>2761</v>
      </c>
      <c r="D772" t="s">
        <v>2762</v>
      </c>
      <c r="E772" t="s">
        <v>780</v>
      </c>
      <c r="F772" t="s">
        <v>2763</v>
      </c>
      <c r="G772" t="s">
        <v>2764</v>
      </c>
      <c r="H772" t="s">
        <v>30</v>
      </c>
      <c r="I772" t="b">
        <f>COUNTIF(Estadísticas!I:I,'centraldecomunicacion.es'!H772)&gt;0</f>
        <v>0</v>
      </c>
    </row>
    <row r="773" spans="1:9">
      <c r="A773" t="s">
        <v>2765</v>
      </c>
      <c r="B773" t="s">
        <v>10</v>
      </c>
      <c r="C773" t="s">
        <v>2766</v>
      </c>
      <c r="D773" t="s">
        <v>2748</v>
      </c>
      <c r="E773" t="s">
        <v>780</v>
      </c>
      <c r="F773" t="s">
        <v>28</v>
      </c>
      <c r="G773" t="s">
        <v>2767</v>
      </c>
      <c r="H773" t="s">
        <v>30</v>
      </c>
      <c r="I773" t="b">
        <f>COUNTIF(Estadísticas!I:I,'centraldecomunicacion.es'!H773)&gt;0</f>
        <v>0</v>
      </c>
    </row>
    <row r="774" spans="1:9">
      <c r="A774" t="s">
        <v>2768</v>
      </c>
      <c r="B774" t="s">
        <v>10</v>
      </c>
      <c r="C774" t="s">
        <v>2769</v>
      </c>
      <c r="D774" t="s">
        <v>2681</v>
      </c>
      <c r="E774" t="s">
        <v>780</v>
      </c>
      <c r="F774" t="s">
        <v>28</v>
      </c>
      <c r="G774" t="s">
        <v>2770</v>
      </c>
      <c r="H774" t="s">
        <v>30</v>
      </c>
      <c r="I774" t="b">
        <f>COUNTIF(Estadísticas!I:I,'centraldecomunicacion.es'!H774)&gt;0</f>
        <v>0</v>
      </c>
    </row>
    <row r="775" spans="1:9">
      <c r="A775" t="s">
        <v>2771</v>
      </c>
      <c r="B775" t="s">
        <v>10</v>
      </c>
      <c r="C775" t="s">
        <v>2772</v>
      </c>
      <c r="D775" t="s">
        <v>2748</v>
      </c>
      <c r="E775" t="s">
        <v>780</v>
      </c>
      <c r="F775" t="s">
        <v>2773</v>
      </c>
      <c r="G775" t="s">
        <v>2774</v>
      </c>
      <c r="H775" t="s">
        <v>2775</v>
      </c>
      <c r="I775" t="b">
        <f>COUNTIF(Estadísticas!I:I,'centraldecomunicacion.es'!H775)&gt;0</f>
        <v>0</v>
      </c>
    </row>
    <row r="776" spans="1:9">
      <c r="A776" t="s">
        <v>2776</v>
      </c>
      <c r="B776" t="s">
        <v>10</v>
      </c>
      <c r="C776" t="s">
        <v>2777</v>
      </c>
      <c r="D776" t="s">
        <v>2778</v>
      </c>
      <c r="E776" t="s">
        <v>780</v>
      </c>
      <c r="F776" t="s">
        <v>28</v>
      </c>
      <c r="G776" t="s">
        <v>2779</v>
      </c>
      <c r="H776" t="s">
        <v>30</v>
      </c>
      <c r="I776" t="b">
        <f>COUNTIF(Estadísticas!I:I,'centraldecomunicacion.es'!H776)&gt;0</f>
        <v>0</v>
      </c>
    </row>
    <row r="777" spans="1:9">
      <c r="A777" t="s">
        <v>2780</v>
      </c>
      <c r="B777" t="s">
        <v>10</v>
      </c>
      <c r="C777" t="s">
        <v>2781</v>
      </c>
      <c r="D777" t="s">
        <v>2782</v>
      </c>
      <c r="E777" t="s">
        <v>780</v>
      </c>
      <c r="F777" t="s">
        <v>28</v>
      </c>
      <c r="G777" t="s">
        <v>2783</v>
      </c>
      <c r="H777" t="s">
        <v>30</v>
      </c>
      <c r="I777" t="b">
        <f>COUNTIF(Estadísticas!I:I,'centraldecomunicacion.es'!H777)&gt;0</f>
        <v>0</v>
      </c>
    </row>
    <row r="778" spans="1:9">
      <c r="A778" t="s">
        <v>2784</v>
      </c>
      <c r="B778" t="s">
        <v>10</v>
      </c>
      <c r="C778" t="s">
        <v>2785</v>
      </c>
      <c r="D778" t="s">
        <v>2748</v>
      </c>
      <c r="E778" t="s">
        <v>780</v>
      </c>
      <c r="F778" t="s">
        <v>28</v>
      </c>
      <c r="G778" t="s">
        <v>2786</v>
      </c>
      <c r="H778" t="s">
        <v>30</v>
      </c>
      <c r="I778" t="b">
        <f>COUNTIF(Estadísticas!I:I,'centraldecomunicacion.es'!H778)&gt;0</f>
        <v>0</v>
      </c>
    </row>
    <row r="779" spans="1:9">
      <c r="A779" t="s">
        <v>2787</v>
      </c>
      <c r="B779" t="s">
        <v>10</v>
      </c>
      <c r="C779" t="s">
        <v>2788</v>
      </c>
      <c r="D779" t="s">
        <v>2748</v>
      </c>
      <c r="E779" t="s">
        <v>780</v>
      </c>
      <c r="F779" t="s">
        <v>2789</v>
      </c>
      <c r="G779" t="s">
        <v>2790</v>
      </c>
      <c r="H779" t="s">
        <v>2791</v>
      </c>
      <c r="I779" t="b">
        <f>COUNTIF(Estadísticas!I:I,'centraldecomunicacion.es'!H779)&gt;0</f>
        <v>0</v>
      </c>
    </row>
    <row r="780" spans="1:9">
      <c r="A780" t="s">
        <v>2792</v>
      </c>
      <c r="B780" t="s">
        <v>10</v>
      </c>
      <c r="C780" t="s">
        <v>2793</v>
      </c>
      <c r="D780" t="s">
        <v>2748</v>
      </c>
      <c r="E780" t="s">
        <v>780</v>
      </c>
      <c r="F780" t="s">
        <v>28</v>
      </c>
      <c r="G780" t="s">
        <v>2794</v>
      </c>
      <c r="H780" t="s">
        <v>30</v>
      </c>
      <c r="I780" t="b">
        <f>COUNTIF(Estadísticas!I:I,'centraldecomunicacion.es'!H780)&gt;0</f>
        <v>0</v>
      </c>
    </row>
    <row r="781" spans="1:9">
      <c r="A781" t="s">
        <v>2795</v>
      </c>
      <c r="B781" t="s">
        <v>10</v>
      </c>
      <c r="C781" t="s">
        <v>2796</v>
      </c>
      <c r="D781" t="s">
        <v>2797</v>
      </c>
      <c r="E781" t="s">
        <v>780</v>
      </c>
      <c r="F781" t="s">
        <v>2798</v>
      </c>
      <c r="G781" t="s">
        <v>2799</v>
      </c>
      <c r="H781" t="s">
        <v>30</v>
      </c>
      <c r="I781" t="b">
        <f>COUNTIF(Estadísticas!I:I,'centraldecomunicacion.es'!H781)&gt;0</f>
        <v>0</v>
      </c>
    </row>
    <row r="782" spans="1:9">
      <c r="A782" t="s">
        <v>2800</v>
      </c>
      <c r="B782" t="s">
        <v>10</v>
      </c>
      <c r="C782" t="s">
        <v>2801</v>
      </c>
      <c r="D782" t="s">
        <v>2802</v>
      </c>
      <c r="E782" t="s">
        <v>780</v>
      </c>
      <c r="F782" t="s">
        <v>2803</v>
      </c>
      <c r="G782" t="s">
        <v>2804</v>
      </c>
      <c r="H782" t="s">
        <v>2805</v>
      </c>
      <c r="I782" t="b">
        <f>COUNTIF(Estadísticas!I:I,'centraldecomunicacion.es'!H782)&gt;0</f>
        <v>0</v>
      </c>
    </row>
    <row r="783" spans="1:9">
      <c r="A783" t="s">
        <v>2806</v>
      </c>
      <c r="B783" t="s">
        <v>10</v>
      </c>
      <c r="C783" t="s">
        <v>2807</v>
      </c>
      <c r="D783" t="s">
        <v>2808</v>
      </c>
      <c r="E783" t="s">
        <v>780</v>
      </c>
      <c r="F783" t="s">
        <v>2809</v>
      </c>
      <c r="G783" t="s">
        <v>2810</v>
      </c>
      <c r="H783" t="s">
        <v>2811</v>
      </c>
      <c r="I783" t="b">
        <f>COUNTIF(Estadísticas!I:I,'centraldecomunicacion.es'!H783)&gt;0</f>
        <v>0</v>
      </c>
    </row>
    <row r="784" spans="1:9">
      <c r="A784" t="s">
        <v>2812</v>
      </c>
      <c r="B784" t="s">
        <v>10</v>
      </c>
      <c r="C784" t="s">
        <v>2813</v>
      </c>
      <c r="D784" t="s">
        <v>2797</v>
      </c>
      <c r="E784" t="s">
        <v>780</v>
      </c>
      <c r="F784" t="s">
        <v>28</v>
      </c>
      <c r="G784" t="s">
        <v>2814</v>
      </c>
      <c r="H784" t="s">
        <v>30</v>
      </c>
      <c r="I784" t="b">
        <f>COUNTIF(Estadísticas!I:I,'centraldecomunicacion.es'!H784)&gt;0</f>
        <v>0</v>
      </c>
    </row>
    <row r="785" spans="1:9">
      <c r="A785" t="s">
        <v>2815</v>
      </c>
      <c r="B785" t="s">
        <v>10</v>
      </c>
      <c r="C785" t="s">
        <v>2816</v>
      </c>
      <c r="D785" t="s">
        <v>2748</v>
      </c>
      <c r="E785" t="s">
        <v>780</v>
      </c>
      <c r="F785" t="s">
        <v>2817</v>
      </c>
      <c r="G785" t="s">
        <v>2818</v>
      </c>
      <c r="H785" t="s">
        <v>2819</v>
      </c>
      <c r="I785" t="b">
        <f>COUNTIF(Estadísticas!I:I,'centraldecomunicacion.es'!H785)&gt;0</f>
        <v>0</v>
      </c>
    </row>
    <row r="786" spans="1:9">
      <c r="A786" t="s">
        <v>2820</v>
      </c>
      <c r="B786" t="s">
        <v>10</v>
      </c>
      <c r="C786" t="s">
        <v>2821</v>
      </c>
      <c r="D786" t="s">
        <v>2802</v>
      </c>
      <c r="E786" t="s">
        <v>780</v>
      </c>
      <c r="F786" t="s">
        <v>2822</v>
      </c>
      <c r="G786" t="s">
        <v>2823</v>
      </c>
      <c r="H786" t="s">
        <v>2824</v>
      </c>
      <c r="I786" t="b">
        <f>COUNTIF(Estadísticas!I:I,'centraldecomunicacion.es'!H786)&gt;0</f>
        <v>0</v>
      </c>
    </row>
    <row r="787" spans="1:9">
      <c r="A787" t="s">
        <v>2825</v>
      </c>
      <c r="B787" t="s">
        <v>10</v>
      </c>
      <c r="C787" t="s">
        <v>2826</v>
      </c>
      <c r="D787" t="s">
        <v>2802</v>
      </c>
      <c r="E787" t="s">
        <v>780</v>
      </c>
      <c r="F787" t="s">
        <v>2803</v>
      </c>
      <c r="G787" t="s">
        <v>2804</v>
      </c>
      <c r="H787" t="s">
        <v>2805</v>
      </c>
      <c r="I787" t="b">
        <f>COUNTIF(Estadísticas!I:I,'centraldecomunicacion.es'!H787)&gt;0</f>
        <v>0</v>
      </c>
    </row>
    <row r="788" spans="1:9">
      <c r="A788" t="s">
        <v>2827</v>
      </c>
      <c r="B788" t="s">
        <v>10</v>
      </c>
      <c r="C788" t="s">
        <v>2828</v>
      </c>
      <c r="D788" t="s">
        <v>2802</v>
      </c>
      <c r="E788" t="s">
        <v>780</v>
      </c>
      <c r="F788" t="s">
        <v>2789</v>
      </c>
      <c r="G788" t="s">
        <v>2829</v>
      </c>
      <c r="H788" t="s">
        <v>2791</v>
      </c>
      <c r="I788" t="b">
        <f>COUNTIF(Estadísticas!I:I,'centraldecomunicacion.es'!H788)&gt;0</f>
        <v>0</v>
      </c>
    </row>
    <row r="789" spans="1:9">
      <c r="A789" t="s">
        <v>2830</v>
      </c>
      <c r="B789" t="s">
        <v>10</v>
      </c>
      <c r="C789" t="s">
        <v>2831</v>
      </c>
      <c r="D789" t="s">
        <v>732</v>
      </c>
      <c r="E789" t="s">
        <v>732</v>
      </c>
      <c r="F789" t="s">
        <v>2832</v>
      </c>
      <c r="G789" t="s">
        <v>2833</v>
      </c>
      <c r="H789" t="s">
        <v>2834</v>
      </c>
      <c r="I789" t="b">
        <f>COUNTIF(Estadísticas!I:I,'centraldecomunicacion.es'!H789)&gt;0</f>
        <v>1</v>
      </c>
    </row>
    <row r="790" spans="1:9">
      <c r="A790" t="s">
        <v>1925</v>
      </c>
      <c r="B790" t="s">
        <v>10</v>
      </c>
      <c r="C790" t="s">
        <v>2835</v>
      </c>
      <c r="D790" t="s">
        <v>732</v>
      </c>
      <c r="E790" t="s">
        <v>732</v>
      </c>
      <c r="F790" t="s">
        <v>2836</v>
      </c>
      <c r="G790" t="s">
        <v>2837</v>
      </c>
      <c r="H790" t="s">
        <v>2838</v>
      </c>
      <c r="I790" t="b">
        <f>COUNTIF(Estadísticas!I:I,'centraldecomunicacion.es'!H790)&gt;0</f>
        <v>0</v>
      </c>
    </row>
    <row r="791" spans="1:9">
      <c r="A791" t="s">
        <v>2839</v>
      </c>
      <c r="B791" t="s">
        <v>10</v>
      </c>
      <c r="C791" t="s">
        <v>2840</v>
      </c>
      <c r="D791" t="s">
        <v>732</v>
      </c>
      <c r="E791" t="s">
        <v>732</v>
      </c>
      <c r="F791" t="s">
        <v>2841</v>
      </c>
      <c r="G791" t="s">
        <v>2842</v>
      </c>
      <c r="H791" t="s">
        <v>2843</v>
      </c>
      <c r="I791" t="b">
        <f>COUNTIF(Estadísticas!I:I,'centraldecomunicacion.es'!H791)&gt;0</f>
        <v>1</v>
      </c>
    </row>
    <row r="792" spans="1:9">
      <c r="A792" t="s">
        <v>2844</v>
      </c>
      <c r="B792" t="s">
        <v>10</v>
      </c>
      <c r="C792" t="s">
        <v>2845</v>
      </c>
      <c r="D792" t="s">
        <v>732</v>
      </c>
      <c r="E792" t="s">
        <v>732</v>
      </c>
      <c r="F792" t="s">
        <v>2846</v>
      </c>
      <c r="G792" t="s">
        <v>2847</v>
      </c>
      <c r="H792" t="s">
        <v>30</v>
      </c>
      <c r="I792" t="b">
        <f>COUNTIF(Estadísticas!I:I,'centraldecomunicacion.es'!H792)&gt;0</f>
        <v>0</v>
      </c>
    </row>
    <row r="793" spans="1:9">
      <c r="A793" t="s">
        <v>2848</v>
      </c>
      <c r="B793" t="s">
        <v>10</v>
      </c>
      <c r="C793" t="s">
        <v>2849</v>
      </c>
      <c r="D793" t="s">
        <v>732</v>
      </c>
      <c r="E793" t="s">
        <v>732</v>
      </c>
      <c r="F793" t="s">
        <v>2850</v>
      </c>
      <c r="G793" t="s">
        <v>2851</v>
      </c>
      <c r="H793" t="s">
        <v>2852</v>
      </c>
      <c r="I793" t="b">
        <f>COUNTIF(Estadísticas!I:I,'centraldecomunicacion.es'!H793)&gt;0</f>
        <v>1</v>
      </c>
    </row>
    <row r="794" spans="1:9">
      <c r="A794" t="s">
        <v>2853</v>
      </c>
      <c r="B794" t="s">
        <v>10</v>
      </c>
      <c r="C794" t="s">
        <v>2854</v>
      </c>
      <c r="D794" t="s">
        <v>732</v>
      </c>
      <c r="E794" t="s">
        <v>732</v>
      </c>
      <c r="F794" t="s">
        <v>2855</v>
      </c>
      <c r="G794" t="s">
        <v>2856</v>
      </c>
      <c r="H794" t="s">
        <v>30</v>
      </c>
      <c r="I794" t="b">
        <f>COUNTIF(Estadísticas!I:I,'centraldecomunicacion.es'!H794)&gt;0</f>
        <v>0</v>
      </c>
    </row>
    <row r="795" spans="1:9">
      <c r="A795" t="s">
        <v>2857</v>
      </c>
      <c r="B795" t="s">
        <v>10</v>
      </c>
      <c r="C795" t="s">
        <v>2858</v>
      </c>
      <c r="D795" t="s">
        <v>732</v>
      </c>
      <c r="E795" t="s">
        <v>732</v>
      </c>
      <c r="F795" t="s">
        <v>2859</v>
      </c>
      <c r="G795" t="s">
        <v>2860</v>
      </c>
      <c r="H795" t="s">
        <v>30</v>
      </c>
      <c r="I795" t="b">
        <f>COUNTIF(Estadísticas!I:I,'centraldecomunicacion.es'!H795)&gt;0</f>
        <v>0</v>
      </c>
    </row>
    <row r="796" spans="1:9">
      <c r="A796" t="s">
        <v>436</v>
      </c>
      <c r="B796" t="s">
        <v>10</v>
      </c>
      <c r="C796" t="s">
        <v>2861</v>
      </c>
      <c r="D796" t="s">
        <v>732</v>
      </c>
      <c r="E796" t="s">
        <v>732</v>
      </c>
      <c r="F796" t="s">
        <v>2862</v>
      </c>
      <c r="G796" t="s">
        <v>2863</v>
      </c>
      <c r="H796" t="s">
        <v>30</v>
      </c>
      <c r="I796" t="b">
        <f>COUNTIF(Estadísticas!I:I,'centraldecomunicacion.es'!H796)&gt;0</f>
        <v>0</v>
      </c>
    </row>
    <row r="797" spans="1:9">
      <c r="A797" t="s">
        <v>2864</v>
      </c>
      <c r="B797" t="s">
        <v>10</v>
      </c>
      <c r="C797" t="s">
        <v>2865</v>
      </c>
      <c r="D797" t="s">
        <v>732</v>
      </c>
      <c r="E797" t="s">
        <v>732</v>
      </c>
      <c r="F797" t="s">
        <v>2866</v>
      </c>
      <c r="G797" t="s">
        <v>2867</v>
      </c>
      <c r="H797" t="s">
        <v>30</v>
      </c>
      <c r="I797" t="b">
        <f>COUNTIF(Estadísticas!I:I,'centraldecomunicacion.es'!H797)&gt;0</f>
        <v>0</v>
      </c>
    </row>
    <row r="798" spans="1:9">
      <c r="A798" t="s">
        <v>2868</v>
      </c>
      <c r="B798" t="s">
        <v>10</v>
      </c>
      <c r="C798" t="s">
        <v>2869</v>
      </c>
      <c r="D798" t="s">
        <v>732</v>
      </c>
      <c r="E798" t="s">
        <v>732</v>
      </c>
      <c r="F798" t="s">
        <v>2870</v>
      </c>
      <c r="G798" t="s">
        <v>2871</v>
      </c>
      <c r="H798" t="s">
        <v>2872</v>
      </c>
      <c r="I798" t="b">
        <f>COUNTIF(Estadísticas!I:I,'centraldecomunicacion.es'!H798)&gt;0</f>
        <v>0</v>
      </c>
    </row>
    <row r="799" spans="1:9">
      <c r="A799" t="s">
        <v>1925</v>
      </c>
      <c r="B799" t="s">
        <v>10</v>
      </c>
      <c r="C799" t="s">
        <v>2873</v>
      </c>
      <c r="D799" t="s">
        <v>732</v>
      </c>
      <c r="E799" t="s">
        <v>732</v>
      </c>
      <c r="F799" t="s">
        <v>2836</v>
      </c>
      <c r="G799" t="s">
        <v>2874</v>
      </c>
      <c r="H799" t="s">
        <v>2838</v>
      </c>
      <c r="I799" t="b">
        <f>COUNTIF(Estadísticas!I:I,'centraldecomunicacion.es'!H799)&gt;0</f>
        <v>0</v>
      </c>
    </row>
    <row r="800" spans="1:9">
      <c r="A800" t="s">
        <v>2875</v>
      </c>
      <c r="B800" t="s">
        <v>10</v>
      </c>
      <c r="C800" t="s">
        <v>2876</v>
      </c>
      <c r="D800" t="s">
        <v>732</v>
      </c>
      <c r="E800" t="s">
        <v>732</v>
      </c>
      <c r="F800" t="s">
        <v>2877</v>
      </c>
      <c r="G800" t="s">
        <v>2878</v>
      </c>
      <c r="H800" t="s">
        <v>30</v>
      </c>
      <c r="I800" t="b">
        <f>COUNTIF(Estadísticas!I:I,'centraldecomunicacion.es'!H800)&gt;0</f>
        <v>0</v>
      </c>
    </row>
    <row r="801" spans="1:9">
      <c r="A801" t="s">
        <v>2879</v>
      </c>
      <c r="B801" t="s">
        <v>10</v>
      </c>
      <c r="C801" t="s">
        <v>2880</v>
      </c>
      <c r="D801" t="s">
        <v>732</v>
      </c>
      <c r="E801" t="s">
        <v>732</v>
      </c>
      <c r="F801" t="s">
        <v>2881</v>
      </c>
      <c r="G801" t="s">
        <v>2882</v>
      </c>
      <c r="H801" t="s">
        <v>30</v>
      </c>
      <c r="I801" t="b">
        <f>COUNTIF(Estadísticas!I:I,'centraldecomunicacion.es'!H801)&gt;0</f>
        <v>0</v>
      </c>
    </row>
    <row r="802" spans="1:9">
      <c r="A802" t="s">
        <v>2883</v>
      </c>
      <c r="B802" t="s">
        <v>10</v>
      </c>
      <c r="C802" t="s">
        <v>2884</v>
      </c>
      <c r="D802" t="s">
        <v>732</v>
      </c>
      <c r="E802" t="s">
        <v>732</v>
      </c>
      <c r="F802" t="s">
        <v>50</v>
      </c>
      <c r="G802" t="s">
        <v>2885</v>
      </c>
      <c r="H802" t="s">
        <v>30</v>
      </c>
      <c r="I802" t="b">
        <f>COUNTIF(Estadísticas!I:I,'centraldecomunicacion.es'!H802)&gt;0</f>
        <v>0</v>
      </c>
    </row>
    <row r="803" spans="1:9">
      <c r="A803" t="s">
        <v>52</v>
      </c>
      <c r="B803" t="s">
        <v>10</v>
      </c>
      <c r="C803" t="s">
        <v>2886</v>
      </c>
      <c r="D803" t="s">
        <v>732</v>
      </c>
      <c r="E803" t="s">
        <v>732</v>
      </c>
      <c r="F803" t="s">
        <v>2887</v>
      </c>
      <c r="G803" t="s">
        <v>2888</v>
      </c>
      <c r="H803" t="s">
        <v>2889</v>
      </c>
      <c r="I803" t="b">
        <f>COUNTIF(Estadísticas!I:I,'centraldecomunicacion.es'!H803)&gt;0</f>
        <v>0</v>
      </c>
    </row>
    <row r="804" spans="1:9">
      <c r="A804" t="s">
        <v>2890</v>
      </c>
      <c r="B804" t="s">
        <v>10</v>
      </c>
      <c r="C804" t="s">
        <v>2891</v>
      </c>
      <c r="D804" t="s">
        <v>732</v>
      </c>
      <c r="E804" t="s">
        <v>732</v>
      </c>
      <c r="F804" t="s">
        <v>2892</v>
      </c>
      <c r="G804" t="s">
        <v>2893</v>
      </c>
      <c r="H804" t="s">
        <v>2894</v>
      </c>
      <c r="I804" t="b">
        <f>COUNTIF(Estadísticas!I:I,'centraldecomunicacion.es'!H804)&gt;0</f>
        <v>0</v>
      </c>
    </row>
    <row r="805" spans="1:9">
      <c r="A805" t="s">
        <v>1269</v>
      </c>
      <c r="B805" t="s">
        <v>10</v>
      </c>
      <c r="C805" t="s">
        <v>2895</v>
      </c>
      <c r="D805" t="s">
        <v>732</v>
      </c>
      <c r="E805" t="s">
        <v>732</v>
      </c>
      <c r="F805" t="s">
        <v>1271</v>
      </c>
      <c r="G805" t="s">
        <v>2896</v>
      </c>
      <c r="H805" t="s">
        <v>30</v>
      </c>
      <c r="I805" t="b">
        <f>COUNTIF(Estadísticas!I:I,'centraldecomunicacion.es'!H805)&gt;0</f>
        <v>0</v>
      </c>
    </row>
    <row r="806" spans="1:9">
      <c r="A806" t="s">
        <v>2897</v>
      </c>
      <c r="B806" t="s">
        <v>10</v>
      </c>
      <c r="C806" t="s">
        <v>2898</v>
      </c>
      <c r="D806" t="s">
        <v>732</v>
      </c>
      <c r="E806" t="s">
        <v>732</v>
      </c>
      <c r="F806" t="s">
        <v>2899</v>
      </c>
      <c r="G806" t="s">
        <v>2900</v>
      </c>
      <c r="H806" t="s">
        <v>2901</v>
      </c>
      <c r="I806" t="b">
        <f>COUNTIF(Estadísticas!I:I,'centraldecomunicacion.es'!H806)&gt;0</f>
        <v>0</v>
      </c>
    </row>
    <row r="807" spans="1:9">
      <c r="A807" t="s">
        <v>2902</v>
      </c>
      <c r="B807" t="s">
        <v>10</v>
      </c>
      <c r="C807" t="s">
        <v>28</v>
      </c>
      <c r="D807" t="s">
        <v>137</v>
      </c>
      <c r="E807" t="s">
        <v>28</v>
      </c>
      <c r="F807" t="s">
        <v>28</v>
      </c>
      <c r="G807" t="s">
        <v>2903</v>
      </c>
      <c r="H807" t="s">
        <v>30</v>
      </c>
      <c r="I807" t="b">
        <f>COUNTIF(Estadísticas!I:I,'centraldecomunicacion.es'!H807)&gt;0</f>
        <v>0</v>
      </c>
    </row>
    <row r="808" spans="1:9">
      <c r="A808" t="s">
        <v>2904</v>
      </c>
      <c r="B808" t="s">
        <v>10</v>
      </c>
      <c r="C808" t="s">
        <v>2905</v>
      </c>
      <c r="D808" t="s">
        <v>732</v>
      </c>
      <c r="E808" t="s">
        <v>732</v>
      </c>
      <c r="F808" t="s">
        <v>2881</v>
      </c>
      <c r="G808" t="s">
        <v>2882</v>
      </c>
      <c r="H808" t="s">
        <v>30</v>
      </c>
      <c r="I808" t="b">
        <f>COUNTIF(Estadísticas!I:I,'centraldecomunicacion.es'!H808)&gt;0</f>
        <v>0</v>
      </c>
    </row>
    <row r="809" spans="1:9">
      <c r="A809" t="s">
        <v>2906</v>
      </c>
      <c r="B809" t="s">
        <v>10</v>
      </c>
      <c r="C809" t="s">
        <v>2886</v>
      </c>
      <c r="D809" t="s">
        <v>732</v>
      </c>
      <c r="E809" t="s">
        <v>732</v>
      </c>
      <c r="F809" t="s">
        <v>2887</v>
      </c>
      <c r="G809" t="s">
        <v>2888</v>
      </c>
      <c r="H809" t="s">
        <v>2889</v>
      </c>
      <c r="I809" t="b">
        <f>COUNTIF(Estadísticas!I:I,'centraldecomunicacion.es'!H809)&gt;0</f>
        <v>0</v>
      </c>
    </row>
    <row r="810" spans="1:9">
      <c r="A810" t="s">
        <v>2907</v>
      </c>
      <c r="B810" t="s">
        <v>10</v>
      </c>
      <c r="C810" t="s">
        <v>2908</v>
      </c>
      <c r="D810" t="s">
        <v>732</v>
      </c>
      <c r="E810" t="s">
        <v>732</v>
      </c>
      <c r="F810" t="s">
        <v>2855</v>
      </c>
      <c r="G810" t="s">
        <v>2909</v>
      </c>
      <c r="H810" t="s">
        <v>30</v>
      </c>
      <c r="I810" t="b">
        <f>COUNTIF(Estadísticas!I:I,'centraldecomunicacion.es'!H810)&gt;0</f>
        <v>0</v>
      </c>
    </row>
    <row r="811" spans="1:9">
      <c r="A811" t="s">
        <v>2910</v>
      </c>
      <c r="B811" t="s">
        <v>10</v>
      </c>
      <c r="C811" t="s">
        <v>2911</v>
      </c>
      <c r="D811" t="s">
        <v>732</v>
      </c>
      <c r="E811" t="s">
        <v>732</v>
      </c>
      <c r="F811" t="s">
        <v>2912</v>
      </c>
      <c r="G811" t="s">
        <v>2913</v>
      </c>
      <c r="H811" t="s">
        <v>2914</v>
      </c>
      <c r="I811" t="b">
        <f>COUNTIF(Estadísticas!I:I,'centraldecomunicacion.es'!H811)&gt;0</f>
        <v>1</v>
      </c>
    </row>
    <row r="812" spans="1:9">
      <c r="A812" t="s">
        <v>2915</v>
      </c>
      <c r="B812" t="s">
        <v>10</v>
      </c>
      <c r="C812" t="s">
        <v>2916</v>
      </c>
      <c r="D812" t="s">
        <v>732</v>
      </c>
      <c r="E812" t="s">
        <v>732</v>
      </c>
      <c r="F812" t="s">
        <v>642</v>
      </c>
      <c r="G812" t="s">
        <v>2917</v>
      </c>
      <c r="H812" t="s">
        <v>30</v>
      </c>
      <c r="I812" t="b">
        <f>COUNTIF(Estadísticas!I:I,'centraldecomunicacion.es'!H812)&gt;0</f>
        <v>0</v>
      </c>
    </row>
    <row r="813" spans="1:9">
      <c r="A813" t="s">
        <v>2918</v>
      </c>
      <c r="B813" t="s">
        <v>10</v>
      </c>
      <c r="C813" t="s">
        <v>2919</v>
      </c>
      <c r="D813" t="s">
        <v>732</v>
      </c>
      <c r="E813" t="s">
        <v>732</v>
      </c>
      <c r="F813" t="s">
        <v>2920</v>
      </c>
      <c r="G813" t="s">
        <v>2921</v>
      </c>
      <c r="H813" t="s">
        <v>30</v>
      </c>
      <c r="I813" t="b">
        <f>COUNTIF(Estadísticas!I:I,'centraldecomunicacion.es'!H813)&gt;0</f>
        <v>0</v>
      </c>
    </row>
    <row r="814" spans="1:9">
      <c r="A814" t="s">
        <v>2922</v>
      </c>
      <c r="B814" t="s">
        <v>10</v>
      </c>
      <c r="C814" t="s">
        <v>2923</v>
      </c>
      <c r="D814" t="s">
        <v>732</v>
      </c>
      <c r="E814" t="s">
        <v>732</v>
      </c>
      <c r="F814" t="s">
        <v>28</v>
      </c>
      <c r="G814" t="s">
        <v>28</v>
      </c>
      <c r="H814" t="s">
        <v>30</v>
      </c>
      <c r="I814" t="b">
        <f>COUNTIF(Estadísticas!I:I,'centraldecomunicacion.es'!H814)&gt;0</f>
        <v>0</v>
      </c>
    </row>
    <row r="815" spans="1:9">
      <c r="A815" t="s">
        <v>2924</v>
      </c>
      <c r="B815" t="s">
        <v>10</v>
      </c>
      <c r="C815" t="s">
        <v>2925</v>
      </c>
      <c r="D815" t="s">
        <v>732</v>
      </c>
      <c r="E815" t="s">
        <v>732</v>
      </c>
      <c r="F815" t="s">
        <v>28</v>
      </c>
      <c r="G815" t="s">
        <v>2926</v>
      </c>
      <c r="H815" t="s">
        <v>30</v>
      </c>
      <c r="I815" t="b">
        <f>COUNTIF(Estadísticas!I:I,'centraldecomunicacion.es'!H815)&gt;0</f>
        <v>0</v>
      </c>
    </row>
    <row r="816" spans="1:9">
      <c r="A816" t="s">
        <v>2927</v>
      </c>
      <c r="B816" t="s">
        <v>10</v>
      </c>
      <c r="C816" t="s">
        <v>28</v>
      </c>
      <c r="D816" t="s">
        <v>137</v>
      </c>
      <c r="E816" t="s">
        <v>28</v>
      </c>
      <c r="F816" t="s">
        <v>28</v>
      </c>
      <c r="G816" t="s">
        <v>2928</v>
      </c>
      <c r="H816" t="s">
        <v>30</v>
      </c>
      <c r="I816" t="b">
        <f>COUNTIF(Estadísticas!I:I,'centraldecomunicacion.es'!H816)&gt;0</f>
        <v>0</v>
      </c>
    </row>
    <row r="817" spans="1:9">
      <c r="A817" t="s">
        <v>2929</v>
      </c>
      <c r="B817" t="s">
        <v>10</v>
      </c>
      <c r="C817" t="s">
        <v>2930</v>
      </c>
      <c r="D817" t="s">
        <v>732</v>
      </c>
      <c r="E817" t="s">
        <v>732</v>
      </c>
      <c r="F817" t="s">
        <v>2931</v>
      </c>
      <c r="G817" t="s">
        <v>2932</v>
      </c>
      <c r="H817" t="s">
        <v>2933</v>
      </c>
      <c r="I817" t="b">
        <f>COUNTIF(Estadísticas!I:I,'centraldecomunicacion.es'!H817)&gt;0</f>
        <v>1</v>
      </c>
    </row>
    <row r="818" spans="1:9">
      <c r="A818" t="s">
        <v>2934</v>
      </c>
      <c r="B818" t="s">
        <v>10</v>
      </c>
      <c r="C818" t="s">
        <v>2935</v>
      </c>
      <c r="D818" t="s">
        <v>732</v>
      </c>
      <c r="E818" t="s">
        <v>732</v>
      </c>
      <c r="F818" t="s">
        <v>28</v>
      </c>
      <c r="G818" t="s">
        <v>2936</v>
      </c>
      <c r="H818" t="s">
        <v>30</v>
      </c>
      <c r="I818" t="b">
        <f>COUNTIF(Estadísticas!I:I,'centraldecomunicacion.es'!H818)&gt;0</f>
        <v>0</v>
      </c>
    </row>
    <row r="819" spans="1:9">
      <c r="A819" t="s">
        <v>2937</v>
      </c>
      <c r="B819" t="s">
        <v>10</v>
      </c>
      <c r="C819" t="s">
        <v>2938</v>
      </c>
      <c r="D819" t="s">
        <v>732</v>
      </c>
      <c r="E819" t="s">
        <v>732</v>
      </c>
      <c r="F819" t="s">
        <v>2939</v>
      </c>
      <c r="G819" t="s">
        <v>2940</v>
      </c>
      <c r="H819" t="s">
        <v>2941</v>
      </c>
      <c r="I819" t="b">
        <f>COUNTIF(Estadísticas!I:I,'centraldecomunicacion.es'!H819)&gt;0</f>
        <v>0</v>
      </c>
    </row>
    <row r="820" spans="1:9">
      <c r="A820" t="s">
        <v>2942</v>
      </c>
      <c r="B820" t="s">
        <v>10</v>
      </c>
      <c r="C820" t="s">
        <v>2943</v>
      </c>
      <c r="D820" t="s">
        <v>732</v>
      </c>
      <c r="E820" t="s">
        <v>732</v>
      </c>
      <c r="F820" t="s">
        <v>28</v>
      </c>
      <c r="G820" t="s">
        <v>2944</v>
      </c>
      <c r="H820" t="s">
        <v>30</v>
      </c>
      <c r="I820" t="b">
        <f>COUNTIF(Estadísticas!I:I,'centraldecomunicacion.es'!H820)&gt;0</f>
        <v>0</v>
      </c>
    </row>
    <row r="821" spans="1:9">
      <c r="A821" t="s">
        <v>2945</v>
      </c>
      <c r="B821" t="s">
        <v>10</v>
      </c>
      <c r="C821" t="s">
        <v>2946</v>
      </c>
      <c r="D821" t="s">
        <v>732</v>
      </c>
      <c r="E821" t="s">
        <v>732</v>
      </c>
      <c r="F821" t="s">
        <v>2947</v>
      </c>
      <c r="G821" t="s">
        <v>2948</v>
      </c>
      <c r="H821" t="s">
        <v>30</v>
      </c>
      <c r="I821" t="b">
        <f>COUNTIF(Estadísticas!I:I,'centraldecomunicacion.es'!H821)&gt;0</f>
        <v>0</v>
      </c>
    </row>
    <row r="822" spans="1:9">
      <c r="A822" t="s">
        <v>2949</v>
      </c>
      <c r="B822" t="s">
        <v>10</v>
      </c>
      <c r="C822" t="s">
        <v>2950</v>
      </c>
      <c r="D822" t="s">
        <v>732</v>
      </c>
      <c r="E822" t="s">
        <v>732</v>
      </c>
      <c r="F822" t="s">
        <v>2951</v>
      </c>
      <c r="G822" t="s">
        <v>2952</v>
      </c>
      <c r="H822" t="s">
        <v>2953</v>
      </c>
      <c r="I822" t="b">
        <f>COUNTIF(Estadísticas!I:I,'centraldecomunicacion.es'!H822)&gt;0</f>
        <v>0</v>
      </c>
    </row>
    <row r="823" spans="1:9">
      <c r="A823" t="s">
        <v>2954</v>
      </c>
      <c r="B823" t="s">
        <v>10</v>
      </c>
      <c r="C823" t="s">
        <v>2955</v>
      </c>
      <c r="D823" t="s">
        <v>732</v>
      </c>
      <c r="E823" t="s">
        <v>732</v>
      </c>
      <c r="F823" t="s">
        <v>2956</v>
      </c>
      <c r="G823" t="s">
        <v>2957</v>
      </c>
      <c r="H823" t="s">
        <v>2958</v>
      </c>
      <c r="I823" t="b">
        <f>COUNTIF(Estadísticas!I:I,'centraldecomunicacion.es'!H823)&gt;0</f>
        <v>0</v>
      </c>
    </row>
    <row r="824" spans="1:9">
      <c r="A824" t="s">
        <v>2959</v>
      </c>
      <c r="B824" t="s">
        <v>10</v>
      </c>
      <c r="C824" t="s">
        <v>2960</v>
      </c>
      <c r="D824" t="s">
        <v>732</v>
      </c>
      <c r="E824" t="s">
        <v>732</v>
      </c>
      <c r="F824" t="s">
        <v>2961</v>
      </c>
      <c r="G824" t="s">
        <v>2962</v>
      </c>
      <c r="H824" t="s">
        <v>2963</v>
      </c>
      <c r="I824" t="b">
        <f>COUNTIF(Estadísticas!I:I,'centraldecomunicacion.es'!H824)&gt;0</f>
        <v>1</v>
      </c>
    </row>
    <row r="825" spans="1:9">
      <c r="A825" t="s">
        <v>2964</v>
      </c>
      <c r="B825" t="s">
        <v>10</v>
      </c>
      <c r="C825" t="s">
        <v>2965</v>
      </c>
      <c r="D825" t="s">
        <v>732</v>
      </c>
      <c r="E825" t="s">
        <v>732</v>
      </c>
      <c r="F825" t="s">
        <v>38</v>
      </c>
      <c r="G825" t="s">
        <v>2966</v>
      </c>
      <c r="H825" t="s">
        <v>30</v>
      </c>
      <c r="I825" t="b">
        <f>COUNTIF(Estadísticas!I:I,'centraldecomunicacion.es'!H825)&gt;0</f>
        <v>0</v>
      </c>
    </row>
    <row r="826" spans="1:9">
      <c r="A826" t="s">
        <v>2967</v>
      </c>
      <c r="B826" t="s">
        <v>10</v>
      </c>
      <c r="C826" t="s">
        <v>2968</v>
      </c>
      <c r="D826" t="s">
        <v>732</v>
      </c>
      <c r="E826" t="s">
        <v>732</v>
      </c>
      <c r="F826" t="s">
        <v>38</v>
      </c>
      <c r="G826" t="s">
        <v>2969</v>
      </c>
      <c r="H826" t="s">
        <v>30</v>
      </c>
      <c r="I826" t="b">
        <f>COUNTIF(Estadísticas!I:I,'centraldecomunicacion.es'!H826)&gt;0</f>
        <v>0</v>
      </c>
    </row>
    <row r="827" spans="1:9">
      <c r="A827" t="s">
        <v>2970</v>
      </c>
      <c r="B827" t="s">
        <v>10</v>
      </c>
      <c r="C827" t="s">
        <v>2971</v>
      </c>
      <c r="D827" t="s">
        <v>732</v>
      </c>
      <c r="E827" t="s">
        <v>732</v>
      </c>
      <c r="F827" t="s">
        <v>28</v>
      </c>
      <c r="G827" t="s">
        <v>2972</v>
      </c>
      <c r="H827" t="s">
        <v>30</v>
      </c>
      <c r="I827" t="b">
        <f>COUNTIF(Estadísticas!I:I,'centraldecomunicacion.es'!H827)&gt;0</f>
        <v>0</v>
      </c>
    </row>
    <row r="828" spans="1:9">
      <c r="A828" t="s">
        <v>2000</v>
      </c>
      <c r="B828" t="s">
        <v>10</v>
      </c>
      <c r="C828" t="s">
        <v>28</v>
      </c>
      <c r="D828" t="s">
        <v>137</v>
      </c>
      <c r="E828" t="s">
        <v>28</v>
      </c>
      <c r="F828" t="s">
        <v>2973</v>
      </c>
      <c r="G828" t="s">
        <v>2974</v>
      </c>
      <c r="H828" t="s">
        <v>30</v>
      </c>
      <c r="I828" t="b">
        <f>COUNTIF(Estadísticas!I:I,'centraldecomunicacion.es'!H828)&gt;0</f>
        <v>0</v>
      </c>
    </row>
    <row r="829" spans="1:9">
      <c r="A829" t="s">
        <v>2975</v>
      </c>
      <c r="B829" t="s">
        <v>10</v>
      </c>
      <c r="C829" t="s">
        <v>2976</v>
      </c>
      <c r="D829" t="s">
        <v>732</v>
      </c>
      <c r="E829" t="s">
        <v>732</v>
      </c>
      <c r="F829" t="s">
        <v>28</v>
      </c>
      <c r="G829" t="s">
        <v>2977</v>
      </c>
      <c r="H829" t="s">
        <v>30</v>
      </c>
      <c r="I829" t="b">
        <f>COUNTIF(Estadísticas!I:I,'centraldecomunicacion.es'!H829)&gt;0</f>
        <v>0</v>
      </c>
    </row>
    <row r="830" spans="1:9">
      <c r="A830" t="s">
        <v>2978</v>
      </c>
      <c r="B830" t="s">
        <v>10</v>
      </c>
      <c r="C830" t="s">
        <v>2979</v>
      </c>
      <c r="D830" t="s">
        <v>732</v>
      </c>
      <c r="E830" t="s">
        <v>732</v>
      </c>
      <c r="F830" t="s">
        <v>28</v>
      </c>
      <c r="G830" t="s">
        <v>2980</v>
      </c>
      <c r="H830" t="s">
        <v>30</v>
      </c>
      <c r="I830" t="b">
        <f>COUNTIF(Estadísticas!I:I,'centraldecomunicacion.es'!H830)&gt;0</f>
        <v>0</v>
      </c>
    </row>
    <row r="831" spans="1:9">
      <c r="A831" t="s">
        <v>2981</v>
      </c>
      <c r="B831" t="s">
        <v>10</v>
      </c>
      <c r="C831" t="s">
        <v>2982</v>
      </c>
      <c r="D831" t="s">
        <v>732</v>
      </c>
      <c r="E831" t="s">
        <v>732</v>
      </c>
      <c r="F831" t="s">
        <v>2983</v>
      </c>
      <c r="G831" t="s">
        <v>2984</v>
      </c>
      <c r="H831" t="s">
        <v>30</v>
      </c>
      <c r="I831" t="b">
        <f>COUNTIF(Estadísticas!I:I,'centraldecomunicacion.es'!H831)&gt;0</f>
        <v>0</v>
      </c>
    </row>
    <row r="832" spans="1:9">
      <c r="A832" t="s">
        <v>2985</v>
      </c>
      <c r="B832" t="s">
        <v>10</v>
      </c>
      <c r="C832" t="s">
        <v>2986</v>
      </c>
      <c r="D832" t="s">
        <v>732</v>
      </c>
      <c r="E832" t="s">
        <v>732</v>
      </c>
      <c r="F832" t="s">
        <v>50</v>
      </c>
      <c r="G832" t="s">
        <v>2987</v>
      </c>
      <c r="H832" t="s">
        <v>30</v>
      </c>
      <c r="I832" t="b">
        <f>COUNTIF(Estadísticas!I:I,'centraldecomunicacion.es'!H832)&gt;0</f>
        <v>0</v>
      </c>
    </row>
    <row r="833" spans="1:9">
      <c r="A833" t="s">
        <v>2988</v>
      </c>
      <c r="B833" t="s">
        <v>10</v>
      </c>
      <c r="C833" t="s">
        <v>2989</v>
      </c>
      <c r="D833" t="s">
        <v>732</v>
      </c>
      <c r="E833" t="s">
        <v>732</v>
      </c>
      <c r="F833" t="s">
        <v>28</v>
      </c>
      <c r="G833" t="s">
        <v>2990</v>
      </c>
      <c r="H833" t="s">
        <v>30</v>
      </c>
      <c r="I833" t="b">
        <f>COUNTIF(Estadísticas!I:I,'centraldecomunicacion.es'!H833)&gt;0</f>
        <v>0</v>
      </c>
    </row>
    <row r="834" spans="1:9">
      <c r="A834" t="s">
        <v>2991</v>
      </c>
      <c r="B834" t="s">
        <v>10</v>
      </c>
      <c r="C834" t="s">
        <v>2992</v>
      </c>
      <c r="D834" t="s">
        <v>732</v>
      </c>
      <c r="E834" t="s">
        <v>732</v>
      </c>
      <c r="F834" t="s">
        <v>2993</v>
      </c>
      <c r="G834" t="s">
        <v>2994</v>
      </c>
      <c r="H834" t="s">
        <v>2995</v>
      </c>
      <c r="I834" t="b">
        <f>COUNTIF(Estadísticas!I:I,'centraldecomunicacion.es'!H834)&gt;0</f>
        <v>1</v>
      </c>
    </row>
    <row r="835" spans="1:9">
      <c r="A835" t="s">
        <v>2996</v>
      </c>
      <c r="B835" t="s">
        <v>10</v>
      </c>
      <c r="C835" t="s">
        <v>2997</v>
      </c>
      <c r="D835" t="s">
        <v>732</v>
      </c>
      <c r="E835" t="s">
        <v>732</v>
      </c>
      <c r="F835" t="s">
        <v>28</v>
      </c>
      <c r="G835" t="s">
        <v>2998</v>
      </c>
      <c r="H835" t="s">
        <v>30</v>
      </c>
      <c r="I835" t="b">
        <f>COUNTIF(Estadísticas!I:I,'centraldecomunicacion.es'!H835)&gt;0</f>
        <v>0</v>
      </c>
    </row>
    <row r="836" spans="1:9">
      <c r="A836" t="s">
        <v>2999</v>
      </c>
      <c r="B836" t="s">
        <v>10</v>
      </c>
      <c r="C836" t="s">
        <v>3000</v>
      </c>
      <c r="D836" t="s">
        <v>732</v>
      </c>
      <c r="E836" t="s">
        <v>732</v>
      </c>
      <c r="F836" t="s">
        <v>28</v>
      </c>
      <c r="G836" t="s">
        <v>3001</v>
      </c>
      <c r="H836" t="s">
        <v>30</v>
      </c>
      <c r="I836" t="b">
        <f>COUNTIF(Estadísticas!I:I,'centraldecomunicacion.es'!H836)&gt;0</f>
        <v>0</v>
      </c>
    </row>
    <row r="837" spans="1:9">
      <c r="A837" t="s">
        <v>3002</v>
      </c>
      <c r="B837" t="s">
        <v>10</v>
      </c>
      <c r="C837" t="s">
        <v>3003</v>
      </c>
      <c r="D837" t="s">
        <v>732</v>
      </c>
      <c r="E837" t="s">
        <v>732</v>
      </c>
      <c r="F837" t="s">
        <v>28</v>
      </c>
      <c r="G837" t="s">
        <v>3004</v>
      </c>
      <c r="H837" t="s">
        <v>30</v>
      </c>
      <c r="I837" t="b">
        <f>COUNTIF(Estadísticas!I:I,'centraldecomunicacion.es'!H837)&gt;0</f>
        <v>0</v>
      </c>
    </row>
    <row r="838" spans="1:9">
      <c r="A838" t="s">
        <v>3005</v>
      </c>
      <c r="B838" t="s">
        <v>10</v>
      </c>
      <c r="C838" t="s">
        <v>3006</v>
      </c>
      <c r="D838" t="s">
        <v>732</v>
      </c>
      <c r="E838" t="s">
        <v>732</v>
      </c>
      <c r="F838" t="s">
        <v>3007</v>
      </c>
      <c r="G838" t="s">
        <v>3008</v>
      </c>
      <c r="H838" t="s">
        <v>30</v>
      </c>
      <c r="I838" t="b">
        <f>COUNTIF(Estadísticas!I:I,'centraldecomunicacion.es'!H838)&gt;0</f>
        <v>0</v>
      </c>
    </row>
    <row r="839" spans="1:9">
      <c r="A839" t="s">
        <v>3009</v>
      </c>
      <c r="B839" t="s">
        <v>10</v>
      </c>
      <c r="C839" t="s">
        <v>3010</v>
      </c>
      <c r="D839" t="s">
        <v>732</v>
      </c>
      <c r="E839" t="s">
        <v>732</v>
      </c>
      <c r="F839" t="s">
        <v>28</v>
      </c>
      <c r="G839" t="s">
        <v>3011</v>
      </c>
      <c r="H839" t="s">
        <v>30</v>
      </c>
      <c r="I839" t="b">
        <f>COUNTIF(Estadísticas!I:I,'centraldecomunicacion.es'!H839)&gt;0</f>
        <v>0</v>
      </c>
    </row>
    <row r="840" spans="1:9">
      <c r="A840" t="s">
        <v>3012</v>
      </c>
      <c r="B840" t="s">
        <v>10</v>
      </c>
      <c r="C840" t="s">
        <v>3013</v>
      </c>
      <c r="D840" t="s">
        <v>732</v>
      </c>
      <c r="E840" t="s">
        <v>732</v>
      </c>
      <c r="F840" t="s">
        <v>28</v>
      </c>
      <c r="G840" t="s">
        <v>3014</v>
      </c>
      <c r="H840" t="s">
        <v>30</v>
      </c>
      <c r="I840" t="b">
        <f>COUNTIF(Estadísticas!I:I,'centraldecomunicacion.es'!H840)&gt;0</f>
        <v>0</v>
      </c>
    </row>
    <row r="841" spans="1:9">
      <c r="A841" t="s">
        <v>3015</v>
      </c>
      <c r="B841" t="s">
        <v>10</v>
      </c>
      <c r="C841" t="s">
        <v>3016</v>
      </c>
      <c r="D841" t="s">
        <v>732</v>
      </c>
      <c r="E841" t="s">
        <v>732</v>
      </c>
      <c r="F841" t="s">
        <v>3017</v>
      </c>
      <c r="G841" t="s">
        <v>3018</v>
      </c>
      <c r="H841" t="s">
        <v>30</v>
      </c>
      <c r="I841" t="b">
        <f>COUNTIF(Estadísticas!I:I,'centraldecomunicacion.es'!H841)&gt;0</f>
        <v>0</v>
      </c>
    </row>
    <row r="842" spans="1:9">
      <c r="A842" t="s">
        <v>2945</v>
      </c>
      <c r="B842" t="s">
        <v>10</v>
      </c>
      <c r="C842" t="s">
        <v>3019</v>
      </c>
      <c r="D842" t="s">
        <v>732</v>
      </c>
      <c r="E842" t="s">
        <v>732</v>
      </c>
      <c r="F842" t="s">
        <v>2947</v>
      </c>
      <c r="G842" t="s">
        <v>3020</v>
      </c>
      <c r="H842" t="s">
        <v>30</v>
      </c>
      <c r="I842" t="b">
        <f>COUNTIF(Estadísticas!I:I,'centraldecomunicacion.es'!H842)&gt;0</f>
        <v>0</v>
      </c>
    </row>
    <row r="843" spans="1:9">
      <c r="A843" t="s">
        <v>3021</v>
      </c>
      <c r="B843" t="s">
        <v>10</v>
      </c>
      <c r="C843" t="s">
        <v>3022</v>
      </c>
      <c r="D843" t="s">
        <v>732</v>
      </c>
      <c r="E843" t="s">
        <v>732</v>
      </c>
      <c r="F843" t="s">
        <v>3023</v>
      </c>
      <c r="G843" t="s">
        <v>3024</v>
      </c>
      <c r="H843" t="s">
        <v>3025</v>
      </c>
      <c r="I843" t="b">
        <f>COUNTIF(Estadísticas!I:I,'centraldecomunicacion.es'!H843)&gt;0</f>
        <v>0</v>
      </c>
    </row>
    <row r="844" spans="1:9">
      <c r="A844" t="s">
        <v>3026</v>
      </c>
      <c r="B844" t="s">
        <v>10</v>
      </c>
      <c r="C844" t="s">
        <v>3027</v>
      </c>
      <c r="D844" t="s">
        <v>732</v>
      </c>
      <c r="E844" t="s">
        <v>732</v>
      </c>
      <c r="F844" t="s">
        <v>3028</v>
      </c>
      <c r="G844" t="s">
        <v>3029</v>
      </c>
      <c r="H844" t="s">
        <v>3030</v>
      </c>
      <c r="I844" t="b">
        <f>COUNTIF(Estadísticas!I:I,'centraldecomunicacion.es'!H844)&gt;0</f>
        <v>0</v>
      </c>
    </row>
    <row r="845" spans="1:9">
      <c r="A845" t="s">
        <v>3031</v>
      </c>
      <c r="B845" t="s">
        <v>10</v>
      </c>
      <c r="C845" t="s">
        <v>3032</v>
      </c>
      <c r="D845" t="s">
        <v>732</v>
      </c>
      <c r="E845" t="s">
        <v>732</v>
      </c>
      <c r="F845" t="s">
        <v>28</v>
      </c>
      <c r="G845" t="s">
        <v>3033</v>
      </c>
      <c r="H845" t="s">
        <v>30</v>
      </c>
      <c r="I845" t="b">
        <f>COUNTIF(Estadísticas!I:I,'centraldecomunicacion.es'!H845)&gt;0</f>
        <v>0</v>
      </c>
    </row>
    <row r="846" spans="1:9">
      <c r="A846" t="s">
        <v>3034</v>
      </c>
      <c r="B846" t="s">
        <v>10</v>
      </c>
      <c r="C846" t="s">
        <v>3035</v>
      </c>
      <c r="D846" t="s">
        <v>732</v>
      </c>
      <c r="E846" t="s">
        <v>732</v>
      </c>
      <c r="F846" t="s">
        <v>3036</v>
      </c>
      <c r="G846" t="s">
        <v>3037</v>
      </c>
      <c r="H846" t="s">
        <v>3038</v>
      </c>
      <c r="I846" t="b">
        <f>COUNTIF(Estadísticas!I:I,'centraldecomunicacion.es'!H846)&gt;0</f>
        <v>1</v>
      </c>
    </row>
    <row r="847" spans="1:9">
      <c r="A847" t="s">
        <v>3039</v>
      </c>
      <c r="B847" t="s">
        <v>10</v>
      </c>
      <c r="C847" t="s">
        <v>3040</v>
      </c>
      <c r="D847" t="s">
        <v>732</v>
      </c>
      <c r="E847" t="s">
        <v>732</v>
      </c>
      <c r="F847" t="s">
        <v>28</v>
      </c>
      <c r="G847" t="s">
        <v>3041</v>
      </c>
      <c r="H847" t="s">
        <v>30</v>
      </c>
      <c r="I847" t="b">
        <f>COUNTIF(Estadísticas!I:I,'centraldecomunicacion.es'!H847)&gt;0</f>
        <v>0</v>
      </c>
    </row>
    <row r="848" spans="1:9">
      <c r="A848" t="s">
        <v>3042</v>
      </c>
      <c r="B848" t="s">
        <v>10</v>
      </c>
      <c r="C848" t="s">
        <v>3043</v>
      </c>
      <c r="D848" t="s">
        <v>732</v>
      </c>
      <c r="E848" t="s">
        <v>732</v>
      </c>
      <c r="F848" t="s">
        <v>3044</v>
      </c>
      <c r="G848" t="s">
        <v>3045</v>
      </c>
      <c r="H848" t="s">
        <v>30</v>
      </c>
      <c r="I848" t="b">
        <f>COUNTIF(Estadísticas!I:I,'centraldecomunicacion.es'!H848)&gt;0</f>
        <v>0</v>
      </c>
    </row>
    <row r="849" spans="1:9">
      <c r="A849" t="s">
        <v>3046</v>
      </c>
      <c r="B849" t="s">
        <v>10</v>
      </c>
      <c r="C849" t="s">
        <v>3047</v>
      </c>
      <c r="D849" t="s">
        <v>732</v>
      </c>
      <c r="E849" t="s">
        <v>732</v>
      </c>
      <c r="F849" t="s">
        <v>28</v>
      </c>
      <c r="G849" t="s">
        <v>28</v>
      </c>
      <c r="H849" t="s">
        <v>30</v>
      </c>
      <c r="I849" t="b">
        <f>COUNTIF(Estadísticas!I:I,'centraldecomunicacion.es'!H849)&gt;0</f>
        <v>0</v>
      </c>
    </row>
    <row r="850" spans="1:9">
      <c r="A850" t="s">
        <v>3048</v>
      </c>
      <c r="B850" t="s">
        <v>10</v>
      </c>
      <c r="C850" t="s">
        <v>3049</v>
      </c>
      <c r="D850" t="s">
        <v>732</v>
      </c>
      <c r="E850" t="s">
        <v>732</v>
      </c>
      <c r="F850" t="s">
        <v>28</v>
      </c>
      <c r="G850" t="s">
        <v>3050</v>
      </c>
      <c r="H850" t="s">
        <v>30</v>
      </c>
      <c r="I850" t="b">
        <f>COUNTIF(Estadísticas!I:I,'centraldecomunicacion.es'!H850)&gt;0</f>
        <v>0</v>
      </c>
    </row>
    <row r="851" spans="1:9">
      <c r="A851" t="s">
        <v>3051</v>
      </c>
      <c r="B851" t="s">
        <v>10</v>
      </c>
      <c r="C851" t="s">
        <v>3052</v>
      </c>
      <c r="D851" t="s">
        <v>732</v>
      </c>
      <c r="E851" t="s">
        <v>732</v>
      </c>
      <c r="F851" t="s">
        <v>28</v>
      </c>
      <c r="G851" t="s">
        <v>3053</v>
      </c>
      <c r="H851" t="s">
        <v>30</v>
      </c>
      <c r="I851" t="b">
        <f>COUNTIF(Estadísticas!I:I,'centraldecomunicacion.es'!H851)&gt;0</f>
        <v>0</v>
      </c>
    </row>
    <row r="852" spans="1:9">
      <c r="A852" t="s">
        <v>3054</v>
      </c>
      <c r="B852" t="s">
        <v>10</v>
      </c>
      <c r="C852" t="s">
        <v>3055</v>
      </c>
      <c r="D852" t="s">
        <v>732</v>
      </c>
      <c r="E852" t="s">
        <v>732</v>
      </c>
      <c r="F852" t="s">
        <v>28</v>
      </c>
      <c r="G852" t="s">
        <v>3056</v>
      </c>
      <c r="H852" t="s">
        <v>30</v>
      </c>
      <c r="I852" t="b">
        <f>COUNTIF(Estadísticas!I:I,'centraldecomunicacion.es'!H852)&gt;0</f>
        <v>0</v>
      </c>
    </row>
    <row r="853" spans="1:9">
      <c r="A853" t="s">
        <v>3057</v>
      </c>
      <c r="B853" t="s">
        <v>10</v>
      </c>
      <c r="C853" t="s">
        <v>3058</v>
      </c>
      <c r="D853" t="s">
        <v>732</v>
      </c>
      <c r="E853" t="s">
        <v>732</v>
      </c>
      <c r="F853" t="s">
        <v>28</v>
      </c>
      <c r="G853" t="s">
        <v>3059</v>
      </c>
      <c r="H853" t="s">
        <v>30</v>
      </c>
      <c r="I853" t="b">
        <f>COUNTIF(Estadísticas!I:I,'centraldecomunicacion.es'!H853)&gt;0</f>
        <v>0</v>
      </c>
    </row>
    <row r="854" spans="1:9">
      <c r="A854" t="s">
        <v>3060</v>
      </c>
      <c r="B854" t="s">
        <v>10</v>
      </c>
      <c r="C854" t="s">
        <v>3061</v>
      </c>
      <c r="D854" t="s">
        <v>732</v>
      </c>
      <c r="E854" t="s">
        <v>732</v>
      </c>
      <c r="F854" t="s">
        <v>28</v>
      </c>
      <c r="G854" t="s">
        <v>3062</v>
      </c>
      <c r="H854" t="s">
        <v>30</v>
      </c>
      <c r="I854" t="b">
        <f>COUNTIF(Estadísticas!I:I,'centraldecomunicacion.es'!H854)&gt;0</f>
        <v>0</v>
      </c>
    </row>
    <row r="855" spans="1:9">
      <c r="A855" t="s">
        <v>3063</v>
      </c>
      <c r="B855" t="s">
        <v>10</v>
      </c>
      <c r="C855" t="s">
        <v>3064</v>
      </c>
      <c r="D855" t="s">
        <v>732</v>
      </c>
      <c r="E855" t="s">
        <v>732</v>
      </c>
      <c r="F855" t="s">
        <v>28</v>
      </c>
      <c r="G855" t="s">
        <v>3065</v>
      </c>
      <c r="H855" t="s">
        <v>30</v>
      </c>
      <c r="I855" t="b">
        <f>COUNTIF(Estadísticas!I:I,'centraldecomunicacion.es'!H855)&gt;0</f>
        <v>0</v>
      </c>
    </row>
    <row r="856" spans="1:9">
      <c r="A856" t="s">
        <v>3066</v>
      </c>
      <c r="B856" t="s">
        <v>10</v>
      </c>
      <c r="C856" t="s">
        <v>3067</v>
      </c>
      <c r="D856" t="s">
        <v>137</v>
      </c>
      <c r="E856" t="s">
        <v>732</v>
      </c>
      <c r="F856" t="s">
        <v>28</v>
      </c>
      <c r="G856" t="s">
        <v>3068</v>
      </c>
      <c r="H856" t="s">
        <v>30</v>
      </c>
      <c r="I856" t="b">
        <f>COUNTIF(Estadísticas!I:I,'centraldecomunicacion.es'!H856)&gt;0</f>
        <v>0</v>
      </c>
    </row>
    <row r="857" spans="1:9">
      <c r="A857" t="s">
        <v>3069</v>
      </c>
      <c r="B857" t="s">
        <v>10</v>
      </c>
      <c r="C857" t="s">
        <v>3070</v>
      </c>
      <c r="D857" t="s">
        <v>732</v>
      </c>
      <c r="E857" t="s">
        <v>732</v>
      </c>
      <c r="F857" t="s">
        <v>3071</v>
      </c>
      <c r="G857" t="s">
        <v>3072</v>
      </c>
      <c r="H857" t="s">
        <v>3073</v>
      </c>
      <c r="I857" t="b">
        <f>COUNTIF(Estadísticas!I:I,'centraldecomunicacion.es'!H857)&gt;0</f>
        <v>0</v>
      </c>
    </row>
    <row r="858" spans="1:9">
      <c r="A858" t="s">
        <v>3074</v>
      </c>
      <c r="B858" t="s">
        <v>10</v>
      </c>
      <c r="C858" t="s">
        <v>3075</v>
      </c>
      <c r="D858" t="s">
        <v>732</v>
      </c>
      <c r="E858" t="s">
        <v>732</v>
      </c>
      <c r="F858" t="s">
        <v>38</v>
      </c>
      <c r="G858" t="s">
        <v>3076</v>
      </c>
      <c r="H858" t="s">
        <v>30</v>
      </c>
      <c r="I858" t="b">
        <f>COUNTIF(Estadísticas!I:I,'centraldecomunicacion.es'!H858)&gt;0</f>
        <v>0</v>
      </c>
    </row>
    <row r="859" spans="1:9">
      <c r="A859" t="s">
        <v>3077</v>
      </c>
      <c r="B859" t="s">
        <v>10</v>
      </c>
      <c r="C859" t="s">
        <v>3078</v>
      </c>
      <c r="D859" t="s">
        <v>732</v>
      </c>
      <c r="E859" t="s">
        <v>732</v>
      </c>
      <c r="F859" t="s">
        <v>28</v>
      </c>
      <c r="G859" t="s">
        <v>3079</v>
      </c>
      <c r="H859" t="s">
        <v>30</v>
      </c>
      <c r="I859" t="b">
        <f>COUNTIF(Estadísticas!I:I,'centraldecomunicacion.es'!H859)&gt;0</f>
        <v>0</v>
      </c>
    </row>
    <row r="860" spans="1:9">
      <c r="A860" t="s">
        <v>3080</v>
      </c>
      <c r="B860" t="s">
        <v>10</v>
      </c>
      <c r="C860" t="s">
        <v>3081</v>
      </c>
      <c r="D860" t="s">
        <v>732</v>
      </c>
      <c r="E860" t="s">
        <v>732</v>
      </c>
      <c r="F860" t="s">
        <v>3082</v>
      </c>
      <c r="G860" t="s">
        <v>3083</v>
      </c>
      <c r="H860" t="s">
        <v>30</v>
      </c>
      <c r="I860" t="b">
        <f>COUNTIF(Estadísticas!I:I,'centraldecomunicacion.es'!H860)&gt;0</f>
        <v>0</v>
      </c>
    </row>
    <row r="861" spans="1:9">
      <c r="A861" t="s">
        <v>3084</v>
      </c>
      <c r="B861" t="s">
        <v>10</v>
      </c>
      <c r="C861" t="s">
        <v>3085</v>
      </c>
      <c r="D861" t="s">
        <v>732</v>
      </c>
      <c r="E861" t="s">
        <v>732</v>
      </c>
      <c r="F861" t="s">
        <v>28</v>
      </c>
      <c r="G861" t="s">
        <v>3086</v>
      </c>
      <c r="H861" t="s">
        <v>30</v>
      </c>
      <c r="I861" t="b">
        <f>COUNTIF(Estadísticas!I:I,'centraldecomunicacion.es'!H861)&gt;0</f>
        <v>0</v>
      </c>
    </row>
    <row r="862" spans="1:9">
      <c r="A862" t="s">
        <v>3087</v>
      </c>
      <c r="B862" t="s">
        <v>10</v>
      </c>
      <c r="C862" t="s">
        <v>3088</v>
      </c>
      <c r="D862" t="s">
        <v>732</v>
      </c>
      <c r="E862" t="s">
        <v>732</v>
      </c>
      <c r="F862" t="s">
        <v>3089</v>
      </c>
      <c r="G862" t="s">
        <v>3090</v>
      </c>
      <c r="H862" t="s">
        <v>30</v>
      </c>
      <c r="I862" t="b">
        <f>COUNTIF(Estadísticas!I:I,'centraldecomunicacion.es'!H862)&gt;0</f>
        <v>0</v>
      </c>
    </row>
    <row r="863" spans="1:9">
      <c r="A863" t="s">
        <v>3091</v>
      </c>
      <c r="B863" t="s">
        <v>10</v>
      </c>
      <c r="C863" t="s">
        <v>3092</v>
      </c>
      <c r="D863" t="s">
        <v>732</v>
      </c>
      <c r="E863" t="s">
        <v>732</v>
      </c>
      <c r="F863" t="s">
        <v>50</v>
      </c>
      <c r="G863" t="s">
        <v>3093</v>
      </c>
      <c r="H863" t="s">
        <v>30</v>
      </c>
      <c r="I863" t="b">
        <f>COUNTIF(Estadísticas!I:I,'centraldecomunicacion.es'!H863)&gt;0</f>
        <v>0</v>
      </c>
    </row>
    <row r="864" spans="1:9">
      <c r="A864" t="s">
        <v>3094</v>
      </c>
      <c r="B864" t="s">
        <v>10</v>
      </c>
      <c r="C864" t="s">
        <v>3095</v>
      </c>
      <c r="D864" t="s">
        <v>732</v>
      </c>
      <c r="E864" t="s">
        <v>732</v>
      </c>
      <c r="F864" t="s">
        <v>28</v>
      </c>
      <c r="G864" t="s">
        <v>3096</v>
      </c>
      <c r="H864" t="s">
        <v>30</v>
      </c>
      <c r="I864" t="b">
        <f>COUNTIF(Estadísticas!I:I,'centraldecomunicacion.es'!H864)&gt;0</f>
        <v>0</v>
      </c>
    </row>
    <row r="865" spans="1:9">
      <c r="A865" t="s">
        <v>3097</v>
      </c>
      <c r="B865" t="s">
        <v>10</v>
      </c>
      <c r="C865" t="s">
        <v>3098</v>
      </c>
      <c r="D865" t="s">
        <v>732</v>
      </c>
      <c r="E865" t="s">
        <v>732</v>
      </c>
      <c r="F865" t="s">
        <v>3099</v>
      </c>
      <c r="G865" t="s">
        <v>3100</v>
      </c>
      <c r="H865" t="s">
        <v>30</v>
      </c>
      <c r="I865" t="b">
        <f>COUNTIF(Estadísticas!I:I,'centraldecomunicacion.es'!H865)&gt;0</f>
        <v>0</v>
      </c>
    </row>
    <row r="866" spans="1:9">
      <c r="A866" t="s">
        <v>3101</v>
      </c>
      <c r="B866" t="s">
        <v>10</v>
      </c>
      <c r="C866" t="s">
        <v>3102</v>
      </c>
      <c r="D866" t="s">
        <v>732</v>
      </c>
      <c r="E866" t="s">
        <v>732</v>
      </c>
      <c r="F866" t="s">
        <v>28</v>
      </c>
      <c r="G866" t="s">
        <v>28</v>
      </c>
      <c r="H866" t="s">
        <v>30</v>
      </c>
      <c r="I866" t="b">
        <f>COUNTIF(Estadísticas!I:I,'centraldecomunicacion.es'!H866)&gt;0</f>
        <v>0</v>
      </c>
    </row>
    <row r="867" spans="1:9">
      <c r="A867" t="s">
        <v>3103</v>
      </c>
      <c r="B867" t="s">
        <v>10</v>
      </c>
      <c r="C867" t="s">
        <v>3104</v>
      </c>
      <c r="D867" t="s">
        <v>732</v>
      </c>
      <c r="E867" t="s">
        <v>732</v>
      </c>
      <c r="F867" t="s">
        <v>3105</v>
      </c>
      <c r="G867" t="s">
        <v>3106</v>
      </c>
      <c r="H867" t="s">
        <v>30</v>
      </c>
      <c r="I867" t="b">
        <f>COUNTIF(Estadísticas!I:I,'centraldecomunicacion.es'!H867)&gt;0</f>
        <v>0</v>
      </c>
    </row>
    <row r="868" spans="1:9">
      <c r="A868" t="s">
        <v>3107</v>
      </c>
      <c r="B868" t="s">
        <v>10</v>
      </c>
      <c r="C868" t="s">
        <v>3108</v>
      </c>
      <c r="D868" t="s">
        <v>732</v>
      </c>
      <c r="E868" t="s">
        <v>732</v>
      </c>
      <c r="F868" t="s">
        <v>28</v>
      </c>
      <c r="G868" t="s">
        <v>3109</v>
      </c>
      <c r="H868" t="s">
        <v>30</v>
      </c>
      <c r="I868" t="b">
        <f>COUNTIF(Estadísticas!I:I,'centraldecomunicacion.es'!H868)&gt;0</f>
        <v>0</v>
      </c>
    </row>
    <row r="869" spans="1:9">
      <c r="A869" t="s">
        <v>3110</v>
      </c>
      <c r="B869" t="s">
        <v>10</v>
      </c>
      <c r="C869" t="s">
        <v>3111</v>
      </c>
      <c r="D869" t="s">
        <v>732</v>
      </c>
      <c r="E869" t="s">
        <v>732</v>
      </c>
      <c r="F869" t="s">
        <v>3112</v>
      </c>
      <c r="G869" t="s">
        <v>3113</v>
      </c>
      <c r="H869" t="s">
        <v>3114</v>
      </c>
      <c r="I869" t="b">
        <f>COUNTIF(Estadísticas!I:I,'centraldecomunicacion.es'!H869)&gt;0</f>
        <v>0</v>
      </c>
    </row>
    <row r="870" spans="1:9">
      <c r="A870" t="s">
        <v>3115</v>
      </c>
      <c r="B870" t="s">
        <v>10</v>
      </c>
      <c r="C870" t="s">
        <v>3116</v>
      </c>
      <c r="D870" t="s">
        <v>732</v>
      </c>
      <c r="E870" t="s">
        <v>732</v>
      </c>
      <c r="F870" t="s">
        <v>28</v>
      </c>
      <c r="G870" t="s">
        <v>28</v>
      </c>
      <c r="H870" t="s">
        <v>30</v>
      </c>
      <c r="I870" t="b">
        <f>COUNTIF(Estadísticas!I:I,'centraldecomunicacion.es'!H870)&gt;0</f>
        <v>0</v>
      </c>
    </row>
    <row r="871" spans="1:9">
      <c r="A871" t="s">
        <v>3117</v>
      </c>
      <c r="B871" t="s">
        <v>10</v>
      </c>
      <c r="C871" t="s">
        <v>3118</v>
      </c>
      <c r="D871" t="s">
        <v>732</v>
      </c>
      <c r="E871" t="s">
        <v>732</v>
      </c>
      <c r="F871" t="s">
        <v>3119</v>
      </c>
      <c r="G871" t="s">
        <v>3120</v>
      </c>
      <c r="H871" t="s">
        <v>3121</v>
      </c>
      <c r="I871" t="b">
        <f>COUNTIF(Estadísticas!I:I,'centraldecomunicacion.es'!H871)&gt;0</f>
        <v>1</v>
      </c>
    </row>
    <row r="872" spans="1:9">
      <c r="A872" t="s">
        <v>3122</v>
      </c>
      <c r="B872" t="s">
        <v>10</v>
      </c>
      <c r="C872" t="s">
        <v>3123</v>
      </c>
      <c r="D872" t="s">
        <v>732</v>
      </c>
      <c r="E872" t="s">
        <v>732</v>
      </c>
      <c r="F872" t="s">
        <v>28</v>
      </c>
      <c r="G872" t="s">
        <v>3124</v>
      </c>
      <c r="H872" t="s">
        <v>30</v>
      </c>
      <c r="I872" t="b">
        <f>COUNTIF(Estadísticas!I:I,'centraldecomunicacion.es'!H872)&gt;0</f>
        <v>0</v>
      </c>
    </row>
    <row r="873" spans="1:9">
      <c r="A873" t="s">
        <v>3125</v>
      </c>
      <c r="B873" t="s">
        <v>10</v>
      </c>
      <c r="C873" t="s">
        <v>3126</v>
      </c>
      <c r="D873" t="s">
        <v>732</v>
      </c>
      <c r="E873" t="s">
        <v>732</v>
      </c>
      <c r="F873" t="s">
        <v>28</v>
      </c>
      <c r="G873" t="s">
        <v>3127</v>
      </c>
      <c r="H873" t="s">
        <v>30</v>
      </c>
      <c r="I873" t="b">
        <f>COUNTIF(Estadísticas!I:I,'centraldecomunicacion.es'!H873)&gt;0</f>
        <v>0</v>
      </c>
    </row>
    <row r="874" spans="1:9">
      <c r="A874" t="s">
        <v>3128</v>
      </c>
      <c r="B874" t="s">
        <v>10</v>
      </c>
      <c r="C874" t="s">
        <v>3129</v>
      </c>
      <c r="D874" t="s">
        <v>732</v>
      </c>
      <c r="E874" t="s">
        <v>732</v>
      </c>
      <c r="F874" t="s">
        <v>28</v>
      </c>
      <c r="G874" t="s">
        <v>28</v>
      </c>
      <c r="H874" t="s">
        <v>30</v>
      </c>
      <c r="I874" t="b">
        <f>COUNTIF(Estadísticas!I:I,'centraldecomunicacion.es'!H874)&gt;0</f>
        <v>0</v>
      </c>
    </row>
    <row r="875" spans="1:9">
      <c r="A875" t="s">
        <v>3130</v>
      </c>
      <c r="B875" t="s">
        <v>10</v>
      </c>
      <c r="C875" t="s">
        <v>3131</v>
      </c>
      <c r="D875" t="s">
        <v>732</v>
      </c>
      <c r="E875" t="s">
        <v>732</v>
      </c>
      <c r="F875" t="s">
        <v>28</v>
      </c>
      <c r="G875" t="s">
        <v>3132</v>
      </c>
      <c r="H875" t="s">
        <v>30</v>
      </c>
      <c r="I875" t="b">
        <f>COUNTIF(Estadísticas!I:I,'centraldecomunicacion.es'!H875)&gt;0</f>
        <v>0</v>
      </c>
    </row>
    <row r="876" spans="1:9">
      <c r="A876" t="s">
        <v>3133</v>
      </c>
      <c r="B876" t="s">
        <v>10</v>
      </c>
      <c r="C876" t="s">
        <v>3134</v>
      </c>
      <c r="D876" t="s">
        <v>3135</v>
      </c>
      <c r="E876" t="s">
        <v>732</v>
      </c>
      <c r="F876" t="s">
        <v>3136</v>
      </c>
      <c r="G876" t="s">
        <v>3137</v>
      </c>
      <c r="H876" t="s">
        <v>30</v>
      </c>
      <c r="I876" t="b">
        <f>COUNTIF(Estadísticas!I:I,'centraldecomunicacion.es'!H876)&gt;0</f>
        <v>0</v>
      </c>
    </row>
    <row r="877" spans="1:9">
      <c r="A877" t="s">
        <v>3138</v>
      </c>
      <c r="B877" t="s">
        <v>10</v>
      </c>
      <c r="C877" t="s">
        <v>3139</v>
      </c>
      <c r="D877" t="s">
        <v>3140</v>
      </c>
      <c r="E877" t="s">
        <v>732</v>
      </c>
      <c r="F877" t="s">
        <v>3141</v>
      </c>
      <c r="G877" t="s">
        <v>3142</v>
      </c>
      <c r="H877" t="s">
        <v>30</v>
      </c>
      <c r="I877" t="b">
        <f>COUNTIF(Estadísticas!I:I,'centraldecomunicacion.es'!H877)&gt;0</f>
        <v>0</v>
      </c>
    </row>
    <row r="878" spans="1:9">
      <c r="A878" t="s">
        <v>3143</v>
      </c>
      <c r="B878" t="s">
        <v>10</v>
      </c>
      <c r="C878" t="s">
        <v>3144</v>
      </c>
      <c r="D878" t="s">
        <v>3135</v>
      </c>
      <c r="E878" t="s">
        <v>732</v>
      </c>
      <c r="F878" t="s">
        <v>50</v>
      </c>
      <c r="G878" t="s">
        <v>3145</v>
      </c>
      <c r="H878" t="s">
        <v>30</v>
      </c>
      <c r="I878" t="b">
        <f>COUNTIF(Estadísticas!I:I,'centraldecomunicacion.es'!H878)&gt;0</f>
        <v>0</v>
      </c>
    </row>
    <row r="879" spans="1:9">
      <c r="A879" t="s">
        <v>3146</v>
      </c>
      <c r="B879" t="s">
        <v>10</v>
      </c>
      <c r="C879" t="s">
        <v>3147</v>
      </c>
      <c r="D879" t="s">
        <v>3140</v>
      </c>
      <c r="E879" t="s">
        <v>732</v>
      </c>
      <c r="F879" t="s">
        <v>28</v>
      </c>
      <c r="G879" t="s">
        <v>3148</v>
      </c>
      <c r="H879" t="s">
        <v>30</v>
      </c>
      <c r="I879" t="b">
        <f>COUNTIF(Estadísticas!I:I,'centraldecomunicacion.es'!H879)&gt;0</f>
        <v>0</v>
      </c>
    </row>
    <row r="880" spans="1:9">
      <c r="A880" t="s">
        <v>3149</v>
      </c>
      <c r="B880" t="s">
        <v>10</v>
      </c>
      <c r="C880" t="s">
        <v>3150</v>
      </c>
      <c r="D880" t="s">
        <v>3140</v>
      </c>
      <c r="E880" t="s">
        <v>732</v>
      </c>
      <c r="F880" t="s">
        <v>3151</v>
      </c>
      <c r="G880" t="s">
        <v>3152</v>
      </c>
      <c r="H880" t="s">
        <v>3153</v>
      </c>
      <c r="I880" t="b">
        <f>COUNTIF(Estadísticas!I:I,'centraldecomunicacion.es'!H880)&gt;0</f>
        <v>0</v>
      </c>
    </row>
    <row r="881" spans="1:9">
      <c r="A881" t="s">
        <v>3154</v>
      </c>
      <c r="B881" t="s">
        <v>10</v>
      </c>
      <c r="C881" t="s">
        <v>3155</v>
      </c>
      <c r="D881" t="s">
        <v>3156</v>
      </c>
      <c r="E881" t="s">
        <v>732</v>
      </c>
      <c r="F881" t="s">
        <v>28</v>
      </c>
      <c r="G881" t="s">
        <v>3157</v>
      </c>
      <c r="H881" t="s">
        <v>30</v>
      </c>
      <c r="I881" t="b">
        <f>COUNTIF(Estadísticas!I:I,'centraldecomunicacion.es'!H881)&gt;0</f>
        <v>0</v>
      </c>
    </row>
    <row r="882" spans="1:9">
      <c r="A882" t="s">
        <v>3158</v>
      </c>
      <c r="B882" t="s">
        <v>10</v>
      </c>
      <c r="C882" t="s">
        <v>3159</v>
      </c>
      <c r="D882" t="s">
        <v>3160</v>
      </c>
      <c r="E882" t="s">
        <v>732</v>
      </c>
      <c r="F882" t="s">
        <v>3161</v>
      </c>
      <c r="G882" t="s">
        <v>3162</v>
      </c>
      <c r="H882" t="s">
        <v>3163</v>
      </c>
      <c r="I882" t="b">
        <f>COUNTIF(Estadísticas!I:I,'centraldecomunicacion.es'!H882)&gt;0</f>
        <v>1</v>
      </c>
    </row>
    <row r="883" spans="1:9">
      <c r="A883" t="s">
        <v>3164</v>
      </c>
      <c r="B883" t="s">
        <v>10</v>
      </c>
      <c r="C883" t="s">
        <v>3165</v>
      </c>
      <c r="D883" t="s">
        <v>3160</v>
      </c>
      <c r="E883" t="s">
        <v>732</v>
      </c>
      <c r="F883" t="s">
        <v>3166</v>
      </c>
      <c r="G883" t="s">
        <v>3167</v>
      </c>
      <c r="H883" t="s">
        <v>3168</v>
      </c>
      <c r="I883" t="b">
        <f>COUNTIF(Estadísticas!I:I,'centraldecomunicacion.es'!H883)&gt;0</f>
        <v>0</v>
      </c>
    </row>
    <row r="884" spans="1:9">
      <c r="A884" t="s">
        <v>3169</v>
      </c>
      <c r="B884" t="s">
        <v>10</v>
      </c>
      <c r="C884" t="s">
        <v>3170</v>
      </c>
      <c r="D884" t="s">
        <v>732</v>
      </c>
      <c r="E884" t="s">
        <v>732</v>
      </c>
      <c r="F884" t="s">
        <v>3171</v>
      </c>
      <c r="G884" t="s">
        <v>3172</v>
      </c>
      <c r="H884" t="s">
        <v>3173</v>
      </c>
      <c r="I884" t="b">
        <f>COUNTIF(Estadísticas!I:I,'centraldecomunicacion.es'!H884)&gt;0</f>
        <v>0</v>
      </c>
    </row>
    <row r="885" spans="1:9">
      <c r="A885" t="s">
        <v>3174</v>
      </c>
      <c r="B885" t="s">
        <v>10</v>
      </c>
      <c r="C885" t="s">
        <v>3175</v>
      </c>
      <c r="D885" t="s">
        <v>3176</v>
      </c>
      <c r="E885" t="s">
        <v>732</v>
      </c>
      <c r="F885" t="s">
        <v>3177</v>
      </c>
      <c r="G885" t="s">
        <v>3178</v>
      </c>
      <c r="H885" t="s">
        <v>3179</v>
      </c>
      <c r="I885" t="b">
        <f>COUNTIF(Estadísticas!I:I,'centraldecomunicacion.es'!H885)&gt;0</f>
        <v>1</v>
      </c>
    </row>
    <row r="886" spans="1:9">
      <c r="A886" t="s">
        <v>3180</v>
      </c>
      <c r="B886" t="s">
        <v>10</v>
      </c>
      <c r="C886" t="s">
        <v>3181</v>
      </c>
      <c r="D886" t="s">
        <v>3182</v>
      </c>
      <c r="E886" t="s">
        <v>732</v>
      </c>
      <c r="F886" t="s">
        <v>38</v>
      </c>
      <c r="G886" t="s">
        <v>3183</v>
      </c>
      <c r="H886" t="s">
        <v>30</v>
      </c>
      <c r="I886" t="b">
        <f>COUNTIF(Estadísticas!I:I,'centraldecomunicacion.es'!H886)&gt;0</f>
        <v>0</v>
      </c>
    </row>
    <row r="887" spans="1:9">
      <c r="A887" t="s">
        <v>3184</v>
      </c>
      <c r="B887" t="s">
        <v>10</v>
      </c>
      <c r="C887" t="s">
        <v>3185</v>
      </c>
      <c r="D887" t="s">
        <v>3135</v>
      </c>
      <c r="E887" t="s">
        <v>732</v>
      </c>
      <c r="F887" t="s">
        <v>28</v>
      </c>
      <c r="G887" t="s">
        <v>3186</v>
      </c>
      <c r="H887" t="s">
        <v>30</v>
      </c>
      <c r="I887" t="b">
        <f>COUNTIF(Estadísticas!I:I,'centraldecomunicacion.es'!H887)&gt;0</f>
        <v>0</v>
      </c>
    </row>
    <row r="888" spans="1:9">
      <c r="A888" t="s">
        <v>3187</v>
      </c>
      <c r="B888" t="s">
        <v>10</v>
      </c>
      <c r="C888" t="s">
        <v>3188</v>
      </c>
      <c r="D888" t="s">
        <v>3176</v>
      </c>
      <c r="E888" t="s">
        <v>732</v>
      </c>
      <c r="F888" t="s">
        <v>3189</v>
      </c>
      <c r="G888" t="s">
        <v>3190</v>
      </c>
      <c r="H888" t="s">
        <v>30</v>
      </c>
      <c r="I888" t="b">
        <f>COUNTIF(Estadísticas!I:I,'centraldecomunicacion.es'!H888)&gt;0</f>
        <v>0</v>
      </c>
    </row>
    <row r="889" spans="1:9">
      <c r="A889" t="s">
        <v>3191</v>
      </c>
      <c r="B889" t="s">
        <v>10</v>
      </c>
      <c r="C889" t="s">
        <v>3192</v>
      </c>
      <c r="D889" t="s">
        <v>3176</v>
      </c>
      <c r="E889" t="s">
        <v>732</v>
      </c>
      <c r="F889" t="s">
        <v>3193</v>
      </c>
      <c r="G889" t="s">
        <v>3194</v>
      </c>
      <c r="H889" t="s">
        <v>30</v>
      </c>
      <c r="I889" t="b">
        <f>COUNTIF(Estadísticas!I:I,'centraldecomunicacion.es'!H889)&gt;0</f>
        <v>0</v>
      </c>
    </row>
    <row r="890" spans="1:9">
      <c r="A890" t="s">
        <v>3195</v>
      </c>
      <c r="B890" t="s">
        <v>10</v>
      </c>
      <c r="C890" t="s">
        <v>3196</v>
      </c>
      <c r="D890" t="s">
        <v>3197</v>
      </c>
      <c r="E890" t="s">
        <v>732</v>
      </c>
      <c r="F890" t="s">
        <v>28</v>
      </c>
      <c r="G890" t="s">
        <v>3198</v>
      </c>
      <c r="H890" t="s">
        <v>30</v>
      </c>
      <c r="I890" t="b">
        <f>COUNTIF(Estadísticas!I:I,'centraldecomunicacion.es'!H890)&gt;0</f>
        <v>0</v>
      </c>
    </row>
    <row r="891" spans="1:9">
      <c r="A891" t="s">
        <v>3199</v>
      </c>
      <c r="B891" t="s">
        <v>10</v>
      </c>
      <c r="C891" t="s">
        <v>3200</v>
      </c>
      <c r="D891" t="s">
        <v>3176</v>
      </c>
      <c r="E891" t="s">
        <v>732</v>
      </c>
      <c r="F891" t="s">
        <v>3201</v>
      </c>
      <c r="G891" t="s">
        <v>3202</v>
      </c>
      <c r="H891" t="s">
        <v>3203</v>
      </c>
      <c r="I891" t="b">
        <f>COUNTIF(Estadísticas!I:I,'centraldecomunicacion.es'!H891)&gt;0</f>
        <v>1</v>
      </c>
    </row>
    <row r="892" spans="1:9">
      <c r="A892" t="s">
        <v>3204</v>
      </c>
      <c r="B892" t="s">
        <v>10</v>
      </c>
      <c r="C892" t="s">
        <v>3205</v>
      </c>
      <c r="D892" t="s">
        <v>3206</v>
      </c>
      <c r="E892" t="s">
        <v>732</v>
      </c>
      <c r="F892" t="s">
        <v>3207</v>
      </c>
      <c r="G892" t="s">
        <v>3208</v>
      </c>
      <c r="H892" t="s">
        <v>3209</v>
      </c>
      <c r="I892" t="b">
        <f>COUNTIF(Estadísticas!I:I,'centraldecomunicacion.es'!H892)&gt;0</f>
        <v>0</v>
      </c>
    </row>
    <row r="893" spans="1:9">
      <c r="A893" t="s">
        <v>3210</v>
      </c>
      <c r="B893" t="s">
        <v>10</v>
      </c>
      <c r="C893" t="s">
        <v>3211</v>
      </c>
      <c r="D893" t="s">
        <v>732</v>
      </c>
      <c r="E893" t="s">
        <v>732</v>
      </c>
      <c r="F893" t="s">
        <v>28</v>
      </c>
      <c r="G893" t="s">
        <v>3212</v>
      </c>
      <c r="H893" t="s">
        <v>30</v>
      </c>
      <c r="I893" t="b">
        <f>COUNTIF(Estadísticas!I:I,'centraldecomunicacion.es'!H893)&gt;0</f>
        <v>0</v>
      </c>
    </row>
    <row r="894" spans="1:9">
      <c r="A894" t="s">
        <v>3213</v>
      </c>
      <c r="B894" t="s">
        <v>10</v>
      </c>
      <c r="C894" t="s">
        <v>3214</v>
      </c>
      <c r="D894" t="s">
        <v>3215</v>
      </c>
      <c r="E894" t="s">
        <v>732</v>
      </c>
      <c r="F894" t="s">
        <v>3216</v>
      </c>
      <c r="G894" t="s">
        <v>3217</v>
      </c>
      <c r="H894" t="s">
        <v>3218</v>
      </c>
      <c r="I894" t="b">
        <f>COUNTIF(Estadísticas!I:I,'centraldecomunicacion.es'!H894)&gt;0</f>
        <v>0</v>
      </c>
    </row>
    <row r="895" spans="1:9">
      <c r="A895" t="s">
        <v>3219</v>
      </c>
      <c r="B895" t="s">
        <v>10</v>
      </c>
      <c r="C895" t="s">
        <v>3220</v>
      </c>
      <c r="D895" t="s">
        <v>3206</v>
      </c>
      <c r="E895" t="s">
        <v>732</v>
      </c>
      <c r="F895" t="s">
        <v>28</v>
      </c>
      <c r="G895" t="s">
        <v>3221</v>
      </c>
      <c r="H895" t="s">
        <v>30</v>
      </c>
      <c r="I895" t="b">
        <f>COUNTIF(Estadísticas!I:I,'centraldecomunicacion.es'!H895)&gt;0</f>
        <v>0</v>
      </c>
    </row>
    <row r="896" spans="1:9">
      <c r="A896" t="s">
        <v>3222</v>
      </c>
      <c r="B896" t="s">
        <v>10</v>
      </c>
      <c r="C896" t="s">
        <v>3223</v>
      </c>
      <c r="D896" t="s">
        <v>3224</v>
      </c>
      <c r="E896" t="s">
        <v>732</v>
      </c>
      <c r="F896" t="s">
        <v>3225</v>
      </c>
      <c r="G896" t="s">
        <v>3226</v>
      </c>
      <c r="H896" t="s">
        <v>30</v>
      </c>
      <c r="I896" t="b">
        <f>COUNTIF(Estadísticas!I:I,'centraldecomunicacion.es'!H896)&gt;0</f>
        <v>0</v>
      </c>
    </row>
    <row r="897" spans="1:9">
      <c r="A897" t="s">
        <v>3227</v>
      </c>
      <c r="B897" t="s">
        <v>10</v>
      </c>
      <c r="C897" t="s">
        <v>3228</v>
      </c>
      <c r="D897" t="s">
        <v>3206</v>
      </c>
      <c r="E897" t="s">
        <v>732</v>
      </c>
      <c r="F897" t="s">
        <v>28</v>
      </c>
      <c r="G897" t="s">
        <v>3229</v>
      </c>
      <c r="H897" t="s">
        <v>30</v>
      </c>
      <c r="I897" t="b">
        <f>COUNTIF(Estadísticas!I:I,'centraldecomunicacion.es'!H897)&gt;0</f>
        <v>0</v>
      </c>
    </row>
    <row r="898" spans="1:9">
      <c r="A898" t="s">
        <v>3230</v>
      </c>
      <c r="B898" t="s">
        <v>10</v>
      </c>
      <c r="C898" t="s">
        <v>3231</v>
      </c>
      <c r="D898" t="s">
        <v>3140</v>
      </c>
      <c r="E898" t="s">
        <v>732</v>
      </c>
      <c r="F898" t="s">
        <v>28</v>
      </c>
      <c r="G898" t="s">
        <v>3232</v>
      </c>
      <c r="H898" t="s">
        <v>30</v>
      </c>
      <c r="I898" t="b">
        <f>COUNTIF(Estadísticas!I:I,'centraldecomunicacion.es'!H898)&gt;0</f>
        <v>0</v>
      </c>
    </row>
    <row r="899" spans="1:9">
      <c r="A899" t="s">
        <v>3233</v>
      </c>
      <c r="B899" t="s">
        <v>10</v>
      </c>
      <c r="C899" t="s">
        <v>3234</v>
      </c>
      <c r="D899" t="s">
        <v>3206</v>
      </c>
      <c r="E899" t="s">
        <v>732</v>
      </c>
      <c r="F899" t="s">
        <v>3235</v>
      </c>
      <c r="G899" t="s">
        <v>3236</v>
      </c>
      <c r="H899" t="s">
        <v>30</v>
      </c>
      <c r="I899" t="b">
        <f>COUNTIF(Estadísticas!I:I,'centraldecomunicacion.es'!H899)&gt;0</f>
        <v>0</v>
      </c>
    </row>
    <row r="900" spans="1:9">
      <c r="A900" t="s">
        <v>3237</v>
      </c>
      <c r="B900" t="s">
        <v>10</v>
      </c>
      <c r="C900" t="s">
        <v>3238</v>
      </c>
      <c r="D900" t="s">
        <v>3206</v>
      </c>
      <c r="E900" t="s">
        <v>732</v>
      </c>
      <c r="F900" t="s">
        <v>28</v>
      </c>
      <c r="G900" t="s">
        <v>3239</v>
      </c>
      <c r="H900" t="s">
        <v>30</v>
      </c>
      <c r="I900" t="b">
        <f>COUNTIF(Estadísticas!I:I,'centraldecomunicacion.es'!H900)&gt;0</f>
        <v>0</v>
      </c>
    </row>
    <row r="901" spans="1:9">
      <c r="A901" t="s">
        <v>3240</v>
      </c>
      <c r="B901" t="s">
        <v>10</v>
      </c>
      <c r="C901" t="s">
        <v>3241</v>
      </c>
      <c r="D901" t="s">
        <v>1852</v>
      </c>
      <c r="E901" t="s">
        <v>732</v>
      </c>
      <c r="F901" t="s">
        <v>3242</v>
      </c>
      <c r="G901" t="s">
        <v>3243</v>
      </c>
      <c r="H901" t="s">
        <v>30</v>
      </c>
      <c r="I901" t="b">
        <f>COUNTIF(Estadísticas!I:I,'centraldecomunicacion.es'!H901)&gt;0</f>
        <v>0</v>
      </c>
    </row>
    <row r="902" spans="1:9">
      <c r="A902" t="s">
        <v>3244</v>
      </c>
      <c r="B902" t="s">
        <v>10</v>
      </c>
      <c r="C902" t="s">
        <v>3245</v>
      </c>
      <c r="D902" t="s">
        <v>3246</v>
      </c>
      <c r="E902" t="s">
        <v>732</v>
      </c>
      <c r="F902" t="s">
        <v>28</v>
      </c>
      <c r="G902" t="s">
        <v>3247</v>
      </c>
      <c r="H902" t="s">
        <v>30</v>
      </c>
      <c r="I902" t="b">
        <f>COUNTIF(Estadísticas!I:I,'centraldecomunicacion.es'!H902)&gt;0</f>
        <v>0</v>
      </c>
    </row>
    <row r="903" spans="1:9">
      <c r="A903" t="s">
        <v>3248</v>
      </c>
      <c r="B903" t="s">
        <v>10</v>
      </c>
      <c r="C903" t="s">
        <v>3249</v>
      </c>
      <c r="D903" t="s">
        <v>1852</v>
      </c>
      <c r="E903" t="s">
        <v>732</v>
      </c>
      <c r="F903" t="s">
        <v>28</v>
      </c>
      <c r="G903" t="s">
        <v>3250</v>
      </c>
      <c r="H903" t="s">
        <v>30</v>
      </c>
      <c r="I903" t="b">
        <f>COUNTIF(Estadísticas!I:I,'centraldecomunicacion.es'!H903)&gt;0</f>
        <v>0</v>
      </c>
    </row>
    <row r="904" spans="1:9">
      <c r="A904" t="s">
        <v>3251</v>
      </c>
      <c r="B904" t="s">
        <v>10</v>
      </c>
      <c r="C904" t="s">
        <v>3252</v>
      </c>
      <c r="D904" t="s">
        <v>3253</v>
      </c>
      <c r="E904" t="s">
        <v>732</v>
      </c>
      <c r="F904" t="s">
        <v>28</v>
      </c>
      <c r="G904" t="s">
        <v>3254</v>
      </c>
      <c r="H904" t="s">
        <v>30</v>
      </c>
      <c r="I904" t="b">
        <f>COUNTIF(Estadísticas!I:I,'centraldecomunicacion.es'!H904)&gt;0</f>
        <v>0</v>
      </c>
    </row>
    <row r="905" spans="1:9">
      <c r="A905" t="s">
        <v>3255</v>
      </c>
      <c r="B905" t="s">
        <v>10</v>
      </c>
      <c r="C905" t="s">
        <v>3256</v>
      </c>
      <c r="D905" t="s">
        <v>3253</v>
      </c>
      <c r="E905" t="s">
        <v>732</v>
      </c>
      <c r="F905" t="s">
        <v>28</v>
      </c>
      <c r="G905" t="s">
        <v>3257</v>
      </c>
      <c r="H905" t="s">
        <v>30</v>
      </c>
      <c r="I905" t="b">
        <f>COUNTIF(Estadísticas!I:I,'centraldecomunicacion.es'!H905)&gt;0</f>
        <v>0</v>
      </c>
    </row>
    <row r="906" spans="1:9">
      <c r="A906" t="s">
        <v>3258</v>
      </c>
      <c r="B906" t="s">
        <v>10</v>
      </c>
      <c r="C906" t="s">
        <v>3259</v>
      </c>
      <c r="D906" t="s">
        <v>3260</v>
      </c>
      <c r="E906" t="s">
        <v>732</v>
      </c>
      <c r="F906" t="s">
        <v>28</v>
      </c>
      <c r="G906" t="s">
        <v>3261</v>
      </c>
      <c r="H906" t="s">
        <v>30</v>
      </c>
      <c r="I906" t="b">
        <f>COUNTIF(Estadísticas!I:I,'centraldecomunicacion.es'!H906)&gt;0</f>
        <v>0</v>
      </c>
    </row>
    <row r="907" spans="1:9">
      <c r="A907" t="s">
        <v>3262</v>
      </c>
      <c r="B907" t="s">
        <v>10</v>
      </c>
      <c r="C907" t="s">
        <v>3263</v>
      </c>
      <c r="D907" t="s">
        <v>3206</v>
      </c>
      <c r="E907" t="s">
        <v>732</v>
      </c>
      <c r="F907" t="s">
        <v>28</v>
      </c>
      <c r="G907" t="s">
        <v>3264</v>
      </c>
      <c r="H907" t="s">
        <v>30</v>
      </c>
      <c r="I907" t="b">
        <f>COUNTIF(Estadísticas!I:I,'centraldecomunicacion.es'!H907)&gt;0</f>
        <v>0</v>
      </c>
    </row>
    <row r="908" spans="1:9">
      <c r="A908" t="s">
        <v>3265</v>
      </c>
      <c r="B908" t="s">
        <v>10</v>
      </c>
      <c r="C908" t="s">
        <v>3266</v>
      </c>
      <c r="D908" t="s">
        <v>1852</v>
      </c>
      <c r="E908" t="s">
        <v>732</v>
      </c>
      <c r="F908" t="s">
        <v>3267</v>
      </c>
      <c r="G908" t="s">
        <v>3268</v>
      </c>
      <c r="H908" t="s">
        <v>30</v>
      </c>
      <c r="I908" t="b">
        <f>COUNTIF(Estadísticas!I:I,'centraldecomunicacion.es'!H908)&gt;0</f>
        <v>0</v>
      </c>
    </row>
    <row r="909" spans="1:9">
      <c r="A909" t="s">
        <v>3269</v>
      </c>
      <c r="B909" t="s">
        <v>10</v>
      </c>
      <c r="C909" t="s">
        <v>3270</v>
      </c>
      <c r="D909" t="s">
        <v>3206</v>
      </c>
      <c r="E909" t="s">
        <v>732</v>
      </c>
      <c r="F909" t="s">
        <v>28</v>
      </c>
      <c r="G909" t="s">
        <v>28</v>
      </c>
      <c r="H909" t="s">
        <v>30</v>
      </c>
      <c r="I909" t="b">
        <f>COUNTIF(Estadísticas!I:I,'centraldecomunicacion.es'!H909)&gt;0</f>
        <v>0</v>
      </c>
    </row>
    <row r="910" spans="1:9">
      <c r="A910" t="s">
        <v>3271</v>
      </c>
      <c r="B910" t="s">
        <v>10</v>
      </c>
      <c r="C910" t="s">
        <v>3272</v>
      </c>
      <c r="D910" t="s">
        <v>3206</v>
      </c>
      <c r="E910" t="s">
        <v>732</v>
      </c>
      <c r="F910" t="s">
        <v>3273</v>
      </c>
      <c r="G910" t="s">
        <v>3221</v>
      </c>
      <c r="H910" t="s">
        <v>30</v>
      </c>
      <c r="I910" t="b">
        <f>COUNTIF(Estadísticas!I:I,'centraldecomunicacion.es'!H910)&gt;0</f>
        <v>0</v>
      </c>
    </row>
    <row r="911" spans="1:9">
      <c r="A911" t="s">
        <v>3274</v>
      </c>
      <c r="B911" t="s">
        <v>10</v>
      </c>
      <c r="C911" t="s">
        <v>3275</v>
      </c>
      <c r="D911" t="s">
        <v>3253</v>
      </c>
      <c r="E911" t="s">
        <v>732</v>
      </c>
      <c r="F911" t="s">
        <v>3276</v>
      </c>
      <c r="G911" t="s">
        <v>3277</v>
      </c>
      <c r="H911" t="s">
        <v>3278</v>
      </c>
      <c r="I911" t="b">
        <f>COUNTIF(Estadísticas!I:I,'centraldecomunicacion.es'!H911)&gt;0</f>
        <v>0</v>
      </c>
    </row>
    <row r="912" spans="1:9">
      <c r="A912" t="s">
        <v>3279</v>
      </c>
      <c r="B912" t="s">
        <v>10</v>
      </c>
      <c r="C912" t="s">
        <v>3280</v>
      </c>
      <c r="D912" t="s">
        <v>3281</v>
      </c>
      <c r="E912" t="s">
        <v>732</v>
      </c>
      <c r="F912" t="s">
        <v>28</v>
      </c>
      <c r="G912" t="s">
        <v>28</v>
      </c>
      <c r="H912" t="s">
        <v>30</v>
      </c>
      <c r="I912" t="b">
        <f>COUNTIF(Estadísticas!I:I,'centraldecomunicacion.es'!H912)&gt;0</f>
        <v>0</v>
      </c>
    </row>
    <row r="913" spans="1:9">
      <c r="A913" t="s">
        <v>3282</v>
      </c>
      <c r="B913" t="s">
        <v>10</v>
      </c>
      <c r="C913" t="s">
        <v>3283</v>
      </c>
      <c r="D913" t="s">
        <v>3253</v>
      </c>
      <c r="E913" t="s">
        <v>732</v>
      </c>
      <c r="F913" t="s">
        <v>28</v>
      </c>
      <c r="G913" t="s">
        <v>3257</v>
      </c>
      <c r="H913" t="s">
        <v>30</v>
      </c>
      <c r="I913" t="b">
        <f>COUNTIF(Estadísticas!I:I,'centraldecomunicacion.es'!H913)&gt;0</f>
        <v>0</v>
      </c>
    </row>
    <row r="914" spans="1:9">
      <c r="A914" t="s">
        <v>3284</v>
      </c>
      <c r="B914" t="s">
        <v>10</v>
      </c>
      <c r="C914" t="s">
        <v>3285</v>
      </c>
      <c r="D914" t="s">
        <v>1852</v>
      </c>
      <c r="E914" t="s">
        <v>732</v>
      </c>
      <c r="F914" t="s">
        <v>28</v>
      </c>
      <c r="G914" t="s">
        <v>3286</v>
      </c>
      <c r="H914" t="s">
        <v>30</v>
      </c>
      <c r="I914" t="b">
        <f>COUNTIF(Estadísticas!I:I,'centraldecomunicacion.es'!H914)&gt;0</f>
        <v>0</v>
      </c>
    </row>
    <row r="915" spans="1:9">
      <c r="A915" t="s">
        <v>3287</v>
      </c>
      <c r="B915" t="s">
        <v>10</v>
      </c>
      <c r="C915" t="s">
        <v>3288</v>
      </c>
      <c r="D915" t="s">
        <v>3289</v>
      </c>
      <c r="E915" t="s">
        <v>732</v>
      </c>
      <c r="F915" t="s">
        <v>28</v>
      </c>
      <c r="G915" t="s">
        <v>3290</v>
      </c>
      <c r="H915" t="s">
        <v>30</v>
      </c>
      <c r="I915" t="b">
        <f>COUNTIF(Estadísticas!I:I,'centraldecomunicacion.es'!H915)&gt;0</f>
        <v>0</v>
      </c>
    </row>
    <row r="916" spans="1:9">
      <c r="A916" t="s">
        <v>3291</v>
      </c>
      <c r="B916" t="s">
        <v>10</v>
      </c>
      <c r="C916" t="s">
        <v>3292</v>
      </c>
      <c r="D916" t="s">
        <v>3293</v>
      </c>
      <c r="E916" t="s">
        <v>732</v>
      </c>
      <c r="F916" t="s">
        <v>28</v>
      </c>
      <c r="G916" t="s">
        <v>3294</v>
      </c>
      <c r="H916" t="s">
        <v>30</v>
      </c>
      <c r="I916" t="b">
        <f>COUNTIF(Estadísticas!I:I,'centraldecomunicacion.es'!H916)&gt;0</f>
        <v>0</v>
      </c>
    </row>
    <row r="917" spans="1:9">
      <c r="A917" t="s">
        <v>3295</v>
      </c>
      <c r="B917" t="s">
        <v>10</v>
      </c>
      <c r="C917" t="s">
        <v>3296</v>
      </c>
      <c r="D917" t="s">
        <v>3297</v>
      </c>
      <c r="E917" t="s">
        <v>732</v>
      </c>
      <c r="F917" t="s">
        <v>28</v>
      </c>
      <c r="G917" t="s">
        <v>3298</v>
      </c>
      <c r="H917" t="s">
        <v>30</v>
      </c>
      <c r="I917" t="b">
        <f>COUNTIF(Estadísticas!I:I,'centraldecomunicacion.es'!H917)&gt;0</f>
        <v>0</v>
      </c>
    </row>
    <row r="918" spans="1:9">
      <c r="A918" t="s">
        <v>3299</v>
      </c>
      <c r="B918" t="s">
        <v>10</v>
      </c>
      <c r="C918" t="s">
        <v>3300</v>
      </c>
      <c r="D918" t="s">
        <v>137</v>
      </c>
      <c r="E918" t="s">
        <v>732</v>
      </c>
      <c r="F918" t="s">
        <v>28</v>
      </c>
      <c r="G918" t="s">
        <v>3301</v>
      </c>
      <c r="H918" t="s">
        <v>30</v>
      </c>
      <c r="I918" t="b">
        <f>COUNTIF(Estadísticas!I:I,'centraldecomunicacion.es'!H918)&gt;0</f>
        <v>0</v>
      </c>
    </row>
    <row r="919" spans="1:9">
      <c r="A919" t="s">
        <v>3302</v>
      </c>
      <c r="B919" t="s">
        <v>10</v>
      </c>
      <c r="C919" t="s">
        <v>3303</v>
      </c>
      <c r="D919" t="s">
        <v>3304</v>
      </c>
      <c r="E919" t="s">
        <v>732</v>
      </c>
      <c r="F919" t="s">
        <v>3305</v>
      </c>
      <c r="G919" t="s">
        <v>3306</v>
      </c>
      <c r="H919" t="s">
        <v>30</v>
      </c>
      <c r="I919" t="b">
        <f>COUNTIF(Estadísticas!I:I,'centraldecomunicacion.es'!H919)&gt;0</f>
        <v>0</v>
      </c>
    </row>
    <row r="920" spans="1:9">
      <c r="A920" t="s">
        <v>3307</v>
      </c>
      <c r="B920" t="s">
        <v>10</v>
      </c>
      <c r="C920" t="s">
        <v>3308</v>
      </c>
      <c r="D920" t="s">
        <v>3309</v>
      </c>
      <c r="E920" t="s">
        <v>732</v>
      </c>
      <c r="F920" t="s">
        <v>28</v>
      </c>
      <c r="G920" t="s">
        <v>3310</v>
      </c>
      <c r="H920" t="s">
        <v>30</v>
      </c>
      <c r="I920" t="b">
        <f>COUNTIF(Estadísticas!I:I,'centraldecomunicacion.es'!H920)&gt;0</f>
        <v>0</v>
      </c>
    </row>
    <row r="921" spans="1:9">
      <c r="A921" t="s">
        <v>3311</v>
      </c>
      <c r="B921" t="s">
        <v>10</v>
      </c>
      <c r="C921" t="s">
        <v>3312</v>
      </c>
      <c r="D921" t="s">
        <v>3313</v>
      </c>
      <c r="E921" t="s">
        <v>732</v>
      </c>
      <c r="F921" t="s">
        <v>3314</v>
      </c>
      <c r="G921" t="s">
        <v>3315</v>
      </c>
      <c r="H921" t="s">
        <v>3316</v>
      </c>
      <c r="I921" t="b">
        <f>COUNTIF(Estadísticas!I:I,'centraldecomunicacion.es'!H921)&gt;0</f>
        <v>0</v>
      </c>
    </row>
    <row r="922" spans="1:9">
      <c r="A922" t="s">
        <v>3317</v>
      </c>
      <c r="B922" t="s">
        <v>10</v>
      </c>
      <c r="C922" t="s">
        <v>3318</v>
      </c>
      <c r="D922" t="s">
        <v>3313</v>
      </c>
      <c r="E922" t="s">
        <v>732</v>
      </c>
      <c r="F922" t="s">
        <v>28</v>
      </c>
      <c r="G922" t="s">
        <v>3319</v>
      </c>
      <c r="H922" t="s">
        <v>30</v>
      </c>
      <c r="I922" t="b">
        <f>COUNTIF(Estadísticas!I:I,'centraldecomunicacion.es'!H922)&gt;0</f>
        <v>0</v>
      </c>
    </row>
    <row r="923" spans="1:9">
      <c r="A923" t="s">
        <v>3320</v>
      </c>
      <c r="B923" t="s">
        <v>10</v>
      </c>
      <c r="C923" t="s">
        <v>3321</v>
      </c>
      <c r="D923" t="s">
        <v>3260</v>
      </c>
      <c r="E923" t="s">
        <v>732</v>
      </c>
      <c r="F923" t="s">
        <v>3322</v>
      </c>
      <c r="G923" t="s">
        <v>3323</v>
      </c>
      <c r="H923" t="s">
        <v>3324</v>
      </c>
      <c r="I923" t="b">
        <f>COUNTIF(Estadísticas!I:I,'centraldecomunicacion.es'!H923)&gt;0</f>
        <v>0</v>
      </c>
    </row>
    <row r="924" spans="1:9">
      <c r="A924" t="s">
        <v>1288</v>
      </c>
      <c r="B924" t="s">
        <v>10</v>
      </c>
      <c r="C924" t="s">
        <v>3325</v>
      </c>
      <c r="D924" t="s">
        <v>3326</v>
      </c>
      <c r="E924" t="s">
        <v>732</v>
      </c>
      <c r="F924" t="s">
        <v>3327</v>
      </c>
      <c r="G924" t="s">
        <v>3328</v>
      </c>
      <c r="H924" t="s">
        <v>30</v>
      </c>
      <c r="I924" t="b">
        <f>COUNTIF(Estadísticas!I:I,'centraldecomunicacion.es'!H924)&gt;0</f>
        <v>0</v>
      </c>
    </row>
    <row r="925" spans="1:9">
      <c r="A925" t="s">
        <v>3329</v>
      </c>
      <c r="B925" t="s">
        <v>10</v>
      </c>
      <c r="C925" t="s">
        <v>3330</v>
      </c>
      <c r="D925" t="s">
        <v>3331</v>
      </c>
      <c r="E925" t="s">
        <v>732</v>
      </c>
      <c r="F925" t="s">
        <v>28</v>
      </c>
      <c r="G925" t="s">
        <v>3332</v>
      </c>
      <c r="H925" t="s">
        <v>30</v>
      </c>
      <c r="I925" t="b">
        <f>COUNTIF(Estadísticas!I:I,'centraldecomunicacion.es'!H925)&gt;0</f>
        <v>0</v>
      </c>
    </row>
    <row r="926" spans="1:9">
      <c r="A926" t="s">
        <v>3333</v>
      </c>
      <c r="B926" t="s">
        <v>10</v>
      </c>
      <c r="C926" t="s">
        <v>3334</v>
      </c>
      <c r="D926" t="s">
        <v>3335</v>
      </c>
      <c r="E926" t="s">
        <v>732</v>
      </c>
      <c r="F926" t="s">
        <v>28</v>
      </c>
      <c r="G926" t="s">
        <v>3247</v>
      </c>
      <c r="H926" t="s">
        <v>30</v>
      </c>
      <c r="I926" t="b">
        <f>COUNTIF(Estadísticas!I:I,'centraldecomunicacion.es'!H926)&gt;0</f>
        <v>0</v>
      </c>
    </row>
    <row r="927" spans="1:9">
      <c r="A927" t="s">
        <v>3336</v>
      </c>
      <c r="B927" t="s">
        <v>219</v>
      </c>
      <c r="C927" t="s">
        <v>3337</v>
      </c>
      <c r="D927" t="s">
        <v>732</v>
      </c>
      <c r="E927" t="s">
        <v>732</v>
      </c>
      <c r="F927" t="s">
        <v>3338</v>
      </c>
      <c r="G927" t="s">
        <v>3339</v>
      </c>
      <c r="H927" t="s">
        <v>30</v>
      </c>
      <c r="I927" t="b">
        <f>COUNTIF(Estadísticas!I:I,'centraldecomunicacion.es'!H927)&gt;0</f>
        <v>0</v>
      </c>
    </row>
    <row r="928" spans="1:9">
      <c r="A928" t="s">
        <v>3340</v>
      </c>
      <c r="B928" t="s">
        <v>10</v>
      </c>
      <c r="C928" t="s">
        <v>3341</v>
      </c>
      <c r="D928" t="s">
        <v>3342</v>
      </c>
      <c r="E928" t="s">
        <v>732</v>
      </c>
      <c r="F928" t="s">
        <v>28</v>
      </c>
      <c r="G928" t="s">
        <v>3343</v>
      </c>
      <c r="H928" t="s">
        <v>30</v>
      </c>
      <c r="I928" t="b">
        <f>COUNTIF(Estadísticas!I:I,'centraldecomunicacion.es'!H928)&gt;0</f>
        <v>0</v>
      </c>
    </row>
    <row r="929" spans="1:9">
      <c r="A929" t="s">
        <v>3344</v>
      </c>
      <c r="B929" t="s">
        <v>10</v>
      </c>
      <c r="C929" t="s">
        <v>3345</v>
      </c>
      <c r="D929" t="s">
        <v>3206</v>
      </c>
      <c r="E929" t="s">
        <v>732</v>
      </c>
      <c r="F929" t="s">
        <v>642</v>
      </c>
      <c r="G929" t="s">
        <v>3346</v>
      </c>
      <c r="H929" t="s">
        <v>30</v>
      </c>
      <c r="I929" t="b">
        <f>COUNTIF(Estadísticas!I:I,'centraldecomunicacion.es'!H929)&gt;0</f>
        <v>0</v>
      </c>
    </row>
    <row r="930" spans="1:9">
      <c r="A930" t="s">
        <v>3347</v>
      </c>
      <c r="B930" t="s">
        <v>10</v>
      </c>
      <c r="C930" t="s">
        <v>3348</v>
      </c>
      <c r="D930" t="s">
        <v>3349</v>
      </c>
      <c r="E930" t="s">
        <v>732</v>
      </c>
      <c r="F930" t="s">
        <v>50</v>
      </c>
      <c r="G930" t="s">
        <v>3350</v>
      </c>
      <c r="H930" t="s">
        <v>30</v>
      </c>
      <c r="I930" t="b">
        <f>COUNTIF(Estadísticas!I:I,'centraldecomunicacion.es'!H930)&gt;0</f>
        <v>0</v>
      </c>
    </row>
    <row r="931" spans="1:9">
      <c r="A931" t="s">
        <v>3351</v>
      </c>
      <c r="B931" t="s">
        <v>10</v>
      </c>
      <c r="C931" t="s">
        <v>3352</v>
      </c>
      <c r="D931" t="s">
        <v>3342</v>
      </c>
      <c r="E931" t="s">
        <v>732</v>
      </c>
      <c r="F931" t="s">
        <v>28</v>
      </c>
      <c r="G931" t="s">
        <v>3353</v>
      </c>
      <c r="H931" t="s">
        <v>30</v>
      </c>
      <c r="I931" t="b">
        <f>COUNTIF(Estadísticas!I:I,'centraldecomunicacion.es'!H931)&gt;0</f>
        <v>0</v>
      </c>
    </row>
    <row r="932" spans="1:9">
      <c r="A932" t="s">
        <v>3354</v>
      </c>
      <c r="B932" t="s">
        <v>10</v>
      </c>
      <c r="C932" t="s">
        <v>3355</v>
      </c>
      <c r="D932" t="s">
        <v>3356</v>
      </c>
      <c r="E932" t="s">
        <v>732</v>
      </c>
      <c r="F932" t="s">
        <v>28</v>
      </c>
      <c r="G932" t="s">
        <v>28</v>
      </c>
      <c r="H932" t="s">
        <v>30</v>
      </c>
      <c r="I932" t="b">
        <f>COUNTIF(Estadísticas!I:I,'centraldecomunicacion.es'!H932)&gt;0</f>
        <v>0</v>
      </c>
    </row>
    <row r="933" spans="1:9">
      <c r="A933" t="s">
        <v>3357</v>
      </c>
      <c r="B933" t="s">
        <v>10</v>
      </c>
      <c r="C933" t="s">
        <v>3358</v>
      </c>
      <c r="D933" t="s">
        <v>3359</v>
      </c>
      <c r="E933" t="s">
        <v>732</v>
      </c>
      <c r="F933" t="s">
        <v>28</v>
      </c>
      <c r="G933" t="s">
        <v>3360</v>
      </c>
      <c r="H933" t="s">
        <v>30</v>
      </c>
      <c r="I933" t="b">
        <f>COUNTIF(Estadísticas!I:I,'centraldecomunicacion.es'!H933)&gt;0</f>
        <v>0</v>
      </c>
    </row>
    <row r="934" spans="1:9">
      <c r="A934" t="s">
        <v>3361</v>
      </c>
      <c r="B934" t="s">
        <v>482</v>
      </c>
      <c r="C934" t="s">
        <v>3362</v>
      </c>
      <c r="D934" t="s">
        <v>3182</v>
      </c>
      <c r="E934" t="s">
        <v>732</v>
      </c>
      <c r="F934" t="s">
        <v>3363</v>
      </c>
      <c r="G934" t="s">
        <v>3364</v>
      </c>
      <c r="H934" t="s">
        <v>30</v>
      </c>
      <c r="I934" t="b">
        <f>COUNTIF(Estadísticas!I:I,'centraldecomunicacion.es'!H934)&gt;0</f>
        <v>0</v>
      </c>
    </row>
    <row r="935" spans="1:9">
      <c r="A935" t="s">
        <v>3365</v>
      </c>
      <c r="B935" t="s">
        <v>10</v>
      </c>
      <c r="C935" t="s">
        <v>3366</v>
      </c>
      <c r="D935" t="s">
        <v>750</v>
      </c>
      <c r="E935" t="s">
        <v>732</v>
      </c>
      <c r="F935" t="s">
        <v>50</v>
      </c>
      <c r="G935" t="s">
        <v>3367</v>
      </c>
      <c r="H935" t="s">
        <v>30</v>
      </c>
      <c r="I935" t="b">
        <f>COUNTIF(Estadísticas!I:I,'centraldecomunicacion.es'!H935)&gt;0</f>
        <v>0</v>
      </c>
    </row>
    <row r="936" spans="1:9">
      <c r="A936" t="s">
        <v>3368</v>
      </c>
      <c r="B936" t="s">
        <v>10</v>
      </c>
      <c r="C936" t="s">
        <v>3369</v>
      </c>
      <c r="D936" t="s">
        <v>3370</v>
      </c>
      <c r="E936" t="s">
        <v>732</v>
      </c>
      <c r="F936" t="s">
        <v>416</v>
      </c>
      <c r="G936" t="s">
        <v>3371</v>
      </c>
      <c r="H936" t="s">
        <v>30</v>
      </c>
      <c r="I936" t="b">
        <f>COUNTIF(Estadísticas!I:I,'centraldecomunicacion.es'!H936)&gt;0</f>
        <v>0</v>
      </c>
    </row>
    <row r="937" spans="1:9">
      <c r="A937" t="s">
        <v>3372</v>
      </c>
      <c r="B937" t="s">
        <v>10</v>
      </c>
      <c r="C937" t="s">
        <v>3373</v>
      </c>
      <c r="D937" t="s">
        <v>3370</v>
      </c>
      <c r="E937" t="s">
        <v>732</v>
      </c>
      <c r="F937" t="s">
        <v>3374</v>
      </c>
      <c r="G937" t="s">
        <v>3375</v>
      </c>
      <c r="H937" t="s">
        <v>30</v>
      </c>
      <c r="I937" t="b">
        <f>COUNTIF(Estadísticas!I:I,'centraldecomunicacion.es'!H937)&gt;0</f>
        <v>0</v>
      </c>
    </row>
    <row r="938" spans="1:9">
      <c r="A938" t="s">
        <v>3376</v>
      </c>
      <c r="B938" t="s">
        <v>10</v>
      </c>
      <c r="C938" t="s">
        <v>3377</v>
      </c>
      <c r="D938" t="s">
        <v>3378</v>
      </c>
      <c r="E938" t="s">
        <v>732</v>
      </c>
      <c r="F938" t="s">
        <v>28</v>
      </c>
      <c r="G938" t="s">
        <v>28</v>
      </c>
      <c r="H938" t="s">
        <v>30</v>
      </c>
      <c r="I938" t="b">
        <f>COUNTIF(Estadísticas!I:I,'centraldecomunicacion.es'!H938)&gt;0</f>
        <v>0</v>
      </c>
    </row>
    <row r="939" spans="1:9">
      <c r="A939" t="s">
        <v>3379</v>
      </c>
      <c r="B939" t="s">
        <v>10</v>
      </c>
      <c r="C939" t="s">
        <v>3380</v>
      </c>
      <c r="D939" t="s">
        <v>3381</v>
      </c>
      <c r="E939" t="s">
        <v>1868</v>
      </c>
      <c r="F939" t="s">
        <v>28</v>
      </c>
      <c r="G939" t="s">
        <v>3382</v>
      </c>
      <c r="H939" t="s">
        <v>30</v>
      </c>
      <c r="I939" t="b">
        <f>COUNTIF(Estadísticas!I:I,'centraldecomunicacion.es'!H939)&gt;0</f>
        <v>0</v>
      </c>
    </row>
    <row r="940" spans="1:9">
      <c r="A940" t="s">
        <v>3383</v>
      </c>
      <c r="B940" t="s">
        <v>10</v>
      </c>
      <c r="C940" t="s">
        <v>3384</v>
      </c>
      <c r="D940" t="s">
        <v>3385</v>
      </c>
      <c r="E940" t="s">
        <v>3385</v>
      </c>
      <c r="F940" t="s">
        <v>3386</v>
      </c>
      <c r="G940" t="s">
        <v>3387</v>
      </c>
      <c r="H940" t="s">
        <v>30</v>
      </c>
      <c r="I940" t="b">
        <f>COUNTIF(Estadísticas!I:I,'centraldecomunicacion.es'!H940)&gt;0</f>
        <v>0</v>
      </c>
    </row>
    <row r="941" spans="1:9">
      <c r="A941" t="s">
        <v>3388</v>
      </c>
      <c r="B941" t="s">
        <v>10</v>
      </c>
      <c r="C941" t="s">
        <v>3389</v>
      </c>
      <c r="D941" t="s">
        <v>3385</v>
      </c>
      <c r="E941" t="s">
        <v>3385</v>
      </c>
      <c r="F941" t="s">
        <v>3390</v>
      </c>
      <c r="G941" t="s">
        <v>3391</v>
      </c>
      <c r="H941" t="s">
        <v>30</v>
      </c>
      <c r="I941" t="b">
        <f>COUNTIF(Estadísticas!I:I,'centraldecomunicacion.es'!H941)&gt;0</f>
        <v>0</v>
      </c>
    </row>
    <row r="942" spans="1:9">
      <c r="A942" t="s">
        <v>3392</v>
      </c>
      <c r="B942" t="s">
        <v>10</v>
      </c>
      <c r="C942" t="s">
        <v>3393</v>
      </c>
      <c r="D942" t="s">
        <v>3385</v>
      </c>
      <c r="E942" t="s">
        <v>3385</v>
      </c>
      <c r="F942" t="s">
        <v>28</v>
      </c>
      <c r="G942" t="s">
        <v>3394</v>
      </c>
      <c r="H942" t="s">
        <v>30</v>
      </c>
      <c r="I942" t="b">
        <f>COUNTIF(Estadísticas!I:I,'centraldecomunicacion.es'!H942)&gt;0</f>
        <v>0</v>
      </c>
    </row>
    <row r="943" spans="1:9">
      <c r="A943" t="s">
        <v>3395</v>
      </c>
      <c r="B943" t="s">
        <v>10</v>
      </c>
      <c r="C943" t="s">
        <v>3396</v>
      </c>
      <c r="D943" t="s">
        <v>3385</v>
      </c>
      <c r="E943" t="s">
        <v>3385</v>
      </c>
      <c r="F943" t="s">
        <v>3397</v>
      </c>
      <c r="G943" t="s">
        <v>3398</v>
      </c>
      <c r="H943" t="s">
        <v>3399</v>
      </c>
      <c r="I943" t="b">
        <f>COUNTIF(Estadísticas!I:I,'centraldecomunicacion.es'!H943)&gt;0</f>
        <v>0</v>
      </c>
    </row>
    <row r="944" spans="1:9">
      <c r="A944" t="s">
        <v>3400</v>
      </c>
      <c r="B944" t="s">
        <v>10</v>
      </c>
      <c r="C944" t="s">
        <v>3401</v>
      </c>
      <c r="D944" t="s">
        <v>3385</v>
      </c>
      <c r="E944" t="s">
        <v>3385</v>
      </c>
      <c r="F944" t="s">
        <v>28</v>
      </c>
      <c r="G944" t="s">
        <v>3402</v>
      </c>
      <c r="H944" t="s">
        <v>30</v>
      </c>
      <c r="I944" t="b">
        <f>COUNTIF(Estadísticas!I:I,'centraldecomunicacion.es'!H944)&gt;0</f>
        <v>0</v>
      </c>
    </row>
    <row r="945" spans="1:9">
      <c r="A945" t="s">
        <v>3403</v>
      </c>
      <c r="B945" t="s">
        <v>10</v>
      </c>
      <c r="C945" t="s">
        <v>3404</v>
      </c>
      <c r="D945" t="s">
        <v>3385</v>
      </c>
      <c r="E945" t="s">
        <v>3385</v>
      </c>
      <c r="F945" t="s">
        <v>28</v>
      </c>
      <c r="G945" t="s">
        <v>3405</v>
      </c>
      <c r="H945" t="s">
        <v>30</v>
      </c>
      <c r="I945" t="b">
        <f>COUNTIF(Estadísticas!I:I,'centraldecomunicacion.es'!H945)&gt;0</f>
        <v>0</v>
      </c>
    </row>
    <row r="946" spans="1:9">
      <c r="A946" t="s">
        <v>3406</v>
      </c>
      <c r="B946" t="s">
        <v>10</v>
      </c>
      <c r="C946" t="s">
        <v>3407</v>
      </c>
      <c r="D946" t="s">
        <v>3385</v>
      </c>
      <c r="E946" t="s">
        <v>3385</v>
      </c>
      <c r="F946" t="s">
        <v>28</v>
      </c>
      <c r="G946" t="s">
        <v>3408</v>
      </c>
      <c r="H946" t="s">
        <v>30</v>
      </c>
      <c r="I946" t="b">
        <f>COUNTIF(Estadísticas!I:I,'centraldecomunicacion.es'!H946)&gt;0</f>
        <v>0</v>
      </c>
    </row>
    <row r="947" spans="1:9">
      <c r="A947" t="s">
        <v>3409</v>
      </c>
      <c r="B947" t="s">
        <v>10</v>
      </c>
      <c r="C947" t="s">
        <v>3389</v>
      </c>
      <c r="D947" t="s">
        <v>3385</v>
      </c>
      <c r="E947" t="s">
        <v>3385</v>
      </c>
      <c r="F947" t="s">
        <v>28</v>
      </c>
      <c r="G947" t="s">
        <v>3410</v>
      </c>
      <c r="H947" t="s">
        <v>30</v>
      </c>
      <c r="I947" t="b">
        <f>COUNTIF(Estadísticas!I:I,'centraldecomunicacion.es'!H947)&gt;0</f>
        <v>0</v>
      </c>
    </row>
    <row r="948" spans="1:9">
      <c r="A948" t="s">
        <v>3411</v>
      </c>
      <c r="B948" t="s">
        <v>10</v>
      </c>
      <c r="C948" t="s">
        <v>3412</v>
      </c>
      <c r="D948" t="s">
        <v>3385</v>
      </c>
      <c r="E948" t="s">
        <v>3385</v>
      </c>
      <c r="F948" t="s">
        <v>3413</v>
      </c>
      <c r="G948" t="s">
        <v>3414</v>
      </c>
      <c r="H948" t="s">
        <v>3415</v>
      </c>
      <c r="I948" t="b">
        <f>COUNTIF(Estadísticas!I:I,'centraldecomunicacion.es'!H948)&gt;0</f>
        <v>0</v>
      </c>
    </row>
    <row r="949" spans="1:9">
      <c r="A949" t="s">
        <v>3416</v>
      </c>
      <c r="B949" t="s">
        <v>10</v>
      </c>
      <c r="C949" t="s">
        <v>3417</v>
      </c>
      <c r="D949" t="s">
        <v>3418</v>
      </c>
      <c r="E949" t="s">
        <v>3385</v>
      </c>
      <c r="F949" t="s">
        <v>3419</v>
      </c>
      <c r="G949" t="s">
        <v>3420</v>
      </c>
      <c r="H949" t="s">
        <v>3421</v>
      </c>
      <c r="I949" t="b">
        <f>COUNTIF(Estadísticas!I:I,'centraldecomunicacion.es'!H949)&gt;0</f>
        <v>0</v>
      </c>
    </row>
    <row r="950" spans="1:9">
      <c r="A950" t="s">
        <v>3422</v>
      </c>
      <c r="B950" t="s">
        <v>10</v>
      </c>
      <c r="C950" t="s">
        <v>3423</v>
      </c>
      <c r="D950" t="s">
        <v>3418</v>
      </c>
      <c r="E950" t="s">
        <v>3385</v>
      </c>
      <c r="F950" t="s">
        <v>3424</v>
      </c>
      <c r="G950" t="s">
        <v>3425</v>
      </c>
      <c r="H950" t="s">
        <v>30</v>
      </c>
      <c r="I950" t="b">
        <f>COUNTIF(Estadísticas!I:I,'centraldecomunicacion.es'!H950)&gt;0</f>
        <v>0</v>
      </c>
    </row>
    <row r="951" spans="1:9">
      <c r="A951" t="s">
        <v>436</v>
      </c>
      <c r="B951" t="s">
        <v>10</v>
      </c>
      <c r="C951" t="s">
        <v>3426</v>
      </c>
      <c r="D951" t="s">
        <v>3427</v>
      </c>
      <c r="E951" t="s">
        <v>3385</v>
      </c>
      <c r="F951" t="s">
        <v>28</v>
      </c>
      <c r="G951" t="s">
        <v>3428</v>
      </c>
      <c r="H951" t="s">
        <v>30</v>
      </c>
      <c r="I951" t="b">
        <f>COUNTIF(Estadísticas!I:I,'centraldecomunicacion.es'!H951)&gt;0</f>
        <v>0</v>
      </c>
    </row>
    <row r="952" spans="1:9">
      <c r="A952" t="s">
        <v>3429</v>
      </c>
      <c r="B952" t="s">
        <v>10</v>
      </c>
      <c r="C952" t="s">
        <v>3430</v>
      </c>
      <c r="D952" t="s">
        <v>3427</v>
      </c>
      <c r="E952" t="s">
        <v>3385</v>
      </c>
      <c r="F952" t="s">
        <v>28</v>
      </c>
      <c r="G952" t="s">
        <v>3431</v>
      </c>
      <c r="H952" t="s">
        <v>30</v>
      </c>
      <c r="I952" t="b">
        <f>COUNTIF(Estadísticas!I:I,'centraldecomunicacion.es'!H952)&gt;0</f>
        <v>0</v>
      </c>
    </row>
    <row r="953" spans="1:9">
      <c r="A953" t="s">
        <v>3432</v>
      </c>
      <c r="B953" t="s">
        <v>10</v>
      </c>
      <c r="C953" t="s">
        <v>3433</v>
      </c>
      <c r="D953" t="s">
        <v>3434</v>
      </c>
      <c r="E953" t="s">
        <v>3385</v>
      </c>
      <c r="F953" t="s">
        <v>50</v>
      </c>
      <c r="G953" t="s">
        <v>3435</v>
      </c>
      <c r="H953" t="s">
        <v>30</v>
      </c>
      <c r="I953" t="b">
        <f>COUNTIF(Estadísticas!I:I,'centraldecomunicacion.es'!H953)&gt;0</f>
        <v>0</v>
      </c>
    </row>
    <row r="954" spans="1:9">
      <c r="A954" t="s">
        <v>3436</v>
      </c>
      <c r="B954" t="s">
        <v>10</v>
      </c>
      <c r="C954" t="s">
        <v>3437</v>
      </c>
      <c r="D954" t="s">
        <v>3427</v>
      </c>
      <c r="E954" t="s">
        <v>3385</v>
      </c>
      <c r="F954" t="s">
        <v>3438</v>
      </c>
      <c r="G954" t="s">
        <v>3439</v>
      </c>
      <c r="H954" t="s">
        <v>30</v>
      </c>
      <c r="I954" t="b">
        <f>COUNTIF(Estadísticas!I:I,'centraldecomunicacion.es'!H954)&gt;0</f>
        <v>0</v>
      </c>
    </row>
    <row r="955" spans="1:9">
      <c r="A955" t="s">
        <v>3440</v>
      </c>
      <c r="B955" t="s">
        <v>10</v>
      </c>
      <c r="C955" t="s">
        <v>3441</v>
      </c>
      <c r="D955" t="s">
        <v>3442</v>
      </c>
      <c r="E955" t="s">
        <v>3385</v>
      </c>
      <c r="F955" t="s">
        <v>3438</v>
      </c>
      <c r="G955" t="s">
        <v>3443</v>
      </c>
      <c r="H955" t="s">
        <v>30</v>
      </c>
      <c r="I955" t="b">
        <f>COUNTIF(Estadísticas!I:I,'centraldecomunicacion.es'!H955)&gt;0</f>
        <v>0</v>
      </c>
    </row>
    <row r="956" spans="1:9">
      <c r="A956" t="s">
        <v>3444</v>
      </c>
      <c r="B956" t="s">
        <v>10</v>
      </c>
      <c r="C956" t="s">
        <v>3445</v>
      </c>
      <c r="D956" t="s">
        <v>3442</v>
      </c>
      <c r="E956" t="s">
        <v>3385</v>
      </c>
      <c r="F956" t="s">
        <v>28</v>
      </c>
      <c r="G956" t="s">
        <v>3446</v>
      </c>
      <c r="H956" t="s">
        <v>30</v>
      </c>
      <c r="I956" t="b">
        <f>COUNTIF(Estadísticas!I:I,'centraldecomunicacion.es'!H956)&gt;0</f>
        <v>0</v>
      </c>
    </row>
    <row r="957" spans="1:9">
      <c r="A957" t="s">
        <v>3447</v>
      </c>
      <c r="B957" t="s">
        <v>10</v>
      </c>
      <c r="C957" t="s">
        <v>3448</v>
      </c>
      <c r="D957" t="s">
        <v>3434</v>
      </c>
      <c r="E957" t="s">
        <v>3385</v>
      </c>
      <c r="F957" t="s">
        <v>28</v>
      </c>
      <c r="G957" t="s">
        <v>3449</v>
      </c>
      <c r="H957" t="s">
        <v>30</v>
      </c>
      <c r="I957" t="b">
        <f>COUNTIF(Estadísticas!I:I,'centraldecomunicacion.es'!H957)&gt;0</f>
        <v>0</v>
      </c>
    </row>
    <row r="958" spans="1:9">
      <c r="A958" t="s">
        <v>3450</v>
      </c>
      <c r="B958" t="s">
        <v>10</v>
      </c>
      <c r="C958" t="s">
        <v>3451</v>
      </c>
      <c r="D958" t="s">
        <v>3427</v>
      </c>
      <c r="E958" t="s">
        <v>3385</v>
      </c>
      <c r="F958" t="s">
        <v>3452</v>
      </c>
      <c r="G958" t="s">
        <v>3453</v>
      </c>
      <c r="H958" t="s">
        <v>30</v>
      </c>
      <c r="I958" t="b">
        <f>COUNTIF(Estadísticas!I:I,'centraldecomunicacion.es'!H958)&gt;0</f>
        <v>0</v>
      </c>
    </row>
    <row r="959" spans="1:9">
      <c r="A959" t="s">
        <v>3454</v>
      </c>
      <c r="B959" t="s">
        <v>10</v>
      </c>
      <c r="C959" t="s">
        <v>3455</v>
      </c>
      <c r="D959" t="s">
        <v>3442</v>
      </c>
      <c r="E959" t="s">
        <v>3385</v>
      </c>
      <c r="F959" t="s">
        <v>3456</v>
      </c>
      <c r="G959" t="s">
        <v>3457</v>
      </c>
      <c r="H959" t="s">
        <v>3458</v>
      </c>
      <c r="I959" t="b">
        <f>COUNTIF(Estadísticas!I:I,'centraldecomunicacion.es'!H959)&gt;0</f>
        <v>1</v>
      </c>
    </row>
    <row r="960" spans="1:9">
      <c r="A960" t="s">
        <v>3459</v>
      </c>
      <c r="B960" t="s">
        <v>10</v>
      </c>
      <c r="C960" t="s">
        <v>3460</v>
      </c>
      <c r="D960" t="s">
        <v>3461</v>
      </c>
      <c r="E960" t="s">
        <v>3385</v>
      </c>
      <c r="F960" t="s">
        <v>28</v>
      </c>
      <c r="G960" t="s">
        <v>28</v>
      </c>
      <c r="H960" t="s">
        <v>30</v>
      </c>
      <c r="I960" t="b">
        <f>COUNTIF(Estadísticas!I:I,'centraldecomunicacion.es'!H960)&gt;0</f>
        <v>0</v>
      </c>
    </row>
    <row r="961" spans="1:9">
      <c r="A961" t="s">
        <v>3462</v>
      </c>
      <c r="B961" t="s">
        <v>10</v>
      </c>
      <c r="C961" t="s">
        <v>3463</v>
      </c>
      <c r="D961" t="s">
        <v>3464</v>
      </c>
      <c r="E961" t="s">
        <v>3385</v>
      </c>
      <c r="F961" t="s">
        <v>28</v>
      </c>
      <c r="G961" t="s">
        <v>3465</v>
      </c>
      <c r="H961" t="s">
        <v>30</v>
      </c>
      <c r="I961" t="b">
        <f>COUNTIF(Estadísticas!I:I,'centraldecomunicacion.es'!H961)&gt;0</f>
        <v>0</v>
      </c>
    </row>
    <row r="962" spans="1:9">
      <c r="A962" t="s">
        <v>3466</v>
      </c>
      <c r="B962" t="s">
        <v>10</v>
      </c>
      <c r="C962" t="s">
        <v>3467</v>
      </c>
      <c r="D962" t="s">
        <v>3461</v>
      </c>
      <c r="E962" t="s">
        <v>3385</v>
      </c>
      <c r="F962" t="s">
        <v>28</v>
      </c>
      <c r="G962" t="s">
        <v>3468</v>
      </c>
      <c r="H962" t="s">
        <v>30</v>
      </c>
      <c r="I962" t="b">
        <f>COUNTIF(Estadísticas!I:I,'centraldecomunicacion.es'!H962)&gt;0</f>
        <v>0</v>
      </c>
    </row>
    <row r="963" spans="1:9">
      <c r="A963" t="s">
        <v>1306</v>
      </c>
      <c r="B963" t="s">
        <v>10</v>
      </c>
      <c r="C963" t="s">
        <v>3469</v>
      </c>
      <c r="D963" t="s">
        <v>3470</v>
      </c>
      <c r="E963" t="s">
        <v>3385</v>
      </c>
      <c r="F963" t="s">
        <v>3471</v>
      </c>
      <c r="G963" t="s">
        <v>3472</v>
      </c>
      <c r="H963" t="s">
        <v>30</v>
      </c>
      <c r="I963" t="b">
        <f>COUNTIF(Estadísticas!I:I,'centraldecomunicacion.es'!H963)&gt;0</f>
        <v>0</v>
      </c>
    </row>
    <row r="964" spans="1:9">
      <c r="A964" t="s">
        <v>3473</v>
      </c>
      <c r="B964" t="s">
        <v>10</v>
      </c>
      <c r="C964" t="s">
        <v>28</v>
      </c>
      <c r="D964" t="s">
        <v>3474</v>
      </c>
      <c r="E964" t="s">
        <v>28</v>
      </c>
      <c r="F964" t="s">
        <v>3475</v>
      </c>
      <c r="G964" t="s">
        <v>3476</v>
      </c>
      <c r="H964" t="s">
        <v>3477</v>
      </c>
      <c r="I964" t="b">
        <f>COUNTIF(Estadísticas!I:I,'centraldecomunicacion.es'!H964)&gt;0</f>
        <v>0</v>
      </c>
    </row>
    <row r="965" spans="1:9">
      <c r="A965" t="s">
        <v>3478</v>
      </c>
      <c r="B965" t="s">
        <v>10</v>
      </c>
      <c r="C965" t="s">
        <v>3479</v>
      </c>
      <c r="D965" t="s">
        <v>3480</v>
      </c>
      <c r="E965" t="s">
        <v>3480</v>
      </c>
      <c r="F965" t="s">
        <v>28</v>
      </c>
      <c r="G965" t="s">
        <v>3481</v>
      </c>
      <c r="H965" t="s">
        <v>30</v>
      </c>
      <c r="I965" t="b">
        <f>COUNTIF(Estadísticas!I:I,'centraldecomunicacion.es'!H965)&gt;0</f>
        <v>0</v>
      </c>
    </row>
    <row r="966" spans="1:9">
      <c r="A966" t="s">
        <v>3482</v>
      </c>
      <c r="B966" t="s">
        <v>10</v>
      </c>
      <c r="C966" t="s">
        <v>3483</v>
      </c>
      <c r="D966" t="s">
        <v>3484</v>
      </c>
      <c r="E966" t="s">
        <v>3385</v>
      </c>
      <c r="F966" t="s">
        <v>50</v>
      </c>
      <c r="G966" t="s">
        <v>3485</v>
      </c>
      <c r="H966" t="s">
        <v>30</v>
      </c>
      <c r="I966" t="b">
        <f>COUNTIF(Estadísticas!I:I,'centraldecomunicacion.es'!H966)&gt;0</f>
        <v>0</v>
      </c>
    </row>
    <row r="967" spans="1:9">
      <c r="A967" t="s">
        <v>3486</v>
      </c>
      <c r="B967" t="s">
        <v>10</v>
      </c>
      <c r="C967" t="s">
        <v>3487</v>
      </c>
      <c r="D967" t="s">
        <v>3442</v>
      </c>
      <c r="E967" t="s">
        <v>3385</v>
      </c>
      <c r="F967" t="s">
        <v>3488</v>
      </c>
      <c r="G967" t="s">
        <v>3489</v>
      </c>
      <c r="H967" t="s">
        <v>3490</v>
      </c>
      <c r="I967" t="b">
        <f>COUNTIF(Estadísticas!I:I,'centraldecomunicacion.es'!H967)&gt;0</f>
        <v>1</v>
      </c>
    </row>
    <row r="968" spans="1:9">
      <c r="A968" t="s">
        <v>3491</v>
      </c>
      <c r="B968" t="s">
        <v>10</v>
      </c>
      <c r="C968" t="s">
        <v>28</v>
      </c>
      <c r="D968" t="s">
        <v>3474</v>
      </c>
      <c r="E968" t="s">
        <v>28</v>
      </c>
      <c r="F968" t="s">
        <v>3492</v>
      </c>
      <c r="G968" t="s">
        <v>3493</v>
      </c>
      <c r="H968" t="s">
        <v>3494</v>
      </c>
      <c r="I968" t="b">
        <f>COUNTIF(Estadísticas!I:I,'centraldecomunicacion.es'!H968)&gt;0</f>
        <v>0</v>
      </c>
    </row>
    <row r="969" spans="1:9">
      <c r="A969" t="s">
        <v>3495</v>
      </c>
      <c r="B969" t="s">
        <v>10</v>
      </c>
      <c r="C969" t="s">
        <v>3496</v>
      </c>
      <c r="D969" t="s">
        <v>3434</v>
      </c>
      <c r="E969" t="s">
        <v>3385</v>
      </c>
      <c r="F969" t="s">
        <v>28</v>
      </c>
      <c r="G969" t="s">
        <v>3497</v>
      </c>
      <c r="H969" t="s">
        <v>30</v>
      </c>
      <c r="I969" t="b">
        <f>COUNTIF(Estadísticas!I:I,'centraldecomunicacion.es'!H969)&gt;0</f>
        <v>0</v>
      </c>
    </row>
    <row r="970" spans="1:9">
      <c r="A970" t="s">
        <v>3498</v>
      </c>
      <c r="B970" t="s">
        <v>10</v>
      </c>
      <c r="C970" t="s">
        <v>3499</v>
      </c>
      <c r="D970" t="s">
        <v>3470</v>
      </c>
      <c r="E970" t="s">
        <v>3385</v>
      </c>
      <c r="F970" t="s">
        <v>28</v>
      </c>
      <c r="G970" t="s">
        <v>3500</v>
      </c>
      <c r="H970" t="s">
        <v>30</v>
      </c>
      <c r="I970" t="b">
        <f>COUNTIF(Estadísticas!I:I,'centraldecomunicacion.es'!H970)&gt;0</f>
        <v>0</v>
      </c>
    </row>
    <row r="971" spans="1:9">
      <c r="A971" t="s">
        <v>3501</v>
      </c>
      <c r="B971" t="s">
        <v>10</v>
      </c>
      <c r="C971" t="s">
        <v>28</v>
      </c>
      <c r="D971" t="s">
        <v>3474</v>
      </c>
      <c r="E971" t="s">
        <v>28</v>
      </c>
      <c r="F971" t="s">
        <v>28</v>
      </c>
      <c r="G971" t="s">
        <v>3502</v>
      </c>
      <c r="H971" t="s">
        <v>30</v>
      </c>
      <c r="I971" t="b">
        <f>COUNTIF(Estadísticas!I:I,'centraldecomunicacion.es'!H971)&gt;0</f>
        <v>0</v>
      </c>
    </row>
    <row r="972" spans="1:9">
      <c r="A972" t="s">
        <v>3503</v>
      </c>
      <c r="B972" t="s">
        <v>10</v>
      </c>
      <c r="C972" t="s">
        <v>3504</v>
      </c>
      <c r="D972" t="s">
        <v>3505</v>
      </c>
      <c r="E972" t="s">
        <v>3385</v>
      </c>
      <c r="F972" t="s">
        <v>3506</v>
      </c>
      <c r="G972" t="s">
        <v>3507</v>
      </c>
      <c r="H972" t="s">
        <v>3508</v>
      </c>
      <c r="I972" t="b">
        <f>COUNTIF(Estadísticas!I:I,'centraldecomunicacion.es'!H972)&gt;0</f>
        <v>0</v>
      </c>
    </row>
    <row r="973" spans="1:9">
      <c r="A973" t="s">
        <v>3509</v>
      </c>
      <c r="B973" t="s">
        <v>10</v>
      </c>
      <c r="C973" t="s">
        <v>3510</v>
      </c>
      <c r="D973" t="s">
        <v>3442</v>
      </c>
      <c r="E973" t="s">
        <v>3385</v>
      </c>
      <c r="F973" t="s">
        <v>28</v>
      </c>
      <c r="G973" t="s">
        <v>28</v>
      </c>
      <c r="H973" t="s">
        <v>30</v>
      </c>
      <c r="I973" t="b">
        <f>COUNTIF(Estadísticas!I:I,'centraldecomunicacion.es'!H973)&gt;0</f>
        <v>0</v>
      </c>
    </row>
    <row r="974" spans="1:9">
      <c r="A974" t="s">
        <v>3511</v>
      </c>
      <c r="B974" t="s">
        <v>10</v>
      </c>
      <c r="C974" t="s">
        <v>3512</v>
      </c>
      <c r="D974" t="s">
        <v>3480</v>
      </c>
      <c r="E974" t="s">
        <v>3480</v>
      </c>
      <c r="F974" t="s">
        <v>3513</v>
      </c>
      <c r="G974" t="s">
        <v>3514</v>
      </c>
      <c r="H974" t="s">
        <v>30</v>
      </c>
      <c r="I974" t="b">
        <f>COUNTIF(Estadísticas!I:I,'centraldecomunicacion.es'!H974)&gt;0</f>
        <v>0</v>
      </c>
    </row>
    <row r="975" spans="1:9">
      <c r="A975" t="s">
        <v>3515</v>
      </c>
      <c r="B975" t="s">
        <v>10</v>
      </c>
      <c r="C975" t="s">
        <v>3516</v>
      </c>
      <c r="D975" t="s">
        <v>3505</v>
      </c>
      <c r="E975" t="s">
        <v>3385</v>
      </c>
      <c r="F975" t="s">
        <v>3517</v>
      </c>
      <c r="G975" t="s">
        <v>3518</v>
      </c>
      <c r="H975" t="s">
        <v>3519</v>
      </c>
      <c r="I975" t="b">
        <f>COUNTIF(Estadísticas!I:I,'centraldecomunicacion.es'!H975)&gt;0</f>
        <v>0</v>
      </c>
    </row>
    <row r="976" spans="1:9">
      <c r="A976" t="s">
        <v>3520</v>
      </c>
      <c r="B976" t="s">
        <v>10</v>
      </c>
      <c r="C976" t="s">
        <v>3521</v>
      </c>
      <c r="D976" t="s">
        <v>3480</v>
      </c>
      <c r="E976" t="s">
        <v>3480</v>
      </c>
      <c r="F976" t="s">
        <v>28</v>
      </c>
      <c r="G976" t="s">
        <v>3522</v>
      </c>
      <c r="H976" t="s">
        <v>30</v>
      </c>
      <c r="I976" t="b">
        <f>COUNTIF(Estadísticas!I:I,'centraldecomunicacion.es'!H976)&gt;0</f>
        <v>0</v>
      </c>
    </row>
    <row r="977" spans="1:9">
      <c r="A977" t="s">
        <v>3523</v>
      </c>
      <c r="B977" t="s">
        <v>10</v>
      </c>
      <c r="C977" t="s">
        <v>3524</v>
      </c>
      <c r="D977" t="s">
        <v>3525</v>
      </c>
      <c r="E977" t="s">
        <v>3385</v>
      </c>
      <c r="F977" t="s">
        <v>28</v>
      </c>
      <c r="G977" t="s">
        <v>28</v>
      </c>
      <c r="H977" t="s">
        <v>30</v>
      </c>
      <c r="I977" t="b">
        <f>COUNTIF(Estadísticas!I:I,'centraldecomunicacion.es'!H977)&gt;0</f>
        <v>0</v>
      </c>
    </row>
    <row r="978" spans="1:9">
      <c r="A978" t="s">
        <v>3526</v>
      </c>
      <c r="B978" t="s">
        <v>10</v>
      </c>
      <c r="C978" t="s">
        <v>3527</v>
      </c>
      <c r="D978" t="s">
        <v>3480</v>
      </c>
      <c r="E978" t="s">
        <v>3480</v>
      </c>
      <c r="F978" t="s">
        <v>3528</v>
      </c>
      <c r="G978" t="s">
        <v>3529</v>
      </c>
      <c r="H978" t="s">
        <v>30</v>
      </c>
      <c r="I978" t="b">
        <f>COUNTIF(Estadísticas!I:I,'centraldecomunicacion.es'!H978)&gt;0</f>
        <v>0</v>
      </c>
    </row>
    <row r="979" spans="1:9">
      <c r="A979" t="s">
        <v>3530</v>
      </c>
      <c r="B979" t="s">
        <v>10</v>
      </c>
      <c r="C979" t="s">
        <v>3531</v>
      </c>
      <c r="D979" t="s">
        <v>3532</v>
      </c>
      <c r="E979" t="s">
        <v>3480</v>
      </c>
      <c r="F979" t="s">
        <v>3533</v>
      </c>
      <c r="G979" t="s">
        <v>3534</v>
      </c>
      <c r="H979" t="s">
        <v>3535</v>
      </c>
      <c r="I979" t="b">
        <f>COUNTIF(Estadísticas!I:I,'centraldecomunicacion.es'!H979)&gt;0</f>
        <v>0</v>
      </c>
    </row>
    <row r="980" spans="1:9">
      <c r="A980" t="s">
        <v>3536</v>
      </c>
      <c r="B980" t="s">
        <v>10</v>
      </c>
      <c r="C980" t="s">
        <v>28</v>
      </c>
      <c r="D980" t="s">
        <v>3474</v>
      </c>
      <c r="E980" t="s">
        <v>28</v>
      </c>
      <c r="F980" t="s">
        <v>28</v>
      </c>
      <c r="G980" t="s">
        <v>3537</v>
      </c>
      <c r="H980" t="s">
        <v>30</v>
      </c>
      <c r="I980" t="b">
        <f>COUNTIF(Estadísticas!I:I,'centraldecomunicacion.es'!H980)&gt;0</f>
        <v>0</v>
      </c>
    </row>
    <row r="981" spans="1:9">
      <c r="A981" t="s">
        <v>3538</v>
      </c>
      <c r="B981" t="s">
        <v>10</v>
      </c>
      <c r="C981" t="s">
        <v>3539</v>
      </c>
      <c r="D981" t="s">
        <v>3540</v>
      </c>
      <c r="E981" t="s">
        <v>3480</v>
      </c>
      <c r="F981" t="s">
        <v>38</v>
      </c>
      <c r="G981" t="s">
        <v>3541</v>
      </c>
      <c r="H981" t="s">
        <v>30</v>
      </c>
      <c r="I981" t="b">
        <f>COUNTIF(Estadísticas!I:I,'centraldecomunicacion.es'!H981)&gt;0</f>
        <v>0</v>
      </c>
    </row>
    <row r="982" spans="1:9">
      <c r="A982" t="s">
        <v>2125</v>
      </c>
      <c r="B982" t="s">
        <v>10</v>
      </c>
      <c r="C982" t="s">
        <v>3542</v>
      </c>
      <c r="D982" t="s">
        <v>3543</v>
      </c>
      <c r="E982" t="s">
        <v>3544</v>
      </c>
      <c r="F982" t="s">
        <v>28</v>
      </c>
      <c r="G982" t="s">
        <v>3545</v>
      </c>
      <c r="H982" t="s">
        <v>30</v>
      </c>
      <c r="I982" t="b">
        <f>COUNTIF(Estadísticas!I:I,'centraldecomunicacion.es'!H982)&gt;0</f>
        <v>0</v>
      </c>
    </row>
    <row r="983" spans="1:9">
      <c r="A983" t="s">
        <v>3546</v>
      </c>
      <c r="B983" t="s">
        <v>10</v>
      </c>
      <c r="C983" t="s">
        <v>3547</v>
      </c>
      <c r="D983" t="s">
        <v>3480</v>
      </c>
      <c r="E983" t="s">
        <v>3480</v>
      </c>
      <c r="F983" t="s">
        <v>3548</v>
      </c>
      <c r="G983" t="s">
        <v>3549</v>
      </c>
      <c r="H983" t="s">
        <v>3550</v>
      </c>
      <c r="I983" t="b">
        <f>COUNTIF(Estadísticas!I:I,'centraldecomunicacion.es'!H983)&gt;0</f>
        <v>1</v>
      </c>
    </row>
    <row r="984" spans="1:9">
      <c r="A984" t="s">
        <v>3530</v>
      </c>
      <c r="B984" t="s">
        <v>10</v>
      </c>
      <c r="C984" t="s">
        <v>3551</v>
      </c>
      <c r="D984" t="s">
        <v>3552</v>
      </c>
      <c r="E984" t="s">
        <v>3480</v>
      </c>
      <c r="F984" t="s">
        <v>3533</v>
      </c>
      <c r="G984" t="s">
        <v>3553</v>
      </c>
      <c r="H984" t="s">
        <v>3535</v>
      </c>
      <c r="I984" t="b">
        <f>COUNTIF(Estadísticas!I:I,'centraldecomunicacion.es'!H984)&gt;0</f>
        <v>0</v>
      </c>
    </row>
    <row r="985" spans="1:9">
      <c r="A985" t="s">
        <v>3554</v>
      </c>
      <c r="B985" t="s">
        <v>10</v>
      </c>
      <c r="C985" t="s">
        <v>3555</v>
      </c>
      <c r="D985" t="s">
        <v>3480</v>
      </c>
      <c r="E985" t="s">
        <v>3480</v>
      </c>
      <c r="F985" t="s">
        <v>3556</v>
      </c>
      <c r="G985" t="s">
        <v>3557</v>
      </c>
      <c r="H985" t="s">
        <v>3558</v>
      </c>
      <c r="I985" t="b">
        <f>COUNTIF(Estadísticas!I:I,'centraldecomunicacion.es'!H985)&gt;0</f>
        <v>0</v>
      </c>
    </row>
    <row r="986" spans="1:9">
      <c r="A986" t="s">
        <v>3559</v>
      </c>
      <c r="B986" t="s">
        <v>10</v>
      </c>
      <c r="C986" t="s">
        <v>3560</v>
      </c>
      <c r="D986" t="s">
        <v>3480</v>
      </c>
      <c r="E986" t="s">
        <v>3480</v>
      </c>
      <c r="F986" t="s">
        <v>3556</v>
      </c>
      <c r="G986" t="s">
        <v>3561</v>
      </c>
      <c r="H986" t="s">
        <v>3558</v>
      </c>
      <c r="I986" t="b">
        <f>COUNTIF(Estadísticas!I:I,'centraldecomunicacion.es'!H986)&gt;0</f>
        <v>0</v>
      </c>
    </row>
    <row r="987" spans="1:9">
      <c r="A987" t="s">
        <v>926</v>
      </c>
      <c r="B987" t="s">
        <v>10</v>
      </c>
      <c r="C987" t="s">
        <v>3562</v>
      </c>
      <c r="D987" t="s">
        <v>3563</v>
      </c>
      <c r="E987" t="s">
        <v>3564</v>
      </c>
      <c r="F987" t="s">
        <v>3565</v>
      </c>
      <c r="G987" t="s">
        <v>3566</v>
      </c>
      <c r="H987" t="s">
        <v>30</v>
      </c>
      <c r="I987" t="b">
        <f>COUNTIF(Estadísticas!I:I,'centraldecomunicacion.es'!H987)&gt;0</f>
        <v>0</v>
      </c>
    </row>
    <row r="988" spans="1:9">
      <c r="A988" t="s">
        <v>3567</v>
      </c>
      <c r="B988" t="s">
        <v>10</v>
      </c>
      <c r="C988" t="s">
        <v>3568</v>
      </c>
      <c r="D988" t="s">
        <v>3569</v>
      </c>
      <c r="E988" t="s">
        <v>3570</v>
      </c>
      <c r="F988" t="s">
        <v>3571</v>
      </c>
      <c r="G988" t="s">
        <v>3572</v>
      </c>
      <c r="H988" t="s">
        <v>3573</v>
      </c>
      <c r="I988" t="b">
        <f>COUNTIF(Estadísticas!I:I,'centraldecomunicacion.es'!H988)&gt;0</f>
        <v>0</v>
      </c>
    </row>
    <row r="989" spans="1:9">
      <c r="A989" t="s">
        <v>3574</v>
      </c>
      <c r="B989" t="s">
        <v>10</v>
      </c>
      <c r="C989" t="s">
        <v>3575</v>
      </c>
      <c r="D989" t="s">
        <v>3576</v>
      </c>
      <c r="E989" t="s">
        <v>3480</v>
      </c>
      <c r="F989" t="s">
        <v>416</v>
      </c>
      <c r="G989" t="s">
        <v>3577</v>
      </c>
      <c r="H989" t="s">
        <v>30</v>
      </c>
      <c r="I989" t="b">
        <f>COUNTIF(Estadísticas!I:I,'centraldecomunicacion.es'!H989)&gt;0</f>
        <v>0</v>
      </c>
    </row>
    <row r="990" spans="1:9">
      <c r="A990" t="s">
        <v>3578</v>
      </c>
      <c r="B990" t="s">
        <v>10</v>
      </c>
      <c r="C990" t="s">
        <v>3579</v>
      </c>
      <c r="D990" t="s">
        <v>3576</v>
      </c>
      <c r="E990" t="s">
        <v>3480</v>
      </c>
      <c r="F990" t="s">
        <v>416</v>
      </c>
      <c r="G990" t="s">
        <v>3580</v>
      </c>
      <c r="H990" t="s">
        <v>30</v>
      </c>
      <c r="I990" t="b">
        <f>COUNTIF(Estadísticas!I:I,'centraldecomunicacion.es'!H990)&gt;0</f>
        <v>0</v>
      </c>
    </row>
    <row r="991" spans="1:9">
      <c r="A991" t="s">
        <v>3581</v>
      </c>
      <c r="B991" t="s">
        <v>10</v>
      </c>
      <c r="C991" t="s">
        <v>3582</v>
      </c>
      <c r="D991" t="s">
        <v>3583</v>
      </c>
      <c r="E991" t="s">
        <v>1868</v>
      </c>
      <c r="F991" t="s">
        <v>38</v>
      </c>
      <c r="G991" t="s">
        <v>3584</v>
      </c>
      <c r="H991" t="s">
        <v>30</v>
      </c>
      <c r="I991" t="b">
        <f>COUNTIF(Estadísticas!I:I,'centraldecomunicacion.es'!H991)&gt;0</f>
        <v>0</v>
      </c>
    </row>
    <row r="992" spans="1:9">
      <c r="A992" t="s">
        <v>3585</v>
      </c>
      <c r="B992" t="s">
        <v>10</v>
      </c>
      <c r="C992" t="s">
        <v>3586</v>
      </c>
      <c r="D992" t="s">
        <v>3587</v>
      </c>
      <c r="E992" t="s">
        <v>3587</v>
      </c>
      <c r="F992" t="s">
        <v>28</v>
      </c>
      <c r="G992" t="s">
        <v>3588</v>
      </c>
      <c r="H992" t="s">
        <v>30</v>
      </c>
      <c r="I992" t="b">
        <f>COUNTIF(Estadísticas!I:I,'centraldecomunicacion.es'!H992)&gt;0</f>
        <v>0</v>
      </c>
    </row>
    <row r="993" spans="1:9">
      <c r="A993" t="s">
        <v>3589</v>
      </c>
      <c r="B993" t="s">
        <v>10</v>
      </c>
      <c r="C993" t="s">
        <v>3590</v>
      </c>
      <c r="D993" t="s">
        <v>3587</v>
      </c>
      <c r="E993" t="s">
        <v>3587</v>
      </c>
      <c r="F993" t="s">
        <v>3591</v>
      </c>
      <c r="G993" t="s">
        <v>3592</v>
      </c>
      <c r="H993" t="s">
        <v>3593</v>
      </c>
      <c r="I993" t="b">
        <f>COUNTIF(Estadísticas!I:I,'centraldecomunicacion.es'!H993)&gt;0</f>
        <v>0</v>
      </c>
    </row>
    <row r="994" spans="1:9">
      <c r="A994" t="s">
        <v>3594</v>
      </c>
      <c r="B994" t="s">
        <v>10</v>
      </c>
      <c r="C994" t="s">
        <v>3595</v>
      </c>
      <c r="D994" t="s">
        <v>3587</v>
      </c>
      <c r="E994" t="s">
        <v>3587</v>
      </c>
      <c r="F994" t="s">
        <v>28</v>
      </c>
      <c r="G994" t="s">
        <v>3596</v>
      </c>
      <c r="H994" t="s">
        <v>30</v>
      </c>
      <c r="I994" t="b">
        <f>COUNTIF(Estadísticas!I:I,'centraldecomunicacion.es'!H994)&gt;0</f>
        <v>0</v>
      </c>
    </row>
    <row r="995" spans="1:9">
      <c r="A995" t="s">
        <v>26</v>
      </c>
      <c r="B995" t="s">
        <v>10</v>
      </c>
      <c r="C995" t="s">
        <v>3597</v>
      </c>
      <c r="D995" t="s">
        <v>3587</v>
      </c>
      <c r="E995" t="s">
        <v>3587</v>
      </c>
      <c r="F995" t="s">
        <v>28</v>
      </c>
      <c r="G995" t="s">
        <v>396</v>
      </c>
      <c r="H995" t="s">
        <v>30</v>
      </c>
      <c r="I995" t="b">
        <f>COUNTIF(Estadísticas!I:I,'centraldecomunicacion.es'!H995)&gt;0</f>
        <v>0</v>
      </c>
    </row>
    <row r="996" spans="1:9">
      <c r="A996" t="s">
        <v>3598</v>
      </c>
      <c r="B996" t="s">
        <v>10</v>
      </c>
      <c r="C996" t="s">
        <v>3599</v>
      </c>
      <c r="D996" t="s">
        <v>3587</v>
      </c>
      <c r="E996" t="s">
        <v>3587</v>
      </c>
      <c r="F996" t="s">
        <v>3600</v>
      </c>
      <c r="G996" t="s">
        <v>3601</v>
      </c>
      <c r="H996" t="s">
        <v>3602</v>
      </c>
      <c r="I996" t="b">
        <f>COUNTIF(Estadísticas!I:I,'centraldecomunicacion.es'!H996)&gt;0</f>
        <v>1</v>
      </c>
    </row>
    <row r="997" spans="1:9">
      <c r="A997" t="s">
        <v>3603</v>
      </c>
      <c r="B997" t="s">
        <v>10</v>
      </c>
      <c r="C997" t="s">
        <v>3604</v>
      </c>
      <c r="D997" t="s">
        <v>3587</v>
      </c>
      <c r="E997" t="s">
        <v>3587</v>
      </c>
      <c r="F997" t="s">
        <v>3605</v>
      </c>
      <c r="G997" t="s">
        <v>3606</v>
      </c>
      <c r="H997" t="s">
        <v>3607</v>
      </c>
      <c r="I997" t="b">
        <f>COUNTIF(Estadísticas!I:I,'centraldecomunicacion.es'!H997)&gt;0</f>
        <v>0</v>
      </c>
    </row>
    <row r="998" spans="1:9">
      <c r="A998" t="s">
        <v>3608</v>
      </c>
      <c r="B998" t="s">
        <v>10</v>
      </c>
      <c r="C998" t="s">
        <v>3609</v>
      </c>
      <c r="D998" t="s">
        <v>3587</v>
      </c>
      <c r="E998" t="s">
        <v>3587</v>
      </c>
      <c r="F998" t="s">
        <v>28</v>
      </c>
      <c r="G998" t="s">
        <v>3610</v>
      </c>
      <c r="H998" t="s">
        <v>30</v>
      </c>
      <c r="I998" t="b">
        <f>COUNTIF(Estadísticas!I:I,'centraldecomunicacion.es'!H998)&gt;0</f>
        <v>0</v>
      </c>
    </row>
    <row r="999" spans="1:9">
      <c r="A999" t="s">
        <v>3611</v>
      </c>
      <c r="B999" t="s">
        <v>10</v>
      </c>
      <c r="C999" t="s">
        <v>3612</v>
      </c>
      <c r="D999" t="s">
        <v>3613</v>
      </c>
      <c r="E999" t="s">
        <v>3587</v>
      </c>
      <c r="F999" t="s">
        <v>28</v>
      </c>
      <c r="G999" t="s">
        <v>3614</v>
      </c>
      <c r="H999" t="s">
        <v>30</v>
      </c>
      <c r="I999" t="b">
        <f>COUNTIF(Estadísticas!I:I,'centraldecomunicacion.es'!H999)&gt;0</f>
        <v>0</v>
      </c>
    </row>
    <row r="1000" spans="1:9">
      <c r="A1000" t="s">
        <v>3615</v>
      </c>
      <c r="B1000" t="s">
        <v>10</v>
      </c>
      <c r="C1000" t="s">
        <v>3616</v>
      </c>
      <c r="D1000" t="s">
        <v>3617</v>
      </c>
      <c r="E1000" t="s">
        <v>3587</v>
      </c>
      <c r="F1000" t="s">
        <v>28</v>
      </c>
      <c r="G1000" t="s">
        <v>3618</v>
      </c>
      <c r="H1000" t="s">
        <v>30</v>
      </c>
      <c r="I1000" t="b">
        <f>COUNTIF(Estadísticas!I:I,'centraldecomunicacion.es'!H1000)&gt;0</f>
        <v>0</v>
      </c>
    </row>
    <row r="1001" spans="1:9">
      <c r="A1001" t="s">
        <v>3619</v>
      </c>
      <c r="B1001" t="s">
        <v>10</v>
      </c>
      <c r="C1001" t="s">
        <v>3620</v>
      </c>
      <c r="D1001" t="s">
        <v>1879</v>
      </c>
      <c r="E1001" t="s">
        <v>1879</v>
      </c>
      <c r="F1001" t="s">
        <v>50</v>
      </c>
      <c r="G1001" t="s">
        <v>3621</v>
      </c>
      <c r="H1001" t="s">
        <v>30</v>
      </c>
      <c r="I1001" t="b">
        <f>COUNTIF(Estadísticas!I:I,'centraldecomunicacion.es'!H1001)&gt;0</f>
        <v>0</v>
      </c>
    </row>
    <row r="1002" spans="1:9">
      <c r="A1002" t="s">
        <v>3622</v>
      </c>
      <c r="B1002" t="s">
        <v>10</v>
      </c>
      <c r="C1002" t="s">
        <v>3623</v>
      </c>
      <c r="D1002" t="s">
        <v>3624</v>
      </c>
      <c r="E1002" t="s">
        <v>3587</v>
      </c>
      <c r="F1002" t="s">
        <v>746</v>
      </c>
      <c r="G1002" t="s">
        <v>3625</v>
      </c>
      <c r="H1002" t="s">
        <v>30</v>
      </c>
      <c r="I1002" t="b">
        <f>COUNTIF(Estadísticas!I:I,'centraldecomunicacion.es'!H1002)&gt;0</f>
        <v>0</v>
      </c>
    </row>
    <row r="1003" spans="1:9">
      <c r="A1003" t="s">
        <v>3626</v>
      </c>
      <c r="B1003" t="s">
        <v>10</v>
      </c>
      <c r="C1003" t="s">
        <v>3627</v>
      </c>
      <c r="D1003" t="s">
        <v>3624</v>
      </c>
      <c r="E1003" t="s">
        <v>3587</v>
      </c>
      <c r="F1003" t="s">
        <v>28</v>
      </c>
      <c r="G1003" t="s">
        <v>3628</v>
      </c>
      <c r="H1003" t="s">
        <v>30</v>
      </c>
      <c r="I1003" t="b">
        <f>COUNTIF(Estadísticas!I:I,'centraldecomunicacion.es'!H1003)&gt;0</f>
        <v>0</v>
      </c>
    </row>
    <row r="1004" spans="1:9">
      <c r="A1004" t="s">
        <v>3629</v>
      </c>
      <c r="B1004" t="s">
        <v>10</v>
      </c>
      <c r="C1004" t="s">
        <v>3630</v>
      </c>
      <c r="D1004" t="s">
        <v>3631</v>
      </c>
      <c r="E1004" t="s">
        <v>3587</v>
      </c>
      <c r="F1004" t="s">
        <v>3632</v>
      </c>
      <c r="G1004" t="s">
        <v>3633</v>
      </c>
      <c r="H1004" t="s">
        <v>3634</v>
      </c>
      <c r="I1004" t="b">
        <f>COUNTIF(Estadísticas!I:I,'centraldecomunicacion.es'!H1004)&gt;0</f>
        <v>0</v>
      </c>
    </row>
    <row r="1005" spans="1:9">
      <c r="A1005" t="s">
        <v>3635</v>
      </c>
      <c r="B1005" t="s">
        <v>10</v>
      </c>
      <c r="C1005" t="s">
        <v>3636</v>
      </c>
      <c r="D1005" t="s">
        <v>3637</v>
      </c>
      <c r="E1005" t="s">
        <v>3587</v>
      </c>
      <c r="F1005" t="s">
        <v>3638</v>
      </c>
      <c r="G1005" t="s">
        <v>3639</v>
      </c>
      <c r="H1005" t="s">
        <v>3640</v>
      </c>
      <c r="I1005" t="b">
        <f>COUNTIF(Estadísticas!I:I,'centraldecomunicacion.es'!H1005)&gt;0</f>
        <v>0</v>
      </c>
    </row>
    <row r="1006" spans="1:9">
      <c r="A1006" t="s">
        <v>3641</v>
      </c>
      <c r="B1006" t="s">
        <v>10</v>
      </c>
      <c r="C1006" t="s">
        <v>3642</v>
      </c>
      <c r="D1006" t="s">
        <v>3643</v>
      </c>
      <c r="E1006" t="s">
        <v>3587</v>
      </c>
      <c r="F1006" t="s">
        <v>3644</v>
      </c>
      <c r="G1006" t="s">
        <v>3645</v>
      </c>
      <c r="H1006" t="s">
        <v>3646</v>
      </c>
      <c r="I1006" t="b">
        <f>COUNTIF(Estadísticas!I:I,'centraldecomunicacion.es'!H1006)&gt;0</f>
        <v>0</v>
      </c>
    </row>
    <row r="1007" spans="1:9">
      <c r="A1007" t="s">
        <v>3647</v>
      </c>
      <c r="B1007" t="s">
        <v>10</v>
      </c>
      <c r="C1007" t="s">
        <v>3648</v>
      </c>
      <c r="D1007" t="s">
        <v>3649</v>
      </c>
      <c r="E1007" t="s">
        <v>3587</v>
      </c>
      <c r="F1007" t="s">
        <v>50</v>
      </c>
      <c r="G1007" t="s">
        <v>28</v>
      </c>
      <c r="H1007" t="s">
        <v>30</v>
      </c>
      <c r="I1007" t="b">
        <f>COUNTIF(Estadísticas!I:I,'centraldecomunicacion.es'!H1007)&gt;0</f>
        <v>0</v>
      </c>
    </row>
    <row r="1008" spans="1:9">
      <c r="A1008" t="s">
        <v>3650</v>
      </c>
      <c r="B1008" t="s">
        <v>10</v>
      </c>
      <c r="C1008" t="s">
        <v>3651</v>
      </c>
      <c r="D1008" t="s">
        <v>3631</v>
      </c>
      <c r="E1008" t="s">
        <v>3587</v>
      </c>
      <c r="F1008" t="s">
        <v>3652</v>
      </c>
      <c r="G1008" t="s">
        <v>3653</v>
      </c>
      <c r="H1008" t="s">
        <v>3654</v>
      </c>
      <c r="I1008" t="b">
        <f>COUNTIF(Estadísticas!I:I,'centraldecomunicacion.es'!H1008)&gt;0</f>
        <v>1</v>
      </c>
    </row>
    <row r="1009" spans="1:9">
      <c r="A1009" t="s">
        <v>3655</v>
      </c>
      <c r="B1009" t="s">
        <v>10</v>
      </c>
      <c r="C1009" t="s">
        <v>28</v>
      </c>
      <c r="D1009" t="s">
        <v>3656</v>
      </c>
      <c r="E1009" t="s">
        <v>28</v>
      </c>
      <c r="F1009" t="s">
        <v>3657</v>
      </c>
      <c r="G1009" t="s">
        <v>3658</v>
      </c>
      <c r="H1009" t="s">
        <v>3659</v>
      </c>
      <c r="I1009" t="b">
        <f>COUNTIF(Estadísticas!I:I,'centraldecomunicacion.es'!H1009)&gt;0</f>
        <v>0</v>
      </c>
    </row>
    <row r="1010" spans="1:9">
      <c r="A1010" t="s">
        <v>3660</v>
      </c>
      <c r="B1010" t="s">
        <v>10</v>
      </c>
      <c r="C1010" t="s">
        <v>3661</v>
      </c>
      <c r="D1010" t="s">
        <v>3480</v>
      </c>
      <c r="E1010" t="s">
        <v>3480</v>
      </c>
      <c r="F1010" t="s">
        <v>3662</v>
      </c>
      <c r="G1010" t="s">
        <v>3663</v>
      </c>
      <c r="H1010" t="s">
        <v>30</v>
      </c>
      <c r="I1010" t="b">
        <f>COUNTIF(Estadísticas!I:I,'centraldecomunicacion.es'!H1010)&gt;0</f>
        <v>0</v>
      </c>
    </row>
    <row r="1011" spans="1:9">
      <c r="A1011" t="s">
        <v>10</v>
      </c>
      <c r="B1011" t="s">
        <v>10</v>
      </c>
      <c r="C1011" t="s">
        <v>3664</v>
      </c>
      <c r="D1011" t="s">
        <v>3480</v>
      </c>
      <c r="E1011" t="s">
        <v>3480</v>
      </c>
      <c r="F1011" t="s">
        <v>3665</v>
      </c>
      <c r="G1011" t="s">
        <v>28</v>
      </c>
      <c r="H1011" t="s">
        <v>3666</v>
      </c>
      <c r="I1011" t="b">
        <f>COUNTIF(Estadísticas!I:I,'centraldecomunicacion.es'!H1011)&gt;0</f>
        <v>1</v>
      </c>
    </row>
    <row r="1012" spans="1:9">
      <c r="A1012" t="s">
        <v>3667</v>
      </c>
      <c r="B1012" t="s">
        <v>10</v>
      </c>
      <c r="C1012" t="s">
        <v>3668</v>
      </c>
      <c r="D1012" t="s">
        <v>3480</v>
      </c>
      <c r="E1012" t="s">
        <v>3480</v>
      </c>
      <c r="F1012" t="s">
        <v>3669</v>
      </c>
      <c r="G1012" t="s">
        <v>3670</v>
      </c>
      <c r="H1012" t="s">
        <v>30</v>
      </c>
      <c r="I1012" t="b">
        <f>COUNTIF(Estadísticas!I:I,'centraldecomunicacion.es'!H1012)&gt;0</f>
        <v>0</v>
      </c>
    </row>
    <row r="1013" spans="1:9">
      <c r="A1013" t="s">
        <v>3671</v>
      </c>
      <c r="B1013" t="s">
        <v>10</v>
      </c>
      <c r="C1013" t="s">
        <v>3672</v>
      </c>
      <c r="D1013" t="s">
        <v>3480</v>
      </c>
      <c r="E1013" t="s">
        <v>3480</v>
      </c>
      <c r="F1013" t="s">
        <v>3673</v>
      </c>
      <c r="G1013" t="s">
        <v>3674</v>
      </c>
      <c r="H1013" t="s">
        <v>30</v>
      </c>
      <c r="I1013" t="b">
        <f>COUNTIF(Estadísticas!I:I,'centraldecomunicacion.es'!H1013)&gt;0</f>
        <v>0</v>
      </c>
    </row>
    <row r="1014" spans="1:9">
      <c r="A1014" t="s">
        <v>3675</v>
      </c>
      <c r="B1014" t="s">
        <v>10</v>
      </c>
      <c r="C1014" t="s">
        <v>3676</v>
      </c>
      <c r="D1014" t="s">
        <v>3480</v>
      </c>
      <c r="E1014" t="s">
        <v>3480</v>
      </c>
      <c r="F1014" t="s">
        <v>3677</v>
      </c>
      <c r="G1014" t="s">
        <v>3678</v>
      </c>
      <c r="H1014" t="s">
        <v>30</v>
      </c>
      <c r="I1014" t="b">
        <f>COUNTIF(Estadísticas!I:I,'centraldecomunicacion.es'!H1014)&gt;0</f>
        <v>0</v>
      </c>
    </row>
    <row r="1015" spans="1:9">
      <c r="A1015" t="s">
        <v>3679</v>
      </c>
      <c r="B1015" t="s">
        <v>10</v>
      </c>
      <c r="C1015" t="s">
        <v>3680</v>
      </c>
      <c r="D1015" t="s">
        <v>3480</v>
      </c>
      <c r="E1015" t="s">
        <v>3480</v>
      </c>
      <c r="F1015" t="s">
        <v>3681</v>
      </c>
      <c r="G1015" t="s">
        <v>3682</v>
      </c>
      <c r="H1015" t="s">
        <v>30</v>
      </c>
      <c r="I1015" t="b">
        <f>COUNTIF(Estadísticas!I:I,'centraldecomunicacion.es'!H1015)&gt;0</f>
        <v>0</v>
      </c>
    </row>
    <row r="1016" spans="1:9">
      <c r="A1016" t="s">
        <v>3683</v>
      </c>
      <c r="B1016" t="s">
        <v>10</v>
      </c>
      <c r="C1016" t="s">
        <v>3684</v>
      </c>
      <c r="D1016" t="s">
        <v>3480</v>
      </c>
      <c r="E1016" t="s">
        <v>3480</v>
      </c>
      <c r="F1016" t="s">
        <v>3685</v>
      </c>
      <c r="G1016" t="s">
        <v>3686</v>
      </c>
      <c r="H1016" t="s">
        <v>3687</v>
      </c>
      <c r="I1016" t="b">
        <f>COUNTIF(Estadísticas!I:I,'centraldecomunicacion.es'!H1016)&gt;0</f>
        <v>0</v>
      </c>
    </row>
    <row r="1017" spans="1:9">
      <c r="A1017" t="s">
        <v>3688</v>
      </c>
      <c r="B1017" t="s">
        <v>10</v>
      </c>
      <c r="C1017" t="s">
        <v>3689</v>
      </c>
      <c r="D1017" t="s">
        <v>3480</v>
      </c>
      <c r="E1017" t="s">
        <v>3480</v>
      </c>
      <c r="F1017" t="s">
        <v>3690</v>
      </c>
      <c r="G1017" t="s">
        <v>3691</v>
      </c>
      <c r="H1017" t="s">
        <v>30</v>
      </c>
      <c r="I1017" t="b">
        <f>COUNTIF(Estadísticas!I:I,'centraldecomunicacion.es'!H1017)&gt;0</f>
        <v>0</v>
      </c>
    </row>
    <row r="1018" spans="1:9">
      <c r="A1018" t="s">
        <v>3692</v>
      </c>
      <c r="B1018" t="s">
        <v>10</v>
      </c>
      <c r="C1018" t="s">
        <v>3693</v>
      </c>
      <c r="D1018" t="s">
        <v>3480</v>
      </c>
      <c r="E1018" t="s">
        <v>3480</v>
      </c>
      <c r="F1018" t="s">
        <v>3694</v>
      </c>
      <c r="G1018" t="s">
        <v>3695</v>
      </c>
      <c r="H1018" t="s">
        <v>3696</v>
      </c>
      <c r="I1018" t="b">
        <f>COUNTIF(Estadísticas!I:I,'centraldecomunicacion.es'!H1018)&gt;0</f>
        <v>0</v>
      </c>
    </row>
    <row r="1019" spans="1:9">
      <c r="A1019" t="s">
        <v>10</v>
      </c>
      <c r="B1019" t="s">
        <v>10</v>
      </c>
      <c r="C1019" t="s">
        <v>3697</v>
      </c>
      <c r="D1019" t="s">
        <v>3480</v>
      </c>
      <c r="E1019" t="s">
        <v>3480</v>
      </c>
      <c r="F1019" t="s">
        <v>3698</v>
      </c>
      <c r="G1019" t="s">
        <v>3699</v>
      </c>
      <c r="H1019" t="s">
        <v>30</v>
      </c>
      <c r="I1019" t="b">
        <f>COUNTIF(Estadísticas!I:I,'centraldecomunicacion.es'!H1019)&gt;0</f>
        <v>0</v>
      </c>
    </row>
    <row r="1020" spans="1:9">
      <c r="A1020" t="s">
        <v>3700</v>
      </c>
      <c r="B1020" t="s">
        <v>10</v>
      </c>
      <c r="C1020" t="s">
        <v>3701</v>
      </c>
      <c r="D1020" t="s">
        <v>3480</v>
      </c>
      <c r="E1020" t="s">
        <v>3480</v>
      </c>
      <c r="F1020" t="s">
        <v>3702</v>
      </c>
      <c r="G1020" t="s">
        <v>3703</v>
      </c>
      <c r="H1020" t="s">
        <v>3704</v>
      </c>
      <c r="I1020" t="b">
        <f>COUNTIF(Estadísticas!I:I,'centraldecomunicacion.es'!H1020)&gt;0</f>
        <v>0</v>
      </c>
    </row>
    <row r="1021" spans="1:9">
      <c r="A1021" t="s">
        <v>3705</v>
      </c>
      <c r="B1021" t="s">
        <v>10</v>
      </c>
      <c r="C1021" t="s">
        <v>3706</v>
      </c>
      <c r="D1021" t="s">
        <v>3480</v>
      </c>
      <c r="E1021" t="s">
        <v>3480</v>
      </c>
      <c r="F1021" t="s">
        <v>28</v>
      </c>
      <c r="G1021" t="s">
        <v>3707</v>
      </c>
      <c r="H1021" t="s">
        <v>30</v>
      </c>
      <c r="I1021" t="b">
        <f>COUNTIF(Estadísticas!I:I,'centraldecomunicacion.es'!H1021)&gt;0</f>
        <v>0</v>
      </c>
    </row>
    <row r="1022" spans="1:9">
      <c r="A1022" t="s">
        <v>3708</v>
      </c>
      <c r="B1022" t="s">
        <v>10</v>
      </c>
      <c r="C1022" t="s">
        <v>3709</v>
      </c>
      <c r="D1022" t="s">
        <v>3480</v>
      </c>
      <c r="E1022" t="s">
        <v>3480</v>
      </c>
      <c r="F1022" t="s">
        <v>3710</v>
      </c>
      <c r="G1022" t="s">
        <v>3711</v>
      </c>
      <c r="H1022" t="s">
        <v>3712</v>
      </c>
      <c r="I1022" t="b">
        <f>COUNTIF(Estadísticas!I:I,'centraldecomunicacion.es'!H1022)&gt;0</f>
        <v>1</v>
      </c>
    </row>
    <row r="1023" spans="1:9">
      <c r="A1023" t="s">
        <v>3713</v>
      </c>
      <c r="B1023" t="s">
        <v>10</v>
      </c>
      <c r="C1023" t="s">
        <v>3714</v>
      </c>
      <c r="D1023" t="s">
        <v>3480</v>
      </c>
      <c r="E1023" t="s">
        <v>3480</v>
      </c>
      <c r="F1023" t="s">
        <v>3665</v>
      </c>
      <c r="G1023" t="s">
        <v>3715</v>
      </c>
      <c r="H1023" t="s">
        <v>3666</v>
      </c>
      <c r="I1023" t="b">
        <f>COUNTIF(Estadísticas!I:I,'centraldecomunicacion.es'!H1023)&gt;0</f>
        <v>1</v>
      </c>
    </row>
    <row r="1024" spans="1:9">
      <c r="A1024" t="s">
        <v>3716</v>
      </c>
      <c r="B1024" t="s">
        <v>10</v>
      </c>
      <c r="C1024" t="s">
        <v>3717</v>
      </c>
      <c r="D1024" t="s">
        <v>3480</v>
      </c>
      <c r="E1024" t="s">
        <v>3480</v>
      </c>
      <c r="F1024" t="s">
        <v>3718</v>
      </c>
      <c r="G1024" t="s">
        <v>3719</v>
      </c>
      <c r="H1024" t="s">
        <v>30</v>
      </c>
      <c r="I1024" t="b">
        <f>COUNTIF(Estadísticas!I:I,'centraldecomunicacion.es'!H1024)&gt;0</f>
        <v>0</v>
      </c>
    </row>
    <row r="1025" spans="1:9">
      <c r="A1025" t="s">
        <v>3720</v>
      </c>
      <c r="B1025" t="s">
        <v>10</v>
      </c>
      <c r="C1025" t="s">
        <v>3721</v>
      </c>
      <c r="D1025" t="s">
        <v>3480</v>
      </c>
      <c r="E1025" t="s">
        <v>3480</v>
      </c>
      <c r="F1025" t="s">
        <v>3722</v>
      </c>
      <c r="G1025" t="s">
        <v>3723</v>
      </c>
      <c r="H1025" t="s">
        <v>3724</v>
      </c>
      <c r="I1025" t="b">
        <f>COUNTIF(Estadísticas!I:I,'centraldecomunicacion.es'!H1025)&gt;0</f>
        <v>1</v>
      </c>
    </row>
    <row r="1026" spans="1:9">
      <c r="A1026" t="s">
        <v>3725</v>
      </c>
      <c r="B1026" t="s">
        <v>10</v>
      </c>
      <c r="C1026" t="s">
        <v>3726</v>
      </c>
      <c r="D1026" t="s">
        <v>3480</v>
      </c>
      <c r="E1026" t="s">
        <v>3480</v>
      </c>
      <c r="F1026" t="s">
        <v>28</v>
      </c>
      <c r="G1026" t="s">
        <v>3727</v>
      </c>
      <c r="H1026" t="s">
        <v>30</v>
      </c>
      <c r="I1026" t="b">
        <f>COUNTIF(Estadísticas!I:I,'centraldecomunicacion.es'!H1026)&gt;0</f>
        <v>0</v>
      </c>
    </row>
    <row r="1027" spans="1:9">
      <c r="A1027" t="s">
        <v>3728</v>
      </c>
      <c r="B1027" t="s">
        <v>10</v>
      </c>
      <c r="C1027" t="s">
        <v>3729</v>
      </c>
      <c r="D1027" t="s">
        <v>3480</v>
      </c>
      <c r="E1027" t="s">
        <v>3480</v>
      </c>
      <c r="F1027" t="s">
        <v>3730</v>
      </c>
      <c r="G1027" t="s">
        <v>3731</v>
      </c>
      <c r="H1027" t="s">
        <v>3732</v>
      </c>
      <c r="I1027" t="b">
        <f>COUNTIF(Estadísticas!I:I,'centraldecomunicacion.es'!H1027)&gt;0</f>
        <v>1</v>
      </c>
    </row>
    <row r="1028" spans="1:9">
      <c r="A1028" t="s">
        <v>3733</v>
      </c>
      <c r="B1028" t="s">
        <v>10</v>
      </c>
      <c r="C1028" t="s">
        <v>3734</v>
      </c>
      <c r="D1028" t="s">
        <v>3480</v>
      </c>
      <c r="E1028" t="s">
        <v>3480</v>
      </c>
      <c r="F1028" t="s">
        <v>3735</v>
      </c>
      <c r="G1028" t="s">
        <v>3736</v>
      </c>
      <c r="H1028" t="s">
        <v>3737</v>
      </c>
      <c r="I1028" t="b">
        <f>COUNTIF(Estadísticas!I:I,'centraldecomunicacion.es'!H1028)&gt;0</f>
        <v>1</v>
      </c>
    </row>
    <row r="1029" spans="1:9">
      <c r="A1029" t="s">
        <v>3738</v>
      </c>
      <c r="B1029" t="s">
        <v>10</v>
      </c>
      <c r="C1029" t="s">
        <v>3739</v>
      </c>
      <c r="D1029" t="s">
        <v>3480</v>
      </c>
      <c r="E1029" t="s">
        <v>3480</v>
      </c>
      <c r="F1029" t="s">
        <v>3740</v>
      </c>
      <c r="G1029" t="s">
        <v>3741</v>
      </c>
      <c r="H1029" t="s">
        <v>3742</v>
      </c>
      <c r="I1029" t="b">
        <f>COUNTIF(Estadísticas!I:I,'centraldecomunicacion.es'!H1029)&gt;0</f>
        <v>1</v>
      </c>
    </row>
    <row r="1030" spans="1:9">
      <c r="A1030" t="s">
        <v>3728</v>
      </c>
      <c r="B1030" t="s">
        <v>10</v>
      </c>
      <c r="C1030" t="s">
        <v>3743</v>
      </c>
      <c r="D1030" t="s">
        <v>3480</v>
      </c>
      <c r="E1030" t="s">
        <v>3480</v>
      </c>
      <c r="F1030" t="s">
        <v>3730</v>
      </c>
      <c r="G1030" t="s">
        <v>3744</v>
      </c>
      <c r="H1030" t="s">
        <v>3732</v>
      </c>
      <c r="I1030" t="b">
        <f>COUNTIF(Estadísticas!I:I,'centraldecomunicacion.es'!H1030)&gt;0</f>
        <v>1</v>
      </c>
    </row>
    <row r="1031" spans="1:9">
      <c r="A1031" t="s">
        <v>3745</v>
      </c>
      <c r="B1031" t="s">
        <v>10</v>
      </c>
      <c r="C1031" t="s">
        <v>3746</v>
      </c>
      <c r="D1031" t="s">
        <v>3480</v>
      </c>
      <c r="E1031" t="s">
        <v>3480</v>
      </c>
      <c r="F1031" t="s">
        <v>3669</v>
      </c>
      <c r="G1031" t="s">
        <v>3747</v>
      </c>
      <c r="H1031" t="s">
        <v>30</v>
      </c>
      <c r="I1031" t="b">
        <f>COUNTIF(Estadísticas!I:I,'centraldecomunicacion.es'!H1031)&gt;0</f>
        <v>0</v>
      </c>
    </row>
    <row r="1032" spans="1:9">
      <c r="A1032" t="s">
        <v>3748</v>
      </c>
      <c r="B1032" t="s">
        <v>10</v>
      </c>
      <c r="C1032" t="s">
        <v>3749</v>
      </c>
      <c r="D1032" t="s">
        <v>3480</v>
      </c>
      <c r="E1032" t="s">
        <v>3480</v>
      </c>
      <c r="F1032" t="s">
        <v>3750</v>
      </c>
      <c r="G1032" t="s">
        <v>3751</v>
      </c>
      <c r="H1032" t="s">
        <v>3752</v>
      </c>
      <c r="I1032" t="b">
        <f>COUNTIF(Estadísticas!I:I,'centraldecomunicacion.es'!H1032)&gt;0</f>
        <v>1</v>
      </c>
    </row>
    <row r="1033" spans="1:9">
      <c r="A1033" t="s">
        <v>3753</v>
      </c>
      <c r="B1033" t="s">
        <v>10</v>
      </c>
      <c r="C1033" t="s">
        <v>3754</v>
      </c>
      <c r="D1033" t="s">
        <v>3480</v>
      </c>
      <c r="E1033" t="s">
        <v>3480</v>
      </c>
      <c r="F1033" t="s">
        <v>3755</v>
      </c>
      <c r="G1033" t="s">
        <v>3756</v>
      </c>
      <c r="H1033" t="s">
        <v>30</v>
      </c>
      <c r="I1033" t="b">
        <f>COUNTIF(Estadísticas!I:I,'centraldecomunicacion.es'!H1033)&gt;0</f>
        <v>0</v>
      </c>
    </row>
    <row r="1034" spans="1:9">
      <c r="A1034" t="s">
        <v>3757</v>
      </c>
      <c r="B1034" t="s">
        <v>10</v>
      </c>
      <c r="C1034" t="s">
        <v>3758</v>
      </c>
      <c r="D1034" t="s">
        <v>3480</v>
      </c>
      <c r="E1034" t="s">
        <v>3480</v>
      </c>
      <c r="F1034" t="s">
        <v>3759</v>
      </c>
      <c r="G1034" t="s">
        <v>3760</v>
      </c>
      <c r="H1034" t="s">
        <v>30</v>
      </c>
      <c r="I1034" t="b">
        <f>COUNTIF(Estadísticas!I:I,'centraldecomunicacion.es'!H1034)&gt;0</f>
        <v>0</v>
      </c>
    </row>
    <row r="1035" spans="1:9">
      <c r="A1035" t="s">
        <v>3761</v>
      </c>
      <c r="B1035" t="s">
        <v>10</v>
      </c>
      <c r="C1035" t="s">
        <v>3762</v>
      </c>
      <c r="D1035" t="s">
        <v>3480</v>
      </c>
      <c r="E1035" t="s">
        <v>3480</v>
      </c>
      <c r="F1035" t="s">
        <v>3763</v>
      </c>
      <c r="G1035" t="s">
        <v>3764</v>
      </c>
      <c r="H1035" t="s">
        <v>30</v>
      </c>
      <c r="I1035" t="b">
        <f>COUNTIF(Estadísticas!I:I,'centraldecomunicacion.es'!H1035)&gt;0</f>
        <v>0</v>
      </c>
    </row>
    <row r="1036" spans="1:9">
      <c r="A1036" t="s">
        <v>3765</v>
      </c>
      <c r="B1036" t="s">
        <v>10</v>
      </c>
      <c r="C1036" t="s">
        <v>3766</v>
      </c>
      <c r="D1036" t="s">
        <v>3480</v>
      </c>
      <c r="E1036" t="s">
        <v>3480</v>
      </c>
      <c r="F1036" t="s">
        <v>28</v>
      </c>
      <c r="G1036" t="s">
        <v>3767</v>
      </c>
      <c r="H1036" t="s">
        <v>30</v>
      </c>
      <c r="I1036" t="b">
        <f>COUNTIF(Estadísticas!I:I,'centraldecomunicacion.es'!H1036)&gt;0</f>
        <v>0</v>
      </c>
    </row>
    <row r="1037" spans="1:9">
      <c r="A1037" t="s">
        <v>3768</v>
      </c>
      <c r="B1037" t="s">
        <v>10</v>
      </c>
      <c r="C1037" t="s">
        <v>3769</v>
      </c>
      <c r="D1037" t="s">
        <v>3480</v>
      </c>
      <c r="E1037" t="s">
        <v>3480</v>
      </c>
      <c r="F1037" t="s">
        <v>3770</v>
      </c>
      <c r="G1037" t="s">
        <v>3771</v>
      </c>
      <c r="H1037" t="s">
        <v>3772</v>
      </c>
      <c r="I1037" t="b">
        <f>COUNTIF(Estadísticas!I:I,'centraldecomunicacion.es'!H1037)&gt;0</f>
        <v>1</v>
      </c>
    </row>
    <row r="1038" spans="1:9">
      <c r="A1038" t="s">
        <v>3773</v>
      </c>
      <c r="B1038" t="s">
        <v>10</v>
      </c>
      <c r="C1038" t="s">
        <v>3774</v>
      </c>
      <c r="D1038" t="s">
        <v>3480</v>
      </c>
      <c r="E1038" t="s">
        <v>3480</v>
      </c>
      <c r="F1038" t="s">
        <v>28</v>
      </c>
      <c r="G1038" t="s">
        <v>3775</v>
      </c>
      <c r="H1038" t="s">
        <v>30</v>
      </c>
      <c r="I1038" t="b">
        <f>COUNTIF(Estadísticas!I:I,'centraldecomunicacion.es'!H1038)&gt;0</f>
        <v>0</v>
      </c>
    </row>
    <row r="1039" spans="1:9">
      <c r="A1039" t="s">
        <v>3776</v>
      </c>
      <c r="B1039" t="s">
        <v>10</v>
      </c>
      <c r="C1039" t="s">
        <v>3777</v>
      </c>
      <c r="D1039" t="s">
        <v>3480</v>
      </c>
      <c r="E1039" t="s">
        <v>3480</v>
      </c>
      <c r="F1039" t="s">
        <v>28</v>
      </c>
      <c r="G1039" t="s">
        <v>3778</v>
      </c>
      <c r="H1039" t="s">
        <v>30</v>
      </c>
      <c r="I1039" t="b">
        <f>COUNTIF(Estadísticas!I:I,'centraldecomunicacion.es'!H1039)&gt;0</f>
        <v>0</v>
      </c>
    </row>
    <row r="1040" spans="1:9">
      <c r="A1040" t="s">
        <v>3779</v>
      </c>
      <c r="B1040" t="s">
        <v>10</v>
      </c>
      <c r="C1040" t="s">
        <v>3780</v>
      </c>
      <c r="D1040" t="s">
        <v>3480</v>
      </c>
      <c r="E1040" t="s">
        <v>3480</v>
      </c>
      <c r="F1040" t="s">
        <v>28</v>
      </c>
      <c r="G1040" t="s">
        <v>3781</v>
      </c>
      <c r="H1040" t="s">
        <v>30</v>
      </c>
      <c r="I1040" t="b">
        <f>COUNTIF(Estadísticas!I:I,'centraldecomunicacion.es'!H1040)&gt;0</f>
        <v>0</v>
      </c>
    </row>
    <row r="1041" spans="1:9">
      <c r="A1041" t="s">
        <v>3782</v>
      </c>
      <c r="B1041" t="s">
        <v>10</v>
      </c>
      <c r="C1041" t="s">
        <v>3783</v>
      </c>
      <c r="D1041" t="s">
        <v>3480</v>
      </c>
      <c r="E1041" t="s">
        <v>3480</v>
      </c>
      <c r="F1041" t="s">
        <v>3784</v>
      </c>
      <c r="G1041" t="s">
        <v>3785</v>
      </c>
      <c r="H1041" t="s">
        <v>30</v>
      </c>
      <c r="I1041" t="b">
        <f>COUNTIF(Estadísticas!I:I,'centraldecomunicacion.es'!H1041)&gt;0</f>
        <v>0</v>
      </c>
    </row>
    <row r="1042" spans="1:9">
      <c r="A1042" t="s">
        <v>3786</v>
      </c>
      <c r="B1042" t="s">
        <v>10</v>
      </c>
      <c r="C1042" t="s">
        <v>3787</v>
      </c>
      <c r="D1042" t="s">
        <v>3480</v>
      </c>
      <c r="E1042" t="s">
        <v>3480</v>
      </c>
      <c r="F1042" t="s">
        <v>28</v>
      </c>
      <c r="G1042" t="s">
        <v>3788</v>
      </c>
      <c r="H1042" t="s">
        <v>30</v>
      </c>
      <c r="I1042" t="b">
        <f>COUNTIF(Estadísticas!I:I,'centraldecomunicacion.es'!H1042)&gt;0</f>
        <v>0</v>
      </c>
    </row>
    <row r="1043" spans="1:9">
      <c r="A1043" t="s">
        <v>3789</v>
      </c>
      <c r="B1043" t="s">
        <v>10</v>
      </c>
      <c r="C1043" t="s">
        <v>3790</v>
      </c>
      <c r="D1043" t="s">
        <v>3480</v>
      </c>
      <c r="E1043" t="s">
        <v>3480</v>
      </c>
      <c r="F1043" t="s">
        <v>28</v>
      </c>
      <c r="G1043" t="s">
        <v>3791</v>
      </c>
      <c r="H1043" t="s">
        <v>30</v>
      </c>
      <c r="I1043" t="b">
        <f>COUNTIF(Estadísticas!I:I,'centraldecomunicacion.es'!H1043)&gt;0</f>
        <v>0</v>
      </c>
    </row>
    <row r="1044" spans="1:9">
      <c r="A1044" t="s">
        <v>3792</v>
      </c>
      <c r="B1044" t="s">
        <v>10</v>
      </c>
      <c r="C1044" t="s">
        <v>3793</v>
      </c>
      <c r="D1044" t="s">
        <v>3480</v>
      </c>
      <c r="E1044" t="s">
        <v>3480</v>
      </c>
      <c r="F1044" t="s">
        <v>28</v>
      </c>
      <c r="G1044" t="s">
        <v>28</v>
      </c>
      <c r="H1044" t="s">
        <v>30</v>
      </c>
      <c r="I1044" t="b">
        <f>COUNTIF(Estadísticas!I:I,'centraldecomunicacion.es'!H1044)&gt;0</f>
        <v>0</v>
      </c>
    </row>
    <row r="1045" spans="1:9">
      <c r="A1045" t="s">
        <v>3794</v>
      </c>
      <c r="B1045" t="s">
        <v>10</v>
      </c>
      <c r="C1045" t="s">
        <v>3795</v>
      </c>
      <c r="D1045" t="s">
        <v>3480</v>
      </c>
      <c r="E1045" t="s">
        <v>3480</v>
      </c>
      <c r="F1045" t="s">
        <v>3796</v>
      </c>
      <c r="G1045" t="s">
        <v>3797</v>
      </c>
      <c r="H1045" t="s">
        <v>3798</v>
      </c>
      <c r="I1045" t="b">
        <f>COUNTIF(Estadísticas!I:I,'centraldecomunicacion.es'!H1045)&gt;0</f>
        <v>0</v>
      </c>
    </row>
    <row r="1046" spans="1:9">
      <c r="A1046" t="s">
        <v>3799</v>
      </c>
      <c r="B1046" t="s">
        <v>10</v>
      </c>
      <c r="C1046" t="s">
        <v>3800</v>
      </c>
      <c r="D1046" t="s">
        <v>3480</v>
      </c>
      <c r="E1046" t="s">
        <v>3480</v>
      </c>
      <c r="F1046" t="s">
        <v>3801</v>
      </c>
      <c r="G1046" t="s">
        <v>3802</v>
      </c>
      <c r="H1046" t="s">
        <v>30</v>
      </c>
      <c r="I1046" t="b">
        <f>COUNTIF(Estadísticas!I:I,'centraldecomunicacion.es'!H1046)&gt;0</f>
        <v>0</v>
      </c>
    </row>
    <row r="1047" spans="1:9">
      <c r="A1047" t="s">
        <v>3803</v>
      </c>
      <c r="B1047" t="s">
        <v>10</v>
      </c>
      <c r="C1047" t="s">
        <v>3804</v>
      </c>
      <c r="D1047" t="s">
        <v>3480</v>
      </c>
      <c r="E1047" t="s">
        <v>3480</v>
      </c>
      <c r="F1047" t="s">
        <v>28</v>
      </c>
      <c r="G1047" t="s">
        <v>3805</v>
      </c>
      <c r="H1047" t="s">
        <v>30</v>
      </c>
      <c r="I1047" t="b">
        <f>COUNTIF(Estadísticas!I:I,'centraldecomunicacion.es'!H1047)&gt;0</f>
        <v>0</v>
      </c>
    </row>
    <row r="1048" spans="1:9">
      <c r="A1048" t="s">
        <v>3806</v>
      </c>
      <c r="B1048" t="s">
        <v>10</v>
      </c>
      <c r="C1048" t="s">
        <v>3807</v>
      </c>
      <c r="D1048" t="s">
        <v>3480</v>
      </c>
      <c r="E1048" t="s">
        <v>3480</v>
      </c>
      <c r="F1048" t="s">
        <v>3808</v>
      </c>
      <c r="G1048" t="s">
        <v>3809</v>
      </c>
      <c r="H1048" t="s">
        <v>3810</v>
      </c>
      <c r="I1048" t="b">
        <f>COUNTIF(Estadísticas!I:I,'centraldecomunicacion.es'!H1048)&gt;0</f>
        <v>0</v>
      </c>
    </row>
    <row r="1049" spans="1:9">
      <c r="A1049" t="s">
        <v>3811</v>
      </c>
      <c r="B1049" t="s">
        <v>10</v>
      </c>
      <c r="C1049" t="s">
        <v>3812</v>
      </c>
      <c r="D1049" t="s">
        <v>3480</v>
      </c>
      <c r="E1049" t="s">
        <v>3480</v>
      </c>
      <c r="F1049" t="s">
        <v>28</v>
      </c>
      <c r="G1049" t="s">
        <v>3813</v>
      </c>
      <c r="H1049" t="s">
        <v>30</v>
      </c>
      <c r="I1049" t="b">
        <f>COUNTIF(Estadísticas!I:I,'centraldecomunicacion.es'!H1049)&gt;0</f>
        <v>0</v>
      </c>
    </row>
    <row r="1050" spans="1:9">
      <c r="A1050" t="s">
        <v>3814</v>
      </c>
      <c r="B1050" t="s">
        <v>10</v>
      </c>
      <c r="C1050" t="s">
        <v>3815</v>
      </c>
      <c r="D1050" t="s">
        <v>3480</v>
      </c>
      <c r="E1050" t="s">
        <v>3480</v>
      </c>
      <c r="F1050" t="s">
        <v>28</v>
      </c>
      <c r="G1050" t="s">
        <v>3816</v>
      </c>
      <c r="H1050" t="s">
        <v>30</v>
      </c>
      <c r="I1050" t="b">
        <f>COUNTIF(Estadísticas!I:I,'centraldecomunicacion.es'!H1050)&gt;0</f>
        <v>0</v>
      </c>
    </row>
    <row r="1051" spans="1:9">
      <c r="A1051" t="s">
        <v>3817</v>
      </c>
      <c r="B1051" t="s">
        <v>10</v>
      </c>
      <c r="C1051" t="s">
        <v>3818</v>
      </c>
      <c r="D1051" t="s">
        <v>3480</v>
      </c>
      <c r="E1051" t="s">
        <v>3480</v>
      </c>
      <c r="F1051" t="s">
        <v>3819</v>
      </c>
      <c r="G1051" t="s">
        <v>3820</v>
      </c>
      <c r="H1051" t="s">
        <v>3821</v>
      </c>
      <c r="I1051" t="b">
        <f>COUNTIF(Estadísticas!I:I,'centraldecomunicacion.es'!H1051)&gt;0</f>
        <v>1</v>
      </c>
    </row>
    <row r="1052" spans="1:9">
      <c r="A1052" t="s">
        <v>3822</v>
      </c>
      <c r="B1052" t="s">
        <v>10</v>
      </c>
      <c r="C1052" t="s">
        <v>3823</v>
      </c>
      <c r="D1052" t="s">
        <v>3480</v>
      </c>
      <c r="E1052" t="s">
        <v>3480</v>
      </c>
      <c r="F1052" t="s">
        <v>3824</v>
      </c>
      <c r="G1052" t="s">
        <v>3825</v>
      </c>
      <c r="H1052" t="s">
        <v>30</v>
      </c>
      <c r="I1052" t="b">
        <f>COUNTIF(Estadísticas!I:I,'centraldecomunicacion.es'!H1052)&gt;0</f>
        <v>0</v>
      </c>
    </row>
    <row r="1053" spans="1:9">
      <c r="A1053" t="s">
        <v>3826</v>
      </c>
      <c r="B1053" t="s">
        <v>10</v>
      </c>
      <c r="C1053" t="s">
        <v>3827</v>
      </c>
      <c r="D1053" t="s">
        <v>3480</v>
      </c>
      <c r="E1053" t="s">
        <v>3480</v>
      </c>
      <c r="F1053" t="s">
        <v>3828</v>
      </c>
      <c r="G1053" t="s">
        <v>3829</v>
      </c>
      <c r="H1053" t="s">
        <v>3830</v>
      </c>
      <c r="I1053" t="b">
        <f>COUNTIF(Estadísticas!I:I,'centraldecomunicacion.es'!H1053)&gt;0</f>
        <v>0</v>
      </c>
    </row>
    <row r="1054" spans="1:9">
      <c r="A1054" t="s">
        <v>3831</v>
      </c>
      <c r="B1054" t="s">
        <v>10</v>
      </c>
      <c r="C1054" t="s">
        <v>3832</v>
      </c>
      <c r="D1054" t="s">
        <v>3480</v>
      </c>
      <c r="E1054" t="s">
        <v>3480</v>
      </c>
      <c r="F1054" t="s">
        <v>3833</v>
      </c>
      <c r="G1054" t="s">
        <v>3834</v>
      </c>
      <c r="H1054" t="s">
        <v>1643</v>
      </c>
      <c r="I1054" t="b">
        <f>COUNTIF(Estadísticas!I:I,'centraldecomunicacion.es'!H1054)&gt;0</f>
        <v>0</v>
      </c>
    </row>
    <row r="1055" spans="1:9">
      <c r="A1055" t="s">
        <v>3835</v>
      </c>
      <c r="B1055" t="s">
        <v>10</v>
      </c>
      <c r="C1055" t="s">
        <v>3836</v>
      </c>
      <c r="D1055" t="s">
        <v>3480</v>
      </c>
      <c r="E1055" t="s">
        <v>3480</v>
      </c>
      <c r="F1055" t="s">
        <v>3837</v>
      </c>
      <c r="G1055" t="s">
        <v>3838</v>
      </c>
      <c r="H1055" t="s">
        <v>3839</v>
      </c>
      <c r="I1055" t="b">
        <f>COUNTIF(Estadísticas!I:I,'centraldecomunicacion.es'!H1055)&gt;0</f>
        <v>1</v>
      </c>
    </row>
    <row r="1056" spans="1:9">
      <c r="A1056" t="s">
        <v>3840</v>
      </c>
      <c r="B1056" t="s">
        <v>10</v>
      </c>
      <c r="C1056" t="s">
        <v>3841</v>
      </c>
      <c r="D1056" t="s">
        <v>3480</v>
      </c>
      <c r="E1056" t="s">
        <v>3480</v>
      </c>
      <c r="F1056" t="s">
        <v>28</v>
      </c>
      <c r="G1056" t="s">
        <v>3842</v>
      </c>
      <c r="H1056" t="s">
        <v>30</v>
      </c>
      <c r="I1056" t="b">
        <f>COUNTIF(Estadísticas!I:I,'centraldecomunicacion.es'!H1056)&gt;0</f>
        <v>0</v>
      </c>
    </row>
    <row r="1057" spans="1:9">
      <c r="A1057" t="s">
        <v>3843</v>
      </c>
      <c r="B1057" t="s">
        <v>10</v>
      </c>
      <c r="C1057" t="s">
        <v>3844</v>
      </c>
      <c r="D1057" t="s">
        <v>3480</v>
      </c>
      <c r="E1057" t="s">
        <v>3480</v>
      </c>
      <c r="F1057" t="s">
        <v>28</v>
      </c>
      <c r="G1057" t="s">
        <v>3845</v>
      </c>
      <c r="H1057" t="s">
        <v>30</v>
      </c>
      <c r="I1057" t="b">
        <f>COUNTIF(Estadísticas!I:I,'centraldecomunicacion.es'!H1057)&gt;0</f>
        <v>0</v>
      </c>
    </row>
    <row r="1058" spans="1:9">
      <c r="A1058" t="s">
        <v>3846</v>
      </c>
      <c r="B1058" t="s">
        <v>10</v>
      </c>
      <c r="C1058" t="s">
        <v>3847</v>
      </c>
      <c r="D1058" t="s">
        <v>3480</v>
      </c>
      <c r="E1058" t="s">
        <v>3480</v>
      </c>
      <c r="F1058" t="s">
        <v>3848</v>
      </c>
      <c r="G1058" t="s">
        <v>3849</v>
      </c>
      <c r="H1058" t="s">
        <v>3850</v>
      </c>
      <c r="I1058" t="b">
        <f>COUNTIF(Estadísticas!I:I,'centraldecomunicacion.es'!H1058)&gt;0</f>
        <v>0</v>
      </c>
    </row>
    <row r="1059" spans="1:9">
      <c r="A1059" t="s">
        <v>3851</v>
      </c>
      <c r="B1059" t="s">
        <v>10</v>
      </c>
      <c r="C1059" t="s">
        <v>3852</v>
      </c>
      <c r="D1059" t="s">
        <v>3480</v>
      </c>
      <c r="E1059" t="s">
        <v>3480</v>
      </c>
      <c r="F1059" t="s">
        <v>28</v>
      </c>
      <c r="G1059" t="s">
        <v>3853</v>
      </c>
      <c r="H1059" t="s">
        <v>30</v>
      </c>
      <c r="I1059" t="b">
        <f>COUNTIF(Estadísticas!I:I,'centraldecomunicacion.es'!H1059)&gt;0</f>
        <v>0</v>
      </c>
    </row>
    <row r="1060" spans="1:9">
      <c r="A1060" t="s">
        <v>3854</v>
      </c>
      <c r="B1060" t="s">
        <v>10</v>
      </c>
      <c r="C1060" t="s">
        <v>3855</v>
      </c>
      <c r="D1060" t="s">
        <v>3480</v>
      </c>
      <c r="E1060" t="s">
        <v>3480</v>
      </c>
      <c r="F1060" t="s">
        <v>3856</v>
      </c>
      <c r="G1060" t="s">
        <v>3857</v>
      </c>
      <c r="H1060" t="s">
        <v>30</v>
      </c>
      <c r="I1060" t="b">
        <f>COUNTIF(Estadísticas!I:I,'centraldecomunicacion.es'!H1060)&gt;0</f>
        <v>0</v>
      </c>
    </row>
    <row r="1061" spans="1:9">
      <c r="A1061" t="s">
        <v>3858</v>
      </c>
      <c r="B1061" t="s">
        <v>10</v>
      </c>
      <c r="C1061" t="s">
        <v>3859</v>
      </c>
      <c r="D1061" t="s">
        <v>3480</v>
      </c>
      <c r="E1061" t="s">
        <v>3480</v>
      </c>
      <c r="F1061" t="s">
        <v>28</v>
      </c>
      <c r="G1061" t="s">
        <v>3860</v>
      </c>
      <c r="H1061" t="s">
        <v>30</v>
      </c>
      <c r="I1061" t="b">
        <f>COUNTIF(Estadísticas!I:I,'centraldecomunicacion.es'!H1061)&gt;0</f>
        <v>0</v>
      </c>
    </row>
    <row r="1062" spans="1:9">
      <c r="A1062" t="s">
        <v>3861</v>
      </c>
      <c r="B1062" t="s">
        <v>10</v>
      </c>
      <c r="C1062" t="s">
        <v>3862</v>
      </c>
      <c r="D1062" t="s">
        <v>3480</v>
      </c>
      <c r="E1062" t="s">
        <v>3480</v>
      </c>
      <c r="F1062" t="s">
        <v>28</v>
      </c>
      <c r="G1062" t="s">
        <v>28</v>
      </c>
      <c r="H1062" t="s">
        <v>30</v>
      </c>
      <c r="I1062" t="b">
        <f>COUNTIF(Estadísticas!I:I,'centraldecomunicacion.es'!H1062)&gt;0</f>
        <v>0</v>
      </c>
    </row>
    <row r="1063" spans="1:9">
      <c r="A1063" t="s">
        <v>3863</v>
      </c>
      <c r="B1063" t="s">
        <v>10</v>
      </c>
      <c r="C1063" t="s">
        <v>3864</v>
      </c>
      <c r="D1063" t="s">
        <v>3480</v>
      </c>
      <c r="E1063" t="s">
        <v>3480</v>
      </c>
      <c r="F1063" t="s">
        <v>3865</v>
      </c>
      <c r="G1063" t="s">
        <v>3866</v>
      </c>
      <c r="H1063" t="s">
        <v>3867</v>
      </c>
      <c r="I1063" t="b">
        <f>COUNTIF(Estadísticas!I:I,'centraldecomunicacion.es'!H1063)&gt;0</f>
        <v>0</v>
      </c>
    </row>
    <row r="1064" spans="1:9">
      <c r="A1064" t="s">
        <v>3868</v>
      </c>
      <c r="B1064" t="s">
        <v>10</v>
      </c>
      <c r="C1064" t="s">
        <v>3869</v>
      </c>
      <c r="D1064" t="s">
        <v>3480</v>
      </c>
      <c r="E1064" t="s">
        <v>3480</v>
      </c>
      <c r="F1064" t="s">
        <v>28</v>
      </c>
      <c r="G1064" t="s">
        <v>3870</v>
      </c>
      <c r="H1064" t="s">
        <v>30</v>
      </c>
      <c r="I1064" t="b">
        <f>COUNTIF(Estadísticas!I:I,'centraldecomunicacion.es'!H1064)&gt;0</f>
        <v>0</v>
      </c>
    </row>
    <row r="1065" spans="1:9">
      <c r="A1065" t="s">
        <v>3871</v>
      </c>
      <c r="B1065" t="s">
        <v>10</v>
      </c>
      <c r="C1065" t="s">
        <v>3872</v>
      </c>
      <c r="D1065" t="s">
        <v>3480</v>
      </c>
      <c r="E1065" t="s">
        <v>3480</v>
      </c>
      <c r="F1065" t="s">
        <v>28</v>
      </c>
      <c r="G1065" t="s">
        <v>3873</v>
      </c>
      <c r="H1065" t="s">
        <v>30</v>
      </c>
      <c r="I1065" t="b">
        <f>COUNTIF(Estadísticas!I:I,'centraldecomunicacion.es'!H1065)&gt;0</f>
        <v>0</v>
      </c>
    </row>
    <row r="1066" spans="1:9">
      <c r="A1066" t="s">
        <v>3874</v>
      </c>
      <c r="B1066" t="s">
        <v>10</v>
      </c>
      <c r="C1066" t="s">
        <v>3875</v>
      </c>
      <c r="D1066" t="s">
        <v>3480</v>
      </c>
      <c r="E1066" t="s">
        <v>3480</v>
      </c>
      <c r="F1066" t="s">
        <v>28</v>
      </c>
      <c r="G1066" t="s">
        <v>3876</v>
      </c>
      <c r="H1066" t="s">
        <v>30</v>
      </c>
      <c r="I1066" t="b">
        <f>COUNTIF(Estadísticas!I:I,'centraldecomunicacion.es'!H1066)&gt;0</f>
        <v>0</v>
      </c>
    </row>
    <row r="1067" spans="1:9">
      <c r="A1067" t="s">
        <v>3877</v>
      </c>
      <c r="B1067" t="s">
        <v>10</v>
      </c>
      <c r="C1067" t="s">
        <v>3878</v>
      </c>
      <c r="D1067" t="s">
        <v>3480</v>
      </c>
      <c r="E1067" t="s">
        <v>3480</v>
      </c>
      <c r="F1067" t="s">
        <v>3879</v>
      </c>
      <c r="G1067" t="s">
        <v>3549</v>
      </c>
      <c r="H1067" t="s">
        <v>3550</v>
      </c>
      <c r="I1067" t="b">
        <f>COUNTIF(Estadísticas!I:I,'centraldecomunicacion.es'!H1067)&gt;0</f>
        <v>1</v>
      </c>
    </row>
    <row r="1068" spans="1:9">
      <c r="A1068" t="s">
        <v>3880</v>
      </c>
      <c r="B1068" t="s">
        <v>10</v>
      </c>
      <c r="C1068" t="s">
        <v>3881</v>
      </c>
      <c r="D1068" t="s">
        <v>3480</v>
      </c>
      <c r="E1068" t="s">
        <v>3480</v>
      </c>
      <c r="F1068" t="s">
        <v>50</v>
      </c>
      <c r="G1068" t="s">
        <v>3882</v>
      </c>
      <c r="H1068" t="s">
        <v>30</v>
      </c>
      <c r="I1068" t="b">
        <f>COUNTIF(Estadísticas!I:I,'centraldecomunicacion.es'!H1068)&gt;0</f>
        <v>0</v>
      </c>
    </row>
    <row r="1069" spans="1:9">
      <c r="A1069" t="s">
        <v>3883</v>
      </c>
      <c r="B1069" t="s">
        <v>10</v>
      </c>
      <c r="C1069" t="s">
        <v>3884</v>
      </c>
      <c r="D1069" t="s">
        <v>3480</v>
      </c>
      <c r="E1069" t="s">
        <v>3480</v>
      </c>
      <c r="F1069" t="s">
        <v>3885</v>
      </c>
      <c r="G1069" t="s">
        <v>3886</v>
      </c>
      <c r="H1069" t="s">
        <v>30</v>
      </c>
      <c r="I1069" t="b">
        <f>COUNTIF(Estadísticas!I:I,'centraldecomunicacion.es'!H1069)&gt;0</f>
        <v>0</v>
      </c>
    </row>
    <row r="1070" spans="1:9">
      <c r="A1070" t="s">
        <v>3887</v>
      </c>
      <c r="B1070" t="s">
        <v>10</v>
      </c>
      <c r="C1070" t="s">
        <v>3888</v>
      </c>
      <c r="D1070" t="s">
        <v>3480</v>
      </c>
      <c r="E1070" t="s">
        <v>3480</v>
      </c>
      <c r="F1070" t="s">
        <v>28</v>
      </c>
      <c r="G1070" t="s">
        <v>3889</v>
      </c>
      <c r="H1070" t="s">
        <v>30</v>
      </c>
      <c r="I1070" t="b">
        <f>COUNTIF(Estadísticas!I:I,'centraldecomunicacion.es'!H1070)&gt;0</f>
        <v>0</v>
      </c>
    </row>
    <row r="1071" spans="1:9">
      <c r="A1071" t="s">
        <v>3890</v>
      </c>
      <c r="B1071" t="s">
        <v>10</v>
      </c>
      <c r="C1071" t="s">
        <v>3891</v>
      </c>
      <c r="D1071" t="s">
        <v>3480</v>
      </c>
      <c r="E1071" t="s">
        <v>3480</v>
      </c>
      <c r="F1071" t="s">
        <v>3892</v>
      </c>
      <c r="G1071" t="s">
        <v>3893</v>
      </c>
      <c r="H1071" t="s">
        <v>1643</v>
      </c>
      <c r="I1071" t="b">
        <f>COUNTIF(Estadísticas!I:I,'centraldecomunicacion.es'!H1071)&gt;0</f>
        <v>0</v>
      </c>
    </row>
    <row r="1072" spans="1:9">
      <c r="A1072" t="s">
        <v>3894</v>
      </c>
      <c r="B1072" t="s">
        <v>10</v>
      </c>
      <c r="C1072" t="s">
        <v>3895</v>
      </c>
      <c r="D1072" t="s">
        <v>3480</v>
      </c>
      <c r="E1072" t="s">
        <v>3480</v>
      </c>
      <c r="F1072" t="s">
        <v>3896</v>
      </c>
      <c r="G1072" t="s">
        <v>3897</v>
      </c>
      <c r="H1072" t="s">
        <v>3898</v>
      </c>
      <c r="I1072" t="b">
        <f>COUNTIF(Estadísticas!I:I,'centraldecomunicacion.es'!H1072)&gt;0</f>
        <v>0</v>
      </c>
    </row>
    <row r="1073" spans="1:9">
      <c r="A1073" t="s">
        <v>3899</v>
      </c>
      <c r="B1073" t="s">
        <v>10</v>
      </c>
      <c r="C1073" t="s">
        <v>3900</v>
      </c>
      <c r="D1073" t="s">
        <v>3480</v>
      </c>
      <c r="E1073" t="s">
        <v>3480</v>
      </c>
      <c r="F1073" t="s">
        <v>3901</v>
      </c>
      <c r="G1073" t="s">
        <v>3902</v>
      </c>
      <c r="H1073" t="s">
        <v>1242</v>
      </c>
      <c r="I1073" t="b">
        <f>COUNTIF(Estadísticas!I:I,'centraldecomunicacion.es'!H1073)&gt;0</f>
        <v>0</v>
      </c>
    </row>
    <row r="1074" spans="1:9">
      <c r="A1074" t="s">
        <v>3903</v>
      </c>
      <c r="B1074" t="s">
        <v>10</v>
      </c>
      <c r="C1074" t="s">
        <v>3904</v>
      </c>
      <c r="D1074" t="s">
        <v>3480</v>
      </c>
      <c r="E1074" t="s">
        <v>3480</v>
      </c>
      <c r="F1074" t="s">
        <v>3905</v>
      </c>
      <c r="G1074" t="s">
        <v>3906</v>
      </c>
      <c r="H1074" t="s">
        <v>3907</v>
      </c>
      <c r="I1074" t="b">
        <f>COUNTIF(Estadísticas!I:I,'centraldecomunicacion.es'!H1074)&gt;0</f>
        <v>1</v>
      </c>
    </row>
    <row r="1075" spans="1:9">
      <c r="A1075" t="s">
        <v>3908</v>
      </c>
      <c r="B1075" t="s">
        <v>10</v>
      </c>
      <c r="C1075" t="s">
        <v>3909</v>
      </c>
      <c r="D1075" t="s">
        <v>3480</v>
      </c>
      <c r="E1075" t="s">
        <v>3480</v>
      </c>
      <c r="F1075" t="s">
        <v>28</v>
      </c>
      <c r="G1075" t="s">
        <v>3910</v>
      </c>
      <c r="H1075" t="s">
        <v>30</v>
      </c>
      <c r="I1075" t="b">
        <f>COUNTIF(Estadísticas!I:I,'centraldecomunicacion.es'!H1075)&gt;0</f>
        <v>0</v>
      </c>
    </row>
    <row r="1076" spans="1:9">
      <c r="A1076" t="s">
        <v>3911</v>
      </c>
      <c r="B1076" t="s">
        <v>10</v>
      </c>
      <c r="C1076" t="s">
        <v>3912</v>
      </c>
      <c r="D1076" t="s">
        <v>3480</v>
      </c>
      <c r="E1076" t="s">
        <v>3480</v>
      </c>
      <c r="F1076" t="s">
        <v>28</v>
      </c>
      <c r="G1076" t="s">
        <v>3913</v>
      </c>
      <c r="H1076" t="s">
        <v>30</v>
      </c>
      <c r="I1076" t="b">
        <f>COUNTIF(Estadísticas!I:I,'centraldecomunicacion.es'!H1076)&gt;0</f>
        <v>0</v>
      </c>
    </row>
    <row r="1077" spans="1:9">
      <c r="A1077" t="s">
        <v>3914</v>
      </c>
      <c r="B1077" t="s">
        <v>10</v>
      </c>
      <c r="C1077" t="s">
        <v>3915</v>
      </c>
      <c r="D1077" t="s">
        <v>3480</v>
      </c>
      <c r="E1077" t="s">
        <v>3480</v>
      </c>
      <c r="F1077" t="s">
        <v>28</v>
      </c>
      <c r="G1077" t="s">
        <v>3916</v>
      </c>
      <c r="H1077" t="s">
        <v>30</v>
      </c>
      <c r="I1077" t="b">
        <f>COUNTIF(Estadísticas!I:I,'centraldecomunicacion.es'!H1077)&gt;0</f>
        <v>0</v>
      </c>
    </row>
    <row r="1078" spans="1:9">
      <c r="A1078" t="s">
        <v>3917</v>
      </c>
      <c r="B1078" t="s">
        <v>10</v>
      </c>
      <c r="C1078" t="s">
        <v>3918</v>
      </c>
      <c r="D1078" t="s">
        <v>3480</v>
      </c>
      <c r="E1078" t="s">
        <v>3480</v>
      </c>
      <c r="F1078" t="s">
        <v>28</v>
      </c>
      <c r="G1078" t="s">
        <v>3919</v>
      </c>
      <c r="H1078" t="s">
        <v>30</v>
      </c>
      <c r="I1078" t="b">
        <f>COUNTIF(Estadísticas!I:I,'centraldecomunicacion.es'!H1078)&gt;0</f>
        <v>0</v>
      </c>
    </row>
    <row r="1079" spans="1:9">
      <c r="A1079" t="s">
        <v>3920</v>
      </c>
      <c r="B1079" t="s">
        <v>10</v>
      </c>
      <c r="C1079" t="s">
        <v>3921</v>
      </c>
      <c r="D1079" t="s">
        <v>3480</v>
      </c>
      <c r="E1079" t="s">
        <v>3480</v>
      </c>
      <c r="F1079" t="s">
        <v>3922</v>
      </c>
      <c r="G1079" t="s">
        <v>3923</v>
      </c>
      <c r="H1079" t="s">
        <v>30</v>
      </c>
      <c r="I1079" t="b">
        <f>COUNTIF(Estadísticas!I:I,'centraldecomunicacion.es'!H1079)&gt;0</f>
        <v>0</v>
      </c>
    </row>
    <row r="1080" spans="1:9">
      <c r="A1080" t="s">
        <v>3924</v>
      </c>
      <c r="B1080" t="s">
        <v>10</v>
      </c>
      <c r="C1080" t="s">
        <v>3925</v>
      </c>
      <c r="D1080" t="s">
        <v>3480</v>
      </c>
      <c r="E1080" t="s">
        <v>3480</v>
      </c>
      <c r="F1080" t="s">
        <v>28</v>
      </c>
      <c r="G1080" t="s">
        <v>3926</v>
      </c>
      <c r="H1080" t="s">
        <v>30</v>
      </c>
      <c r="I1080" t="b">
        <f>COUNTIF(Estadísticas!I:I,'centraldecomunicacion.es'!H1080)&gt;0</f>
        <v>0</v>
      </c>
    </row>
    <row r="1081" spans="1:9">
      <c r="A1081" t="s">
        <v>3927</v>
      </c>
      <c r="B1081" t="s">
        <v>10</v>
      </c>
      <c r="C1081" t="s">
        <v>3928</v>
      </c>
      <c r="D1081" t="s">
        <v>3480</v>
      </c>
      <c r="E1081" t="s">
        <v>3480</v>
      </c>
      <c r="F1081" t="s">
        <v>3929</v>
      </c>
      <c r="G1081" t="s">
        <v>3930</v>
      </c>
      <c r="H1081" t="s">
        <v>30</v>
      </c>
      <c r="I1081" t="b">
        <f>COUNTIF(Estadísticas!I:I,'centraldecomunicacion.es'!H1081)&gt;0</f>
        <v>0</v>
      </c>
    </row>
    <row r="1082" spans="1:9">
      <c r="A1082" t="s">
        <v>3931</v>
      </c>
      <c r="B1082" t="s">
        <v>10</v>
      </c>
      <c r="C1082" t="s">
        <v>3932</v>
      </c>
      <c r="D1082" t="s">
        <v>3480</v>
      </c>
      <c r="E1082" t="s">
        <v>3480</v>
      </c>
      <c r="F1082" t="s">
        <v>28</v>
      </c>
      <c r="G1082" t="s">
        <v>3933</v>
      </c>
      <c r="H1082" t="s">
        <v>30</v>
      </c>
      <c r="I1082" t="b">
        <f>COUNTIF(Estadísticas!I:I,'centraldecomunicacion.es'!H1082)&gt;0</f>
        <v>0</v>
      </c>
    </row>
    <row r="1083" spans="1:9">
      <c r="A1083" t="s">
        <v>3934</v>
      </c>
      <c r="B1083" t="s">
        <v>10</v>
      </c>
      <c r="C1083" t="s">
        <v>3935</v>
      </c>
      <c r="D1083" t="s">
        <v>3480</v>
      </c>
      <c r="E1083" t="s">
        <v>3480</v>
      </c>
      <c r="F1083" t="s">
        <v>3936</v>
      </c>
      <c r="G1083" t="s">
        <v>3937</v>
      </c>
      <c r="H1083" t="s">
        <v>30</v>
      </c>
      <c r="I1083" t="b">
        <f>COUNTIF(Estadísticas!I:I,'centraldecomunicacion.es'!H1083)&gt;0</f>
        <v>0</v>
      </c>
    </row>
    <row r="1084" spans="1:9">
      <c r="A1084" t="s">
        <v>3938</v>
      </c>
      <c r="B1084" t="s">
        <v>10</v>
      </c>
      <c r="C1084" t="s">
        <v>3939</v>
      </c>
      <c r="D1084" t="s">
        <v>3480</v>
      </c>
      <c r="E1084" t="s">
        <v>3480</v>
      </c>
      <c r="F1084" t="s">
        <v>28</v>
      </c>
      <c r="G1084" t="s">
        <v>3940</v>
      </c>
      <c r="H1084" t="s">
        <v>30</v>
      </c>
      <c r="I1084" t="b">
        <f>COUNTIF(Estadísticas!I:I,'centraldecomunicacion.es'!H1084)&gt;0</f>
        <v>0</v>
      </c>
    </row>
    <row r="1085" spans="1:9">
      <c r="A1085" t="s">
        <v>3941</v>
      </c>
      <c r="B1085" t="s">
        <v>10</v>
      </c>
      <c r="C1085" t="s">
        <v>3942</v>
      </c>
      <c r="D1085" t="s">
        <v>3480</v>
      </c>
      <c r="E1085" t="s">
        <v>3480</v>
      </c>
      <c r="F1085" t="s">
        <v>3943</v>
      </c>
      <c r="G1085" t="s">
        <v>3944</v>
      </c>
      <c r="H1085" t="s">
        <v>3945</v>
      </c>
      <c r="I1085" t="b">
        <f>COUNTIF(Estadísticas!I:I,'centraldecomunicacion.es'!H1085)&gt;0</f>
        <v>0</v>
      </c>
    </row>
    <row r="1086" spans="1:9">
      <c r="A1086" t="s">
        <v>3946</v>
      </c>
      <c r="B1086" t="s">
        <v>10</v>
      </c>
      <c r="C1086" t="s">
        <v>3947</v>
      </c>
      <c r="D1086" t="s">
        <v>3480</v>
      </c>
      <c r="E1086" t="s">
        <v>3480</v>
      </c>
      <c r="F1086" t="s">
        <v>28</v>
      </c>
      <c r="G1086" t="s">
        <v>3948</v>
      </c>
      <c r="H1086" t="s">
        <v>30</v>
      </c>
      <c r="I1086" t="b">
        <f>COUNTIF(Estadísticas!I:I,'centraldecomunicacion.es'!H1086)&gt;0</f>
        <v>0</v>
      </c>
    </row>
    <row r="1087" spans="1:9">
      <c r="A1087" t="s">
        <v>3949</v>
      </c>
      <c r="B1087" t="s">
        <v>10</v>
      </c>
      <c r="C1087" t="s">
        <v>3950</v>
      </c>
      <c r="D1087" t="s">
        <v>3480</v>
      </c>
      <c r="E1087" t="s">
        <v>3480</v>
      </c>
      <c r="F1087" t="s">
        <v>3951</v>
      </c>
      <c r="G1087" t="s">
        <v>3952</v>
      </c>
      <c r="H1087" t="s">
        <v>3953</v>
      </c>
      <c r="I1087" t="b">
        <f>COUNTIF(Estadísticas!I:I,'centraldecomunicacion.es'!H1087)&gt;0</f>
        <v>0</v>
      </c>
    </row>
    <row r="1088" spans="1:9">
      <c r="A1088" t="s">
        <v>3954</v>
      </c>
      <c r="B1088" t="s">
        <v>10</v>
      </c>
      <c r="C1088" t="s">
        <v>3955</v>
      </c>
      <c r="D1088" t="s">
        <v>3480</v>
      </c>
      <c r="E1088" t="s">
        <v>3480</v>
      </c>
      <c r="F1088" t="s">
        <v>28</v>
      </c>
      <c r="G1088" t="s">
        <v>28</v>
      </c>
      <c r="H1088" t="s">
        <v>30</v>
      </c>
      <c r="I1088" t="b">
        <f>COUNTIF(Estadísticas!I:I,'centraldecomunicacion.es'!H1088)&gt;0</f>
        <v>0</v>
      </c>
    </row>
    <row r="1089" spans="1:9">
      <c r="A1089" t="s">
        <v>3956</v>
      </c>
      <c r="B1089" t="s">
        <v>10</v>
      </c>
      <c r="C1089" t="s">
        <v>3957</v>
      </c>
      <c r="D1089" t="s">
        <v>3480</v>
      </c>
      <c r="E1089" t="s">
        <v>3480</v>
      </c>
      <c r="F1089" t="s">
        <v>3958</v>
      </c>
      <c r="G1089" t="s">
        <v>3959</v>
      </c>
      <c r="H1089" t="s">
        <v>3960</v>
      </c>
      <c r="I1089" t="b">
        <f>COUNTIF(Estadísticas!I:I,'centraldecomunicacion.es'!H1089)&gt;0</f>
        <v>0</v>
      </c>
    </row>
    <row r="1090" spans="1:9">
      <c r="A1090" t="s">
        <v>3961</v>
      </c>
      <c r="B1090" t="s">
        <v>10</v>
      </c>
      <c r="C1090" t="s">
        <v>3962</v>
      </c>
      <c r="D1090" t="s">
        <v>3480</v>
      </c>
      <c r="E1090" t="s">
        <v>3480</v>
      </c>
      <c r="F1090" t="s">
        <v>3963</v>
      </c>
      <c r="G1090" t="s">
        <v>3964</v>
      </c>
      <c r="H1090" t="s">
        <v>3965</v>
      </c>
      <c r="I1090" t="b">
        <f>COUNTIF(Estadísticas!I:I,'centraldecomunicacion.es'!H1090)&gt;0</f>
        <v>1</v>
      </c>
    </row>
    <row r="1091" spans="1:9">
      <c r="A1091" t="s">
        <v>3966</v>
      </c>
      <c r="B1091" t="s">
        <v>10</v>
      </c>
      <c r="C1091" t="s">
        <v>3967</v>
      </c>
      <c r="D1091" t="s">
        <v>3480</v>
      </c>
      <c r="E1091" t="s">
        <v>3480</v>
      </c>
      <c r="F1091" t="s">
        <v>28</v>
      </c>
      <c r="G1091" t="s">
        <v>3968</v>
      </c>
      <c r="H1091" t="s">
        <v>30</v>
      </c>
      <c r="I1091" t="b">
        <f>COUNTIF(Estadísticas!I:I,'centraldecomunicacion.es'!H1091)&gt;0</f>
        <v>0</v>
      </c>
    </row>
    <row r="1092" spans="1:9">
      <c r="A1092" t="s">
        <v>10</v>
      </c>
      <c r="B1092" t="s">
        <v>10</v>
      </c>
      <c r="C1092" t="s">
        <v>3969</v>
      </c>
      <c r="D1092" t="s">
        <v>3480</v>
      </c>
      <c r="E1092" t="s">
        <v>3480</v>
      </c>
      <c r="F1092" t="s">
        <v>28</v>
      </c>
      <c r="G1092" t="s">
        <v>28</v>
      </c>
      <c r="H1092" t="s">
        <v>30</v>
      </c>
      <c r="I1092" t="b">
        <f>COUNTIF(Estadísticas!I:I,'centraldecomunicacion.es'!H1092)&gt;0</f>
        <v>0</v>
      </c>
    </row>
    <row r="1093" spans="1:9">
      <c r="A1093" t="s">
        <v>3970</v>
      </c>
      <c r="B1093" t="s">
        <v>10</v>
      </c>
      <c r="C1093" t="s">
        <v>3971</v>
      </c>
      <c r="D1093" t="s">
        <v>3480</v>
      </c>
      <c r="E1093" t="s">
        <v>3480</v>
      </c>
      <c r="F1093" t="s">
        <v>28</v>
      </c>
      <c r="G1093" t="s">
        <v>3972</v>
      </c>
      <c r="H1093" t="s">
        <v>30</v>
      </c>
      <c r="I1093" t="b">
        <f>COUNTIF(Estadísticas!I:I,'centraldecomunicacion.es'!H1093)&gt;0</f>
        <v>0</v>
      </c>
    </row>
    <row r="1094" spans="1:9">
      <c r="A1094" t="s">
        <v>3973</v>
      </c>
      <c r="B1094" t="s">
        <v>10</v>
      </c>
      <c r="C1094" t="s">
        <v>3974</v>
      </c>
      <c r="D1094" t="s">
        <v>3480</v>
      </c>
      <c r="E1094" t="s">
        <v>3480</v>
      </c>
      <c r="F1094" t="s">
        <v>28</v>
      </c>
      <c r="G1094" t="s">
        <v>28</v>
      </c>
      <c r="H1094" t="s">
        <v>30</v>
      </c>
      <c r="I1094" t="b">
        <f>COUNTIF(Estadísticas!I:I,'centraldecomunicacion.es'!H1094)&gt;0</f>
        <v>0</v>
      </c>
    </row>
    <row r="1095" spans="1:9">
      <c r="A1095" t="s">
        <v>3975</v>
      </c>
      <c r="B1095" t="s">
        <v>10</v>
      </c>
      <c r="C1095" t="s">
        <v>3976</v>
      </c>
      <c r="D1095" t="s">
        <v>3480</v>
      </c>
      <c r="E1095" t="s">
        <v>3480</v>
      </c>
      <c r="F1095" t="s">
        <v>3796</v>
      </c>
      <c r="G1095" t="s">
        <v>3797</v>
      </c>
      <c r="H1095" t="s">
        <v>3798</v>
      </c>
      <c r="I1095" t="b">
        <f>COUNTIF(Estadísticas!I:I,'centraldecomunicacion.es'!H1095)&gt;0</f>
        <v>0</v>
      </c>
    </row>
    <row r="1096" spans="1:9">
      <c r="A1096" t="s">
        <v>3977</v>
      </c>
      <c r="B1096" t="s">
        <v>10</v>
      </c>
      <c r="C1096" t="s">
        <v>3862</v>
      </c>
      <c r="D1096" t="s">
        <v>3480</v>
      </c>
      <c r="E1096" t="s">
        <v>3480</v>
      </c>
      <c r="F1096" t="s">
        <v>28</v>
      </c>
      <c r="G1096" t="s">
        <v>3978</v>
      </c>
      <c r="H1096" t="s">
        <v>30</v>
      </c>
      <c r="I1096" t="b">
        <f>COUNTIF(Estadísticas!I:I,'centraldecomunicacion.es'!H1096)&gt;0</f>
        <v>0</v>
      </c>
    </row>
    <row r="1097" spans="1:9">
      <c r="A1097" t="s">
        <v>3946</v>
      </c>
      <c r="B1097" t="s">
        <v>10</v>
      </c>
      <c r="C1097" t="s">
        <v>3979</v>
      </c>
      <c r="D1097" t="s">
        <v>3480</v>
      </c>
      <c r="E1097" t="s">
        <v>3480</v>
      </c>
      <c r="F1097" t="s">
        <v>28</v>
      </c>
      <c r="G1097" t="s">
        <v>3980</v>
      </c>
      <c r="H1097" t="s">
        <v>30</v>
      </c>
      <c r="I1097" t="b">
        <f>COUNTIF(Estadísticas!I:I,'centraldecomunicacion.es'!H1097)&gt;0</f>
        <v>0</v>
      </c>
    </row>
    <row r="1098" spans="1:9">
      <c r="A1098" t="s">
        <v>3981</v>
      </c>
      <c r="B1098" t="s">
        <v>10</v>
      </c>
      <c r="C1098" t="s">
        <v>3982</v>
      </c>
      <c r="D1098" t="s">
        <v>3480</v>
      </c>
      <c r="E1098" t="s">
        <v>3480</v>
      </c>
      <c r="F1098" t="s">
        <v>3983</v>
      </c>
      <c r="G1098" t="s">
        <v>3984</v>
      </c>
      <c r="H1098" t="s">
        <v>3985</v>
      </c>
      <c r="I1098" t="b">
        <f>COUNTIF(Estadísticas!I:I,'centraldecomunicacion.es'!H1098)&gt;0</f>
        <v>1</v>
      </c>
    </row>
    <row r="1099" spans="1:9">
      <c r="A1099" t="s">
        <v>3986</v>
      </c>
      <c r="B1099" t="s">
        <v>10</v>
      </c>
      <c r="C1099" t="s">
        <v>3987</v>
      </c>
      <c r="D1099" t="s">
        <v>3480</v>
      </c>
      <c r="E1099" t="s">
        <v>3480</v>
      </c>
      <c r="F1099" t="s">
        <v>3988</v>
      </c>
      <c r="G1099" t="s">
        <v>3989</v>
      </c>
      <c r="H1099" t="s">
        <v>3990</v>
      </c>
      <c r="I1099" t="b">
        <f>COUNTIF(Estadísticas!I:I,'centraldecomunicacion.es'!H1099)&gt;0</f>
        <v>0</v>
      </c>
    </row>
    <row r="1100" spans="1:9">
      <c r="A1100" t="s">
        <v>3991</v>
      </c>
      <c r="B1100" t="s">
        <v>10</v>
      </c>
      <c r="C1100" t="s">
        <v>3992</v>
      </c>
      <c r="D1100" t="s">
        <v>3480</v>
      </c>
      <c r="E1100" t="s">
        <v>3480</v>
      </c>
      <c r="F1100" t="s">
        <v>28</v>
      </c>
      <c r="G1100" t="s">
        <v>3993</v>
      </c>
      <c r="H1100" t="s">
        <v>30</v>
      </c>
      <c r="I1100" t="b">
        <f>COUNTIF(Estadísticas!I:I,'centraldecomunicacion.es'!H1100)&gt;0</f>
        <v>0</v>
      </c>
    </row>
    <row r="1101" spans="1:9">
      <c r="A1101" t="s">
        <v>3994</v>
      </c>
      <c r="B1101" t="s">
        <v>10</v>
      </c>
      <c r="C1101" t="s">
        <v>3995</v>
      </c>
      <c r="D1101" t="s">
        <v>3996</v>
      </c>
      <c r="E1101" t="s">
        <v>3480</v>
      </c>
      <c r="F1101" t="s">
        <v>28</v>
      </c>
      <c r="G1101" t="s">
        <v>3997</v>
      </c>
      <c r="H1101" t="s">
        <v>30</v>
      </c>
      <c r="I1101" t="b">
        <f>COUNTIF(Estadísticas!I:I,'centraldecomunicacion.es'!H1101)&gt;0</f>
        <v>0</v>
      </c>
    </row>
    <row r="1102" spans="1:9">
      <c r="A1102" t="s">
        <v>3998</v>
      </c>
      <c r="B1102" t="s">
        <v>10</v>
      </c>
      <c r="C1102" t="s">
        <v>3999</v>
      </c>
      <c r="D1102" t="s">
        <v>3480</v>
      </c>
      <c r="E1102" t="s">
        <v>3480</v>
      </c>
      <c r="F1102" t="s">
        <v>28</v>
      </c>
      <c r="G1102" t="s">
        <v>4000</v>
      </c>
      <c r="H1102" t="s">
        <v>30</v>
      </c>
      <c r="I1102" t="b">
        <f>COUNTIF(Estadísticas!I:I,'centraldecomunicacion.es'!H1102)&gt;0</f>
        <v>0</v>
      </c>
    </row>
    <row r="1103" spans="1:9">
      <c r="A1103" t="s">
        <v>4001</v>
      </c>
      <c r="B1103" t="s">
        <v>10</v>
      </c>
      <c r="C1103" t="s">
        <v>4002</v>
      </c>
      <c r="D1103" t="s">
        <v>3480</v>
      </c>
      <c r="E1103" t="s">
        <v>3480</v>
      </c>
      <c r="F1103" t="s">
        <v>28</v>
      </c>
      <c r="G1103" t="s">
        <v>28</v>
      </c>
      <c r="H1103" t="s">
        <v>30</v>
      </c>
      <c r="I1103" t="b">
        <f>COUNTIF(Estadísticas!I:I,'centraldecomunicacion.es'!H1103)&gt;0</f>
        <v>0</v>
      </c>
    </row>
    <row r="1104" spans="1:9">
      <c r="A1104" t="s">
        <v>4003</v>
      </c>
      <c r="B1104" t="s">
        <v>10</v>
      </c>
      <c r="C1104" t="s">
        <v>4004</v>
      </c>
      <c r="D1104" t="s">
        <v>3480</v>
      </c>
      <c r="E1104" t="s">
        <v>3480</v>
      </c>
      <c r="F1104" t="s">
        <v>4005</v>
      </c>
      <c r="G1104" t="s">
        <v>4006</v>
      </c>
      <c r="H1104" t="s">
        <v>4007</v>
      </c>
      <c r="I1104" t="b">
        <f>COUNTIF(Estadísticas!I:I,'centraldecomunicacion.es'!H1104)&gt;0</f>
        <v>0</v>
      </c>
    </row>
    <row r="1105" spans="1:9">
      <c r="A1105" t="s">
        <v>4008</v>
      </c>
      <c r="B1105" t="s">
        <v>10</v>
      </c>
      <c r="C1105" t="s">
        <v>4009</v>
      </c>
      <c r="D1105" t="s">
        <v>3480</v>
      </c>
      <c r="E1105" t="s">
        <v>3480</v>
      </c>
      <c r="F1105" t="s">
        <v>50</v>
      </c>
      <c r="G1105" t="s">
        <v>4010</v>
      </c>
      <c r="H1105" t="s">
        <v>30</v>
      </c>
      <c r="I1105" t="b">
        <f>COUNTIF(Estadísticas!I:I,'centraldecomunicacion.es'!H1105)&gt;0</f>
        <v>0</v>
      </c>
    </row>
    <row r="1106" spans="1:9">
      <c r="A1106" t="s">
        <v>4011</v>
      </c>
      <c r="B1106" t="s">
        <v>10</v>
      </c>
      <c r="C1106" t="s">
        <v>4012</v>
      </c>
      <c r="D1106" t="s">
        <v>3480</v>
      </c>
      <c r="E1106" t="s">
        <v>3480</v>
      </c>
      <c r="F1106" t="s">
        <v>4013</v>
      </c>
      <c r="G1106" t="s">
        <v>4014</v>
      </c>
      <c r="H1106" t="s">
        <v>4015</v>
      </c>
      <c r="I1106" t="b">
        <f>COUNTIF(Estadísticas!I:I,'centraldecomunicacion.es'!H1106)&gt;0</f>
        <v>1</v>
      </c>
    </row>
    <row r="1107" spans="1:9">
      <c r="A1107" t="s">
        <v>4016</v>
      </c>
      <c r="B1107" t="s">
        <v>10</v>
      </c>
      <c r="C1107" t="s">
        <v>4017</v>
      </c>
      <c r="D1107" t="s">
        <v>4018</v>
      </c>
      <c r="E1107" t="s">
        <v>3480</v>
      </c>
      <c r="F1107" t="s">
        <v>28</v>
      </c>
      <c r="G1107" t="s">
        <v>4019</v>
      </c>
      <c r="H1107" t="s">
        <v>30</v>
      </c>
      <c r="I1107" t="b">
        <f>COUNTIF(Estadísticas!I:I,'centraldecomunicacion.es'!H1107)&gt;0</f>
        <v>0</v>
      </c>
    </row>
    <row r="1108" spans="1:9">
      <c r="A1108" t="s">
        <v>3814</v>
      </c>
      <c r="B1108" t="s">
        <v>10</v>
      </c>
      <c r="C1108" t="s">
        <v>4020</v>
      </c>
      <c r="D1108" t="s">
        <v>4021</v>
      </c>
      <c r="E1108" t="s">
        <v>3480</v>
      </c>
      <c r="F1108" t="s">
        <v>28</v>
      </c>
      <c r="G1108" t="s">
        <v>4022</v>
      </c>
      <c r="H1108" t="s">
        <v>30</v>
      </c>
      <c r="I1108" t="b">
        <f>COUNTIF(Estadísticas!I:I,'centraldecomunicacion.es'!H1108)&gt;0</f>
        <v>0</v>
      </c>
    </row>
    <row r="1109" spans="1:9">
      <c r="A1109" t="s">
        <v>4023</v>
      </c>
      <c r="B1109" t="s">
        <v>10</v>
      </c>
      <c r="C1109" t="s">
        <v>4024</v>
      </c>
      <c r="D1109" t="s">
        <v>4025</v>
      </c>
      <c r="E1109" t="s">
        <v>3480</v>
      </c>
      <c r="F1109" t="s">
        <v>28</v>
      </c>
      <c r="G1109" t="s">
        <v>4026</v>
      </c>
      <c r="H1109" t="s">
        <v>30</v>
      </c>
      <c r="I1109" t="b">
        <f>COUNTIF(Estadísticas!I:I,'centraldecomunicacion.es'!H1109)&gt;0</f>
        <v>0</v>
      </c>
    </row>
    <row r="1110" spans="1:9">
      <c r="A1110" t="s">
        <v>4027</v>
      </c>
      <c r="B1110" t="s">
        <v>10</v>
      </c>
      <c r="C1110" t="s">
        <v>4028</v>
      </c>
      <c r="D1110" t="s">
        <v>4029</v>
      </c>
      <c r="E1110" t="s">
        <v>3480</v>
      </c>
      <c r="F1110" t="s">
        <v>4030</v>
      </c>
      <c r="G1110" t="s">
        <v>4031</v>
      </c>
      <c r="H1110" t="s">
        <v>4032</v>
      </c>
      <c r="I1110" t="b">
        <f>COUNTIF(Estadísticas!I:I,'centraldecomunicacion.es'!H1110)&gt;0</f>
        <v>0</v>
      </c>
    </row>
    <row r="1111" spans="1:9">
      <c r="A1111" t="s">
        <v>4033</v>
      </c>
      <c r="B1111" t="s">
        <v>10</v>
      </c>
      <c r="C1111" t="s">
        <v>4034</v>
      </c>
      <c r="D1111" t="s">
        <v>3480</v>
      </c>
      <c r="E1111" t="s">
        <v>3480</v>
      </c>
      <c r="F1111" t="s">
        <v>28</v>
      </c>
      <c r="G1111" t="s">
        <v>4035</v>
      </c>
      <c r="H1111" t="s">
        <v>30</v>
      </c>
      <c r="I1111" t="b">
        <f>COUNTIF(Estadísticas!I:I,'centraldecomunicacion.es'!H1111)&gt;0</f>
        <v>0</v>
      </c>
    </row>
    <row r="1112" spans="1:9">
      <c r="A1112" t="s">
        <v>4036</v>
      </c>
      <c r="B1112" t="s">
        <v>10</v>
      </c>
      <c r="C1112" t="s">
        <v>4037</v>
      </c>
      <c r="D1112" t="s">
        <v>3480</v>
      </c>
      <c r="E1112" t="s">
        <v>3480</v>
      </c>
      <c r="F1112" t="s">
        <v>4038</v>
      </c>
      <c r="G1112" t="s">
        <v>4039</v>
      </c>
      <c r="H1112" t="s">
        <v>4040</v>
      </c>
      <c r="I1112" t="b">
        <f>COUNTIF(Estadísticas!I:I,'centraldecomunicacion.es'!H1112)&gt;0</f>
        <v>0</v>
      </c>
    </row>
    <row r="1113" spans="1:9">
      <c r="A1113" t="s">
        <v>1906</v>
      </c>
      <c r="B1113" t="s">
        <v>10</v>
      </c>
      <c r="C1113" t="s">
        <v>4041</v>
      </c>
      <c r="D1113" t="s">
        <v>4025</v>
      </c>
      <c r="E1113" t="s">
        <v>3480</v>
      </c>
      <c r="F1113" t="s">
        <v>28</v>
      </c>
      <c r="G1113" t="s">
        <v>4042</v>
      </c>
      <c r="H1113" t="s">
        <v>30</v>
      </c>
      <c r="I1113" t="b">
        <f>COUNTIF(Estadísticas!I:I,'centraldecomunicacion.es'!H1113)&gt;0</f>
        <v>0</v>
      </c>
    </row>
    <row r="1114" spans="1:9">
      <c r="A1114" t="s">
        <v>4043</v>
      </c>
      <c r="B1114" t="s">
        <v>10</v>
      </c>
      <c r="C1114" t="s">
        <v>4044</v>
      </c>
      <c r="D1114" t="s">
        <v>4025</v>
      </c>
      <c r="E1114" t="s">
        <v>3480</v>
      </c>
      <c r="F1114" t="s">
        <v>28</v>
      </c>
      <c r="G1114" t="s">
        <v>4045</v>
      </c>
      <c r="H1114" t="s">
        <v>30</v>
      </c>
      <c r="I1114" t="b">
        <f>COUNTIF(Estadísticas!I:I,'centraldecomunicacion.es'!H1114)&gt;0</f>
        <v>0</v>
      </c>
    </row>
    <row r="1115" spans="1:9">
      <c r="A1115" t="s">
        <v>4046</v>
      </c>
      <c r="B1115" t="s">
        <v>10</v>
      </c>
      <c r="C1115" t="s">
        <v>4047</v>
      </c>
      <c r="D1115" t="s">
        <v>3480</v>
      </c>
      <c r="E1115" t="s">
        <v>3480</v>
      </c>
      <c r="F1115" t="s">
        <v>28</v>
      </c>
      <c r="G1115" t="s">
        <v>4048</v>
      </c>
      <c r="H1115" t="s">
        <v>30</v>
      </c>
      <c r="I1115" t="b">
        <f>COUNTIF(Estadísticas!I:I,'centraldecomunicacion.es'!H1115)&gt;0</f>
        <v>0</v>
      </c>
    </row>
    <row r="1116" spans="1:9">
      <c r="A1116" t="s">
        <v>2574</v>
      </c>
      <c r="B1116" t="s">
        <v>10</v>
      </c>
      <c r="C1116" t="s">
        <v>4049</v>
      </c>
      <c r="D1116" t="s">
        <v>3480</v>
      </c>
      <c r="E1116" t="s">
        <v>3480</v>
      </c>
      <c r="F1116" t="s">
        <v>2576</v>
      </c>
      <c r="G1116" t="s">
        <v>4050</v>
      </c>
      <c r="H1116" t="s">
        <v>30</v>
      </c>
      <c r="I1116" t="b">
        <f>COUNTIF(Estadísticas!I:I,'centraldecomunicacion.es'!H1116)&gt;0</f>
        <v>0</v>
      </c>
    </row>
    <row r="1117" spans="1:9">
      <c r="A1117" t="s">
        <v>4051</v>
      </c>
      <c r="B1117" t="s">
        <v>10</v>
      </c>
      <c r="C1117" t="s">
        <v>4052</v>
      </c>
      <c r="D1117" t="s">
        <v>4053</v>
      </c>
      <c r="E1117" t="s">
        <v>3480</v>
      </c>
      <c r="F1117" t="s">
        <v>4054</v>
      </c>
      <c r="G1117" t="s">
        <v>4055</v>
      </c>
      <c r="H1117" t="s">
        <v>4056</v>
      </c>
      <c r="I1117" t="b">
        <f>COUNTIF(Estadísticas!I:I,'centraldecomunicacion.es'!H1117)&gt;0</f>
        <v>0</v>
      </c>
    </row>
    <row r="1118" spans="1:9">
      <c r="A1118" t="s">
        <v>4057</v>
      </c>
      <c r="B1118" t="s">
        <v>10</v>
      </c>
      <c r="C1118" t="s">
        <v>4058</v>
      </c>
      <c r="D1118" t="s">
        <v>4053</v>
      </c>
      <c r="E1118" t="s">
        <v>3480</v>
      </c>
      <c r="F1118" t="s">
        <v>4059</v>
      </c>
      <c r="G1118" t="s">
        <v>4060</v>
      </c>
      <c r="H1118" t="s">
        <v>4061</v>
      </c>
      <c r="I1118" t="b">
        <f>COUNTIF(Estadísticas!I:I,'centraldecomunicacion.es'!H1118)&gt;0</f>
        <v>0</v>
      </c>
    </row>
    <row r="1119" spans="1:9">
      <c r="A1119" t="s">
        <v>4062</v>
      </c>
      <c r="B1119" t="s">
        <v>10</v>
      </c>
      <c r="C1119" t="s">
        <v>4063</v>
      </c>
      <c r="D1119" t="s">
        <v>4064</v>
      </c>
      <c r="E1119" t="s">
        <v>3480</v>
      </c>
      <c r="F1119" t="s">
        <v>28</v>
      </c>
      <c r="G1119" t="s">
        <v>4065</v>
      </c>
      <c r="H1119" t="s">
        <v>30</v>
      </c>
      <c r="I1119" t="b">
        <f>COUNTIF(Estadísticas!I:I,'centraldecomunicacion.es'!H1119)&gt;0</f>
        <v>0</v>
      </c>
    </row>
    <row r="1120" spans="1:9">
      <c r="A1120" t="s">
        <v>4066</v>
      </c>
      <c r="B1120" t="s">
        <v>10</v>
      </c>
      <c r="C1120" t="s">
        <v>4067</v>
      </c>
      <c r="D1120" t="s">
        <v>4068</v>
      </c>
      <c r="E1120" t="s">
        <v>3480</v>
      </c>
      <c r="F1120" t="s">
        <v>28</v>
      </c>
      <c r="G1120" t="s">
        <v>4069</v>
      </c>
      <c r="H1120" t="s">
        <v>30</v>
      </c>
      <c r="I1120" t="b">
        <f>COUNTIF(Estadísticas!I:I,'centraldecomunicacion.es'!H1120)&gt;0</f>
        <v>0</v>
      </c>
    </row>
    <row r="1121" spans="1:9">
      <c r="A1121" t="s">
        <v>4070</v>
      </c>
      <c r="B1121" t="s">
        <v>219</v>
      </c>
      <c r="C1121" t="s">
        <v>4071</v>
      </c>
      <c r="D1121" t="s">
        <v>4029</v>
      </c>
      <c r="E1121" t="s">
        <v>3480</v>
      </c>
      <c r="F1121" t="s">
        <v>4072</v>
      </c>
      <c r="G1121" t="s">
        <v>4073</v>
      </c>
      <c r="H1121" t="s">
        <v>30</v>
      </c>
      <c r="I1121" t="b">
        <f>COUNTIF(Estadísticas!I:I,'centraldecomunicacion.es'!H1121)&gt;0</f>
        <v>0</v>
      </c>
    </row>
    <row r="1122" spans="1:9">
      <c r="A1122" t="s">
        <v>4074</v>
      </c>
      <c r="B1122" t="s">
        <v>10</v>
      </c>
      <c r="C1122" t="s">
        <v>4075</v>
      </c>
      <c r="D1122" t="s">
        <v>3540</v>
      </c>
      <c r="E1122" t="s">
        <v>3480</v>
      </c>
      <c r="F1122" t="s">
        <v>4076</v>
      </c>
      <c r="G1122" t="s">
        <v>4077</v>
      </c>
      <c r="H1122" t="s">
        <v>4078</v>
      </c>
      <c r="I1122" t="b">
        <f>COUNTIF(Estadísticas!I:I,'centraldecomunicacion.es'!H1122)&gt;0</f>
        <v>0</v>
      </c>
    </row>
    <row r="1123" spans="1:9">
      <c r="A1123" t="s">
        <v>4079</v>
      </c>
      <c r="B1123" t="s">
        <v>10</v>
      </c>
      <c r="C1123" t="s">
        <v>4080</v>
      </c>
      <c r="D1123" t="s">
        <v>4081</v>
      </c>
      <c r="E1123" t="s">
        <v>3480</v>
      </c>
      <c r="F1123" t="s">
        <v>28</v>
      </c>
      <c r="G1123" t="s">
        <v>4082</v>
      </c>
      <c r="H1123" t="s">
        <v>30</v>
      </c>
      <c r="I1123" t="b">
        <f>COUNTIF(Estadísticas!I:I,'centraldecomunicacion.es'!H1123)&gt;0</f>
        <v>0</v>
      </c>
    </row>
    <row r="1124" spans="1:9">
      <c r="A1124" t="s">
        <v>2000</v>
      </c>
      <c r="B1124" t="s">
        <v>10</v>
      </c>
      <c r="C1124" t="s">
        <v>4083</v>
      </c>
      <c r="D1124" t="s">
        <v>4081</v>
      </c>
      <c r="E1124" t="s">
        <v>3480</v>
      </c>
      <c r="F1124" t="s">
        <v>4084</v>
      </c>
      <c r="G1124" t="s">
        <v>4085</v>
      </c>
      <c r="H1124" t="s">
        <v>30</v>
      </c>
      <c r="I1124" t="b">
        <f>COUNTIF(Estadísticas!I:I,'centraldecomunicacion.es'!H1124)&gt;0</f>
        <v>0</v>
      </c>
    </row>
    <row r="1125" spans="1:9">
      <c r="A1125" t="s">
        <v>4086</v>
      </c>
      <c r="B1125" t="s">
        <v>10</v>
      </c>
      <c r="C1125" t="s">
        <v>4063</v>
      </c>
      <c r="D1125" t="s">
        <v>4064</v>
      </c>
      <c r="E1125" t="s">
        <v>3480</v>
      </c>
      <c r="F1125" t="s">
        <v>28</v>
      </c>
      <c r="G1125" t="s">
        <v>4087</v>
      </c>
      <c r="H1125" t="s">
        <v>30</v>
      </c>
      <c r="I1125" t="b">
        <f>COUNTIF(Estadísticas!I:I,'centraldecomunicacion.es'!H1125)&gt;0</f>
        <v>0</v>
      </c>
    </row>
    <row r="1126" spans="1:9">
      <c r="A1126" t="s">
        <v>4088</v>
      </c>
      <c r="B1126" t="s">
        <v>10</v>
      </c>
      <c r="C1126" t="s">
        <v>4089</v>
      </c>
      <c r="D1126" t="s">
        <v>4090</v>
      </c>
      <c r="E1126" t="s">
        <v>3480</v>
      </c>
      <c r="F1126" t="s">
        <v>87</v>
      </c>
      <c r="G1126" t="s">
        <v>4091</v>
      </c>
      <c r="H1126" t="s">
        <v>30</v>
      </c>
      <c r="I1126" t="b">
        <f>COUNTIF(Estadísticas!I:I,'centraldecomunicacion.es'!H1126)&gt;0</f>
        <v>0</v>
      </c>
    </row>
    <row r="1127" spans="1:9">
      <c r="A1127" t="s">
        <v>3574</v>
      </c>
      <c r="B1127" t="s">
        <v>10</v>
      </c>
      <c r="C1127" t="s">
        <v>4092</v>
      </c>
      <c r="D1127" t="s">
        <v>4093</v>
      </c>
      <c r="E1127" t="s">
        <v>3480</v>
      </c>
      <c r="F1127" t="s">
        <v>4094</v>
      </c>
      <c r="G1127" t="s">
        <v>4095</v>
      </c>
      <c r="H1127" t="s">
        <v>30</v>
      </c>
      <c r="I1127" t="b">
        <f>COUNTIF(Estadísticas!I:I,'centraldecomunicacion.es'!H1127)&gt;0</f>
        <v>0</v>
      </c>
    </row>
    <row r="1128" spans="1:9">
      <c r="A1128" t="s">
        <v>3688</v>
      </c>
      <c r="B1128" t="s">
        <v>10</v>
      </c>
      <c r="C1128" t="s">
        <v>4096</v>
      </c>
      <c r="D1128" t="s">
        <v>4097</v>
      </c>
      <c r="E1128" t="s">
        <v>3480</v>
      </c>
      <c r="F1128" t="s">
        <v>28</v>
      </c>
      <c r="G1128" t="s">
        <v>4098</v>
      </c>
      <c r="H1128" t="s">
        <v>30</v>
      </c>
      <c r="I1128" t="b">
        <f>COUNTIF(Estadísticas!I:I,'centraldecomunicacion.es'!H1128)&gt;0</f>
        <v>0</v>
      </c>
    </row>
    <row r="1129" spans="1:9">
      <c r="A1129" t="s">
        <v>4099</v>
      </c>
      <c r="B1129" t="s">
        <v>10</v>
      </c>
      <c r="C1129" t="s">
        <v>4100</v>
      </c>
      <c r="D1129" t="s">
        <v>4101</v>
      </c>
      <c r="E1129" t="s">
        <v>4102</v>
      </c>
      <c r="F1129" t="s">
        <v>4103</v>
      </c>
      <c r="G1129" t="s">
        <v>4104</v>
      </c>
      <c r="H1129" t="s">
        <v>30</v>
      </c>
      <c r="I1129" t="b">
        <f>COUNTIF(Estadísticas!I:I,'centraldecomunicacion.es'!H1129)&gt;0</f>
        <v>0</v>
      </c>
    </row>
    <row r="1130" spans="1:9">
      <c r="A1130" t="s">
        <v>4105</v>
      </c>
      <c r="B1130" t="s">
        <v>10</v>
      </c>
      <c r="C1130" t="s">
        <v>4106</v>
      </c>
      <c r="D1130" t="s">
        <v>4107</v>
      </c>
      <c r="E1130" t="s">
        <v>4102</v>
      </c>
      <c r="F1130" t="s">
        <v>4108</v>
      </c>
      <c r="G1130" t="s">
        <v>4109</v>
      </c>
      <c r="H1130" t="s">
        <v>4110</v>
      </c>
      <c r="I1130" t="b">
        <f>COUNTIF(Estadísticas!I:I,'centraldecomunicacion.es'!H1130)&gt;0</f>
        <v>1</v>
      </c>
    </row>
    <row r="1131" spans="1:9">
      <c r="A1131" t="s">
        <v>4111</v>
      </c>
      <c r="B1131" t="s">
        <v>10</v>
      </c>
      <c r="C1131" t="s">
        <v>4112</v>
      </c>
      <c r="D1131" t="s">
        <v>4107</v>
      </c>
      <c r="E1131" t="s">
        <v>4102</v>
      </c>
      <c r="F1131" t="s">
        <v>4113</v>
      </c>
      <c r="G1131" t="s">
        <v>4114</v>
      </c>
      <c r="H1131" t="s">
        <v>4115</v>
      </c>
      <c r="I1131" t="b">
        <f>COUNTIF(Estadísticas!I:I,'centraldecomunicacion.es'!H1131)&gt;0</f>
        <v>1</v>
      </c>
    </row>
    <row r="1132" spans="1:9">
      <c r="A1132" t="s">
        <v>4116</v>
      </c>
      <c r="B1132" t="s">
        <v>10</v>
      </c>
      <c r="C1132" t="s">
        <v>4117</v>
      </c>
      <c r="D1132" t="s">
        <v>4107</v>
      </c>
      <c r="E1132" t="s">
        <v>4102</v>
      </c>
      <c r="F1132" t="s">
        <v>4118</v>
      </c>
      <c r="G1132" t="s">
        <v>4119</v>
      </c>
      <c r="H1132" t="s">
        <v>30</v>
      </c>
      <c r="I1132" t="b">
        <f>COUNTIF(Estadísticas!I:I,'centraldecomunicacion.es'!H1132)&gt;0</f>
        <v>0</v>
      </c>
    </row>
    <row r="1133" spans="1:9">
      <c r="A1133" t="s">
        <v>4120</v>
      </c>
      <c r="B1133" t="s">
        <v>10</v>
      </c>
      <c r="C1133" t="s">
        <v>4121</v>
      </c>
      <c r="D1133" t="s">
        <v>4122</v>
      </c>
      <c r="E1133" t="s">
        <v>4102</v>
      </c>
      <c r="F1133" t="s">
        <v>4123</v>
      </c>
      <c r="G1133" t="s">
        <v>4124</v>
      </c>
      <c r="H1133" t="s">
        <v>4125</v>
      </c>
      <c r="I1133" t="b">
        <f>COUNTIF(Estadísticas!I:I,'centraldecomunicacion.es'!H1133)&gt;0</f>
        <v>0</v>
      </c>
    </row>
    <row r="1134" spans="1:9">
      <c r="A1134" t="s">
        <v>4126</v>
      </c>
      <c r="B1134" t="s">
        <v>10</v>
      </c>
      <c r="C1134" t="s">
        <v>4127</v>
      </c>
      <c r="D1134" t="s">
        <v>4128</v>
      </c>
      <c r="E1134" t="s">
        <v>4102</v>
      </c>
      <c r="F1134" t="s">
        <v>4129</v>
      </c>
      <c r="G1134" t="s">
        <v>4130</v>
      </c>
      <c r="H1134" t="s">
        <v>30</v>
      </c>
      <c r="I1134" t="b">
        <f>COUNTIF(Estadísticas!I:I,'centraldecomunicacion.es'!H1134)&gt;0</f>
        <v>0</v>
      </c>
    </row>
    <row r="1135" spans="1:9">
      <c r="A1135" t="s">
        <v>4131</v>
      </c>
      <c r="B1135" t="s">
        <v>10</v>
      </c>
      <c r="C1135" t="s">
        <v>4132</v>
      </c>
      <c r="D1135" t="s">
        <v>4107</v>
      </c>
      <c r="E1135" t="s">
        <v>4102</v>
      </c>
      <c r="F1135" t="s">
        <v>4133</v>
      </c>
      <c r="G1135" t="s">
        <v>4134</v>
      </c>
      <c r="H1135" t="s">
        <v>4135</v>
      </c>
      <c r="I1135" t="b">
        <f>COUNTIF(Estadísticas!I:I,'centraldecomunicacion.es'!H1135)&gt;0</f>
        <v>1</v>
      </c>
    </row>
    <row r="1136" spans="1:9">
      <c r="A1136" t="s">
        <v>4136</v>
      </c>
      <c r="B1136" t="s">
        <v>10</v>
      </c>
      <c r="C1136" t="s">
        <v>4137</v>
      </c>
      <c r="D1136" t="s">
        <v>4107</v>
      </c>
      <c r="E1136" t="s">
        <v>4102</v>
      </c>
      <c r="F1136" t="s">
        <v>4138</v>
      </c>
      <c r="G1136" t="s">
        <v>4139</v>
      </c>
      <c r="H1136" t="s">
        <v>30</v>
      </c>
      <c r="I1136" t="b">
        <f>COUNTIF(Estadísticas!I:I,'centraldecomunicacion.es'!H1136)&gt;0</f>
        <v>0</v>
      </c>
    </row>
    <row r="1137" spans="1:9">
      <c r="A1137" t="s">
        <v>4140</v>
      </c>
      <c r="B1137" t="s">
        <v>10</v>
      </c>
      <c r="C1137" t="s">
        <v>4141</v>
      </c>
      <c r="D1137" t="s">
        <v>4128</v>
      </c>
      <c r="E1137" t="s">
        <v>4102</v>
      </c>
      <c r="F1137" t="s">
        <v>28</v>
      </c>
      <c r="G1137" t="s">
        <v>4142</v>
      </c>
      <c r="H1137" t="s">
        <v>30</v>
      </c>
      <c r="I1137" t="b">
        <f>COUNTIF(Estadísticas!I:I,'centraldecomunicacion.es'!H1137)&gt;0</f>
        <v>0</v>
      </c>
    </row>
    <row r="1138" spans="1:9">
      <c r="A1138" t="s">
        <v>4143</v>
      </c>
      <c r="B1138" t="s">
        <v>10</v>
      </c>
      <c r="C1138" t="s">
        <v>4144</v>
      </c>
      <c r="D1138" t="s">
        <v>4107</v>
      </c>
      <c r="E1138" t="s">
        <v>4102</v>
      </c>
      <c r="F1138" t="s">
        <v>50</v>
      </c>
      <c r="G1138" t="s">
        <v>4145</v>
      </c>
      <c r="H1138" t="s">
        <v>30</v>
      </c>
      <c r="I1138" t="b">
        <f>COUNTIF(Estadísticas!I:I,'centraldecomunicacion.es'!H1138)&gt;0</f>
        <v>0</v>
      </c>
    </row>
    <row r="1139" spans="1:9">
      <c r="A1139" t="s">
        <v>4146</v>
      </c>
      <c r="B1139" t="s">
        <v>10</v>
      </c>
      <c r="C1139" t="s">
        <v>4147</v>
      </c>
      <c r="D1139" t="s">
        <v>4148</v>
      </c>
      <c r="E1139" t="s">
        <v>4102</v>
      </c>
      <c r="F1139" t="s">
        <v>4149</v>
      </c>
      <c r="G1139" t="s">
        <v>4150</v>
      </c>
      <c r="H1139" t="s">
        <v>4151</v>
      </c>
      <c r="I1139" t="b">
        <f>COUNTIF(Estadísticas!I:I,'centraldecomunicacion.es'!H1139)&gt;0</f>
        <v>0</v>
      </c>
    </row>
    <row r="1140" spans="1:9">
      <c r="A1140" t="s">
        <v>4152</v>
      </c>
      <c r="B1140" t="s">
        <v>10</v>
      </c>
      <c r="C1140" t="s">
        <v>4153</v>
      </c>
      <c r="D1140" t="s">
        <v>4154</v>
      </c>
      <c r="E1140" t="s">
        <v>4102</v>
      </c>
      <c r="F1140" t="s">
        <v>28</v>
      </c>
      <c r="G1140" t="s">
        <v>4155</v>
      </c>
      <c r="H1140" t="s">
        <v>30</v>
      </c>
      <c r="I1140" t="b">
        <f>COUNTIF(Estadísticas!I:I,'centraldecomunicacion.es'!H1140)&gt;0</f>
        <v>0</v>
      </c>
    </row>
    <row r="1141" spans="1:9">
      <c r="A1141" t="s">
        <v>4156</v>
      </c>
      <c r="B1141" t="s">
        <v>10</v>
      </c>
      <c r="C1141" t="s">
        <v>4157</v>
      </c>
      <c r="D1141" t="s">
        <v>4158</v>
      </c>
      <c r="E1141" t="s">
        <v>4102</v>
      </c>
      <c r="F1141" t="s">
        <v>4159</v>
      </c>
      <c r="G1141" t="s">
        <v>4160</v>
      </c>
      <c r="H1141" t="s">
        <v>30</v>
      </c>
      <c r="I1141" t="b">
        <f>COUNTIF(Estadísticas!I:I,'centraldecomunicacion.es'!H1141)&gt;0</f>
        <v>0</v>
      </c>
    </row>
    <row r="1142" spans="1:9">
      <c r="A1142" t="s">
        <v>4161</v>
      </c>
      <c r="B1142" t="s">
        <v>10</v>
      </c>
      <c r="C1142" t="s">
        <v>4162</v>
      </c>
      <c r="D1142" t="s">
        <v>4107</v>
      </c>
      <c r="E1142" t="s">
        <v>4102</v>
      </c>
      <c r="F1142" t="s">
        <v>28</v>
      </c>
      <c r="G1142" t="s">
        <v>4163</v>
      </c>
      <c r="H1142" t="s">
        <v>30</v>
      </c>
      <c r="I1142" t="b">
        <f>COUNTIF(Estadísticas!I:I,'centraldecomunicacion.es'!H1142)&gt;0</f>
        <v>0</v>
      </c>
    </row>
    <row r="1143" spans="1:9">
      <c r="A1143" t="s">
        <v>4164</v>
      </c>
      <c r="B1143" t="s">
        <v>10</v>
      </c>
      <c r="C1143" t="s">
        <v>4165</v>
      </c>
      <c r="D1143" t="s">
        <v>4107</v>
      </c>
      <c r="E1143" t="s">
        <v>4102</v>
      </c>
      <c r="F1143" t="s">
        <v>50</v>
      </c>
      <c r="G1143" t="s">
        <v>4166</v>
      </c>
      <c r="H1143" t="s">
        <v>30</v>
      </c>
      <c r="I1143" t="b">
        <f>COUNTIF(Estadísticas!I:I,'centraldecomunicacion.es'!H1143)&gt;0</f>
        <v>0</v>
      </c>
    </row>
    <row r="1144" spans="1:9">
      <c r="A1144" t="s">
        <v>4167</v>
      </c>
      <c r="B1144" t="s">
        <v>10</v>
      </c>
      <c r="C1144" t="s">
        <v>4168</v>
      </c>
      <c r="D1144" t="s">
        <v>4128</v>
      </c>
      <c r="E1144" t="s">
        <v>4102</v>
      </c>
      <c r="F1144" t="s">
        <v>4169</v>
      </c>
      <c r="G1144" t="s">
        <v>4170</v>
      </c>
      <c r="H1144" t="s">
        <v>4171</v>
      </c>
      <c r="I1144" t="b">
        <f>COUNTIF(Estadísticas!I:I,'centraldecomunicacion.es'!H1144)&gt;0</f>
        <v>1</v>
      </c>
    </row>
    <row r="1145" spans="1:9">
      <c r="A1145" t="s">
        <v>4172</v>
      </c>
      <c r="B1145" t="s">
        <v>10</v>
      </c>
      <c r="C1145" t="s">
        <v>4173</v>
      </c>
      <c r="D1145" t="s">
        <v>4128</v>
      </c>
      <c r="E1145" t="s">
        <v>4102</v>
      </c>
      <c r="F1145" t="s">
        <v>4174</v>
      </c>
      <c r="G1145" t="s">
        <v>4175</v>
      </c>
      <c r="H1145" t="s">
        <v>4176</v>
      </c>
      <c r="I1145" t="b">
        <f>COUNTIF(Estadísticas!I:I,'centraldecomunicacion.es'!H1145)&gt;0</f>
        <v>0</v>
      </c>
    </row>
    <row r="1146" spans="1:9">
      <c r="A1146" t="s">
        <v>4177</v>
      </c>
      <c r="B1146" t="s">
        <v>10</v>
      </c>
      <c r="C1146" t="s">
        <v>4178</v>
      </c>
      <c r="D1146" t="s">
        <v>4179</v>
      </c>
      <c r="E1146" t="s">
        <v>4102</v>
      </c>
      <c r="F1146" t="s">
        <v>4180</v>
      </c>
      <c r="G1146" t="s">
        <v>4181</v>
      </c>
      <c r="H1146" t="s">
        <v>4182</v>
      </c>
      <c r="I1146" t="b">
        <f>COUNTIF(Estadísticas!I:I,'centraldecomunicacion.es'!H1146)&gt;0</f>
        <v>0</v>
      </c>
    </row>
    <row r="1147" spans="1:9">
      <c r="A1147" t="s">
        <v>4183</v>
      </c>
      <c r="B1147" t="s">
        <v>10</v>
      </c>
      <c r="C1147" t="s">
        <v>4184</v>
      </c>
      <c r="D1147" t="s">
        <v>4185</v>
      </c>
      <c r="E1147" t="s">
        <v>4102</v>
      </c>
      <c r="F1147" t="s">
        <v>4186</v>
      </c>
      <c r="G1147" t="s">
        <v>4187</v>
      </c>
      <c r="H1147" t="s">
        <v>4188</v>
      </c>
      <c r="I1147" t="b">
        <f>COUNTIF(Estadísticas!I:I,'centraldecomunicacion.es'!H1147)&gt;0</f>
        <v>1</v>
      </c>
    </row>
    <row r="1148" spans="1:9">
      <c r="A1148" t="s">
        <v>4189</v>
      </c>
      <c r="B1148" t="s">
        <v>10</v>
      </c>
      <c r="C1148" t="s">
        <v>4190</v>
      </c>
      <c r="D1148" t="s">
        <v>4107</v>
      </c>
      <c r="E1148" t="s">
        <v>4102</v>
      </c>
      <c r="F1148" t="s">
        <v>4191</v>
      </c>
      <c r="G1148" t="s">
        <v>4192</v>
      </c>
      <c r="H1148" t="s">
        <v>30</v>
      </c>
      <c r="I1148" t="b">
        <f>COUNTIF(Estadísticas!I:I,'centraldecomunicacion.es'!H1148)&gt;0</f>
        <v>0</v>
      </c>
    </row>
    <row r="1149" spans="1:9">
      <c r="A1149" t="s">
        <v>4193</v>
      </c>
      <c r="B1149" t="s">
        <v>10</v>
      </c>
      <c r="C1149" t="s">
        <v>4194</v>
      </c>
      <c r="D1149" t="s">
        <v>4107</v>
      </c>
      <c r="E1149" t="s">
        <v>4102</v>
      </c>
      <c r="F1149" t="s">
        <v>50</v>
      </c>
      <c r="G1149" t="s">
        <v>4195</v>
      </c>
      <c r="H1149" t="s">
        <v>30</v>
      </c>
      <c r="I1149" t="b">
        <f>COUNTIF(Estadísticas!I:I,'centraldecomunicacion.es'!H1149)&gt;0</f>
        <v>0</v>
      </c>
    </row>
    <row r="1150" spans="1:9">
      <c r="A1150" t="s">
        <v>4196</v>
      </c>
      <c r="B1150" t="s">
        <v>10</v>
      </c>
      <c r="C1150" t="s">
        <v>4197</v>
      </c>
      <c r="D1150" t="s">
        <v>4198</v>
      </c>
      <c r="E1150" t="s">
        <v>4102</v>
      </c>
      <c r="F1150" t="s">
        <v>4199</v>
      </c>
      <c r="G1150" t="s">
        <v>4200</v>
      </c>
      <c r="H1150" t="s">
        <v>4201</v>
      </c>
      <c r="I1150" t="b">
        <f>COUNTIF(Estadísticas!I:I,'centraldecomunicacion.es'!H1150)&gt;0</f>
        <v>0</v>
      </c>
    </row>
    <row r="1151" spans="1:9">
      <c r="A1151" t="s">
        <v>4202</v>
      </c>
      <c r="B1151" t="s">
        <v>10</v>
      </c>
      <c r="C1151" t="s">
        <v>4203</v>
      </c>
      <c r="D1151" t="s">
        <v>4107</v>
      </c>
      <c r="E1151" t="s">
        <v>4102</v>
      </c>
      <c r="F1151" t="s">
        <v>4204</v>
      </c>
      <c r="G1151" t="s">
        <v>4205</v>
      </c>
      <c r="H1151" t="s">
        <v>4206</v>
      </c>
      <c r="I1151" t="b">
        <f>COUNTIF(Estadísticas!I:I,'centraldecomunicacion.es'!H1151)&gt;0</f>
        <v>1</v>
      </c>
    </row>
    <row r="1152" spans="1:9">
      <c r="A1152" t="s">
        <v>4207</v>
      </c>
      <c r="B1152" t="s">
        <v>10</v>
      </c>
      <c r="C1152" t="s">
        <v>4208</v>
      </c>
      <c r="D1152" t="s">
        <v>4128</v>
      </c>
      <c r="E1152" t="s">
        <v>4102</v>
      </c>
      <c r="F1152" t="s">
        <v>4209</v>
      </c>
      <c r="G1152" t="s">
        <v>4210</v>
      </c>
      <c r="H1152" t="s">
        <v>30</v>
      </c>
      <c r="I1152" t="b">
        <f>COUNTIF(Estadísticas!I:I,'centraldecomunicacion.es'!H1152)&gt;0</f>
        <v>0</v>
      </c>
    </row>
    <row r="1153" spans="1:9">
      <c r="A1153" t="s">
        <v>4211</v>
      </c>
      <c r="B1153" t="s">
        <v>10</v>
      </c>
      <c r="C1153" t="s">
        <v>4212</v>
      </c>
      <c r="D1153" t="s">
        <v>4107</v>
      </c>
      <c r="E1153" t="s">
        <v>4102</v>
      </c>
      <c r="F1153" t="s">
        <v>4213</v>
      </c>
      <c r="G1153" t="s">
        <v>4214</v>
      </c>
      <c r="H1153" t="s">
        <v>30</v>
      </c>
      <c r="I1153" t="b">
        <f>COUNTIF(Estadísticas!I:I,'centraldecomunicacion.es'!H1153)&gt;0</f>
        <v>0</v>
      </c>
    </row>
    <row r="1154" spans="1:9">
      <c r="A1154" t="s">
        <v>4215</v>
      </c>
      <c r="B1154" t="s">
        <v>10</v>
      </c>
      <c r="C1154" t="s">
        <v>4216</v>
      </c>
      <c r="D1154" t="s">
        <v>4107</v>
      </c>
      <c r="E1154" t="s">
        <v>4102</v>
      </c>
      <c r="F1154" t="s">
        <v>4217</v>
      </c>
      <c r="G1154" t="s">
        <v>4218</v>
      </c>
      <c r="H1154" t="s">
        <v>4219</v>
      </c>
      <c r="I1154" t="b">
        <f>COUNTIF(Estadísticas!I:I,'centraldecomunicacion.es'!H1154)&gt;0</f>
        <v>1</v>
      </c>
    </row>
    <row r="1155" spans="1:9">
      <c r="A1155" t="s">
        <v>4220</v>
      </c>
      <c r="B1155" t="s">
        <v>10</v>
      </c>
      <c r="C1155" t="s">
        <v>4221</v>
      </c>
      <c r="D1155" t="s">
        <v>4107</v>
      </c>
      <c r="E1155" t="s">
        <v>4102</v>
      </c>
      <c r="F1155" t="s">
        <v>50</v>
      </c>
      <c r="G1155" t="s">
        <v>4222</v>
      </c>
      <c r="H1155" t="s">
        <v>30</v>
      </c>
      <c r="I1155" t="b">
        <f>COUNTIF(Estadísticas!I:I,'centraldecomunicacion.es'!H1155)&gt;0</f>
        <v>0</v>
      </c>
    </row>
    <row r="1156" spans="1:9">
      <c r="A1156" t="s">
        <v>4223</v>
      </c>
      <c r="B1156" t="s">
        <v>10</v>
      </c>
      <c r="C1156" t="s">
        <v>4224</v>
      </c>
      <c r="D1156" t="s">
        <v>4107</v>
      </c>
      <c r="E1156" t="s">
        <v>4102</v>
      </c>
      <c r="F1156" t="s">
        <v>28</v>
      </c>
      <c r="G1156" t="s">
        <v>4225</v>
      </c>
      <c r="H1156" t="s">
        <v>30</v>
      </c>
      <c r="I1156" t="b">
        <f>COUNTIF(Estadísticas!I:I,'centraldecomunicacion.es'!H1156)&gt;0</f>
        <v>0</v>
      </c>
    </row>
    <row r="1157" spans="1:9">
      <c r="A1157" t="s">
        <v>4226</v>
      </c>
      <c r="B1157" t="s">
        <v>10</v>
      </c>
      <c r="C1157" t="s">
        <v>4227</v>
      </c>
      <c r="D1157" t="s">
        <v>4128</v>
      </c>
      <c r="E1157" t="s">
        <v>4102</v>
      </c>
      <c r="F1157" t="s">
        <v>28</v>
      </c>
      <c r="G1157" t="s">
        <v>4228</v>
      </c>
      <c r="H1157" t="s">
        <v>30</v>
      </c>
      <c r="I1157" t="b">
        <f>COUNTIF(Estadísticas!I:I,'centraldecomunicacion.es'!H1157)&gt;0</f>
        <v>0</v>
      </c>
    </row>
    <row r="1158" spans="1:9">
      <c r="A1158" t="s">
        <v>4229</v>
      </c>
      <c r="B1158" t="s">
        <v>10</v>
      </c>
      <c r="C1158" t="s">
        <v>4230</v>
      </c>
      <c r="D1158" t="s">
        <v>4107</v>
      </c>
      <c r="E1158" t="s">
        <v>4102</v>
      </c>
      <c r="F1158" t="s">
        <v>28</v>
      </c>
      <c r="G1158" t="s">
        <v>4231</v>
      </c>
      <c r="H1158" t="s">
        <v>30</v>
      </c>
      <c r="I1158" t="b">
        <f>COUNTIF(Estadísticas!I:I,'centraldecomunicacion.es'!H1158)&gt;0</f>
        <v>0</v>
      </c>
    </row>
    <row r="1159" spans="1:9">
      <c r="A1159" t="s">
        <v>4232</v>
      </c>
      <c r="B1159" t="s">
        <v>10</v>
      </c>
      <c r="C1159" t="s">
        <v>4233</v>
      </c>
      <c r="D1159" t="s">
        <v>4128</v>
      </c>
      <c r="E1159" t="s">
        <v>4102</v>
      </c>
      <c r="F1159" t="s">
        <v>4234</v>
      </c>
      <c r="G1159" t="s">
        <v>4235</v>
      </c>
      <c r="H1159" t="s">
        <v>30</v>
      </c>
      <c r="I1159" t="b">
        <f>COUNTIF(Estadísticas!I:I,'centraldecomunicacion.es'!H1159)&gt;0</f>
        <v>0</v>
      </c>
    </row>
    <row r="1160" spans="1:9">
      <c r="A1160" t="s">
        <v>4236</v>
      </c>
      <c r="B1160" t="s">
        <v>10</v>
      </c>
      <c r="C1160" t="s">
        <v>4237</v>
      </c>
      <c r="D1160" t="s">
        <v>4238</v>
      </c>
      <c r="E1160" t="s">
        <v>4102</v>
      </c>
      <c r="F1160" t="s">
        <v>4239</v>
      </c>
      <c r="G1160" t="s">
        <v>4240</v>
      </c>
      <c r="H1160" t="s">
        <v>4241</v>
      </c>
      <c r="I1160" t="b">
        <f>COUNTIF(Estadísticas!I:I,'centraldecomunicacion.es'!H1160)&gt;0</f>
        <v>0</v>
      </c>
    </row>
    <row r="1161" spans="1:9">
      <c r="A1161" t="s">
        <v>4242</v>
      </c>
      <c r="B1161" t="s">
        <v>10</v>
      </c>
      <c r="C1161" t="s">
        <v>4243</v>
      </c>
      <c r="D1161" t="s">
        <v>4128</v>
      </c>
      <c r="E1161" t="s">
        <v>4102</v>
      </c>
      <c r="F1161" t="s">
        <v>4244</v>
      </c>
      <c r="G1161" t="s">
        <v>4245</v>
      </c>
      <c r="H1161" t="s">
        <v>4246</v>
      </c>
      <c r="I1161" t="b">
        <f>COUNTIF(Estadísticas!I:I,'centraldecomunicacion.es'!H1161)&gt;0</f>
        <v>1</v>
      </c>
    </row>
    <row r="1162" spans="1:9">
      <c r="A1162" t="s">
        <v>4247</v>
      </c>
      <c r="B1162" t="s">
        <v>10</v>
      </c>
      <c r="C1162" t="s">
        <v>4248</v>
      </c>
      <c r="D1162" t="s">
        <v>4128</v>
      </c>
      <c r="E1162" t="s">
        <v>4102</v>
      </c>
      <c r="F1162" t="s">
        <v>28</v>
      </c>
      <c r="G1162" t="s">
        <v>4249</v>
      </c>
      <c r="H1162" t="s">
        <v>30</v>
      </c>
      <c r="I1162" t="b">
        <f>COUNTIF(Estadísticas!I:I,'centraldecomunicacion.es'!H1162)&gt;0</f>
        <v>0</v>
      </c>
    </row>
    <row r="1163" spans="1:9">
      <c r="A1163" t="s">
        <v>4250</v>
      </c>
      <c r="B1163" t="s">
        <v>10</v>
      </c>
      <c r="C1163" t="s">
        <v>4144</v>
      </c>
      <c r="D1163" t="s">
        <v>4107</v>
      </c>
      <c r="E1163" t="s">
        <v>4102</v>
      </c>
      <c r="F1163" t="s">
        <v>28</v>
      </c>
      <c r="G1163" t="s">
        <v>4251</v>
      </c>
      <c r="H1163" t="s">
        <v>30</v>
      </c>
      <c r="I1163" t="b">
        <f>COUNTIF(Estadísticas!I:I,'centraldecomunicacion.es'!H1163)&gt;0</f>
        <v>0</v>
      </c>
    </row>
    <row r="1164" spans="1:9">
      <c r="A1164" t="s">
        <v>4252</v>
      </c>
      <c r="B1164" t="s">
        <v>10</v>
      </c>
      <c r="C1164" t="s">
        <v>4253</v>
      </c>
      <c r="D1164" t="s">
        <v>4128</v>
      </c>
      <c r="E1164" t="s">
        <v>4102</v>
      </c>
      <c r="F1164" t="s">
        <v>4254</v>
      </c>
      <c r="G1164" t="s">
        <v>4255</v>
      </c>
      <c r="H1164" t="s">
        <v>30</v>
      </c>
      <c r="I1164" t="b">
        <f>COUNTIF(Estadísticas!I:I,'centraldecomunicacion.es'!H1164)&gt;0</f>
        <v>0</v>
      </c>
    </row>
    <row r="1165" spans="1:9">
      <c r="A1165" t="s">
        <v>4256</v>
      </c>
      <c r="B1165" t="s">
        <v>10</v>
      </c>
      <c r="C1165" t="s">
        <v>4257</v>
      </c>
      <c r="D1165" t="s">
        <v>4107</v>
      </c>
      <c r="E1165" t="s">
        <v>4102</v>
      </c>
      <c r="F1165" t="s">
        <v>4258</v>
      </c>
      <c r="G1165" t="s">
        <v>4259</v>
      </c>
      <c r="H1165" t="s">
        <v>30</v>
      </c>
      <c r="I1165" t="b">
        <f>COUNTIF(Estadísticas!I:I,'centraldecomunicacion.es'!H1165)&gt;0</f>
        <v>0</v>
      </c>
    </row>
    <row r="1166" spans="1:9">
      <c r="A1166" t="s">
        <v>4260</v>
      </c>
      <c r="B1166" t="s">
        <v>10</v>
      </c>
      <c r="C1166" t="s">
        <v>4261</v>
      </c>
      <c r="D1166" t="s">
        <v>4238</v>
      </c>
      <c r="E1166" t="s">
        <v>4102</v>
      </c>
      <c r="F1166" t="s">
        <v>4262</v>
      </c>
      <c r="G1166" t="s">
        <v>4263</v>
      </c>
      <c r="H1166" t="s">
        <v>4264</v>
      </c>
      <c r="I1166" t="b">
        <f>COUNTIF(Estadísticas!I:I,'centraldecomunicacion.es'!H1166)&gt;0</f>
        <v>1</v>
      </c>
    </row>
    <row r="1167" spans="1:9">
      <c r="A1167" t="s">
        <v>4265</v>
      </c>
      <c r="B1167" t="s">
        <v>10</v>
      </c>
      <c r="C1167" t="s">
        <v>4266</v>
      </c>
      <c r="D1167" t="s">
        <v>4128</v>
      </c>
      <c r="E1167" t="s">
        <v>4102</v>
      </c>
      <c r="F1167" t="s">
        <v>4267</v>
      </c>
      <c r="G1167" t="s">
        <v>4268</v>
      </c>
      <c r="H1167" t="s">
        <v>4269</v>
      </c>
      <c r="I1167" t="b">
        <f>COUNTIF(Estadísticas!I:I,'centraldecomunicacion.es'!H1167)&gt;0</f>
        <v>0</v>
      </c>
    </row>
    <row r="1168" spans="1:9">
      <c r="A1168" t="s">
        <v>4270</v>
      </c>
      <c r="B1168" t="s">
        <v>10</v>
      </c>
      <c r="C1168" t="s">
        <v>4271</v>
      </c>
      <c r="D1168" t="s">
        <v>4272</v>
      </c>
      <c r="E1168" t="s">
        <v>4102</v>
      </c>
      <c r="F1168" t="s">
        <v>28</v>
      </c>
      <c r="G1168" t="s">
        <v>4273</v>
      </c>
      <c r="H1168" t="s">
        <v>30</v>
      </c>
      <c r="I1168" t="b">
        <f>COUNTIF(Estadísticas!I:I,'centraldecomunicacion.es'!H1168)&gt;0</f>
        <v>0</v>
      </c>
    </row>
    <row r="1169" spans="1:9">
      <c r="A1169" t="s">
        <v>4274</v>
      </c>
      <c r="B1169" t="s">
        <v>10</v>
      </c>
      <c r="C1169" t="s">
        <v>4275</v>
      </c>
      <c r="D1169" t="s">
        <v>4276</v>
      </c>
      <c r="E1169" t="s">
        <v>4102</v>
      </c>
      <c r="F1169" t="s">
        <v>4277</v>
      </c>
      <c r="G1169" t="s">
        <v>4278</v>
      </c>
      <c r="H1169" t="s">
        <v>4279</v>
      </c>
      <c r="I1169" t="b">
        <f>COUNTIF(Estadísticas!I:I,'centraldecomunicacion.es'!H1169)&gt;0</f>
        <v>0</v>
      </c>
    </row>
    <row r="1170" spans="1:9">
      <c r="A1170" t="s">
        <v>4280</v>
      </c>
      <c r="B1170" t="s">
        <v>10</v>
      </c>
      <c r="C1170" t="s">
        <v>4281</v>
      </c>
      <c r="D1170" t="s">
        <v>4282</v>
      </c>
      <c r="E1170" t="s">
        <v>4102</v>
      </c>
      <c r="F1170" t="s">
        <v>4283</v>
      </c>
      <c r="G1170" t="s">
        <v>4284</v>
      </c>
      <c r="H1170" t="s">
        <v>30</v>
      </c>
      <c r="I1170" t="b">
        <f>COUNTIF(Estadísticas!I:I,'centraldecomunicacion.es'!H1170)&gt;0</f>
        <v>0</v>
      </c>
    </row>
    <row r="1171" spans="1:9">
      <c r="A1171" t="s">
        <v>4285</v>
      </c>
      <c r="B1171" t="s">
        <v>10</v>
      </c>
      <c r="C1171" t="s">
        <v>4286</v>
      </c>
      <c r="D1171" t="s">
        <v>4287</v>
      </c>
      <c r="E1171" t="s">
        <v>4102</v>
      </c>
      <c r="F1171" t="s">
        <v>4288</v>
      </c>
      <c r="G1171" t="s">
        <v>4289</v>
      </c>
      <c r="H1171" t="s">
        <v>4290</v>
      </c>
      <c r="I1171" t="b">
        <f>COUNTIF(Estadísticas!I:I,'centraldecomunicacion.es'!H1171)&gt;0</f>
        <v>0</v>
      </c>
    </row>
    <row r="1172" spans="1:9">
      <c r="A1172" t="s">
        <v>4291</v>
      </c>
      <c r="B1172" t="s">
        <v>10</v>
      </c>
      <c r="C1172" t="s">
        <v>4292</v>
      </c>
      <c r="D1172" t="s">
        <v>4293</v>
      </c>
      <c r="E1172" t="s">
        <v>4102</v>
      </c>
      <c r="F1172" t="s">
        <v>4294</v>
      </c>
      <c r="G1172" t="s">
        <v>4295</v>
      </c>
      <c r="H1172" t="s">
        <v>4296</v>
      </c>
      <c r="I1172" t="b">
        <f>COUNTIF(Estadísticas!I:I,'centraldecomunicacion.es'!H1172)&gt;0</f>
        <v>1</v>
      </c>
    </row>
    <row r="1173" spans="1:9">
      <c r="A1173" t="s">
        <v>4297</v>
      </c>
      <c r="B1173" t="s">
        <v>10</v>
      </c>
      <c r="C1173" t="s">
        <v>4298</v>
      </c>
      <c r="D1173" t="s">
        <v>4282</v>
      </c>
      <c r="E1173" t="s">
        <v>4102</v>
      </c>
      <c r="F1173" t="s">
        <v>4299</v>
      </c>
      <c r="G1173" t="s">
        <v>4300</v>
      </c>
      <c r="H1173" t="s">
        <v>691</v>
      </c>
      <c r="I1173" t="b">
        <f>COUNTIF(Estadísticas!I:I,'centraldecomunicacion.es'!H1173)&gt;0</f>
        <v>0</v>
      </c>
    </row>
    <row r="1174" spans="1:9">
      <c r="A1174" t="s">
        <v>4301</v>
      </c>
      <c r="B1174" t="s">
        <v>10</v>
      </c>
      <c r="C1174" t="s">
        <v>4302</v>
      </c>
      <c r="D1174" t="s">
        <v>4303</v>
      </c>
      <c r="E1174" t="s">
        <v>4102</v>
      </c>
      <c r="F1174" t="s">
        <v>28</v>
      </c>
      <c r="G1174" t="s">
        <v>4304</v>
      </c>
      <c r="H1174" t="s">
        <v>30</v>
      </c>
      <c r="I1174" t="b">
        <f>COUNTIF(Estadísticas!I:I,'centraldecomunicacion.es'!H1174)&gt;0</f>
        <v>0</v>
      </c>
    </row>
    <row r="1175" spans="1:9">
      <c r="A1175" t="s">
        <v>4305</v>
      </c>
      <c r="B1175" t="s">
        <v>10</v>
      </c>
      <c r="C1175" t="s">
        <v>4306</v>
      </c>
      <c r="D1175" t="s">
        <v>4287</v>
      </c>
      <c r="E1175" t="s">
        <v>4102</v>
      </c>
      <c r="F1175" t="s">
        <v>4307</v>
      </c>
      <c r="G1175" t="s">
        <v>4308</v>
      </c>
      <c r="H1175" t="s">
        <v>4309</v>
      </c>
      <c r="I1175" t="b">
        <f>COUNTIF(Estadísticas!I:I,'centraldecomunicacion.es'!H1175)&gt;0</f>
        <v>1</v>
      </c>
    </row>
    <row r="1176" spans="1:9">
      <c r="A1176" t="s">
        <v>4310</v>
      </c>
      <c r="B1176" t="s">
        <v>10</v>
      </c>
      <c r="C1176" t="s">
        <v>4311</v>
      </c>
      <c r="D1176" t="s">
        <v>4107</v>
      </c>
      <c r="E1176" t="s">
        <v>4102</v>
      </c>
      <c r="F1176" t="s">
        <v>4312</v>
      </c>
      <c r="G1176" t="s">
        <v>4313</v>
      </c>
      <c r="H1176" t="s">
        <v>30</v>
      </c>
      <c r="I1176" t="b">
        <f>COUNTIF(Estadísticas!I:I,'centraldecomunicacion.es'!H1176)&gt;0</f>
        <v>0</v>
      </c>
    </row>
    <row r="1177" spans="1:9">
      <c r="A1177" t="s">
        <v>4314</v>
      </c>
      <c r="B1177" t="s">
        <v>10</v>
      </c>
      <c r="C1177" t="s">
        <v>4315</v>
      </c>
      <c r="D1177" t="s">
        <v>4107</v>
      </c>
      <c r="E1177" t="s">
        <v>4102</v>
      </c>
      <c r="F1177" t="s">
        <v>4316</v>
      </c>
      <c r="G1177" t="s">
        <v>4317</v>
      </c>
      <c r="H1177" t="s">
        <v>30</v>
      </c>
      <c r="I1177" t="b">
        <f>COUNTIF(Estadísticas!I:I,'centraldecomunicacion.es'!H1177)&gt;0</f>
        <v>0</v>
      </c>
    </row>
    <row r="1178" spans="1:9">
      <c r="A1178" t="s">
        <v>4318</v>
      </c>
      <c r="B1178" t="s">
        <v>10</v>
      </c>
      <c r="C1178" t="s">
        <v>4319</v>
      </c>
      <c r="D1178" t="s">
        <v>4198</v>
      </c>
      <c r="E1178" t="s">
        <v>4102</v>
      </c>
      <c r="F1178" t="s">
        <v>28</v>
      </c>
      <c r="G1178" t="s">
        <v>4320</v>
      </c>
      <c r="H1178" t="s">
        <v>30</v>
      </c>
      <c r="I1178" t="b">
        <f>COUNTIF(Estadísticas!I:I,'centraldecomunicacion.es'!H1178)&gt;0</f>
        <v>0</v>
      </c>
    </row>
    <row r="1179" spans="1:9">
      <c r="A1179" t="s">
        <v>4321</v>
      </c>
      <c r="B1179" t="s">
        <v>10</v>
      </c>
      <c r="C1179" t="s">
        <v>4322</v>
      </c>
      <c r="D1179" t="s">
        <v>4287</v>
      </c>
      <c r="E1179" t="s">
        <v>4102</v>
      </c>
      <c r="F1179" t="s">
        <v>28</v>
      </c>
      <c r="G1179" t="s">
        <v>4323</v>
      </c>
      <c r="H1179" t="s">
        <v>30</v>
      </c>
      <c r="I1179" t="b">
        <f>COUNTIF(Estadísticas!I:I,'centraldecomunicacion.es'!H1179)&gt;0</f>
        <v>0</v>
      </c>
    </row>
    <row r="1180" spans="1:9">
      <c r="A1180" t="s">
        <v>4324</v>
      </c>
      <c r="B1180" t="s">
        <v>10</v>
      </c>
      <c r="C1180" t="s">
        <v>4325</v>
      </c>
      <c r="D1180" t="s">
        <v>4198</v>
      </c>
      <c r="E1180" t="s">
        <v>4102</v>
      </c>
      <c r="F1180" t="s">
        <v>28</v>
      </c>
      <c r="G1180" t="s">
        <v>4326</v>
      </c>
      <c r="H1180" t="s">
        <v>30</v>
      </c>
      <c r="I1180" t="b">
        <f>COUNTIF(Estadísticas!I:I,'centraldecomunicacion.es'!H1180)&gt;0</f>
        <v>0</v>
      </c>
    </row>
    <row r="1181" spans="1:9">
      <c r="A1181" t="s">
        <v>4327</v>
      </c>
      <c r="B1181" t="s">
        <v>10</v>
      </c>
      <c r="C1181" t="s">
        <v>4328</v>
      </c>
      <c r="D1181" t="s">
        <v>4282</v>
      </c>
      <c r="E1181" t="s">
        <v>4102</v>
      </c>
      <c r="F1181" t="s">
        <v>4213</v>
      </c>
      <c r="G1181" t="s">
        <v>4214</v>
      </c>
      <c r="H1181" t="s">
        <v>30</v>
      </c>
      <c r="I1181" t="b">
        <f>COUNTIF(Estadísticas!I:I,'centraldecomunicacion.es'!H1181)&gt;0</f>
        <v>0</v>
      </c>
    </row>
    <row r="1182" spans="1:9">
      <c r="A1182" t="s">
        <v>4329</v>
      </c>
      <c r="B1182" t="s">
        <v>10</v>
      </c>
      <c r="C1182" t="s">
        <v>28</v>
      </c>
      <c r="D1182" t="s">
        <v>4330</v>
      </c>
      <c r="E1182" t="s">
        <v>28</v>
      </c>
      <c r="F1182" t="s">
        <v>4331</v>
      </c>
      <c r="G1182" t="s">
        <v>4332</v>
      </c>
      <c r="H1182" t="s">
        <v>30</v>
      </c>
      <c r="I1182" t="b">
        <f>COUNTIF(Estadísticas!I:I,'centraldecomunicacion.es'!H1182)&gt;0</f>
        <v>0</v>
      </c>
    </row>
    <row r="1183" spans="1:9">
      <c r="A1183" t="s">
        <v>4333</v>
      </c>
      <c r="B1183" t="s">
        <v>10</v>
      </c>
      <c r="C1183" t="s">
        <v>4334</v>
      </c>
      <c r="D1183" t="s">
        <v>4335</v>
      </c>
      <c r="E1183" t="s">
        <v>4102</v>
      </c>
      <c r="F1183" t="s">
        <v>4336</v>
      </c>
      <c r="G1183" t="s">
        <v>4337</v>
      </c>
      <c r="H1183" t="s">
        <v>30</v>
      </c>
      <c r="I1183" t="b">
        <f>COUNTIF(Estadísticas!I:I,'centraldecomunicacion.es'!H1183)&gt;0</f>
        <v>0</v>
      </c>
    </row>
    <row r="1184" spans="1:9">
      <c r="A1184" t="s">
        <v>26</v>
      </c>
      <c r="B1184" t="s">
        <v>10</v>
      </c>
      <c r="C1184" t="s">
        <v>4286</v>
      </c>
      <c r="D1184" t="s">
        <v>4287</v>
      </c>
      <c r="E1184" t="s">
        <v>4102</v>
      </c>
      <c r="F1184" t="s">
        <v>4288</v>
      </c>
      <c r="G1184" t="s">
        <v>396</v>
      </c>
      <c r="H1184" t="s">
        <v>4290</v>
      </c>
      <c r="I1184" t="b">
        <f>COUNTIF(Estadísticas!I:I,'centraldecomunicacion.es'!H1184)&gt;0</f>
        <v>0</v>
      </c>
    </row>
    <row r="1185" spans="1:9">
      <c r="A1185" t="s">
        <v>4338</v>
      </c>
      <c r="B1185" t="s">
        <v>10</v>
      </c>
      <c r="C1185" t="s">
        <v>4339</v>
      </c>
      <c r="D1185" t="s">
        <v>4340</v>
      </c>
      <c r="E1185" t="s">
        <v>4102</v>
      </c>
      <c r="F1185" t="s">
        <v>28</v>
      </c>
      <c r="G1185" t="s">
        <v>4341</v>
      </c>
      <c r="H1185" t="s">
        <v>30</v>
      </c>
      <c r="I1185" t="b">
        <f>COUNTIF(Estadísticas!I:I,'centraldecomunicacion.es'!H1185)&gt;0</f>
        <v>0</v>
      </c>
    </row>
    <row r="1186" spans="1:9">
      <c r="A1186" t="s">
        <v>4342</v>
      </c>
      <c r="B1186" t="s">
        <v>10</v>
      </c>
      <c r="C1186" t="s">
        <v>4343</v>
      </c>
      <c r="D1186" t="s">
        <v>4344</v>
      </c>
      <c r="E1186" t="s">
        <v>4102</v>
      </c>
      <c r="F1186" t="s">
        <v>28</v>
      </c>
      <c r="G1186" t="s">
        <v>4345</v>
      </c>
      <c r="H1186" t="s">
        <v>30</v>
      </c>
      <c r="I1186" t="b">
        <f>COUNTIF(Estadísticas!I:I,'centraldecomunicacion.es'!H1186)&gt;0</f>
        <v>0</v>
      </c>
    </row>
    <row r="1187" spans="1:9">
      <c r="A1187" t="s">
        <v>4346</v>
      </c>
      <c r="B1187" t="s">
        <v>10</v>
      </c>
      <c r="C1187" t="s">
        <v>4347</v>
      </c>
      <c r="D1187" t="s">
        <v>4272</v>
      </c>
      <c r="E1187" t="s">
        <v>4102</v>
      </c>
      <c r="F1187" t="s">
        <v>4348</v>
      </c>
      <c r="G1187" t="s">
        <v>4349</v>
      </c>
      <c r="H1187" t="s">
        <v>30</v>
      </c>
      <c r="I1187" t="b">
        <f>COUNTIF(Estadísticas!I:I,'centraldecomunicacion.es'!H1187)&gt;0</f>
        <v>0</v>
      </c>
    </row>
    <row r="1188" spans="1:9">
      <c r="A1188" t="s">
        <v>4350</v>
      </c>
      <c r="B1188" t="s">
        <v>10</v>
      </c>
      <c r="C1188" t="s">
        <v>4351</v>
      </c>
      <c r="D1188" t="s">
        <v>4128</v>
      </c>
      <c r="E1188" t="s">
        <v>4102</v>
      </c>
      <c r="F1188" t="s">
        <v>4352</v>
      </c>
      <c r="G1188" t="s">
        <v>4353</v>
      </c>
      <c r="H1188" t="s">
        <v>4354</v>
      </c>
      <c r="I1188" t="b">
        <f>COUNTIF(Estadísticas!I:I,'centraldecomunicacion.es'!H1188)&gt;0</f>
        <v>1</v>
      </c>
    </row>
    <row r="1189" spans="1:9">
      <c r="A1189" t="s">
        <v>4355</v>
      </c>
      <c r="B1189" t="s">
        <v>10</v>
      </c>
      <c r="C1189" t="s">
        <v>4356</v>
      </c>
      <c r="D1189" t="s">
        <v>4335</v>
      </c>
      <c r="E1189" t="s">
        <v>4102</v>
      </c>
      <c r="F1189" t="s">
        <v>28</v>
      </c>
      <c r="G1189" t="s">
        <v>4357</v>
      </c>
      <c r="H1189" t="s">
        <v>30</v>
      </c>
      <c r="I1189" t="b">
        <f>COUNTIF(Estadísticas!I:I,'centraldecomunicacion.es'!H1189)&gt;0</f>
        <v>0</v>
      </c>
    </row>
    <row r="1190" spans="1:9">
      <c r="A1190" t="s">
        <v>4358</v>
      </c>
      <c r="B1190" t="s">
        <v>10</v>
      </c>
      <c r="C1190" t="s">
        <v>4359</v>
      </c>
      <c r="D1190" t="s">
        <v>4179</v>
      </c>
      <c r="E1190" t="s">
        <v>4102</v>
      </c>
      <c r="F1190" t="s">
        <v>4213</v>
      </c>
      <c r="G1190" t="s">
        <v>4214</v>
      </c>
      <c r="H1190" t="s">
        <v>30</v>
      </c>
      <c r="I1190" t="b">
        <f>COUNTIF(Estadísticas!I:I,'centraldecomunicacion.es'!H1190)&gt;0</f>
        <v>0</v>
      </c>
    </row>
    <row r="1191" spans="1:9">
      <c r="A1191" t="s">
        <v>4360</v>
      </c>
      <c r="B1191" t="s">
        <v>10</v>
      </c>
      <c r="C1191" t="s">
        <v>4361</v>
      </c>
      <c r="D1191" t="s">
        <v>4362</v>
      </c>
      <c r="E1191" t="s">
        <v>4102</v>
      </c>
      <c r="F1191" t="s">
        <v>28</v>
      </c>
      <c r="G1191" t="s">
        <v>4363</v>
      </c>
      <c r="H1191" t="s">
        <v>30</v>
      </c>
      <c r="I1191" t="b">
        <f>COUNTIF(Estadísticas!I:I,'centraldecomunicacion.es'!H1191)&gt;0</f>
        <v>0</v>
      </c>
    </row>
    <row r="1192" spans="1:9">
      <c r="A1192" t="s">
        <v>4364</v>
      </c>
      <c r="B1192" t="s">
        <v>10</v>
      </c>
      <c r="C1192" t="s">
        <v>4365</v>
      </c>
      <c r="D1192" t="s">
        <v>4107</v>
      </c>
      <c r="E1192" t="s">
        <v>4102</v>
      </c>
      <c r="F1192" t="s">
        <v>28</v>
      </c>
      <c r="G1192" t="s">
        <v>4366</v>
      </c>
      <c r="H1192" t="s">
        <v>30</v>
      </c>
      <c r="I1192" t="b">
        <f>COUNTIF(Estadísticas!I:I,'centraldecomunicacion.es'!H1192)&gt;0</f>
        <v>0</v>
      </c>
    </row>
    <row r="1193" spans="1:9">
      <c r="A1193" t="s">
        <v>4367</v>
      </c>
      <c r="B1193" t="s">
        <v>10</v>
      </c>
      <c r="C1193" t="s">
        <v>4368</v>
      </c>
      <c r="D1193" t="s">
        <v>4107</v>
      </c>
      <c r="E1193" t="s">
        <v>4102</v>
      </c>
      <c r="F1193" t="s">
        <v>28</v>
      </c>
      <c r="G1193" t="s">
        <v>4369</v>
      </c>
      <c r="H1193" t="s">
        <v>30</v>
      </c>
      <c r="I1193" t="b">
        <f>COUNTIF(Estadísticas!I:I,'centraldecomunicacion.es'!H1193)&gt;0</f>
        <v>0</v>
      </c>
    </row>
    <row r="1194" spans="1:9">
      <c r="A1194" t="s">
        <v>1161</v>
      </c>
      <c r="B1194" t="s">
        <v>10</v>
      </c>
      <c r="C1194" t="s">
        <v>4370</v>
      </c>
      <c r="D1194" t="s">
        <v>4287</v>
      </c>
      <c r="E1194" t="s">
        <v>4102</v>
      </c>
      <c r="F1194" t="s">
        <v>28</v>
      </c>
      <c r="G1194" t="s">
        <v>4371</v>
      </c>
      <c r="H1194" t="s">
        <v>30</v>
      </c>
      <c r="I1194" t="b">
        <f>COUNTIF(Estadísticas!I:I,'centraldecomunicacion.es'!H1194)&gt;0</f>
        <v>0</v>
      </c>
    </row>
    <row r="1195" spans="1:9">
      <c r="A1195" t="s">
        <v>4372</v>
      </c>
      <c r="B1195" t="s">
        <v>10</v>
      </c>
      <c r="C1195" t="s">
        <v>4373</v>
      </c>
      <c r="D1195" t="s">
        <v>4276</v>
      </c>
      <c r="E1195" t="s">
        <v>4102</v>
      </c>
      <c r="F1195" t="s">
        <v>4374</v>
      </c>
      <c r="G1195" t="s">
        <v>4375</v>
      </c>
      <c r="H1195" t="s">
        <v>30</v>
      </c>
      <c r="I1195" t="b">
        <f>COUNTIF(Estadísticas!I:I,'centraldecomunicacion.es'!H1195)&gt;0</f>
        <v>0</v>
      </c>
    </row>
    <row r="1196" spans="1:9">
      <c r="A1196" t="s">
        <v>3122</v>
      </c>
      <c r="B1196" t="s">
        <v>10</v>
      </c>
      <c r="C1196" t="s">
        <v>4376</v>
      </c>
      <c r="D1196" t="s">
        <v>4107</v>
      </c>
      <c r="E1196" t="s">
        <v>4102</v>
      </c>
      <c r="F1196" t="s">
        <v>4377</v>
      </c>
      <c r="G1196" t="s">
        <v>4378</v>
      </c>
      <c r="H1196" t="s">
        <v>30</v>
      </c>
      <c r="I1196" t="b">
        <f>COUNTIF(Estadísticas!I:I,'centraldecomunicacion.es'!H1196)&gt;0</f>
        <v>0</v>
      </c>
    </row>
    <row r="1197" spans="1:9">
      <c r="A1197" t="s">
        <v>3574</v>
      </c>
      <c r="B1197" t="s">
        <v>10</v>
      </c>
      <c r="C1197" t="s">
        <v>4379</v>
      </c>
      <c r="D1197" t="s">
        <v>4380</v>
      </c>
      <c r="E1197" t="s">
        <v>4102</v>
      </c>
      <c r="F1197" t="s">
        <v>38</v>
      </c>
      <c r="G1197" t="s">
        <v>4381</v>
      </c>
      <c r="H1197" t="s">
        <v>30</v>
      </c>
      <c r="I1197" t="b">
        <f>COUNTIF(Estadísticas!I:I,'centraldecomunicacion.es'!H1197)&gt;0</f>
        <v>0</v>
      </c>
    </row>
    <row r="1198" spans="1:9">
      <c r="A1198" t="s">
        <v>4382</v>
      </c>
      <c r="B1198" t="s">
        <v>10</v>
      </c>
      <c r="C1198" t="s">
        <v>4383</v>
      </c>
      <c r="D1198" t="s">
        <v>3069</v>
      </c>
      <c r="E1198" t="s">
        <v>4102</v>
      </c>
      <c r="F1198" t="s">
        <v>28</v>
      </c>
      <c r="G1198" t="s">
        <v>4384</v>
      </c>
      <c r="H1198" t="s">
        <v>30</v>
      </c>
      <c r="I1198" t="b">
        <f>COUNTIF(Estadísticas!I:I,'centraldecomunicacion.es'!H1198)&gt;0</f>
        <v>0</v>
      </c>
    </row>
    <row r="1199" spans="1:9">
      <c r="A1199" t="s">
        <v>4385</v>
      </c>
      <c r="B1199" t="s">
        <v>10</v>
      </c>
      <c r="C1199" t="s">
        <v>4386</v>
      </c>
      <c r="D1199" t="s">
        <v>4128</v>
      </c>
      <c r="E1199" t="s">
        <v>4102</v>
      </c>
      <c r="F1199" t="s">
        <v>28</v>
      </c>
      <c r="G1199" t="s">
        <v>4387</v>
      </c>
      <c r="H1199" t="s">
        <v>30</v>
      </c>
      <c r="I1199" t="b">
        <f>COUNTIF(Estadísticas!I:I,'centraldecomunicacion.es'!H1199)&gt;0</f>
        <v>0</v>
      </c>
    </row>
    <row r="1200" spans="1:9">
      <c r="A1200" t="s">
        <v>4388</v>
      </c>
      <c r="B1200" t="s">
        <v>10</v>
      </c>
      <c r="C1200" t="s">
        <v>4389</v>
      </c>
      <c r="D1200" t="s">
        <v>4107</v>
      </c>
      <c r="E1200" t="s">
        <v>4102</v>
      </c>
      <c r="F1200" t="s">
        <v>28</v>
      </c>
      <c r="G1200" t="s">
        <v>4390</v>
      </c>
      <c r="H1200" t="s">
        <v>30</v>
      </c>
      <c r="I1200" t="b">
        <f>COUNTIF(Estadísticas!I:I,'centraldecomunicacion.es'!H1200)&gt;0</f>
        <v>0</v>
      </c>
    </row>
    <row r="1201" spans="1:9">
      <c r="A1201" t="s">
        <v>4391</v>
      </c>
      <c r="B1201" t="s">
        <v>10</v>
      </c>
      <c r="C1201" t="s">
        <v>4392</v>
      </c>
      <c r="D1201" t="s">
        <v>4287</v>
      </c>
      <c r="E1201" t="s">
        <v>4102</v>
      </c>
      <c r="F1201" t="s">
        <v>4393</v>
      </c>
      <c r="G1201" t="s">
        <v>4394</v>
      </c>
      <c r="H1201" t="s">
        <v>30</v>
      </c>
      <c r="I1201" t="b">
        <f>COUNTIF(Estadísticas!I:I,'centraldecomunicacion.es'!H1201)&gt;0</f>
        <v>0</v>
      </c>
    </row>
    <row r="1202" spans="1:9">
      <c r="A1202" t="s">
        <v>4395</v>
      </c>
      <c r="B1202" t="s">
        <v>10</v>
      </c>
      <c r="C1202" t="s">
        <v>4315</v>
      </c>
      <c r="D1202" t="s">
        <v>4107</v>
      </c>
      <c r="E1202" t="s">
        <v>4102</v>
      </c>
      <c r="F1202" t="s">
        <v>28</v>
      </c>
      <c r="G1202" t="s">
        <v>4396</v>
      </c>
      <c r="H1202" t="s">
        <v>30</v>
      </c>
      <c r="I1202" t="b">
        <f>COUNTIF(Estadísticas!I:I,'centraldecomunicacion.es'!H1202)&gt;0</f>
        <v>0</v>
      </c>
    </row>
    <row r="1203" spans="1:9">
      <c r="A1203" t="s">
        <v>4397</v>
      </c>
      <c r="B1203" t="s">
        <v>10</v>
      </c>
      <c r="C1203" t="s">
        <v>4398</v>
      </c>
      <c r="D1203" t="s">
        <v>3069</v>
      </c>
      <c r="E1203" t="s">
        <v>4102</v>
      </c>
      <c r="F1203" t="s">
        <v>28</v>
      </c>
      <c r="G1203" t="s">
        <v>4399</v>
      </c>
      <c r="H1203" t="s">
        <v>30</v>
      </c>
      <c r="I1203" t="b">
        <f>COUNTIF(Estadísticas!I:I,'centraldecomunicacion.es'!H1203)&gt;0</f>
        <v>0</v>
      </c>
    </row>
    <row r="1204" spans="1:9">
      <c r="A1204" t="s">
        <v>4400</v>
      </c>
      <c r="B1204" t="s">
        <v>10</v>
      </c>
      <c r="C1204" t="s">
        <v>4401</v>
      </c>
      <c r="D1204" t="s">
        <v>4128</v>
      </c>
      <c r="E1204" t="s">
        <v>4102</v>
      </c>
      <c r="F1204" t="s">
        <v>28</v>
      </c>
      <c r="G1204" t="s">
        <v>4402</v>
      </c>
      <c r="H1204" t="s">
        <v>30</v>
      </c>
      <c r="I1204" t="b">
        <f>COUNTIF(Estadísticas!I:I,'centraldecomunicacion.es'!H1204)&gt;0</f>
        <v>0</v>
      </c>
    </row>
    <row r="1205" spans="1:9">
      <c r="A1205" t="s">
        <v>4403</v>
      </c>
      <c r="B1205" t="s">
        <v>10</v>
      </c>
      <c r="C1205" t="s">
        <v>4404</v>
      </c>
      <c r="D1205" t="s">
        <v>4148</v>
      </c>
      <c r="E1205" t="s">
        <v>4102</v>
      </c>
      <c r="F1205" t="s">
        <v>4405</v>
      </c>
      <c r="G1205" t="s">
        <v>4406</v>
      </c>
      <c r="H1205" t="s">
        <v>30</v>
      </c>
      <c r="I1205" t="b">
        <f>COUNTIF(Estadísticas!I:I,'centraldecomunicacion.es'!H1205)&gt;0</f>
        <v>0</v>
      </c>
    </row>
    <row r="1206" spans="1:9">
      <c r="A1206" t="s">
        <v>4407</v>
      </c>
      <c r="B1206" t="s">
        <v>10</v>
      </c>
      <c r="C1206" t="s">
        <v>4408</v>
      </c>
      <c r="D1206" t="s">
        <v>4409</v>
      </c>
      <c r="E1206" t="s">
        <v>4102</v>
      </c>
      <c r="F1206" t="s">
        <v>28</v>
      </c>
      <c r="G1206" t="s">
        <v>4410</v>
      </c>
      <c r="H1206" t="s">
        <v>30</v>
      </c>
      <c r="I1206" t="b">
        <f>COUNTIF(Estadísticas!I:I,'centraldecomunicacion.es'!H1206)&gt;0</f>
        <v>0</v>
      </c>
    </row>
    <row r="1207" spans="1:9">
      <c r="A1207" t="s">
        <v>4411</v>
      </c>
      <c r="B1207" t="s">
        <v>10</v>
      </c>
      <c r="C1207" t="s">
        <v>4412</v>
      </c>
      <c r="D1207" t="s">
        <v>4287</v>
      </c>
      <c r="E1207" t="s">
        <v>4102</v>
      </c>
      <c r="F1207" t="s">
        <v>4413</v>
      </c>
      <c r="G1207" t="s">
        <v>4414</v>
      </c>
      <c r="H1207" t="s">
        <v>30</v>
      </c>
      <c r="I1207" t="b">
        <f>COUNTIF(Estadísticas!I:I,'centraldecomunicacion.es'!H1207)&gt;0</f>
        <v>0</v>
      </c>
    </row>
    <row r="1208" spans="1:9">
      <c r="A1208" t="s">
        <v>4415</v>
      </c>
      <c r="B1208" t="s">
        <v>10</v>
      </c>
      <c r="C1208" t="s">
        <v>4416</v>
      </c>
      <c r="D1208" t="s">
        <v>4417</v>
      </c>
      <c r="E1208" t="s">
        <v>4102</v>
      </c>
      <c r="F1208" t="s">
        <v>4418</v>
      </c>
      <c r="G1208" t="s">
        <v>4419</v>
      </c>
      <c r="H1208" t="s">
        <v>4420</v>
      </c>
      <c r="I1208" t="b">
        <f>COUNTIF(Estadísticas!I:I,'centraldecomunicacion.es'!H1208)&gt;0</f>
        <v>1</v>
      </c>
    </row>
    <row r="1209" spans="1:9">
      <c r="A1209" t="s">
        <v>4421</v>
      </c>
      <c r="B1209" t="s">
        <v>10</v>
      </c>
      <c r="C1209" t="s">
        <v>4422</v>
      </c>
      <c r="D1209" t="s">
        <v>4423</v>
      </c>
      <c r="E1209" t="s">
        <v>4102</v>
      </c>
      <c r="F1209" t="s">
        <v>87</v>
      </c>
      <c r="G1209" t="s">
        <v>4424</v>
      </c>
      <c r="H1209" t="s">
        <v>30</v>
      </c>
      <c r="I1209" t="b">
        <f>COUNTIF(Estadísticas!I:I,'centraldecomunicacion.es'!H1209)&gt;0</f>
        <v>0</v>
      </c>
    </row>
    <row r="1210" spans="1:9">
      <c r="A1210" t="s">
        <v>4425</v>
      </c>
      <c r="B1210" t="s">
        <v>10</v>
      </c>
      <c r="C1210" t="s">
        <v>4426</v>
      </c>
      <c r="D1210" t="s">
        <v>4427</v>
      </c>
      <c r="E1210" t="s">
        <v>4102</v>
      </c>
      <c r="F1210" t="s">
        <v>28</v>
      </c>
      <c r="G1210" t="s">
        <v>4428</v>
      </c>
      <c r="H1210" t="s">
        <v>30</v>
      </c>
      <c r="I1210" t="b">
        <f>COUNTIF(Estadísticas!I:I,'centraldecomunicacion.es'!H1210)&gt;0</f>
        <v>0</v>
      </c>
    </row>
    <row r="1211" spans="1:9">
      <c r="A1211" t="s">
        <v>1306</v>
      </c>
      <c r="B1211" t="s">
        <v>10</v>
      </c>
      <c r="C1211" t="s">
        <v>4429</v>
      </c>
      <c r="D1211" t="s">
        <v>3069</v>
      </c>
      <c r="E1211" t="s">
        <v>4102</v>
      </c>
      <c r="F1211" t="s">
        <v>28</v>
      </c>
      <c r="G1211" t="s">
        <v>4430</v>
      </c>
      <c r="H1211" t="s">
        <v>30</v>
      </c>
      <c r="I1211" t="b">
        <f>COUNTIF(Estadísticas!I:I,'centraldecomunicacion.es'!H1211)&gt;0</f>
        <v>0</v>
      </c>
    </row>
    <row r="1212" spans="1:9">
      <c r="A1212" t="s">
        <v>4431</v>
      </c>
      <c r="B1212" t="s">
        <v>10</v>
      </c>
      <c r="C1212" t="s">
        <v>4432</v>
      </c>
      <c r="D1212" t="s">
        <v>4179</v>
      </c>
      <c r="E1212" t="s">
        <v>4102</v>
      </c>
      <c r="F1212" t="s">
        <v>28</v>
      </c>
      <c r="G1212" t="s">
        <v>4433</v>
      </c>
      <c r="H1212" t="s">
        <v>30</v>
      </c>
      <c r="I1212" t="b">
        <f>COUNTIF(Estadísticas!I:I,'centraldecomunicacion.es'!H1212)&gt;0</f>
        <v>0</v>
      </c>
    </row>
    <row r="1213" spans="1:9">
      <c r="A1213" t="s">
        <v>4434</v>
      </c>
      <c r="B1213" t="s">
        <v>10</v>
      </c>
      <c r="C1213" t="s">
        <v>4435</v>
      </c>
      <c r="D1213" t="s">
        <v>4128</v>
      </c>
      <c r="E1213" t="s">
        <v>4102</v>
      </c>
      <c r="F1213" t="s">
        <v>38</v>
      </c>
      <c r="G1213" t="s">
        <v>4436</v>
      </c>
      <c r="H1213" t="s">
        <v>30</v>
      </c>
      <c r="I1213" t="b">
        <f>COUNTIF(Estadísticas!I:I,'centraldecomunicacion.es'!H1213)&gt;0</f>
        <v>0</v>
      </c>
    </row>
    <row r="1214" spans="1:9">
      <c r="A1214" t="s">
        <v>4437</v>
      </c>
      <c r="B1214" t="s">
        <v>10</v>
      </c>
      <c r="C1214" t="s">
        <v>4438</v>
      </c>
      <c r="D1214" t="s">
        <v>4128</v>
      </c>
      <c r="E1214" t="s">
        <v>4102</v>
      </c>
      <c r="F1214" t="s">
        <v>38</v>
      </c>
      <c r="G1214" t="s">
        <v>4439</v>
      </c>
      <c r="H1214" t="s">
        <v>30</v>
      </c>
      <c r="I1214" t="b">
        <f>COUNTIF(Estadísticas!I:I,'centraldecomunicacion.es'!H1214)&gt;0</f>
        <v>0</v>
      </c>
    </row>
    <row r="1215" spans="1:9">
      <c r="A1215" t="s">
        <v>4440</v>
      </c>
      <c r="B1215" t="s">
        <v>10</v>
      </c>
      <c r="C1215" t="s">
        <v>4441</v>
      </c>
      <c r="D1215" t="s">
        <v>4107</v>
      </c>
      <c r="E1215" t="s">
        <v>4102</v>
      </c>
      <c r="F1215" t="s">
        <v>28</v>
      </c>
      <c r="G1215" t="s">
        <v>4442</v>
      </c>
      <c r="H1215" t="s">
        <v>30</v>
      </c>
      <c r="I1215" t="b">
        <f>COUNTIF(Estadísticas!I:I,'centraldecomunicacion.es'!H1215)&gt;0</f>
        <v>0</v>
      </c>
    </row>
    <row r="1216" spans="1:9">
      <c r="A1216" t="s">
        <v>4443</v>
      </c>
      <c r="B1216" t="s">
        <v>10</v>
      </c>
      <c r="C1216" t="s">
        <v>4444</v>
      </c>
      <c r="D1216" t="s">
        <v>4445</v>
      </c>
      <c r="E1216" t="s">
        <v>4102</v>
      </c>
      <c r="F1216" t="s">
        <v>28</v>
      </c>
      <c r="G1216" t="s">
        <v>4446</v>
      </c>
      <c r="H1216" t="s">
        <v>30</v>
      </c>
      <c r="I1216" t="b">
        <f>COUNTIF(Estadísticas!I:I,'centraldecomunicacion.es'!H1216)&gt;0</f>
        <v>0</v>
      </c>
    </row>
    <row r="1217" spans="1:9">
      <c r="A1217" t="s">
        <v>4447</v>
      </c>
      <c r="B1217" t="s">
        <v>10</v>
      </c>
      <c r="C1217" t="s">
        <v>4448</v>
      </c>
      <c r="D1217" t="s">
        <v>4449</v>
      </c>
      <c r="E1217" t="s">
        <v>4102</v>
      </c>
      <c r="F1217" t="s">
        <v>4450</v>
      </c>
      <c r="G1217" t="s">
        <v>4451</v>
      </c>
      <c r="H1217" t="s">
        <v>30</v>
      </c>
      <c r="I1217" t="b">
        <f>COUNTIF(Estadísticas!I:I,'centraldecomunicacion.es'!H1217)&gt;0</f>
        <v>0</v>
      </c>
    </row>
    <row r="1218" spans="1:9">
      <c r="A1218" t="s">
        <v>4452</v>
      </c>
      <c r="B1218" t="s">
        <v>10</v>
      </c>
      <c r="C1218" t="s">
        <v>4453</v>
      </c>
      <c r="D1218" t="s">
        <v>4423</v>
      </c>
      <c r="E1218" t="s">
        <v>4102</v>
      </c>
      <c r="F1218" t="s">
        <v>28</v>
      </c>
      <c r="G1218" t="s">
        <v>4454</v>
      </c>
      <c r="H1218" t="s">
        <v>30</v>
      </c>
      <c r="I1218" t="b">
        <f>COUNTIF(Estadísticas!I:I,'centraldecomunicacion.es'!H1218)&gt;0</f>
        <v>0</v>
      </c>
    </row>
    <row r="1219" spans="1:9">
      <c r="A1219" t="s">
        <v>4455</v>
      </c>
      <c r="B1219" t="s">
        <v>10</v>
      </c>
      <c r="C1219" t="s">
        <v>4456</v>
      </c>
      <c r="D1219" t="s">
        <v>4179</v>
      </c>
      <c r="E1219" t="s">
        <v>4102</v>
      </c>
      <c r="F1219" t="s">
        <v>28</v>
      </c>
      <c r="G1219" t="s">
        <v>4457</v>
      </c>
      <c r="H1219" t="s">
        <v>30</v>
      </c>
      <c r="I1219" t="b">
        <f>COUNTIF(Estadísticas!I:I,'centraldecomunicacion.es'!H1219)&gt;0</f>
        <v>0</v>
      </c>
    </row>
    <row r="1220" spans="1:9">
      <c r="A1220" t="s">
        <v>4458</v>
      </c>
      <c r="B1220" t="s">
        <v>10</v>
      </c>
      <c r="C1220" t="s">
        <v>4459</v>
      </c>
      <c r="D1220" t="s">
        <v>4179</v>
      </c>
      <c r="E1220" t="s">
        <v>4102</v>
      </c>
      <c r="F1220" t="s">
        <v>4213</v>
      </c>
      <c r="G1220" t="s">
        <v>4214</v>
      </c>
      <c r="H1220" t="s">
        <v>30</v>
      </c>
      <c r="I1220" t="b">
        <f>COUNTIF(Estadísticas!I:I,'centraldecomunicacion.es'!H1220)&gt;0</f>
        <v>0</v>
      </c>
    </row>
    <row r="1221" spans="1:9">
      <c r="A1221" t="s">
        <v>4460</v>
      </c>
      <c r="B1221" t="s">
        <v>10</v>
      </c>
      <c r="C1221" t="s">
        <v>4461</v>
      </c>
      <c r="D1221" t="s">
        <v>4423</v>
      </c>
      <c r="E1221" t="s">
        <v>4102</v>
      </c>
      <c r="F1221" t="s">
        <v>28</v>
      </c>
      <c r="G1221" t="s">
        <v>4462</v>
      </c>
      <c r="H1221" t="s">
        <v>30</v>
      </c>
      <c r="I1221" t="b">
        <f>COUNTIF(Estadísticas!I:I,'centraldecomunicacion.es'!H1221)&gt;0</f>
        <v>0</v>
      </c>
    </row>
    <row r="1222" spans="1:9">
      <c r="A1222" t="s">
        <v>4463</v>
      </c>
      <c r="B1222" t="s">
        <v>10</v>
      </c>
      <c r="C1222" t="s">
        <v>4464</v>
      </c>
      <c r="D1222" t="s">
        <v>4287</v>
      </c>
      <c r="E1222" t="s">
        <v>4102</v>
      </c>
      <c r="F1222" t="s">
        <v>38</v>
      </c>
      <c r="G1222" t="s">
        <v>4465</v>
      </c>
      <c r="H1222" t="s">
        <v>30</v>
      </c>
      <c r="I1222" t="b">
        <f>COUNTIF(Estadísticas!I:I,'centraldecomunicacion.es'!H1222)&gt;0</f>
        <v>0</v>
      </c>
    </row>
    <row r="1223" spans="1:9">
      <c r="A1223" t="s">
        <v>4466</v>
      </c>
      <c r="B1223" t="s">
        <v>10</v>
      </c>
      <c r="C1223" t="s">
        <v>4467</v>
      </c>
      <c r="D1223" t="s">
        <v>4468</v>
      </c>
      <c r="E1223" t="s">
        <v>4102</v>
      </c>
      <c r="F1223" t="s">
        <v>4469</v>
      </c>
      <c r="G1223" t="s">
        <v>4470</v>
      </c>
      <c r="H1223" t="s">
        <v>1643</v>
      </c>
      <c r="I1223" t="b">
        <f>COUNTIF(Estadísticas!I:I,'centraldecomunicacion.es'!H1223)&gt;0</f>
        <v>0</v>
      </c>
    </row>
    <row r="1224" spans="1:9">
      <c r="A1224" t="s">
        <v>4471</v>
      </c>
      <c r="B1224" t="s">
        <v>10</v>
      </c>
      <c r="C1224" t="s">
        <v>4472</v>
      </c>
      <c r="D1224" t="s">
        <v>4128</v>
      </c>
      <c r="E1224" t="s">
        <v>4102</v>
      </c>
      <c r="F1224" t="s">
        <v>4473</v>
      </c>
      <c r="G1224" t="s">
        <v>4474</v>
      </c>
      <c r="H1224" t="s">
        <v>30</v>
      </c>
      <c r="I1224" t="b">
        <f>COUNTIF(Estadísticas!I:I,'centraldecomunicacion.es'!H1224)&gt;0</f>
        <v>0</v>
      </c>
    </row>
    <row r="1225" spans="1:9">
      <c r="A1225" t="s">
        <v>4475</v>
      </c>
      <c r="B1225" t="s">
        <v>10</v>
      </c>
      <c r="C1225" t="s">
        <v>4476</v>
      </c>
      <c r="D1225" t="s">
        <v>4128</v>
      </c>
      <c r="E1225" t="s">
        <v>4102</v>
      </c>
      <c r="F1225" t="s">
        <v>28</v>
      </c>
      <c r="G1225" t="s">
        <v>4477</v>
      </c>
      <c r="H1225" t="s">
        <v>30</v>
      </c>
      <c r="I1225" t="b">
        <f>COUNTIF(Estadísticas!I:I,'centraldecomunicacion.es'!H1225)&gt;0</f>
        <v>0</v>
      </c>
    </row>
    <row r="1226" spans="1:9">
      <c r="A1226" t="s">
        <v>4478</v>
      </c>
      <c r="B1226" t="s">
        <v>10</v>
      </c>
      <c r="C1226" t="s">
        <v>4479</v>
      </c>
      <c r="D1226" t="s">
        <v>4282</v>
      </c>
      <c r="E1226" t="s">
        <v>4102</v>
      </c>
      <c r="F1226" t="s">
        <v>416</v>
      </c>
      <c r="G1226" t="s">
        <v>4480</v>
      </c>
      <c r="H1226" t="s">
        <v>30</v>
      </c>
      <c r="I1226" t="b">
        <f>COUNTIF(Estadísticas!I:I,'centraldecomunicacion.es'!H1226)&gt;0</f>
        <v>0</v>
      </c>
    </row>
    <row r="1227" spans="1:9">
      <c r="A1227" t="s">
        <v>4481</v>
      </c>
      <c r="B1227" t="s">
        <v>10</v>
      </c>
      <c r="C1227" t="s">
        <v>4482</v>
      </c>
      <c r="D1227" t="s">
        <v>4158</v>
      </c>
      <c r="E1227" t="s">
        <v>4102</v>
      </c>
      <c r="F1227" t="s">
        <v>4483</v>
      </c>
      <c r="G1227" t="s">
        <v>4484</v>
      </c>
      <c r="H1227" t="s">
        <v>4485</v>
      </c>
      <c r="I1227" t="b">
        <f>COUNTIF(Estadísticas!I:I,'centraldecomunicacion.es'!H1227)&gt;0</f>
        <v>0</v>
      </c>
    </row>
    <row r="1228" spans="1:9">
      <c r="A1228" t="s">
        <v>4486</v>
      </c>
      <c r="B1228" t="s">
        <v>10</v>
      </c>
      <c r="C1228" t="s">
        <v>4487</v>
      </c>
      <c r="D1228" t="s">
        <v>4179</v>
      </c>
      <c r="E1228" t="s">
        <v>4102</v>
      </c>
      <c r="F1228" t="s">
        <v>416</v>
      </c>
      <c r="G1228" t="s">
        <v>4488</v>
      </c>
      <c r="H1228" t="s">
        <v>30</v>
      </c>
      <c r="I1228" t="b">
        <f>COUNTIF(Estadísticas!I:I,'centraldecomunicacion.es'!H1228)&gt;0</f>
        <v>0</v>
      </c>
    </row>
    <row r="1229" spans="1:9">
      <c r="A1229" t="s">
        <v>4489</v>
      </c>
      <c r="B1229" t="s">
        <v>10</v>
      </c>
      <c r="C1229" t="s">
        <v>4490</v>
      </c>
      <c r="D1229" t="s">
        <v>4491</v>
      </c>
      <c r="E1229" t="s">
        <v>4102</v>
      </c>
      <c r="F1229" t="s">
        <v>28</v>
      </c>
      <c r="G1229" t="s">
        <v>4492</v>
      </c>
      <c r="H1229" t="s">
        <v>30</v>
      </c>
      <c r="I1229" t="b">
        <f>COUNTIF(Estadísticas!I:I,'centraldecomunicacion.es'!H1229)&gt;0</f>
        <v>0</v>
      </c>
    </row>
    <row r="1230" spans="1:9">
      <c r="A1230" t="s">
        <v>4372</v>
      </c>
      <c r="B1230" t="s">
        <v>10</v>
      </c>
      <c r="C1230" t="s">
        <v>4493</v>
      </c>
      <c r="D1230" t="s">
        <v>4417</v>
      </c>
      <c r="E1230" t="s">
        <v>4102</v>
      </c>
      <c r="F1230" t="s">
        <v>28</v>
      </c>
      <c r="G1230" t="s">
        <v>4494</v>
      </c>
      <c r="H1230" t="s">
        <v>30</v>
      </c>
      <c r="I1230" t="b">
        <f>COUNTIF(Estadísticas!I:I,'centraldecomunicacion.es'!H1230)&gt;0</f>
        <v>0</v>
      </c>
    </row>
    <row r="1231" spans="1:9">
      <c r="A1231" t="s">
        <v>4495</v>
      </c>
      <c r="B1231" t="s">
        <v>10</v>
      </c>
      <c r="C1231" t="s">
        <v>4496</v>
      </c>
      <c r="D1231" t="s">
        <v>4497</v>
      </c>
      <c r="E1231" t="s">
        <v>4102</v>
      </c>
      <c r="F1231" t="s">
        <v>28</v>
      </c>
      <c r="G1231" t="s">
        <v>4498</v>
      </c>
      <c r="H1231" t="s">
        <v>30</v>
      </c>
      <c r="I1231" t="b">
        <f>COUNTIF(Estadísticas!I:I,'centraldecomunicacion.es'!H1231)&gt;0</f>
        <v>0</v>
      </c>
    </row>
    <row r="1232" spans="1:9">
      <c r="A1232" t="s">
        <v>4499</v>
      </c>
      <c r="B1232" t="s">
        <v>10</v>
      </c>
      <c r="C1232" t="s">
        <v>4500</v>
      </c>
      <c r="D1232" t="s">
        <v>4501</v>
      </c>
      <c r="E1232" t="s">
        <v>4102</v>
      </c>
      <c r="F1232" t="s">
        <v>28</v>
      </c>
      <c r="G1232" t="s">
        <v>4502</v>
      </c>
      <c r="H1232" t="s">
        <v>30</v>
      </c>
      <c r="I1232" t="b">
        <f>COUNTIF(Estadísticas!I:I,'centraldecomunicacion.es'!H1232)&gt;0</f>
        <v>0</v>
      </c>
    </row>
    <row r="1233" spans="1:9">
      <c r="A1233" t="s">
        <v>4503</v>
      </c>
      <c r="B1233" t="s">
        <v>10</v>
      </c>
      <c r="C1233" t="s">
        <v>4504</v>
      </c>
      <c r="D1233" t="s">
        <v>4362</v>
      </c>
      <c r="E1233" t="s">
        <v>4102</v>
      </c>
      <c r="F1233" t="s">
        <v>28</v>
      </c>
      <c r="G1233" t="s">
        <v>4505</v>
      </c>
      <c r="H1233" t="s">
        <v>30</v>
      </c>
      <c r="I1233" t="b">
        <f>COUNTIF(Estadísticas!I:I,'centraldecomunicacion.es'!H1233)&gt;0</f>
        <v>0</v>
      </c>
    </row>
    <row r="1234" spans="1:9">
      <c r="A1234" t="s">
        <v>4506</v>
      </c>
      <c r="B1234" t="s">
        <v>10</v>
      </c>
      <c r="C1234" t="s">
        <v>4507</v>
      </c>
      <c r="D1234" t="s">
        <v>4107</v>
      </c>
      <c r="E1234" t="s">
        <v>4102</v>
      </c>
      <c r="F1234" t="s">
        <v>4508</v>
      </c>
      <c r="G1234" t="s">
        <v>4509</v>
      </c>
      <c r="H1234" t="s">
        <v>4510</v>
      </c>
      <c r="I1234" t="b">
        <f>COUNTIF(Estadísticas!I:I,'centraldecomunicacion.es'!H1234)&gt;0</f>
        <v>0</v>
      </c>
    </row>
    <row r="1235" spans="1:9">
      <c r="A1235" t="s">
        <v>4511</v>
      </c>
      <c r="B1235" t="s">
        <v>10</v>
      </c>
      <c r="C1235" t="s">
        <v>4512</v>
      </c>
      <c r="D1235" t="s">
        <v>4287</v>
      </c>
      <c r="E1235" t="s">
        <v>4102</v>
      </c>
      <c r="F1235" t="s">
        <v>50</v>
      </c>
      <c r="G1235" t="s">
        <v>4513</v>
      </c>
      <c r="H1235" t="s">
        <v>30</v>
      </c>
      <c r="I1235" t="b">
        <f>COUNTIF(Estadísticas!I:I,'centraldecomunicacion.es'!H1235)&gt;0</f>
        <v>0</v>
      </c>
    </row>
    <row r="1236" spans="1:9">
      <c r="A1236" t="s">
        <v>4514</v>
      </c>
      <c r="B1236" t="s">
        <v>10</v>
      </c>
      <c r="C1236" t="s">
        <v>4515</v>
      </c>
      <c r="D1236" t="s">
        <v>4128</v>
      </c>
      <c r="E1236" t="s">
        <v>4102</v>
      </c>
      <c r="F1236" t="s">
        <v>4516</v>
      </c>
      <c r="G1236" t="s">
        <v>4517</v>
      </c>
      <c r="H1236" t="s">
        <v>4518</v>
      </c>
      <c r="I1236" t="b">
        <f>COUNTIF(Estadísticas!I:I,'centraldecomunicacion.es'!H1236)&gt;0</f>
        <v>0</v>
      </c>
    </row>
    <row r="1237" spans="1:9">
      <c r="A1237" t="s">
        <v>4519</v>
      </c>
      <c r="B1237" t="s">
        <v>10</v>
      </c>
      <c r="C1237" t="s">
        <v>4520</v>
      </c>
      <c r="D1237" t="s">
        <v>4521</v>
      </c>
      <c r="E1237" t="s">
        <v>4102</v>
      </c>
      <c r="F1237" t="s">
        <v>28</v>
      </c>
      <c r="G1237" t="s">
        <v>4522</v>
      </c>
      <c r="H1237" t="s">
        <v>30</v>
      </c>
      <c r="I1237" t="b">
        <f>COUNTIF(Estadísticas!I:I,'centraldecomunicacion.es'!H1237)&gt;0</f>
        <v>0</v>
      </c>
    </row>
    <row r="1238" spans="1:9">
      <c r="A1238" t="s">
        <v>4523</v>
      </c>
      <c r="B1238" t="s">
        <v>10</v>
      </c>
      <c r="C1238" t="s">
        <v>4524</v>
      </c>
      <c r="D1238" t="s">
        <v>4128</v>
      </c>
      <c r="E1238" t="s">
        <v>4102</v>
      </c>
      <c r="F1238" t="s">
        <v>28</v>
      </c>
      <c r="G1238" t="s">
        <v>4525</v>
      </c>
      <c r="H1238" t="s">
        <v>30</v>
      </c>
      <c r="I1238" t="b">
        <f>COUNTIF(Estadísticas!I:I,'centraldecomunicacion.es'!H1238)&gt;0</f>
        <v>0</v>
      </c>
    </row>
    <row r="1239" spans="1:9">
      <c r="A1239" t="s">
        <v>4526</v>
      </c>
      <c r="B1239" t="s">
        <v>10</v>
      </c>
      <c r="C1239" t="s">
        <v>4527</v>
      </c>
      <c r="D1239" t="s">
        <v>4362</v>
      </c>
      <c r="E1239" t="s">
        <v>4102</v>
      </c>
      <c r="F1239" t="s">
        <v>28</v>
      </c>
      <c r="G1239" t="s">
        <v>4528</v>
      </c>
      <c r="H1239" t="s">
        <v>30</v>
      </c>
      <c r="I1239" t="b">
        <f>COUNTIF(Estadísticas!I:I,'centraldecomunicacion.es'!H1239)&gt;0</f>
        <v>0</v>
      </c>
    </row>
    <row r="1240" spans="1:9">
      <c r="A1240" t="s">
        <v>4529</v>
      </c>
      <c r="B1240" t="s">
        <v>10</v>
      </c>
      <c r="C1240" t="s">
        <v>4530</v>
      </c>
      <c r="D1240" t="s">
        <v>4287</v>
      </c>
      <c r="E1240" t="s">
        <v>4102</v>
      </c>
      <c r="F1240" t="s">
        <v>28</v>
      </c>
      <c r="G1240" t="s">
        <v>4531</v>
      </c>
      <c r="H1240" t="s">
        <v>30</v>
      </c>
      <c r="I1240" t="b">
        <f>COUNTIF(Estadísticas!I:I,'centraldecomunicacion.es'!H1240)&gt;0</f>
        <v>0</v>
      </c>
    </row>
    <row r="1241" spans="1:9">
      <c r="A1241" t="s">
        <v>4532</v>
      </c>
      <c r="B1241" t="s">
        <v>10</v>
      </c>
      <c r="C1241" t="s">
        <v>4533</v>
      </c>
      <c r="D1241" t="s">
        <v>4107</v>
      </c>
      <c r="E1241" t="s">
        <v>4102</v>
      </c>
      <c r="F1241" t="s">
        <v>28</v>
      </c>
      <c r="G1241" t="s">
        <v>4534</v>
      </c>
      <c r="H1241" t="s">
        <v>30</v>
      </c>
      <c r="I1241" t="b">
        <f>COUNTIF(Estadísticas!I:I,'centraldecomunicacion.es'!H1241)&gt;0</f>
        <v>0</v>
      </c>
    </row>
    <row r="1242" spans="1:9">
      <c r="A1242" t="s">
        <v>4535</v>
      </c>
      <c r="B1242" t="s">
        <v>10</v>
      </c>
      <c r="C1242" t="s">
        <v>4536</v>
      </c>
      <c r="D1242" t="s">
        <v>4537</v>
      </c>
      <c r="E1242" t="s">
        <v>4102</v>
      </c>
      <c r="F1242" t="s">
        <v>50</v>
      </c>
      <c r="G1242" t="s">
        <v>4538</v>
      </c>
      <c r="H1242" t="s">
        <v>30</v>
      </c>
      <c r="I1242" t="b">
        <f>COUNTIF(Estadísticas!I:I,'centraldecomunicacion.es'!H1242)&gt;0</f>
        <v>0</v>
      </c>
    </row>
    <row r="1243" spans="1:9">
      <c r="A1243" t="s">
        <v>4539</v>
      </c>
      <c r="B1243" t="s">
        <v>10</v>
      </c>
      <c r="C1243" t="s">
        <v>4540</v>
      </c>
      <c r="D1243" t="s">
        <v>4107</v>
      </c>
      <c r="E1243" t="s">
        <v>4102</v>
      </c>
      <c r="F1243" t="s">
        <v>4541</v>
      </c>
      <c r="G1243" t="s">
        <v>4542</v>
      </c>
      <c r="H1243" t="s">
        <v>30</v>
      </c>
      <c r="I1243" t="b">
        <f>COUNTIF(Estadísticas!I:I,'centraldecomunicacion.es'!H1243)&gt;0</f>
        <v>0</v>
      </c>
    </row>
    <row r="1244" spans="1:9">
      <c r="A1244" t="s">
        <v>4543</v>
      </c>
      <c r="B1244" t="s">
        <v>10</v>
      </c>
      <c r="C1244" t="s">
        <v>4544</v>
      </c>
      <c r="D1244" t="s">
        <v>4128</v>
      </c>
      <c r="E1244" t="s">
        <v>4102</v>
      </c>
      <c r="F1244" t="s">
        <v>28</v>
      </c>
      <c r="G1244" t="s">
        <v>28</v>
      </c>
      <c r="H1244" t="s">
        <v>30</v>
      </c>
      <c r="I1244" t="b">
        <f>COUNTIF(Estadísticas!I:I,'centraldecomunicacion.es'!H1244)&gt;0</f>
        <v>0</v>
      </c>
    </row>
    <row r="1245" spans="1:9">
      <c r="A1245" t="s">
        <v>4545</v>
      </c>
      <c r="B1245" t="s">
        <v>10</v>
      </c>
      <c r="C1245" t="s">
        <v>4546</v>
      </c>
      <c r="D1245" t="s">
        <v>4198</v>
      </c>
      <c r="E1245" t="s">
        <v>4102</v>
      </c>
      <c r="F1245" t="s">
        <v>4547</v>
      </c>
      <c r="G1245" t="s">
        <v>4326</v>
      </c>
      <c r="H1245" t="s">
        <v>4548</v>
      </c>
      <c r="I1245" t="b">
        <f>COUNTIF(Estadísticas!I:I,'centraldecomunicacion.es'!H1245)&gt;0</f>
        <v>1</v>
      </c>
    </row>
    <row r="1246" spans="1:9">
      <c r="A1246" t="s">
        <v>4549</v>
      </c>
      <c r="B1246" t="s">
        <v>10</v>
      </c>
      <c r="C1246" t="s">
        <v>4550</v>
      </c>
      <c r="D1246" t="s">
        <v>4497</v>
      </c>
      <c r="E1246" t="s">
        <v>4102</v>
      </c>
      <c r="F1246" t="s">
        <v>416</v>
      </c>
      <c r="G1246" t="s">
        <v>4551</v>
      </c>
      <c r="H1246" t="s">
        <v>30</v>
      </c>
      <c r="I1246" t="b">
        <f>COUNTIF(Estadísticas!I:I,'centraldecomunicacion.es'!H1246)&gt;0</f>
        <v>0</v>
      </c>
    </row>
    <row r="1247" spans="1:9">
      <c r="A1247" t="s">
        <v>4552</v>
      </c>
      <c r="B1247" t="s">
        <v>10</v>
      </c>
      <c r="C1247" t="s">
        <v>4553</v>
      </c>
      <c r="D1247" t="s">
        <v>4128</v>
      </c>
      <c r="E1247" t="s">
        <v>4102</v>
      </c>
      <c r="F1247" t="s">
        <v>28</v>
      </c>
      <c r="G1247" t="s">
        <v>4554</v>
      </c>
      <c r="H1247" t="s">
        <v>30</v>
      </c>
      <c r="I1247" t="b">
        <f>COUNTIF(Estadísticas!I:I,'centraldecomunicacion.es'!H1247)&gt;0</f>
        <v>0</v>
      </c>
    </row>
    <row r="1248" spans="1:9">
      <c r="A1248" t="s">
        <v>4555</v>
      </c>
      <c r="B1248" t="s">
        <v>10</v>
      </c>
      <c r="C1248" t="s">
        <v>4556</v>
      </c>
      <c r="D1248" t="s">
        <v>4335</v>
      </c>
      <c r="E1248" t="s">
        <v>4102</v>
      </c>
      <c r="F1248" t="s">
        <v>28</v>
      </c>
      <c r="G1248" t="s">
        <v>4557</v>
      </c>
      <c r="H1248" t="s">
        <v>30</v>
      </c>
      <c r="I1248" t="b">
        <f>COUNTIF(Estadísticas!I:I,'centraldecomunicacion.es'!H1248)&gt;0</f>
        <v>0</v>
      </c>
    </row>
    <row r="1249" spans="1:9">
      <c r="A1249" t="s">
        <v>4558</v>
      </c>
      <c r="B1249" t="s">
        <v>10</v>
      </c>
      <c r="C1249" t="s">
        <v>4559</v>
      </c>
      <c r="D1249" t="s">
        <v>4560</v>
      </c>
      <c r="E1249" t="s">
        <v>4102</v>
      </c>
      <c r="F1249" t="s">
        <v>28</v>
      </c>
      <c r="G1249" t="s">
        <v>4561</v>
      </c>
      <c r="H1249" t="s">
        <v>30</v>
      </c>
      <c r="I1249" t="b">
        <f>COUNTIF(Estadísticas!I:I,'centraldecomunicacion.es'!H1249)&gt;0</f>
        <v>0</v>
      </c>
    </row>
    <row r="1250" spans="1:9">
      <c r="A1250" t="s">
        <v>4562</v>
      </c>
      <c r="B1250" t="s">
        <v>10</v>
      </c>
      <c r="C1250" t="s">
        <v>4563</v>
      </c>
      <c r="D1250" t="s">
        <v>4287</v>
      </c>
      <c r="E1250" t="s">
        <v>4102</v>
      </c>
      <c r="F1250" t="s">
        <v>28</v>
      </c>
      <c r="G1250" t="s">
        <v>4564</v>
      </c>
      <c r="H1250" t="s">
        <v>30</v>
      </c>
      <c r="I1250" t="b">
        <f>COUNTIF(Estadísticas!I:I,'centraldecomunicacion.es'!H1250)&gt;0</f>
        <v>0</v>
      </c>
    </row>
    <row r="1251" spans="1:9">
      <c r="A1251" t="s">
        <v>4565</v>
      </c>
      <c r="B1251" t="s">
        <v>10</v>
      </c>
      <c r="C1251" t="s">
        <v>4566</v>
      </c>
      <c r="D1251" t="s">
        <v>4567</v>
      </c>
      <c r="E1251" t="s">
        <v>4102</v>
      </c>
      <c r="F1251" t="s">
        <v>28</v>
      </c>
      <c r="G1251" t="s">
        <v>4568</v>
      </c>
      <c r="H1251" t="s">
        <v>30</v>
      </c>
      <c r="I1251" t="b">
        <f>COUNTIF(Estadísticas!I:I,'centraldecomunicacion.es'!H1251)&gt;0</f>
        <v>0</v>
      </c>
    </row>
    <row r="1252" spans="1:9">
      <c r="A1252" t="s">
        <v>4569</v>
      </c>
      <c r="B1252" t="s">
        <v>10</v>
      </c>
      <c r="C1252" t="s">
        <v>4368</v>
      </c>
      <c r="D1252" t="s">
        <v>4107</v>
      </c>
      <c r="E1252" t="s">
        <v>4102</v>
      </c>
      <c r="F1252" t="s">
        <v>28</v>
      </c>
      <c r="G1252" t="s">
        <v>4570</v>
      </c>
      <c r="H1252" t="s">
        <v>30</v>
      </c>
      <c r="I1252" t="b">
        <f>COUNTIF(Estadísticas!I:I,'centraldecomunicacion.es'!H1252)&gt;0</f>
        <v>0</v>
      </c>
    </row>
    <row r="1253" spans="1:9">
      <c r="A1253" t="s">
        <v>4571</v>
      </c>
      <c r="B1253" t="s">
        <v>10</v>
      </c>
      <c r="C1253" t="s">
        <v>4572</v>
      </c>
      <c r="D1253" t="s">
        <v>4179</v>
      </c>
      <c r="E1253" t="s">
        <v>4102</v>
      </c>
      <c r="F1253" t="s">
        <v>28</v>
      </c>
      <c r="G1253" t="s">
        <v>4573</v>
      </c>
      <c r="H1253" t="s">
        <v>30</v>
      </c>
      <c r="I1253" t="b">
        <f>COUNTIF(Estadísticas!I:I,'centraldecomunicacion.es'!H1253)&gt;0</f>
        <v>0</v>
      </c>
    </row>
    <row r="1254" spans="1:9">
      <c r="A1254" t="s">
        <v>4574</v>
      </c>
      <c r="B1254" t="s">
        <v>10</v>
      </c>
      <c r="C1254" t="s">
        <v>4575</v>
      </c>
      <c r="D1254" t="s">
        <v>4282</v>
      </c>
      <c r="E1254" t="s">
        <v>4102</v>
      </c>
      <c r="F1254" t="s">
        <v>28</v>
      </c>
      <c r="G1254" t="s">
        <v>4576</v>
      </c>
      <c r="H1254" t="s">
        <v>30</v>
      </c>
      <c r="I1254" t="b">
        <f>COUNTIF(Estadísticas!I:I,'centraldecomunicacion.es'!H1254)&gt;0</f>
        <v>0</v>
      </c>
    </row>
    <row r="1255" spans="1:9">
      <c r="A1255" t="s">
        <v>4577</v>
      </c>
      <c r="B1255" t="s">
        <v>10</v>
      </c>
      <c r="C1255" t="s">
        <v>4578</v>
      </c>
      <c r="D1255" t="s">
        <v>4340</v>
      </c>
      <c r="E1255" t="s">
        <v>4102</v>
      </c>
      <c r="F1255" t="s">
        <v>28</v>
      </c>
      <c r="G1255" t="s">
        <v>4579</v>
      </c>
      <c r="H1255" t="s">
        <v>30</v>
      </c>
      <c r="I1255" t="b">
        <f>COUNTIF(Estadísticas!I:I,'centraldecomunicacion.es'!H1255)&gt;0</f>
        <v>0</v>
      </c>
    </row>
    <row r="1256" spans="1:9">
      <c r="A1256" t="s">
        <v>4580</v>
      </c>
      <c r="B1256" t="s">
        <v>10</v>
      </c>
      <c r="C1256" t="s">
        <v>4581</v>
      </c>
      <c r="D1256" t="s">
        <v>4238</v>
      </c>
      <c r="E1256" t="s">
        <v>4102</v>
      </c>
      <c r="F1256" t="s">
        <v>28</v>
      </c>
      <c r="G1256" t="s">
        <v>4582</v>
      </c>
      <c r="H1256" t="s">
        <v>30</v>
      </c>
      <c r="I1256" t="b">
        <f>COUNTIF(Estadísticas!I:I,'centraldecomunicacion.es'!H1256)&gt;0</f>
        <v>0</v>
      </c>
    </row>
    <row r="1257" spans="1:9">
      <c r="A1257" t="s">
        <v>4583</v>
      </c>
      <c r="B1257" t="s">
        <v>10</v>
      </c>
      <c r="C1257" t="s">
        <v>4584</v>
      </c>
      <c r="D1257" t="s">
        <v>4585</v>
      </c>
      <c r="E1257" t="s">
        <v>4102</v>
      </c>
      <c r="F1257" t="s">
        <v>38</v>
      </c>
      <c r="G1257" t="s">
        <v>4586</v>
      </c>
      <c r="H1257" t="s">
        <v>30</v>
      </c>
      <c r="I1257" t="b">
        <f>COUNTIF(Estadísticas!I:I,'centraldecomunicacion.es'!H1257)&gt;0</f>
        <v>0</v>
      </c>
    </row>
    <row r="1258" spans="1:9">
      <c r="A1258" t="s">
        <v>4587</v>
      </c>
      <c r="B1258" t="s">
        <v>10</v>
      </c>
      <c r="C1258" t="s">
        <v>4588</v>
      </c>
      <c r="D1258" t="s">
        <v>4158</v>
      </c>
      <c r="E1258" t="s">
        <v>4102</v>
      </c>
      <c r="F1258" t="s">
        <v>28</v>
      </c>
      <c r="G1258" t="s">
        <v>4589</v>
      </c>
      <c r="H1258" t="s">
        <v>30</v>
      </c>
      <c r="I1258" t="b">
        <f>COUNTIF(Estadísticas!I:I,'centraldecomunicacion.es'!H1258)&gt;0</f>
        <v>0</v>
      </c>
    </row>
    <row r="1259" spans="1:9">
      <c r="A1259" t="s">
        <v>4590</v>
      </c>
      <c r="B1259" t="s">
        <v>10</v>
      </c>
      <c r="C1259" t="s">
        <v>4591</v>
      </c>
      <c r="D1259" t="s">
        <v>4417</v>
      </c>
      <c r="E1259" t="s">
        <v>4102</v>
      </c>
      <c r="F1259" t="s">
        <v>28</v>
      </c>
      <c r="G1259" t="s">
        <v>4592</v>
      </c>
      <c r="H1259" t="s">
        <v>30</v>
      </c>
      <c r="I1259" t="b">
        <f>COUNTIF(Estadísticas!I:I,'centraldecomunicacion.es'!H1259)&gt;0</f>
        <v>0</v>
      </c>
    </row>
    <row r="1260" spans="1:9">
      <c r="A1260" t="s">
        <v>4593</v>
      </c>
      <c r="B1260" t="s">
        <v>10</v>
      </c>
      <c r="C1260" t="s">
        <v>4594</v>
      </c>
      <c r="D1260" t="s">
        <v>4537</v>
      </c>
      <c r="E1260" t="s">
        <v>4102</v>
      </c>
      <c r="F1260" t="s">
        <v>4595</v>
      </c>
      <c r="G1260" t="s">
        <v>4596</v>
      </c>
      <c r="H1260" t="s">
        <v>30</v>
      </c>
      <c r="I1260" t="b">
        <f>COUNTIF(Estadísticas!I:I,'centraldecomunicacion.es'!H1260)&gt;0</f>
        <v>0</v>
      </c>
    </row>
    <row r="1261" spans="1:9">
      <c r="A1261" t="s">
        <v>4597</v>
      </c>
      <c r="B1261" t="s">
        <v>10</v>
      </c>
      <c r="C1261" t="s">
        <v>4598</v>
      </c>
      <c r="D1261" t="s">
        <v>4340</v>
      </c>
      <c r="E1261" t="s">
        <v>4102</v>
      </c>
      <c r="F1261" t="s">
        <v>4599</v>
      </c>
      <c r="G1261" t="s">
        <v>4600</v>
      </c>
      <c r="H1261" t="s">
        <v>30</v>
      </c>
      <c r="I1261" t="b">
        <f>COUNTIF(Estadísticas!I:I,'centraldecomunicacion.es'!H1261)&gt;0</f>
        <v>0</v>
      </c>
    </row>
    <row r="1262" spans="1:9">
      <c r="A1262" t="s">
        <v>4601</v>
      </c>
      <c r="B1262" t="s">
        <v>10</v>
      </c>
      <c r="C1262" t="s">
        <v>4602</v>
      </c>
      <c r="D1262" t="s">
        <v>4238</v>
      </c>
      <c r="E1262" t="s">
        <v>4102</v>
      </c>
      <c r="F1262" t="s">
        <v>4603</v>
      </c>
      <c r="G1262" t="s">
        <v>4604</v>
      </c>
      <c r="H1262" t="s">
        <v>30</v>
      </c>
      <c r="I1262" t="b">
        <f>COUNTIF(Estadísticas!I:I,'centraldecomunicacion.es'!H1262)&gt;0</f>
        <v>0</v>
      </c>
    </row>
    <row r="1263" spans="1:9">
      <c r="A1263" t="s">
        <v>4605</v>
      </c>
      <c r="B1263" t="s">
        <v>10</v>
      </c>
      <c r="C1263" t="s">
        <v>4606</v>
      </c>
      <c r="D1263" t="s">
        <v>4330</v>
      </c>
      <c r="E1263" t="s">
        <v>4107</v>
      </c>
      <c r="F1263" t="s">
        <v>28</v>
      </c>
      <c r="G1263" t="s">
        <v>4607</v>
      </c>
      <c r="H1263" t="s">
        <v>30</v>
      </c>
      <c r="I1263" t="b">
        <f>COUNTIF(Estadísticas!I:I,'centraldecomunicacion.es'!H1263)&gt;0</f>
        <v>0</v>
      </c>
    </row>
    <row r="1264" spans="1:9">
      <c r="A1264" t="s">
        <v>4608</v>
      </c>
      <c r="B1264" t="s">
        <v>10</v>
      </c>
      <c r="C1264" t="s">
        <v>4609</v>
      </c>
      <c r="D1264" t="s">
        <v>4610</v>
      </c>
      <c r="E1264" t="s">
        <v>4102</v>
      </c>
      <c r="F1264" t="s">
        <v>4603</v>
      </c>
      <c r="G1264" t="s">
        <v>4363</v>
      </c>
      <c r="H1264" t="s">
        <v>30</v>
      </c>
      <c r="I1264" t="b">
        <f>COUNTIF(Estadísticas!I:I,'centraldecomunicacion.es'!H1264)&gt;0</f>
        <v>0</v>
      </c>
    </row>
    <row r="1265" spans="1:9">
      <c r="A1265" t="s">
        <v>4611</v>
      </c>
      <c r="B1265" t="s">
        <v>10</v>
      </c>
      <c r="C1265" t="s">
        <v>4612</v>
      </c>
      <c r="D1265" t="s">
        <v>4128</v>
      </c>
      <c r="E1265" t="s">
        <v>4102</v>
      </c>
      <c r="F1265" t="s">
        <v>4613</v>
      </c>
      <c r="G1265" t="s">
        <v>4614</v>
      </c>
      <c r="H1265" t="s">
        <v>4615</v>
      </c>
      <c r="I1265" t="b">
        <f>COUNTIF(Estadísticas!I:I,'centraldecomunicacion.es'!H1265)&gt;0</f>
        <v>0</v>
      </c>
    </row>
    <row r="1266" spans="1:9">
      <c r="A1266" t="s">
        <v>4616</v>
      </c>
      <c r="B1266" t="s">
        <v>10</v>
      </c>
      <c r="C1266" t="s">
        <v>4617</v>
      </c>
      <c r="D1266" t="s">
        <v>4128</v>
      </c>
      <c r="E1266" t="s">
        <v>4102</v>
      </c>
      <c r="F1266" t="s">
        <v>4618</v>
      </c>
      <c r="G1266" t="s">
        <v>4619</v>
      </c>
      <c r="H1266" t="s">
        <v>4620</v>
      </c>
      <c r="I1266" t="b">
        <f>COUNTIF(Estadísticas!I:I,'centraldecomunicacion.es'!H1266)&gt;0</f>
        <v>0</v>
      </c>
    </row>
    <row r="1267" spans="1:9">
      <c r="A1267" t="s">
        <v>4621</v>
      </c>
      <c r="B1267" t="s">
        <v>10</v>
      </c>
      <c r="C1267" t="s">
        <v>4622</v>
      </c>
      <c r="D1267" t="s">
        <v>4107</v>
      </c>
      <c r="E1267" t="s">
        <v>4102</v>
      </c>
      <c r="F1267" t="s">
        <v>28</v>
      </c>
      <c r="G1267" t="s">
        <v>4623</v>
      </c>
      <c r="H1267" t="s">
        <v>30</v>
      </c>
      <c r="I1267" t="b">
        <f>COUNTIF(Estadísticas!I:I,'centraldecomunicacion.es'!H1267)&gt;0</f>
        <v>0</v>
      </c>
    </row>
    <row r="1268" spans="1:9">
      <c r="A1268" t="s">
        <v>4310</v>
      </c>
      <c r="B1268" t="s">
        <v>10</v>
      </c>
      <c r="C1268" t="s">
        <v>4624</v>
      </c>
      <c r="D1268" t="s">
        <v>4107</v>
      </c>
      <c r="E1268" t="s">
        <v>4102</v>
      </c>
      <c r="F1268" t="s">
        <v>4312</v>
      </c>
      <c r="G1268" t="s">
        <v>4313</v>
      </c>
      <c r="H1268" t="s">
        <v>30</v>
      </c>
      <c r="I1268" t="b">
        <f>COUNTIF(Estadísticas!I:I,'centraldecomunicacion.es'!H1268)&gt;0</f>
        <v>0</v>
      </c>
    </row>
    <row r="1269" spans="1:9">
      <c r="A1269" t="s">
        <v>4625</v>
      </c>
      <c r="B1269" t="s">
        <v>10</v>
      </c>
      <c r="C1269" t="s">
        <v>4626</v>
      </c>
      <c r="D1269" t="s">
        <v>4362</v>
      </c>
      <c r="E1269" t="s">
        <v>4102</v>
      </c>
      <c r="F1269" t="s">
        <v>28</v>
      </c>
      <c r="G1269" t="s">
        <v>4627</v>
      </c>
      <c r="H1269" t="s">
        <v>30</v>
      </c>
      <c r="I1269" t="b">
        <f>COUNTIF(Estadísticas!I:I,'centraldecomunicacion.es'!H1269)&gt;0</f>
        <v>0</v>
      </c>
    </row>
    <row r="1270" spans="1:9">
      <c r="A1270" t="s">
        <v>4628</v>
      </c>
      <c r="B1270" t="s">
        <v>10</v>
      </c>
      <c r="C1270" t="s">
        <v>4629</v>
      </c>
      <c r="D1270" t="s">
        <v>4107</v>
      </c>
      <c r="E1270" t="s">
        <v>4102</v>
      </c>
      <c r="F1270" t="s">
        <v>28</v>
      </c>
      <c r="G1270" t="s">
        <v>28</v>
      </c>
      <c r="H1270" t="s">
        <v>30</v>
      </c>
      <c r="I1270" t="b">
        <f>COUNTIF(Estadísticas!I:I,'centraldecomunicacion.es'!H1270)&gt;0</f>
        <v>0</v>
      </c>
    </row>
    <row r="1271" spans="1:9">
      <c r="A1271" t="s">
        <v>4630</v>
      </c>
      <c r="B1271" t="s">
        <v>10</v>
      </c>
      <c r="C1271" t="s">
        <v>4631</v>
      </c>
      <c r="D1271" t="s">
        <v>4417</v>
      </c>
      <c r="E1271" t="s">
        <v>4102</v>
      </c>
      <c r="F1271" t="s">
        <v>28</v>
      </c>
      <c r="G1271" t="s">
        <v>4632</v>
      </c>
      <c r="H1271" t="s">
        <v>30</v>
      </c>
      <c r="I1271" t="b">
        <f>COUNTIF(Estadísticas!I:I,'centraldecomunicacion.es'!H1271)&gt;0</f>
        <v>0</v>
      </c>
    </row>
    <row r="1272" spans="1:9">
      <c r="A1272" t="s">
        <v>4633</v>
      </c>
      <c r="B1272" t="s">
        <v>10</v>
      </c>
      <c r="C1272" t="s">
        <v>4634</v>
      </c>
      <c r="D1272" t="s">
        <v>4158</v>
      </c>
      <c r="E1272" t="s">
        <v>4102</v>
      </c>
      <c r="F1272" t="s">
        <v>4635</v>
      </c>
      <c r="G1272" t="s">
        <v>4160</v>
      </c>
      <c r="H1272" t="s">
        <v>30</v>
      </c>
      <c r="I1272" t="b">
        <f>COUNTIF(Estadísticas!I:I,'centraldecomunicacion.es'!H1272)&gt;0</f>
        <v>0</v>
      </c>
    </row>
    <row r="1273" spans="1:9">
      <c r="A1273" t="s">
        <v>4636</v>
      </c>
      <c r="B1273" t="s">
        <v>10</v>
      </c>
      <c r="C1273" t="s">
        <v>4637</v>
      </c>
      <c r="D1273" t="s">
        <v>4128</v>
      </c>
      <c r="E1273" t="s">
        <v>4102</v>
      </c>
      <c r="F1273" t="s">
        <v>4638</v>
      </c>
      <c r="G1273" t="s">
        <v>4639</v>
      </c>
      <c r="H1273" t="s">
        <v>30</v>
      </c>
      <c r="I1273" t="b">
        <f>COUNTIF(Estadísticas!I:I,'centraldecomunicacion.es'!H1273)&gt;0</f>
        <v>0</v>
      </c>
    </row>
    <row r="1274" spans="1:9">
      <c r="A1274" t="s">
        <v>4640</v>
      </c>
      <c r="B1274" t="s">
        <v>10</v>
      </c>
      <c r="C1274" t="s">
        <v>4641</v>
      </c>
      <c r="D1274" t="s">
        <v>4642</v>
      </c>
      <c r="E1274" t="s">
        <v>4102</v>
      </c>
      <c r="F1274" t="s">
        <v>28</v>
      </c>
      <c r="G1274" t="s">
        <v>4643</v>
      </c>
      <c r="H1274" t="s">
        <v>30</v>
      </c>
      <c r="I1274" t="b">
        <f>COUNTIF(Estadísticas!I:I,'centraldecomunicacion.es'!H1274)&gt;0</f>
        <v>0</v>
      </c>
    </row>
    <row r="1275" spans="1:9">
      <c r="A1275" t="s">
        <v>4644</v>
      </c>
      <c r="B1275" t="s">
        <v>10</v>
      </c>
      <c r="C1275" t="s">
        <v>4645</v>
      </c>
      <c r="D1275" t="s">
        <v>4646</v>
      </c>
      <c r="E1275" t="s">
        <v>4102</v>
      </c>
      <c r="F1275" t="s">
        <v>28</v>
      </c>
      <c r="G1275" t="s">
        <v>4647</v>
      </c>
      <c r="H1275" t="s">
        <v>30</v>
      </c>
      <c r="I1275" t="b">
        <f>COUNTIF(Estadísticas!I:I,'centraldecomunicacion.es'!H1275)&gt;0</f>
        <v>0</v>
      </c>
    </row>
    <row r="1276" spans="1:9">
      <c r="A1276" t="s">
        <v>4648</v>
      </c>
      <c r="B1276" t="s">
        <v>10</v>
      </c>
      <c r="C1276" t="s">
        <v>4649</v>
      </c>
      <c r="D1276" t="s">
        <v>4282</v>
      </c>
      <c r="E1276" t="s">
        <v>4102</v>
      </c>
      <c r="F1276" t="s">
        <v>28</v>
      </c>
      <c r="G1276" t="s">
        <v>4650</v>
      </c>
      <c r="H1276" t="s">
        <v>30</v>
      </c>
      <c r="I1276" t="b">
        <f>COUNTIF(Estadísticas!I:I,'centraldecomunicacion.es'!H1276)&gt;0</f>
        <v>0</v>
      </c>
    </row>
    <row r="1277" spans="1:9">
      <c r="A1277" t="s">
        <v>4651</v>
      </c>
      <c r="B1277" t="s">
        <v>10</v>
      </c>
      <c r="C1277" t="s">
        <v>4652</v>
      </c>
      <c r="D1277" t="s">
        <v>4128</v>
      </c>
      <c r="E1277" t="s">
        <v>4102</v>
      </c>
      <c r="F1277" t="s">
        <v>28</v>
      </c>
      <c r="G1277" t="s">
        <v>4653</v>
      </c>
      <c r="H1277" t="s">
        <v>30</v>
      </c>
      <c r="I1277" t="b">
        <f>COUNTIF(Estadísticas!I:I,'centraldecomunicacion.es'!H1277)&gt;0</f>
        <v>0</v>
      </c>
    </row>
    <row r="1278" spans="1:9">
      <c r="A1278" t="s">
        <v>4654</v>
      </c>
      <c r="B1278" t="s">
        <v>10</v>
      </c>
      <c r="C1278" t="s">
        <v>4655</v>
      </c>
      <c r="D1278" t="s">
        <v>4128</v>
      </c>
      <c r="E1278" t="s">
        <v>4102</v>
      </c>
      <c r="F1278" t="s">
        <v>28</v>
      </c>
      <c r="G1278" t="s">
        <v>4656</v>
      </c>
      <c r="H1278" t="s">
        <v>30</v>
      </c>
      <c r="I1278" t="b">
        <f>COUNTIF(Estadísticas!I:I,'centraldecomunicacion.es'!H1278)&gt;0</f>
        <v>0</v>
      </c>
    </row>
    <row r="1279" spans="1:9">
      <c r="A1279" t="s">
        <v>4657</v>
      </c>
      <c r="B1279" t="s">
        <v>10</v>
      </c>
      <c r="C1279" t="s">
        <v>4658</v>
      </c>
      <c r="D1279" t="s">
        <v>4567</v>
      </c>
      <c r="E1279" t="s">
        <v>4102</v>
      </c>
      <c r="F1279" t="s">
        <v>4659</v>
      </c>
      <c r="G1279" t="s">
        <v>4660</v>
      </c>
      <c r="H1279" t="s">
        <v>4661</v>
      </c>
      <c r="I1279" t="b">
        <f>COUNTIF(Estadísticas!I:I,'centraldecomunicacion.es'!H1279)&gt;0</f>
        <v>0</v>
      </c>
    </row>
    <row r="1280" spans="1:9">
      <c r="A1280" t="s">
        <v>4662</v>
      </c>
      <c r="B1280" t="s">
        <v>10</v>
      </c>
      <c r="C1280" t="s">
        <v>4663</v>
      </c>
      <c r="D1280" t="s">
        <v>4287</v>
      </c>
      <c r="E1280" t="s">
        <v>4102</v>
      </c>
      <c r="F1280" t="s">
        <v>28</v>
      </c>
      <c r="G1280" t="s">
        <v>28</v>
      </c>
      <c r="H1280" t="s">
        <v>30</v>
      </c>
      <c r="I1280" t="b">
        <f>COUNTIF(Estadísticas!I:I,'centraldecomunicacion.es'!H1280)&gt;0</f>
        <v>0</v>
      </c>
    </row>
    <row r="1281" spans="1:9">
      <c r="A1281" t="s">
        <v>4664</v>
      </c>
      <c r="B1281" t="s">
        <v>10</v>
      </c>
      <c r="C1281" t="s">
        <v>4665</v>
      </c>
      <c r="D1281" t="s">
        <v>4330</v>
      </c>
      <c r="E1281" t="s">
        <v>4102</v>
      </c>
      <c r="F1281" t="s">
        <v>28</v>
      </c>
      <c r="G1281" t="s">
        <v>4666</v>
      </c>
      <c r="H1281" t="s">
        <v>30</v>
      </c>
      <c r="I1281" t="b">
        <f>COUNTIF(Estadísticas!I:I,'centraldecomunicacion.es'!H1281)&gt;0</f>
        <v>0</v>
      </c>
    </row>
    <row r="1282" spans="1:9">
      <c r="A1282" t="s">
        <v>4667</v>
      </c>
      <c r="B1282" t="s">
        <v>10</v>
      </c>
      <c r="C1282" t="s">
        <v>4668</v>
      </c>
      <c r="D1282" t="s">
        <v>4128</v>
      </c>
      <c r="E1282" t="s">
        <v>4102</v>
      </c>
      <c r="F1282" t="s">
        <v>28</v>
      </c>
      <c r="G1282" t="s">
        <v>4669</v>
      </c>
      <c r="H1282" t="s">
        <v>30</v>
      </c>
      <c r="I1282" t="b">
        <f>COUNTIF(Estadísticas!I:I,'centraldecomunicacion.es'!H1282)&gt;0</f>
        <v>0</v>
      </c>
    </row>
    <row r="1283" spans="1:9">
      <c r="A1283" t="s">
        <v>4670</v>
      </c>
      <c r="B1283" t="s">
        <v>10</v>
      </c>
      <c r="C1283" t="s">
        <v>4671</v>
      </c>
      <c r="D1283" t="s">
        <v>4128</v>
      </c>
      <c r="E1283" t="s">
        <v>4102</v>
      </c>
      <c r="F1283" t="s">
        <v>28</v>
      </c>
      <c r="G1283" t="s">
        <v>4672</v>
      </c>
      <c r="H1283" t="s">
        <v>30</v>
      </c>
      <c r="I1283" t="b">
        <f>COUNTIF(Estadísticas!I:I,'centraldecomunicacion.es'!H1283)&gt;0</f>
        <v>0</v>
      </c>
    </row>
    <row r="1284" spans="1:9">
      <c r="A1284" t="s">
        <v>4673</v>
      </c>
      <c r="B1284" t="s">
        <v>10</v>
      </c>
      <c r="C1284" t="s">
        <v>4674</v>
      </c>
      <c r="D1284" t="s">
        <v>4107</v>
      </c>
      <c r="E1284" t="s">
        <v>4102</v>
      </c>
      <c r="F1284" t="s">
        <v>28</v>
      </c>
      <c r="G1284" t="s">
        <v>4675</v>
      </c>
      <c r="H1284" t="s">
        <v>30</v>
      </c>
      <c r="I1284" t="b">
        <f>COUNTIF(Estadísticas!I:I,'centraldecomunicacion.es'!H1284)&gt;0</f>
        <v>0</v>
      </c>
    </row>
    <row r="1285" spans="1:9">
      <c r="A1285" t="s">
        <v>4676</v>
      </c>
      <c r="B1285" t="s">
        <v>10</v>
      </c>
      <c r="C1285" t="s">
        <v>4677</v>
      </c>
      <c r="D1285" t="s">
        <v>4678</v>
      </c>
      <c r="E1285" t="s">
        <v>4102</v>
      </c>
      <c r="F1285" t="s">
        <v>28</v>
      </c>
      <c r="G1285" t="s">
        <v>4679</v>
      </c>
      <c r="H1285" t="s">
        <v>30</v>
      </c>
      <c r="I1285" t="b">
        <f>COUNTIF(Estadísticas!I:I,'centraldecomunicacion.es'!H1285)&gt;0</f>
        <v>0</v>
      </c>
    </row>
    <row r="1286" spans="1:9">
      <c r="A1286" t="s">
        <v>4680</v>
      </c>
      <c r="B1286" t="s">
        <v>10</v>
      </c>
      <c r="C1286" t="s">
        <v>4681</v>
      </c>
      <c r="D1286" t="s">
        <v>4567</v>
      </c>
      <c r="E1286" t="s">
        <v>4102</v>
      </c>
      <c r="F1286" t="s">
        <v>28</v>
      </c>
      <c r="G1286" t="s">
        <v>4682</v>
      </c>
      <c r="H1286" t="s">
        <v>30</v>
      </c>
      <c r="I1286" t="b">
        <f>COUNTIF(Estadísticas!I:I,'centraldecomunicacion.es'!H1286)&gt;0</f>
        <v>0</v>
      </c>
    </row>
    <row r="1287" spans="1:9">
      <c r="A1287" t="s">
        <v>4683</v>
      </c>
      <c r="B1287" t="s">
        <v>10</v>
      </c>
      <c r="C1287" t="s">
        <v>4684</v>
      </c>
      <c r="D1287" t="s">
        <v>4685</v>
      </c>
      <c r="E1287" t="s">
        <v>4102</v>
      </c>
      <c r="F1287" t="s">
        <v>28</v>
      </c>
      <c r="G1287" t="s">
        <v>4686</v>
      </c>
      <c r="H1287" t="s">
        <v>30</v>
      </c>
      <c r="I1287" t="b">
        <f>COUNTIF(Estadísticas!I:I,'centraldecomunicacion.es'!H1287)&gt;0</f>
        <v>0</v>
      </c>
    </row>
    <row r="1288" spans="1:9">
      <c r="A1288" t="s">
        <v>4687</v>
      </c>
      <c r="B1288" t="s">
        <v>10</v>
      </c>
      <c r="C1288" t="s">
        <v>4688</v>
      </c>
      <c r="D1288" t="s">
        <v>4491</v>
      </c>
      <c r="E1288" t="s">
        <v>4102</v>
      </c>
      <c r="F1288" t="s">
        <v>28</v>
      </c>
      <c r="G1288" t="s">
        <v>28</v>
      </c>
      <c r="H1288" t="s">
        <v>30</v>
      </c>
      <c r="I1288" t="b">
        <f>COUNTIF(Estadísticas!I:I,'centraldecomunicacion.es'!H1288)&gt;0</f>
        <v>0</v>
      </c>
    </row>
    <row r="1289" spans="1:9">
      <c r="A1289" t="s">
        <v>4689</v>
      </c>
      <c r="B1289" t="s">
        <v>10</v>
      </c>
      <c r="C1289" t="s">
        <v>4690</v>
      </c>
      <c r="D1289" t="s">
        <v>4691</v>
      </c>
      <c r="E1289" t="s">
        <v>4692</v>
      </c>
      <c r="F1289" t="s">
        <v>4693</v>
      </c>
      <c r="G1289" t="s">
        <v>4694</v>
      </c>
      <c r="H1289" t="s">
        <v>30</v>
      </c>
      <c r="I1289" t="b">
        <f>COUNTIF(Estadísticas!I:I,'centraldecomunicacion.es'!H1289)&gt;0</f>
        <v>0</v>
      </c>
    </row>
    <row r="1290" spans="1:9">
      <c r="A1290" t="s">
        <v>4695</v>
      </c>
      <c r="B1290" t="s">
        <v>219</v>
      </c>
      <c r="C1290" t="s">
        <v>4696</v>
      </c>
      <c r="D1290" t="s">
        <v>4287</v>
      </c>
      <c r="E1290" t="s">
        <v>4102</v>
      </c>
      <c r="F1290" t="s">
        <v>28</v>
      </c>
      <c r="G1290" t="s">
        <v>4697</v>
      </c>
      <c r="H1290" t="s">
        <v>30</v>
      </c>
      <c r="I1290" t="b">
        <f>COUNTIF(Estadísticas!I:I,'centraldecomunicacion.es'!H1290)&gt;0</f>
        <v>0</v>
      </c>
    </row>
    <row r="1291" spans="1:9">
      <c r="A1291" t="s">
        <v>4698</v>
      </c>
      <c r="B1291" t="s">
        <v>10</v>
      </c>
      <c r="C1291" t="s">
        <v>4699</v>
      </c>
      <c r="D1291" t="s">
        <v>4700</v>
      </c>
      <c r="E1291" t="s">
        <v>4692</v>
      </c>
      <c r="F1291" t="s">
        <v>28</v>
      </c>
      <c r="G1291" t="s">
        <v>4701</v>
      </c>
      <c r="H1291" t="s">
        <v>30</v>
      </c>
      <c r="I1291" t="b">
        <f>COUNTIF(Estadísticas!I:I,'centraldecomunicacion.es'!H1291)&gt;0</f>
        <v>0</v>
      </c>
    </row>
    <row r="1292" spans="1:9">
      <c r="A1292" t="s">
        <v>4702</v>
      </c>
      <c r="B1292" t="s">
        <v>219</v>
      </c>
      <c r="C1292" t="s">
        <v>4703</v>
      </c>
      <c r="D1292" t="s">
        <v>4521</v>
      </c>
      <c r="E1292" t="s">
        <v>4102</v>
      </c>
      <c r="F1292" t="s">
        <v>4704</v>
      </c>
      <c r="G1292" t="s">
        <v>4705</v>
      </c>
      <c r="H1292" t="s">
        <v>4706</v>
      </c>
      <c r="I1292" t="b">
        <f>COUNTIF(Estadísticas!I:I,'centraldecomunicacion.es'!H1292)&gt;0</f>
        <v>0</v>
      </c>
    </row>
    <row r="1293" spans="1:9">
      <c r="A1293" t="s">
        <v>4707</v>
      </c>
      <c r="B1293" t="s">
        <v>10</v>
      </c>
      <c r="C1293" t="s">
        <v>4708</v>
      </c>
      <c r="D1293" t="s">
        <v>4709</v>
      </c>
      <c r="E1293" t="s">
        <v>4692</v>
      </c>
      <c r="F1293" t="s">
        <v>4710</v>
      </c>
      <c r="G1293" t="s">
        <v>4711</v>
      </c>
      <c r="H1293" t="s">
        <v>30</v>
      </c>
      <c r="I1293" t="b">
        <f>COUNTIF(Estadísticas!I:I,'centraldecomunicacion.es'!H1293)&gt;0</f>
        <v>0</v>
      </c>
    </row>
    <row r="1294" spans="1:9">
      <c r="A1294" t="s">
        <v>4712</v>
      </c>
      <c r="B1294" t="s">
        <v>10</v>
      </c>
      <c r="C1294" t="s">
        <v>4713</v>
      </c>
      <c r="D1294" t="s">
        <v>4709</v>
      </c>
      <c r="E1294" t="s">
        <v>4692</v>
      </c>
      <c r="F1294" t="s">
        <v>4714</v>
      </c>
      <c r="G1294" t="s">
        <v>4715</v>
      </c>
      <c r="H1294" t="s">
        <v>4716</v>
      </c>
      <c r="I1294" t="b">
        <f>COUNTIF(Estadísticas!I:I,'centraldecomunicacion.es'!H1294)&gt;0</f>
        <v>0</v>
      </c>
    </row>
    <row r="1295" spans="1:9">
      <c r="A1295" t="s">
        <v>4717</v>
      </c>
      <c r="B1295" t="s">
        <v>10</v>
      </c>
      <c r="C1295" t="s">
        <v>4718</v>
      </c>
      <c r="D1295" t="s">
        <v>4709</v>
      </c>
      <c r="E1295" t="s">
        <v>4692</v>
      </c>
      <c r="F1295" t="s">
        <v>4719</v>
      </c>
      <c r="G1295" t="s">
        <v>4720</v>
      </c>
      <c r="H1295" t="s">
        <v>4721</v>
      </c>
      <c r="I1295" t="b">
        <f>COUNTIF(Estadísticas!I:I,'centraldecomunicacion.es'!H1295)&gt;0</f>
        <v>0</v>
      </c>
    </row>
    <row r="1296" spans="1:9">
      <c r="A1296" t="s">
        <v>4722</v>
      </c>
      <c r="B1296" t="s">
        <v>10</v>
      </c>
      <c r="C1296" t="s">
        <v>4723</v>
      </c>
      <c r="D1296" t="s">
        <v>4709</v>
      </c>
      <c r="E1296" t="s">
        <v>4692</v>
      </c>
      <c r="F1296" t="s">
        <v>4724</v>
      </c>
      <c r="G1296" t="s">
        <v>4725</v>
      </c>
      <c r="H1296" t="s">
        <v>4726</v>
      </c>
      <c r="I1296" t="b">
        <f>COUNTIF(Estadísticas!I:I,'centraldecomunicacion.es'!H1296)&gt;0</f>
        <v>0</v>
      </c>
    </row>
    <row r="1297" spans="1:9">
      <c r="A1297" t="s">
        <v>4727</v>
      </c>
      <c r="B1297" t="s">
        <v>10</v>
      </c>
      <c r="C1297" t="s">
        <v>4728</v>
      </c>
      <c r="D1297" t="s">
        <v>4729</v>
      </c>
      <c r="E1297" t="s">
        <v>4730</v>
      </c>
      <c r="F1297" t="s">
        <v>4731</v>
      </c>
      <c r="G1297" t="s">
        <v>4732</v>
      </c>
      <c r="H1297" t="s">
        <v>30</v>
      </c>
      <c r="I1297" t="b">
        <f>COUNTIF(Estadísticas!I:I,'centraldecomunicacion.es'!H1297)&gt;0</f>
        <v>0</v>
      </c>
    </row>
    <row r="1298" spans="1:9">
      <c r="A1298" t="s">
        <v>4733</v>
      </c>
      <c r="B1298" t="s">
        <v>10</v>
      </c>
      <c r="C1298" t="s">
        <v>4734</v>
      </c>
      <c r="D1298" t="s">
        <v>4735</v>
      </c>
      <c r="E1298" t="s">
        <v>4736</v>
      </c>
      <c r="F1298" t="s">
        <v>4737</v>
      </c>
      <c r="G1298" t="s">
        <v>4738</v>
      </c>
      <c r="H1298" t="s">
        <v>30</v>
      </c>
      <c r="I1298" t="b">
        <f>COUNTIF(Estadísticas!I:I,'centraldecomunicacion.es'!H1298)&gt;0</f>
        <v>0</v>
      </c>
    </row>
    <row r="1299" spans="1:9">
      <c r="A1299" t="s">
        <v>4739</v>
      </c>
      <c r="B1299" t="s">
        <v>10</v>
      </c>
      <c r="C1299" t="s">
        <v>4740</v>
      </c>
      <c r="D1299" t="s">
        <v>4741</v>
      </c>
      <c r="E1299" t="s">
        <v>4736</v>
      </c>
      <c r="F1299" t="s">
        <v>4742</v>
      </c>
      <c r="G1299" t="s">
        <v>4743</v>
      </c>
      <c r="H1299" t="s">
        <v>30</v>
      </c>
      <c r="I1299" t="b">
        <f>COUNTIF(Estadísticas!I:I,'centraldecomunicacion.es'!H1299)&gt;0</f>
        <v>0</v>
      </c>
    </row>
    <row r="1300" spans="1:9">
      <c r="A1300" t="s">
        <v>4744</v>
      </c>
      <c r="B1300" t="s">
        <v>10</v>
      </c>
      <c r="C1300" t="s">
        <v>4745</v>
      </c>
      <c r="D1300" t="s">
        <v>4735</v>
      </c>
      <c r="E1300" t="s">
        <v>4736</v>
      </c>
      <c r="F1300" t="s">
        <v>4746</v>
      </c>
      <c r="G1300" t="s">
        <v>4747</v>
      </c>
      <c r="H1300" t="s">
        <v>30</v>
      </c>
      <c r="I1300" t="b">
        <f>COUNTIF(Estadísticas!I:I,'centraldecomunicacion.es'!H1300)&gt;0</f>
        <v>0</v>
      </c>
    </row>
    <row r="1301" spans="1:9">
      <c r="A1301" t="s">
        <v>4748</v>
      </c>
      <c r="B1301" t="s">
        <v>10</v>
      </c>
      <c r="C1301" t="s">
        <v>4749</v>
      </c>
      <c r="D1301" t="s">
        <v>4735</v>
      </c>
      <c r="E1301" t="s">
        <v>4736</v>
      </c>
      <c r="F1301" t="s">
        <v>4750</v>
      </c>
      <c r="G1301" t="s">
        <v>4751</v>
      </c>
      <c r="H1301" t="s">
        <v>4752</v>
      </c>
      <c r="I1301" t="b">
        <f>COUNTIF(Estadísticas!I:I,'centraldecomunicacion.es'!H1301)&gt;0</f>
        <v>0</v>
      </c>
    </row>
    <row r="1302" spans="1:9">
      <c r="A1302" t="s">
        <v>4753</v>
      </c>
      <c r="B1302" t="s">
        <v>10</v>
      </c>
      <c r="C1302" t="s">
        <v>4754</v>
      </c>
      <c r="D1302" t="s">
        <v>4735</v>
      </c>
      <c r="E1302" t="s">
        <v>4736</v>
      </c>
      <c r="F1302" t="s">
        <v>4755</v>
      </c>
      <c r="G1302" t="s">
        <v>4756</v>
      </c>
      <c r="H1302" t="s">
        <v>30</v>
      </c>
      <c r="I1302" t="b">
        <f>COUNTIF(Estadísticas!I:I,'centraldecomunicacion.es'!H1302)&gt;0</f>
        <v>0</v>
      </c>
    </row>
    <row r="1303" spans="1:9">
      <c r="A1303" t="s">
        <v>4757</v>
      </c>
      <c r="B1303" t="s">
        <v>10</v>
      </c>
      <c r="C1303" t="s">
        <v>4758</v>
      </c>
      <c r="D1303" t="s">
        <v>4735</v>
      </c>
      <c r="E1303" t="s">
        <v>4736</v>
      </c>
      <c r="F1303" t="s">
        <v>4759</v>
      </c>
      <c r="G1303" t="s">
        <v>4760</v>
      </c>
      <c r="H1303" t="s">
        <v>4761</v>
      </c>
      <c r="I1303" t="b">
        <f>COUNTIF(Estadísticas!I:I,'centraldecomunicacion.es'!H1303)&gt;0</f>
        <v>0</v>
      </c>
    </row>
    <row r="1304" spans="1:9">
      <c r="A1304" t="s">
        <v>4762</v>
      </c>
      <c r="B1304" t="s">
        <v>10</v>
      </c>
      <c r="C1304" t="s">
        <v>4763</v>
      </c>
      <c r="D1304" t="s">
        <v>4735</v>
      </c>
      <c r="E1304" t="s">
        <v>4736</v>
      </c>
      <c r="F1304" t="s">
        <v>4764</v>
      </c>
      <c r="G1304" t="s">
        <v>4765</v>
      </c>
      <c r="H1304" t="s">
        <v>30</v>
      </c>
      <c r="I1304" t="b">
        <f>COUNTIF(Estadísticas!I:I,'centraldecomunicacion.es'!H1304)&gt;0</f>
        <v>0</v>
      </c>
    </row>
    <row r="1305" spans="1:9">
      <c r="A1305" t="s">
        <v>4766</v>
      </c>
      <c r="B1305" t="s">
        <v>10</v>
      </c>
      <c r="C1305" t="s">
        <v>4767</v>
      </c>
      <c r="D1305" t="s">
        <v>4735</v>
      </c>
      <c r="E1305" t="s">
        <v>4736</v>
      </c>
      <c r="F1305" t="s">
        <v>4768</v>
      </c>
      <c r="G1305" t="s">
        <v>4769</v>
      </c>
      <c r="H1305" t="s">
        <v>30</v>
      </c>
      <c r="I1305" t="b">
        <f>COUNTIF(Estadísticas!I:I,'centraldecomunicacion.es'!H1305)&gt;0</f>
        <v>0</v>
      </c>
    </row>
    <row r="1306" spans="1:9">
      <c r="A1306" t="s">
        <v>4770</v>
      </c>
      <c r="B1306" t="s">
        <v>10</v>
      </c>
      <c r="C1306" t="s">
        <v>28</v>
      </c>
      <c r="D1306" t="s">
        <v>4771</v>
      </c>
      <c r="E1306" t="s">
        <v>28</v>
      </c>
      <c r="F1306" t="s">
        <v>28</v>
      </c>
      <c r="G1306" t="s">
        <v>4772</v>
      </c>
      <c r="H1306" t="s">
        <v>30</v>
      </c>
      <c r="I1306" t="b">
        <f>COUNTIF(Estadísticas!I:I,'centraldecomunicacion.es'!H1306)&gt;0</f>
        <v>0</v>
      </c>
    </row>
    <row r="1307" spans="1:9">
      <c r="A1307" t="s">
        <v>4773</v>
      </c>
      <c r="B1307" t="s">
        <v>10</v>
      </c>
      <c r="C1307" t="s">
        <v>4774</v>
      </c>
      <c r="D1307" t="s">
        <v>4735</v>
      </c>
      <c r="E1307" t="s">
        <v>4736</v>
      </c>
      <c r="F1307" t="s">
        <v>28</v>
      </c>
      <c r="G1307" t="s">
        <v>4775</v>
      </c>
      <c r="H1307" t="s">
        <v>30</v>
      </c>
      <c r="I1307" t="b">
        <f>COUNTIF(Estadísticas!I:I,'centraldecomunicacion.es'!H1307)&gt;0</f>
        <v>0</v>
      </c>
    </row>
    <row r="1308" spans="1:9">
      <c r="A1308" t="s">
        <v>4776</v>
      </c>
      <c r="B1308" t="s">
        <v>10</v>
      </c>
      <c r="C1308" t="s">
        <v>4777</v>
      </c>
      <c r="D1308" t="s">
        <v>4735</v>
      </c>
      <c r="E1308" t="s">
        <v>4736</v>
      </c>
      <c r="F1308" t="s">
        <v>4778</v>
      </c>
      <c r="G1308" t="s">
        <v>4779</v>
      </c>
      <c r="H1308" t="s">
        <v>30</v>
      </c>
      <c r="I1308" t="b">
        <f>COUNTIF(Estadísticas!I:I,'centraldecomunicacion.es'!H1308)&gt;0</f>
        <v>0</v>
      </c>
    </row>
    <row r="1309" spans="1:9">
      <c r="A1309" t="s">
        <v>4780</v>
      </c>
      <c r="B1309" t="s">
        <v>10</v>
      </c>
      <c r="C1309" t="s">
        <v>4781</v>
      </c>
      <c r="D1309" t="s">
        <v>4735</v>
      </c>
      <c r="E1309" t="s">
        <v>4736</v>
      </c>
      <c r="F1309" t="s">
        <v>4746</v>
      </c>
      <c r="G1309" t="s">
        <v>4782</v>
      </c>
      <c r="H1309" t="s">
        <v>30</v>
      </c>
      <c r="I1309" t="b">
        <f>COUNTIF(Estadísticas!I:I,'centraldecomunicacion.es'!H1309)&gt;0</f>
        <v>0</v>
      </c>
    </row>
    <row r="1310" spans="1:9">
      <c r="A1310" t="s">
        <v>4783</v>
      </c>
      <c r="B1310" t="s">
        <v>10</v>
      </c>
      <c r="C1310" t="s">
        <v>4784</v>
      </c>
      <c r="D1310" t="s">
        <v>4785</v>
      </c>
      <c r="E1310" t="s">
        <v>4736</v>
      </c>
      <c r="F1310" t="s">
        <v>4786</v>
      </c>
      <c r="G1310" t="s">
        <v>4787</v>
      </c>
      <c r="H1310" t="s">
        <v>30</v>
      </c>
      <c r="I1310" t="b">
        <f>COUNTIF(Estadísticas!I:I,'centraldecomunicacion.es'!H1310)&gt;0</f>
        <v>0</v>
      </c>
    </row>
    <row r="1311" spans="1:9">
      <c r="A1311" t="s">
        <v>4788</v>
      </c>
      <c r="B1311" t="s">
        <v>10</v>
      </c>
      <c r="C1311" t="s">
        <v>4789</v>
      </c>
      <c r="D1311" t="s">
        <v>4735</v>
      </c>
      <c r="E1311" t="s">
        <v>4736</v>
      </c>
      <c r="F1311" t="s">
        <v>28</v>
      </c>
      <c r="G1311" t="s">
        <v>28</v>
      </c>
      <c r="H1311" t="s">
        <v>30</v>
      </c>
      <c r="I1311" t="b">
        <f>COUNTIF(Estadísticas!I:I,'centraldecomunicacion.es'!H1311)&gt;0</f>
        <v>0</v>
      </c>
    </row>
    <row r="1312" spans="1:9">
      <c r="A1312" t="s">
        <v>4790</v>
      </c>
      <c r="B1312" t="s">
        <v>10</v>
      </c>
      <c r="C1312" t="s">
        <v>4791</v>
      </c>
      <c r="D1312" t="s">
        <v>4792</v>
      </c>
      <c r="E1312" t="s">
        <v>4736</v>
      </c>
      <c r="F1312" t="s">
        <v>4793</v>
      </c>
      <c r="G1312" t="s">
        <v>4794</v>
      </c>
      <c r="H1312" t="s">
        <v>4795</v>
      </c>
      <c r="I1312" t="b">
        <f>COUNTIF(Estadísticas!I:I,'centraldecomunicacion.es'!H1312)&gt;0</f>
        <v>1</v>
      </c>
    </row>
    <row r="1313" spans="1:9">
      <c r="A1313" t="s">
        <v>4796</v>
      </c>
      <c r="B1313" t="s">
        <v>10</v>
      </c>
      <c r="C1313" t="s">
        <v>4797</v>
      </c>
      <c r="D1313" t="s">
        <v>4735</v>
      </c>
      <c r="E1313" t="s">
        <v>4736</v>
      </c>
      <c r="F1313" t="s">
        <v>4798</v>
      </c>
      <c r="G1313" t="s">
        <v>4799</v>
      </c>
      <c r="H1313" t="s">
        <v>4800</v>
      </c>
      <c r="I1313" t="b">
        <f>COUNTIF(Estadísticas!I:I,'centraldecomunicacion.es'!H1313)&gt;0</f>
        <v>0</v>
      </c>
    </row>
    <row r="1314" spans="1:9">
      <c r="A1314" t="s">
        <v>4801</v>
      </c>
      <c r="B1314" t="s">
        <v>10</v>
      </c>
      <c r="C1314" t="s">
        <v>4802</v>
      </c>
      <c r="D1314" t="s">
        <v>4803</v>
      </c>
      <c r="E1314" t="s">
        <v>4736</v>
      </c>
      <c r="F1314" t="s">
        <v>4804</v>
      </c>
      <c r="G1314" t="s">
        <v>4805</v>
      </c>
      <c r="H1314" t="s">
        <v>4806</v>
      </c>
      <c r="I1314" t="b">
        <f>COUNTIF(Estadísticas!I:I,'centraldecomunicacion.es'!H1314)&gt;0</f>
        <v>1</v>
      </c>
    </row>
    <row r="1315" spans="1:9">
      <c r="A1315" t="s">
        <v>4807</v>
      </c>
      <c r="B1315" t="s">
        <v>10</v>
      </c>
      <c r="C1315" t="s">
        <v>4808</v>
      </c>
      <c r="D1315" t="s">
        <v>4809</v>
      </c>
      <c r="E1315" t="s">
        <v>4736</v>
      </c>
      <c r="F1315" t="s">
        <v>50</v>
      </c>
      <c r="G1315" t="s">
        <v>4810</v>
      </c>
      <c r="H1315" t="s">
        <v>30</v>
      </c>
      <c r="I1315" t="b">
        <f>COUNTIF(Estadísticas!I:I,'centraldecomunicacion.es'!H1315)&gt;0</f>
        <v>0</v>
      </c>
    </row>
    <row r="1316" spans="1:9">
      <c r="A1316" t="s">
        <v>4811</v>
      </c>
      <c r="B1316" t="s">
        <v>10</v>
      </c>
      <c r="C1316" t="s">
        <v>4812</v>
      </c>
      <c r="D1316" t="s">
        <v>4809</v>
      </c>
      <c r="E1316" t="s">
        <v>4736</v>
      </c>
      <c r="F1316" t="s">
        <v>50</v>
      </c>
      <c r="G1316" t="s">
        <v>4813</v>
      </c>
      <c r="H1316" t="s">
        <v>30</v>
      </c>
      <c r="I1316" t="b">
        <f>COUNTIF(Estadísticas!I:I,'centraldecomunicacion.es'!H1316)&gt;0</f>
        <v>0</v>
      </c>
    </row>
    <row r="1317" spans="1:9">
      <c r="A1317" t="s">
        <v>4814</v>
      </c>
      <c r="B1317" t="s">
        <v>10</v>
      </c>
      <c r="C1317" t="s">
        <v>4815</v>
      </c>
      <c r="D1317" t="s">
        <v>4816</v>
      </c>
      <c r="E1317" t="s">
        <v>4817</v>
      </c>
      <c r="F1317" t="s">
        <v>4818</v>
      </c>
      <c r="G1317" t="s">
        <v>4819</v>
      </c>
      <c r="H1317" t="s">
        <v>4820</v>
      </c>
      <c r="I1317" t="b">
        <f>COUNTIF(Estadísticas!I:I,'centraldecomunicacion.es'!H1317)&gt;0</f>
        <v>0</v>
      </c>
    </row>
    <row r="1318" spans="1:9">
      <c r="A1318" t="s">
        <v>4821</v>
      </c>
      <c r="B1318" t="s">
        <v>10</v>
      </c>
      <c r="C1318" t="s">
        <v>4822</v>
      </c>
      <c r="D1318" t="s">
        <v>4809</v>
      </c>
      <c r="E1318" t="s">
        <v>4736</v>
      </c>
      <c r="F1318" t="s">
        <v>28</v>
      </c>
      <c r="G1318" t="s">
        <v>4823</v>
      </c>
      <c r="H1318" t="s">
        <v>30</v>
      </c>
      <c r="I1318" t="b">
        <f>COUNTIF(Estadísticas!I:I,'centraldecomunicacion.es'!H1318)&gt;0</f>
        <v>0</v>
      </c>
    </row>
    <row r="1319" spans="1:9">
      <c r="A1319" t="s">
        <v>4824</v>
      </c>
      <c r="B1319" t="s">
        <v>10</v>
      </c>
      <c r="C1319" t="s">
        <v>4825</v>
      </c>
      <c r="D1319" t="s">
        <v>4735</v>
      </c>
      <c r="E1319" t="s">
        <v>4736</v>
      </c>
      <c r="F1319" t="s">
        <v>28</v>
      </c>
      <c r="G1319" t="s">
        <v>4826</v>
      </c>
      <c r="H1319" t="s">
        <v>30</v>
      </c>
      <c r="I1319" t="b">
        <f>COUNTIF(Estadísticas!I:I,'centraldecomunicacion.es'!H1319)&gt;0</f>
        <v>0</v>
      </c>
    </row>
    <row r="1320" spans="1:9">
      <c r="A1320" t="s">
        <v>4827</v>
      </c>
      <c r="B1320" t="s">
        <v>10</v>
      </c>
      <c r="C1320" t="s">
        <v>4828</v>
      </c>
      <c r="D1320" t="s">
        <v>4735</v>
      </c>
      <c r="E1320" t="s">
        <v>4736</v>
      </c>
      <c r="F1320" t="s">
        <v>4829</v>
      </c>
      <c r="G1320" t="s">
        <v>4830</v>
      </c>
      <c r="H1320" t="s">
        <v>30</v>
      </c>
      <c r="I1320" t="b">
        <f>COUNTIF(Estadísticas!I:I,'centraldecomunicacion.es'!H1320)&gt;0</f>
        <v>0</v>
      </c>
    </row>
    <row r="1321" spans="1:9">
      <c r="A1321" t="s">
        <v>4831</v>
      </c>
      <c r="B1321" t="s">
        <v>10</v>
      </c>
      <c r="C1321" t="s">
        <v>4832</v>
      </c>
      <c r="D1321" t="s">
        <v>4735</v>
      </c>
      <c r="E1321" t="s">
        <v>4736</v>
      </c>
      <c r="F1321" t="s">
        <v>28</v>
      </c>
      <c r="G1321" t="s">
        <v>4833</v>
      </c>
      <c r="H1321" t="s">
        <v>30</v>
      </c>
      <c r="I1321" t="b">
        <f>COUNTIF(Estadísticas!I:I,'centraldecomunicacion.es'!H1321)&gt;0</f>
        <v>0</v>
      </c>
    </row>
    <row r="1322" spans="1:9">
      <c r="A1322" t="s">
        <v>4834</v>
      </c>
      <c r="B1322" t="s">
        <v>10</v>
      </c>
      <c r="C1322" t="s">
        <v>4835</v>
      </c>
      <c r="D1322" t="s">
        <v>4836</v>
      </c>
      <c r="E1322" t="s">
        <v>4736</v>
      </c>
      <c r="F1322" t="s">
        <v>4837</v>
      </c>
      <c r="G1322" t="s">
        <v>4838</v>
      </c>
      <c r="H1322" t="s">
        <v>4839</v>
      </c>
      <c r="I1322" t="b">
        <f>COUNTIF(Estadísticas!I:I,'centraldecomunicacion.es'!H1322)&gt;0</f>
        <v>1</v>
      </c>
    </row>
    <row r="1323" spans="1:9">
      <c r="A1323" t="s">
        <v>4840</v>
      </c>
      <c r="B1323" t="s">
        <v>10</v>
      </c>
      <c r="C1323" t="s">
        <v>4841</v>
      </c>
      <c r="D1323" t="s">
        <v>4735</v>
      </c>
      <c r="E1323" t="s">
        <v>4736</v>
      </c>
      <c r="F1323" t="s">
        <v>28</v>
      </c>
      <c r="G1323" t="s">
        <v>4842</v>
      </c>
      <c r="H1323" t="s">
        <v>30</v>
      </c>
      <c r="I1323" t="b">
        <f>COUNTIF(Estadísticas!I:I,'centraldecomunicacion.es'!H1323)&gt;0</f>
        <v>0</v>
      </c>
    </row>
    <row r="1324" spans="1:9">
      <c r="A1324" t="s">
        <v>4843</v>
      </c>
      <c r="B1324" t="s">
        <v>10</v>
      </c>
      <c r="C1324" t="s">
        <v>4844</v>
      </c>
      <c r="D1324" t="s">
        <v>4735</v>
      </c>
      <c r="E1324" t="s">
        <v>4736</v>
      </c>
      <c r="F1324" t="s">
        <v>4845</v>
      </c>
      <c r="G1324" t="s">
        <v>4846</v>
      </c>
      <c r="H1324" t="s">
        <v>4847</v>
      </c>
      <c r="I1324" t="b">
        <f>COUNTIF(Estadísticas!I:I,'centraldecomunicacion.es'!H1324)&gt;0</f>
        <v>0</v>
      </c>
    </row>
    <row r="1325" spans="1:9">
      <c r="A1325" t="s">
        <v>4848</v>
      </c>
      <c r="B1325" t="s">
        <v>10</v>
      </c>
      <c r="C1325" t="s">
        <v>4849</v>
      </c>
      <c r="D1325" t="s">
        <v>4735</v>
      </c>
      <c r="E1325" t="s">
        <v>4736</v>
      </c>
      <c r="F1325" t="s">
        <v>4850</v>
      </c>
      <c r="G1325" t="s">
        <v>4851</v>
      </c>
      <c r="H1325" t="s">
        <v>4852</v>
      </c>
      <c r="I1325" t="b">
        <f>COUNTIF(Estadísticas!I:I,'centraldecomunicacion.es'!H1325)&gt;0</f>
        <v>0</v>
      </c>
    </row>
    <row r="1326" spans="1:9">
      <c r="A1326" t="s">
        <v>4853</v>
      </c>
      <c r="B1326" t="s">
        <v>10</v>
      </c>
      <c r="C1326" t="s">
        <v>4854</v>
      </c>
      <c r="D1326" t="s">
        <v>4735</v>
      </c>
      <c r="E1326" t="s">
        <v>4736</v>
      </c>
      <c r="F1326" t="s">
        <v>4855</v>
      </c>
      <c r="G1326" t="s">
        <v>4856</v>
      </c>
      <c r="H1326" t="s">
        <v>4857</v>
      </c>
      <c r="I1326" t="b">
        <f>COUNTIF(Estadísticas!I:I,'centraldecomunicacion.es'!H1326)&gt;0</f>
        <v>0</v>
      </c>
    </row>
    <row r="1327" spans="1:9">
      <c r="A1327" t="s">
        <v>4858</v>
      </c>
      <c r="B1327" t="s">
        <v>10</v>
      </c>
      <c r="C1327" t="s">
        <v>4859</v>
      </c>
      <c r="D1327" t="s">
        <v>4809</v>
      </c>
      <c r="E1327" t="s">
        <v>4817</v>
      </c>
      <c r="F1327" t="s">
        <v>28</v>
      </c>
      <c r="G1327" t="s">
        <v>4860</v>
      </c>
      <c r="H1327" t="s">
        <v>30</v>
      </c>
      <c r="I1327" t="b">
        <f>COUNTIF(Estadísticas!I:I,'centraldecomunicacion.es'!H1327)&gt;0</f>
        <v>0</v>
      </c>
    </row>
    <row r="1328" spans="1:9">
      <c r="A1328" t="s">
        <v>4843</v>
      </c>
      <c r="B1328" t="s">
        <v>10</v>
      </c>
      <c r="C1328" t="s">
        <v>4861</v>
      </c>
      <c r="D1328" t="s">
        <v>4735</v>
      </c>
      <c r="E1328" t="s">
        <v>4736</v>
      </c>
      <c r="F1328" t="s">
        <v>4845</v>
      </c>
      <c r="G1328" t="s">
        <v>4862</v>
      </c>
      <c r="H1328" t="s">
        <v>4847</v>
      </c>
      <c r="I1328" t="b">
        <f>COUNTIF(Estadísticas!I:I,'centraldecomunicacion.es'!H1328)&gt;0</f>
        <v>0</v>
      </c>
    </row>
    <row r="1329" spans="1:9">
      <c r="A1329" t="s">
        <v>4863</v>
      </c>
      <c r="B1329" t="s">
        <v>10</v>
      </c>
      <c r="C1329" t="s">
        <v>4864</v>
      </c>
      <c r="D1329" t="s">
        <v>4735</v>
      </c>
      <c r="E1329" t="s">
        <v>4736</v>
      </c>
      <c r="F1329" t="s">
        <v>28</v>
      </c>
      <c r="G1329" t="s">
        <v>4865</v>
      </c>
      <c r="H1329" t="s">
        <v>30</v>
      </c>
      <c r="I1329" t="b">
        <f>COUNTIF(Estadísticas!I:I,'centraldecomunicacion.es'!H1329)&gt;0</f>
        <v>0</v>
      </c>
    </row>
    <row r="1330" spans="1:9">
      <c r="A1330" t="s">
        <v>4866</v>
      </c>
      <c r="B1330" t="s">
        <v>10</v>
      </c>
      <c r="C1330" t="s">
        <v>4867</v>
      </c>
      <c r="D1330" t="s">
        <v>4868</v>
      </c>
      <c r="E1330" t="s">
        <v>4736</v>
      </c>
      <c r="F1330" t="s">
        <v>28</v>
      </c>
      <c r="G1330" t="s">
        <v>4869</v>
      </c>
      <c r="H1330" t="s">
        <v>30</v>
      </c>
      <c r="I1330" t="b">
        <f>COUNTIF(Estadísticas!I:I,'centraldecomunicacion.es'!H1330)&gt;0</f>
        <v>0</v>
      </c>
    </row>
    <row r="1331" spans="1:9">
      <c r="A1331" t="s">
        <v>4870</v>
      </c>
      <c r="B1331" t="s">
        <v>10</v>
      </c>
      <c r="C1331" t="s">
        <v>4871</v>
      </c>
      <c r="D1331" t="s">
        <v>4735</v>
      </c>
      <c r="E1331" t="s">
        <v>4817</v>
      </c>
      <c r="F1331" t="s">
        <v>28</v>
      </c>
      <c r="G1331" t="s">
        <v>4872</v>
      </c>
      <c r="H1331" t="s">
        <v>30</v>
      </c>
      <c r="I1331" t="b">
        <f>COUNTIF(Estadísticas!I:I,'centraldecomunicacion.es'!H1331)&gt;0</f>
        <v>0</v>
      </c>
    </row>
    <row r="1332" spans="1:9">
      <c r="A1332" t="s">
        <v>1925</v>
      </c>
      <c r="B1332" t="s">
        <v>10</v>
      </c>
      <c r="C1332" t="s">
        <v>4873</v>
      </c>
      <c r="D1332" t="s">
        <v>4735</v>
      </c>
      <c r="E1332" t="s">
        <v>4736</v>
      </c>
      <c r="F1332" t="s">
        <v>28</v>
      </c>
      <c r="G1332" t="s">
        <v>4874</v>
      </c>
      <c r="H1332" t="s">
        <v>30</v>
      </c>
      <c r="I1332" t="b">
        <f>COUNTIF(Estadísticas!I:I,'centraldecomunicacion.es'!H1332)&gt;0</f>
        <v>0</v>
      </c>
    </row>
    <row r="1333" spans="1:9">
      <c r="A1333" t="s">
        <v>4875</v>
      </c>
      <c r="B1333" t="s">
        <v>10</v>
      </c>
      <c r="C1333" t="s">
        <v>4876</v>
      </c>
      <c r="D1333" t="s">
        <v>4735</v>
      </c>
      <c r="E1333" t="s">
        <v>4736</v>
      </c>
      <c r="F1333" t="s">
        <v>4877</v>
      </c>
      <c r="G1333" t="s">
        <v>4878</v>
      </c>
      <c r="H1333" t="s">
        <v>4879</v>
      </c>
      <c r="I1333" t="b">
        <f>COUNTIF(Estadísticas!I:I,'centraldecomunicacion.es'!H1333)&gt;0</f>
        <v>1</v>
      </c>
    </row>
    <row r="1334" spans="1:9">
      <c r="A1334" t="s">
        <v>4880</v>
      </c>
      <c r="B1334" t="s">
        <v>10</v>
      </c>
      <c r="C1334" t="s">
        <v>4881</v>
      </c>
      <c r="D1334" t="s">
        <v>4882</v>
      </c>
      <c r="E1334" t="s">
        <v>4736</v>
      </c>
      <c r="F1334" t="s">
        <v>4818</v>
      </c>
      <c r="G1334" t="s">
        <v>4883</v>
      </c>
      <c r="H1334" t="s">
        <v>4820</v>
      </c>
      <c r="I1334" t="b">
        <f>COUNTIF(Estadísticas!I:I,'centraldecomunicacion.es'!H1334)&gt;0</f>
        <v>0</v>
      </c>
    </row>
    <row r="1335" spans="1:9">
      <c r="A1335" t="s">
        <v>4884</v>
      </c>
      <c r="B1335" t="s">
        <v>10</v>
      </c>
      <c r="C1335" t="s">
        <v>4885</v>
      </c>
      <c r="D1335" t="s">
        <v>4792</v>
      </c>
      <c r="E1335" t="s">
        <v>4736</v>
      </c>
      <c r="F1335" t="s">
        <v>38</v>
      </c>
      <c r="G1335" t="s">
        <v>4886</v>
      </c>
      <c r="H1335" t="s">
        <v>30</v>
      </c>
      <c r="I1335" t="b">
        <f>COUNTIF(Estadísticas!I:I,'centraldecomunicacion.es'!H1335)&gt;0</f>
        <v>0</v>
      </c>
    </row>
    <row r="1336" spans="1:9">
      <c r="A1336" t="s">
        <v>4887</v>
      </c>
      <c r="B1336" t="s">
        <v>10</v>
      </c>
      <c r="C1336" t="s">
        <v>4888</v>
      </c>
      <c r="D1336" t="s">
        <v>4735</v>
      </c>
      <c r="E1336" t="s">
        <v>4817</v>
      </c>
      <c r="F1336" t="s">
        <v>4818</v>
      </c>
      <c r="G1336" t="s">
        <v>4819</v>
      </c>
      <c r="H1336" t="s">
        <v>4820</v>
      </c>
      <c r="I1336" t="b">
        <f>COUNTIF(Estadísticas!I:I,'centraldecomunicacion.es'!H1336)&gt;0</f>
        <v>0</v>
      </c>
    </row>
    <row r="1337" spans="1:9">
      <c r="A1337" t="s">
        <v>4889</v>
      </c>
      <c r="B1337" t="s">
        <v>10</v>
      </c>
      <c r="C1337" t="s">
        <v>4890</v>
      </c>
      <c r="D1337" t="s">
        <v>4735</v>
      </c>
      <c r="E1337" t="s">
        <v>4817</v>
      </c>
      <c r="F1337" t="s">
        <v>28</v>
      </c>
      <c r="G1337" t="s">
        <v>28</v>
      </c>
      <c r="H1337" t="s">
        <v>30</v>
      </c>
      <c r="I1337" t="b">
        <f>COUNTIF(Estadísticas!I:I,'centraldecomunicacion.es'!H1337)&gt;0</f>
        <v>0</v>
      </c>
    </row>
    <row r="1338" spans="1:9">
      <c r="A1338" t="s">
        <v>4891</v>
      </c>
      <c r="B1338" t="s">
        <v>10</v>
      </c>
      <c r="C1338" t="s">
        <v>4892</v>
      </c>
      <c r="D1338" t="s">
        <v>4893</v>
      </c>
      <c r="E1338" t="s">
        <v>4736</v>
      </c>
      <c r="F1338" t="s">
        <v>4894</v>
      </c>
      <c r="G1338" t="s">
        <v>4895</v>
      </c>
      <c r="H1338" t="s">
        <v>30</v>
      </c>
      <c r="I1338" t="b">
        <f>COUNTIF(Estadísticas!I:I,'centraldecomunicacion.es'!H1338)&gt;0</f>
        <v>0</v>
      </c>
    </row>
    <row r="1339" spans="1:9">
      <c r="A1339" t="s">
        <v>4896</v>
      </c>
      <c r="B1339" t="s">
        <v>10</v>
      </c>
      <c r="C1339" t="s">
        <v>4897</v>
      </c>
      <c r="D1339" t="s">
        <v>4893</v>
      </c>
      <c r="E1339" t="s">
        <v>4736</v>
      </c>
      <c r="F1339" t="s">
        <v>4898</v>
      </c>
      <c r="G1339" t="s">
        <v>4899</v>
      </c>
      <c r="H1339" t="s">
        <v>4900</v>
      </c>
      <c r="I1339" t="b">
        <f>COUNTIF(Estadísticas!I:I,'centraldecomunicacion.es'!H1339)&gt;0</f>
        <v>0</v>
      </c>
    </row>
    <row r="1340" spans="1:9">
      <c r="A1340" t="s">
        <v>4901</v>
      </c>
      <c r="B1340" t="s">
        <v>10</v>
      </c>
      <c r="C1340" t="s">
        <v>28</v>
      </c>
      <c r="D1340" t="s">
        <v>4771</v>
      </c>
      <c r="E1340" t="s">
        <v>28</v>
      </c>
      <c r="F1340" t="s">
        <v>4902</v>
      </c>
      <c r="G1340" t="s">
        <v>4903</v>
      </c>
      <c r="H1340" t="s">
        <v>4904</v>
      </c>
      <c r="I1340" t="b">
        <f>COUNTIF(Estadísticas!I:I,'centraldecomunicacion.es'!H1340)&gt;0</f>
        <v>0</v>
      </c>
    </row>
    <row r="1341" spans="1:9">
      <c r="A1341" t="s">
        <v>4905</v>
      </c>
      <c r="B1341" t="s">
        <v>10</v>
      </c>
      <c r="C1341" t="s">
        <v>4906</v>
      </c>
      <c r="D1341" t="s">
        <v>4907</v>
      </c>
      <c r="E1341" t="s">
        <v>4817</v>
      </c>
      <c r="F1341" t="s">
        <v>4908</v>
      </c>
      <c r="G1341" t="s">
        <v>4909</v>
      </c>
      <c r="H1341" t="s">
        <v>30</v>
      </c>
      <c r="I1341" t="b">
        <f>COUNTIF(Estadísticas!I:I,'centraldecomunicacion.es'!H1341)&gt;0</f>
        <v>0</v>
      </c>
    </row>
    <row r="1342" spans="1:9">
      <c r="A1342" t="s">
        <v>4910</v>
      </c>
      <c r="B1342" t="s">
        <v>10</v>
      </c>
      <c r="C1342" t="s">
        <v>4911</v>
      </c>
      <c r="D1342" t="s">
        <v>4912</v>
      </c>
      <c r="E1342" t="s">
        <v>4817</v>
      </c>
      <c r="F1342" t="s">
        <v>50</v>
      </c>
      <c r="G1342" t="s">
        <v>4913</v>
      </c>
      <c r="H1342" t="s">
        <v>30</v>
      </c>
      <c r="I1342" t="b">
        <f>COUNTIF(Estadísticas!I:I,'centraldecomunicacion.es'!H1342)&gt;0</f>
        <v>0</v>
      </c>
    </row>
    <row r="1343" spans="1:9">
      <c r="A1343" t="s">
        <v>4914</v>
      </c>
      <c r="B1343" t="s">
        <v>10</v>
      </c>
      <c r="C1343" t="s">
        <v>4915</v>
      </c>
      <c r="D1343" t="s">
        <v>4741</v>
      </c>
      <c r="E1343" t="s">
        <v>4736</v>
      </c>
      <c r="F1343" t="s">
        <v>4916</v>
      </c>
      <c r="G1343" t="s">
        <v>4917</v>
      </c>
      <c r="H1343" t="s">
        <v>30</v>
      </c>
      <c r="I1343" t="b">
        <f>COUNTIF(Estadísticas!I:I,'centraldecomunicacion.es'!H1343)&gt;0</f>
        <v>0</v>
      </c>
    </row>
    <row r="1344" spans="1:9">
      <c r="A1344" t="s">
        <v>4918</v>
      </c>
      <c r="B1344" t="s">
        <v>10</v>
      </c>
      <c r="C1344" t="s">
        <v>4919</v>
      </c>
      <c r="D1344" t="s">
        <v>4920</v>
      </c>
      <c r="E1344" t="s">
        <v>4736</v>
      </c>
      <c r="F1344" t="s">
        <v>4921</v>
      </c>
      <c r="G1344" t="s">
        <v>4922</v>
      </c>
      <c r="H1344" t="s">
        <v>30</v>
      </c>
      <c r="I1344" t="b">
        <f>COUNTIF(Estadísticas!I:I,'centraldecomunicacion.es'!H1344)&gt;0</f>
        <v>0</v>
      </c>
    </row>
    <row r="1345" spans="1:9">
      <c r="A1345" t="s">
        <v>4923</v>
      </c>
      <c r="B1345" t="s">
        <v>10</v>
      </c>
      <c r="C1345" t="s">
        <v>4924</v>
      </c>
      <c r="D1345" t="s">
        <v>4912</v>
      </c>
      <c r="E1345" t="s">
        <v>4736</v>
      </c>
      <c r="F1345" t="s">
        <v>4925</v>
      </c>
      <c r="G1345" t="s">
        <v>4926</v>
      </c>
      <c r="H1345" t="s">
        <v>4927</v>
      </c>
      <c r="I1345" t="b">
        <f>COUNTIF(Estadísticas!I:I,'centraldecomunicacion.es'!H1345)&gt;0</f>
        <v>1</v>
      </c>
    </row>
    <row r="1346" spans="1:9">
      <c r="A1346" t="s">
        <v>4928</v>
      </c>
      <c r="B1346" t="s">
        <v>10</v>
      </c>
      <c r="C1346" t="s">
        <v>4929</v>
      </c>
      <c r="D1346" t="s">
        <v>4930</v>
      </c>
      <c r="E1346" t="s">
        <v>4736</v>
      </c>
      <c r="F1346" t="s">
        <v>28</v>
      </c>
      <c r="G1346" t="s">
        <v>4931</v>
      </c>
      <c r="H1346" t="s">
        <v>30</v>
      </c>
      <c r="I1346" t="b">
        <f>COUNTIF(Estadísticas!I:I,'centraldecomunicacion.es'!H1346)&gt;0</f>
        <v>0</v>
      </c>
    </row>
    <row r="1347" spans="1:9">
      <c r="A1347" t="s">
        <v>4932</v>
      </c>
      <c r="B1347" t="s">
        <v>10</v>
      </c>
      <c r="C1347" t="s">
        <v>4933</v>
      </c>
      <c r="D1347" t="s">
        <v>4934</v>
      </c>
      <c r="E1347" t="s">
        <v>4736</v>
      </c>
      <c r="F1347" t="s">
        <v>28</v>
      </c>
      <c r="G1347" t="s">
        <v>4935</v>
      </c>
      <c r="H1347" t="s">
        <v>30</v>
      </c>
      <c r="I1347" t="b">
        <f>COUNTIF(Estadísticas!I:I,'centraldecomunicacion.es'!H1347)&gt;0</f>
        <v>0</v>
      </c>
    </row>
    <row r="1348" spans="1:9">
      <c r="A1348" t="s">
        <v>4936</v>
      </c>
      <c r="B1348" t="s">
        <v>10</v>
      </c>
      <c r="C1348" t="s">
        <v>4937</v>
      </c>
      <c r="D1348" t="s">
        <v>4938</v>
      </c>
      <c r="E1348" t="s">
        <v>4817</v>
      </c>
      <c r="F1348" t="s">
        <v>28</v>
      </c>
      <c r="G1348" t="s">
        <v>4939</v>
      </c>
      <c r="H1348" t="s">
        <v>30</v>
      </c>
      <c r="I1348" t="b">
        <f>COUNTIF(Estadísticas!I:I,'centraldecomunicacion.es'!H1348)&gt;0</f>
        <v>0</v>
      </c>
    </row>
    <row r="1349" spans="1:9">
      <c r="A1349" t="s">
        <v>4940</v>
      </c>
      <c r="B1349" t="s">
        <v>10</v>
      </c>
      <c r="C1349" t="s">
        <v>4941</v>
      </c>
      <c r="D1349" t="s">
        <v>4942</v>
      </c>
      <c r="E1349" t="s">
        <v>4736</v>
      </c>
      <c r="F1349" t="s">
        <v>50</v>
      </c>
      <c r="G1349" t="s">
        <v>4943</v>
      </c>
      <c r="H1349" t="s">
        <v>30</v>
      </c>
      <c r="I1349" t="b">
        <f>COUNTIF(Estadísticas!I:I,'centraldecomunicacion.es'!H1349)&gt;0</f>
        <v>0</v>
      </c>
    </row>
    <row r="1350" spans="1:9">
      <c r="A1350" t="s">
        <v>4944</v>
      </c>
      <c r="B1350" t="s">
        <v>10</v>
      </c>
      <c r="C1350" t="s">
        <v>4945</v>
      </c>
      <c r="D1350" t="s">
        <v>4809</v>
      </c>
      <c r="E1350" t="s">
        <v>4736</v>
      </c>
      <c r="F1350" t="s">
        <v>28</v>
      </c>
      <c r="G1350" t="s">
        <v>4946</v>
      </c>
      <c r="H1350" t="s">
        <v>30</v>
      </c>
      <c r="I1350" t="b">
        <f>COUNTIF(Estadísticas!I:I,'centraldecomunicacion.es'!H1350)&gt;0</f>
        <v>0</v>
      </c>
    </row>
    <row r="1351" spans="1:9">
      <c r="A1351" t="s">
        <v>4947</v>
      </c>
      <c r="B1351" t="s">
        <v>10</v>
      </c>
      <c r="C1351" t="s">
        <v>4948</v>
      </c>
      <c r="D1351" t="s">
        <v>4949</v>
      </c>
      <c r="E1351" t="s">
        <v>4736</v>
      </c>
      <c r="F1351" t="s">
        <v>4950</v>
      </c>
      <c r="G1351" t="s">
        <v>4951</v>
      </c>
      <c r="H1351" t="s">
        <v>4952</v>
      </c>
      <c r="I1351" t="b">
        <f>COUNTIF(Estadísticas!I:I,'centraldecomunicacion.es'!H1351)&gt;0</f>
        <v>0</v>
      </c>
    </row>
    <row r="1352" spans="1:9">
      <c r="A1352" t="s">
        <v>4953</v>
      </c>
      <c r="B1352" t="s">
        <v>10</v>
      </c>
      <c r="C1352" t="s">
        <v>4954</v>
      </c>
      <c r="D1352" t="s">
        <v>4955</v>
      </c>
      <c r="E1352" t="s">
        <v>4736</v>
      </c>
      <c r="F1352" t="s">
        <v>4956</v>
      </c>
      <c r="G1352" t="s">
        <v>4957</v>
      </c>
      <c r="H1352" t="s">
        <v>30</v>
      </c>
      <c r="I1352" t="b">
        <f>COUNTIF(Estadísticas!I:I,'centraldecomunicacion.es'!H1352)&gt;0</f>
        <v>0</v>
      </c>
    </row>
    <row r="1353" spans="1:9">
      <c r="A1353" t="s">
        <v>4958</v>
      </c>
      <c r="B1353" t="s">
        <v>10</v>
      </c>
      <c r="C1353" t="s">
        <v>4959</v>
      </c>
      <c r="D1353" t="s">
        <v>4960</v>
      </c>
      <c r="E1353" t="s">
        <v>4736</v>
      </c>
      <c r="F1353" t="s">
        <v>28</v>
      </c>
      <c r="G1353" t="s">
        <v>4961</v>
      </c>
      <c r="H1353" t="s">
        <v>30</v>
      </c>
      <c r="I1353" t="b">
        <f>COUNTIF(Estadísticas!I:I,'centraldecomunicacion.es'!H1353)&gt;0</f>
        <v>0</v>
      </c>
    </row>
    <row r="1354" spans="1:9">
      <c r="A1354" t="s">
        <v>4962</v>
      </c>
      <c r="B1354" t="s">
        <v>10</v>
      </c>
      <c r="C1354" t="s">
        <v>4963</v>
      </c>
      <c r="D1354" t="s">
        <v>4735</v>
      </c>
      <c r="E1354" t="s">
        <v>4817</v>
      </c>
      <c r="F1354" t="s">
        <v>4964</v>
      </c>
      <c r="G1354" t="s">
        <v>4965</v>
      </c>
      <c r="H1354" t="s">
        <v>4966</v>
      </c>
      <c r="I1354" t="b">
        <f>COUNTIF(Estadísticas!I:I,'centraldecomunicacion.es'!H1354)&gt;0</f>
        <v>0</v>
      </c>
    </row>
    <row r="1355" spans="1:9">
      <c r="A1355" t="s">
        <v>4967</v>
      </c>
      <c r="B1355" t="s">
        <v>10</v>
      </c>
      <c r="C1355" t="s">
        <v>4968</v>
      </c>
      <c r="D1355" t="s">
        <v>4735</v>
      </c>
      <c r="E1355" t="s">
        <v>4736</v>
      </c>
      <c r="F1355" t="s">
        <v>746</v>
      </c>
      <c r="G1355" t="s">
        <v>4969</v>
      </c>
      <c r="H1355" t="s">
        <v>30</v>
      </c>
      <c r="I1355" t="b">
        <f>COUNTIF(Estadísticas!I:I,'centraldecomunicacion.es'!H1355)&gt;0</f>
        <v>0</v>
      </c>
    </row>
    <row r="1356" spans="1:9">
      <c r="A1356" t="s">
        <v>4970</v>
      </c>
      <c r="B1356" t="s">
        <v>10</v>
      </c>
      <c r="C1356" t="s">
        <v>4971</v>
      </c>
      <c r="D1356" t="s">
        <v>4972</v>
      </c>
      <c r="E1356" t="s">
        <v>4736</v>
      </c>
      <c r="F1356" t="s">
        <v>4973</v>
      </c>
      <c r="G1356" t="s">
        <v>4974</v>
      </c>
      <c r="H1356" t="s">
        <v>4975</v>
      </c>
      <c r="I1356" t="b">
        <f>COUNTIF(Estadísticas!I:I,'centraldecomunicacion.es'!H1356)&gt;0</f>
        <v>1</v>
      </c>
    </row>
    <row r="1357" spans="1:9">
      <c r="A1357" t="s">
        <v>4976</v>
      </c>
      <c r="B1357" t="s">
        <v>10</v>
      </c>
      <c r="C1357" t="s">
        <v>4977</v>
      </c>
      <c r="D1357" t="s">
        <v>4735</v>
      </c>
      <c r="E1357" t="s">
        <v>4736</v>
      </c>
      <c r="F1357" t="s">
        <v>28</v>
      </c>
      <c r="G1357" t="s">
        <v>4978</v>
      </c>
      <c r="H1357" t="s">
        <v>30</v>
      </c>
      <c r="I1357" t="b">
        <f>COUNTIF(Estadísticas!I:I,'centraldecomunicacion.es'!H1357)&gt;0</f>
        <v>0</v>
      </c>
    </row>
    <row r="1358" spans="1:9">
      <c r="A1358" t="s">
        <v>4979</v>
      </c>
      <c r="B1358" t="s">
        <v>10</v>
      </c>
      <c r="C1358" t="s">
        <v>4980</v>
      </c>
      <c r="D1358" t="s">
        <v>4981</v>
      </c>
      <c r="E1358" t="s">
        <v>4736</v>
      </c>
      <c r="F1358" t="s">
        <v>28</v>
      </c>
      <c r="G1358" t="s">
        <v>4982</v>
      </c>
      <c r="H1358" t="s">
        <v>30</v>
      </c>
      <c r="I1358" t="b">
        <f>COUNTIF(Estadísticas!I:I,'centraldecomunicacion.es'!H1358)&gt;0</f>
        <v>0</v>
      </c>
    </row>
    <row r="1359" spans="1:9">
      <c r="A1359" t="s">
        <v>4983</v>
      </c>
      <c r="B1359" t="s">
        <v>10</v>
      </c>
      <c r="C1359" t="s">
        <v>4984</v>
      </c>
      <c r="D1359" t="s">
        <v>4792</v>
      </c>
      <c r="E1359" t="s">
        <v>4736</v>
      </c>
      <c r="F1359" t="s">
        <v>642</v>
      </c>
      <c r="G1359" t="s">
        <v>4985</v>
      </c>
      <c r="H1359" t="s">
        <v>30</v>
      </c>
      <c r="I1359" t="b">
        <f>COUNTIF(Estadísticas!I:I,'centraldecomunicacion.es'!H1359)&gt;0</f>
        <v>0</v>
      </c>
    </row>
    <row r="1360" spans="1:9">
      <c r="A1360" t="s">
        <v>4986</v>
      </c>
      <c r="B1360" t="s">
        <v>10</v>
      </c>
      <c r="C1360" t="s">
        <v>4987</v>
      </c>
      <c r="D1360" t="s">
        <v>4735</v>
      </c>
      <c r="E1360" t="s">
        <v>4736</v>
      </c>
      <c r="F1360" t="s">
        <v>993</v>
      </c>
      <c r="G1360" t="s">
        <v>4988</v>
      </c>
      <c r="H1360" t="s">
        <v>995</v>
      </c>
      <c r="I1360" t="b">
        <f>COUNTIF(Estadísticas!I:I,'centraldecomunicacion.es'!H1360)&gt;0</f>
        <v>0</v>
      </c>
    </row>
    <row r="1361" spans="1:9">
      <c r="A1361" t="s">
        <v>4989</v>
      </c>
      <c r="B1361" t="s">
        <v>10</v>
      </c>
      <c r="C1361" t="s">
        <v>4990</v>
      </c>
      <c r="D1361" t="s">
        <v>4907</v>
      </c>
      <c r="E1361" t="s">
        <v>4736</v>
      </c>
      <c r="F1361" t="s">
        <v>4991</v>
      </c>
      <c r="G1361" t="s">
        <v>4992</v>
      </c>
      <c r="H1361" t="s">
        <v>4993</v>
      </c>
      <c r="I1361" t="b">
        <f>COUNTIF(Estadísticas!I:I,'centraldecomunicacion.es'!H1361)&gt;0</f>
        <v>0</v>
      </c>
    </row>
    <row r="1362" spans="1:9">
      <c r="A1362" t="s">
        <v>4994</v>
      </c>
      <c r="B1362" t="s">
        <v>10</v>
      </c>
      <c r="C1362" t="s">
        <v>4995</v>
      </c>
      <c r="D1362" t="s">
        <v>4996</v>
      </c>
      <c r="E1362" t="s">
        <v>4736</v>
      </c>
      <c r="F1362" t="s">
        <v>4997</v>
      </c>
      <c r="G1362" t="s">
        <v>4998</v>
      </c>
      <c r="H1362" t="s">
        <v>4999</v>
      </c>
      <c r="I1362" t="b">
        <f>COUNTIF(Estadísticas!I:I,'centraldecomunicacion.es'!H1362)&gt;0</f>
        <v>0</v>
      </c>
    </row>
    <row r="1363" spans="1:9">
      <c r="A1363" t="s">
        <v>5000</v>
      </c>
      <c r="B1363" t="s">
        <v>10</v>
      </c>
      <c r="C1363" t="s">
        <v>5001</v>
      </c>
      <c r="D1363" t="s">
        <v>4836</v>
      </c>
      <c r="E1363" t="s">
        <v>4736</v>
      </c>
      <c r="F1363" t="s">
        <v>5002</v>
      </c>
      <c r="G1363" t="s">
        <v>5003</v>
      </c>
      <c r="H1363" t="s">
        <v>30</v>
      </c>
      <c r="I1363" t="b">
        <f>COUNTIF(Estadísticas!I:I,'centraldecomunicacion.es'!H1363)&gt;0</f>
        <v>0</v>
      </c>
    </row>
    <row r="1364" spans="1:9">
      <c r="A1364" t="s">
        <v>5004</v>
      </c>
      <c r="B1364" t="s">
        <v>10</v>
      </c>
      <c r="C1364" t="s">
        <v>5005</v>
      </c>
      <c r="D1364" t="s">
        <v>4735</v>
      </c>
      <c r="E1364" t="s">
        <v>4736</v>
      </c>
      <c r="F1364" t="s">
        <v>5006</v>
      </c>
      <c r="G1364" t="s">
        <v>5007</v>
      </c>
      <c r="H1364" t="s">
        <v>5008</v>
      </c>
      <c r="I1364" t="b">
        <f>COUNTIF(Estadísticas!I:I,'centraldecomunicacion.es'!H1364)&gt;0</f>
        <v>0</v>
      </c>
    </row>
    <row r="1365" spans="1:9">
      <c r="A1365" t="s">
        <v>5009</v>
      </c>
      <c r="B1365" t="s">
        <v>10</v>
      </c>
      <c r="C1365" t="s">
        <v>28</v>
      </c>
      <c r="D1365" t="s">
        <v>4771</v>
      </c>
      <c r="E1365" t="s">
        <v>28</v>
      </c>
      <c r="F1365" t="s">
        <v>28</v>
      </c>
      <c r="G1365" t="s">
        <v>5010</v>
      </c>
      <c r="H1365" t="s">
        <v>30</v>
      </c>
      <c r="I1365" t="b">
        <f>COUNTIF(Estadísticas!I:I,'centraldecomunicacion.es'!H1365)&gt;0</f>
        <v>0</v>
      </c>
    </row>
    <row r="1366" spans="1:9">
      <c r="A1366" t="s">
        <v>5011</v>
      </c>
      <c r="B1366" t="s">
        <v>10</v>
      </c>
      <c r="C1366" t="s">
        <v>5012</v>
      </c>
      <c r="D1366" t="s">
        <v>5013</v>
      </c>
      <c r="E1366" t="s">
        <v>4736</v>
      </c>
      <c r="F1366" t="s">
        <v>28</v>
      </c>
      <c r="G1366" t="s">
        <v>5014</v>
      </c>
      <c r="H1366" t="s">
        <v>30</v>
      </c>
      <c r="I1366" t="b">
        <f>COUNTIF(Estadísticas!I:I,'centraldecomunicacion.es'!H1366)&gt;0</f>
        <v>0</v>
      </c>
    </row>
    <row r="1367" spans="1:9">
      <c r="A1367" t="s">
        <v>5015</v>
      </c>
      <c r="B1367" t="s">
        <v>10</v>
      </c>
      <c r="C1367" t="s">
        <v>5016</v>
      </c>
      <c r="D1367" t="s">
        <v>5017</v>
      </c>
      <c r="E1367" t="s">
        <v>4736</v>
      </c>
      <c r="F1367" t="s">
        <v>4316</v>
      </c>
      <c r="G1367" t="s">
        <v>4317</v>
      </c>
      <c r="H1367" t="s">
        <v>30</v>
      </c>
      <c r="I1367" t="b">
        <f>COUNTIF(Estadísticas!I:I,'centraldecomunicacion.es'!H1367)&gt;0</f>
        <v>0</v>
      </c>
    </row>
    <row r="1368" spans="1:9">
      <c r="A1368" t="s">
        <v>5018</v>
      </c>
      <c r="B1368" t="s">
        <v>10</v>
      </c>
      <c r="C1368" t="s">
        <v>5019</v>
      </c>
      <c r="D1368" t="s">
        <v>4735</v>
      </c>
      <c r="E1368" t="s">
        <v>4736</v>
      </c>
      <c r="F1368" t="s">
        <v>28</v>
      </c>
      <c r="G1368" t="s">
        <v>28</v>
      </c>
      <c r="H1368" t="s">
        <v>30</v>
      </c>
      <c r="I1368" t="b">
        <f>COUNTIF(Estadísticas!I:I,'centraldecomunicacion.es'!H1368)&gt;0</f>
        <v>0</v>
      </c>
    </row>
    <row r="1369" spans="1:9">
      <c r="A1369" t="s">
        <v>5020</v>
      </c>
      <c r="B1369" t="s">
        <v>10</v>
      </c>
      <c r="C1369" t="s">
        <v>5021</v>
      </c>
      <c r="D1369" t="s">
        <v>5022</v>
      </c>
      <c r="E1369" t="s">
        <v>4736</v>
      </c>
      <c r="F1369" t="s">
        <v>5023</v>
      </c>
      <c r="G1369" t="s">
        <v>5024</v>
      </c>
      <c r="H1369" t="s">
        <v>30</v>
      </c>
      <c r="I1369" t="b">
        <f>COUNTIF(Estadísticas!I:I,'centraldecomunicacion.es'!H1369)&gt;0</f>
        <v>0</v>
      </c>
    </row>
    <row r="1370" spans="1:9">
      <c r="A1370" t="s">
        <v>5025</v>
      </c>
      <c r="B1370" t="s">
        <v>10</v>
      </c>
      <c r="C1370" t="s">
        <v>5026</v>
      </c>
      <c r="D1370" t="s">
        <v>5027</v>
      </c>
      <c r="E1370" t="s">
        <v>4817</v>
      </c>
      <c r="F1370" t="s">
        <v>5028</v>
      </c>
      <c r="G1370" t="s">
        <v>5029</v>
      </c>
      <c r="H1370" t="s">
        <v>691</v>
      </c>
      <c r="I1370" t="b">
        <f>COUNTIF(Estadísticas!I:I,'centraldecomunicacion.es'!H1370)&gt;0</f>
        <v>0</v>
      </c>
    </row>
    <row r="1371" spans="1:9">
      <c r="A1371" t="s">
        <v>5030</v>
      </c>
      <c r="B1371" t="s">
        <v>10</v>
      </c>
      <c r="C1371" t="s">
        <v>5031</v>
      </c>
      <c r="D1371" t="s">
        <v>4949</v>
      </c>
      <c r="E1371" t="s">
        <v>4736</v>
      </c>
      <c r="F1371" t="s">
        <v>28</v>
      </c>
      <c r="G1371" t="s">
        <v>5032</v>
      </c>
      <c r="H1371" t="s">
        <v>30</v>
      </c>
      <c r="I1371" t="b">
        <f>COUNTIF(Estadísticas!I:I,'centraldecomunicacion.es'!H1371)&gt;0</f>
        <v>0</v>
      </c>
    </row>
    <row r="1372" spans="1:9">
      <c r="A1372" t="s">
        <v>5033</v>
      </c>
      <c r="B1372" t="s">
        <v>10</v>
      </c>
      <c r="C1372" t="s">
        <v>5034</v>
      </c>
      <c r="D1372" t="s">
        <v>4735</v>
      </c>
      <c r="E1372" t="s">
        <v>4736</v>
      </c>
      <c r="F1372" t="s">
        <v>28</v>
      </c>
      <c r="G1372" t="s">
        <v>5035</v>
      </c>
      <c r="H1372" t="s">
        <v>30</v>
      </c>
      <c r="I1372" t="b">
        <f>COUNTIF(Estadísticas!I:I,'centraldecomunicacion.es'!H1372)&gt;0</f>
        <v>0</v>
      </c>
    </row>
    <row r="1373" spans="1:9">
      <c r="A1373" t="s">
        <v>5036</v>
      </c>
      <c r="B1373" t="s">
        <v>10</v>
      </c>
      <c r="C1373" t="s">
        <v>5037</v>
      </c>
      <c r="D1373" t="s">
        <v>5038</v>
      </c>
      <c r="E1373" t="s">
        <v>4736</v>
      </c>
      <c r="F1373" t="s">
        <v>28</v>
      </c>
      <c r="G1373" t="s">
        <v>5039</v>
      </c>
      <c r="H1373" t="s">
        <v>30</v>
      </c>
      <c r="I1373" t="b">
        <f>COUNTIF(Estadísticas!I:I,'centraldecomunicacion.es'!H1373)&gt;0</f>
        <v>0</v>
      </c>
    </row>
    <row r="1374" spans="1:9">
      <c r="A1374" t="s">
        <v>5040</v>
      </c>
      <c r="B1374" t="s">
        <v>10</v>
      </c>
      <c r="C1374" t="s">
        <v>5041</v>
      </c>
      <c r="D1374" t="s">
        <v>4735</v>
      </c>
      <c r="E1374" t="s">
        <v>4736</v>
      </c>
      <c r="F1374" t="s">
        <v>28</v>
      </c>
      <c r="G1374" t="s">
        <v>5042</v>
      </c>
      <c r="H1374" t="s">
        <v>30</v>
      </c>
      <c r="I1374" t="b">
        <f>COUNTIF(Estadísticas!I:I,'centraldecomunicacion.es'!H1374)&gt;0</f>
        <v>0</v>
      </c>
    </row>
    <row r="1375" spans="1:9">
      <c r="A1375" t="s">
        <v>5043</v>
      </c>
      <c r="B1375" t="s">
        <v>10</v>
      </c>
      <c r="C1375" t="s">
        <v>5044</v>
      </c>
      <c r="D1375" t="s">
        <v>4836</v>
      </c>
      <c r="E1375" t="s">
        <v>4736</v>
      </c>
      <c r="F1375" t="s">
        <v>28</v>
      </c>
      <c r="G1375" t="s">
        <v>5045</v>
      </c>
      <c r="H1375" t="s">
        <v>30</v>
      </c>
      <c r="I1375" t="b">
        <f>COUNTIF(Estadísticas!I:I,'centraldecomunicacion.es'!H1375)&gt;0</f>
        <v>0</v>
      </c>
    </row>
    <row r="1376" spans="1:9">
      <c r="A1376" t="s">
        <v>5046</v>
      </c>
      <c r="B1376" t="s">
        <v>10</v>
      </c>
      <c r="C1376" t="s">
        <v>5047</v>
      </c>
      <c r="D1376" t="s">
        <v>4907</v>
      </c>
      <c r="E1376" t="s">
        <v>4736</v>
      </c>
      <c r="F1376" t="s">
        <v>5048</v>
      </c>
      <c r="G1376" t="s">
        <v>5049</v>
      </c>
      <c r="H1376" t="s">
        <v>5050</v>
      </c>
      <c r="I1376" t="b">
        <f>COUNTIF(Estadísticas!I:I,'centraldecomunicacion.es'!H1376)&gt;0</f>
        <v>0</v>
      </c>
    </row>
    <row r="1377" spans="1:9">
      <c r="A1377" t="s">
        <v>5051</v>
      </c>
      <c r="B1377" t="s">
        <v>10</v>
      </c>
      <c r="C1377" t="s">
        <v>5052</v>
      </c>
      <c r="D1377" t="s">
        <v>4938</v>
      </c>
      <c r="E1377" t="s">
        <v>4736</v>
      </c>
      <c r="F1377" t="s">
        <v>5053</v>
      </c>
      <c r="G1377" t="s">
        <v>5054</v>
      </c>
      <c r="H1377" t="s">
        <v>5055</v>
      </c>
      <c r="I1377" t="b">
        <f>COUNTIF(Estadísticas!I:I,'centraldecomunicacion.es'!H1377)&gt;0</f>
        <v>1</v>
      </c>
    </row>
    <row r="1378" spans="1:9">
      <c r="A1378" t="s">
        <v>5056</v>
      </c>
      <c r="B1378" t="s">
        <v>10</v>
      </c>
      <c r="C1378" t="s">
        <v>5057</v>
      </c>
      <c r="D1378" t="s">
        <v>4792</v>
      </c>
      <c r="E1378" t="s">
        <v>5058</v>
      </c>
      <c r="F1378" t="s">
        <v>5059</v>
      </c>
      <c r="G1378" t="s">
        <v>5060</v>
      </c>
      <c r="H1378" t="s">
        <v>30</v>
      </c>
      <c r="I1378" t="b">
        <f>COUNTIF(Estadísticas!I:I,'centraldecomunicacion.es'!H1378)&gt;0</f>
        <v>0</v>
      </c>
    </row>
    <row r="1379" spans="1:9">
      <c r="A1379" t="s">
        <v>5061</v>
      </c>
      <c r="B1379" t="s">
        <v>10</v>
      </c>
      <c r="C1379" t="s">
        <v>5062</v>
      </c>
      <c r="D1379" t="s">
        <v>4972</v>
      </c>
      <c r="E1379" t="s">
        <v>4736</v>
      </c>
      <c r="F1379" t="s">
        <v>5063</v>
      </c>
      <c r="G1379" t="s">
        <v>5064</v>
      </c>
      <c r="H1379" t="s">
        <v>30</v>
      </c>
      <c r="I1379" t="b">
        <f>COUNTIF(Estadísticas!I:I,'centraldecomunicacion.es'!H1379)&gt;0</f>
        <v>0</v>
      </c>
    </row>
    <row r="1380" spans="1:9">
      <c r="A1380" t="s">
        <v>5065</v>
      </c>
      <c r="B1380" t="s">
        <v>10</v>
      </c>
      <c r="C1380" t="s">
        <v>5066</v>
      </c>
      <c r="D1380" t="s">
        <v>4792</v>
      </c>
      <c r="E1380" t="s">
        <v>4736</v>
      </c>
      <c r="F1380" t="s">
        <v>5067</v>
      </c>
      <c r="G1380" t="s">
        <v>5068</v>
      </c>
      <c r="H1380" t="s">
        <v>30</v>
      </c>
      <c r="I1380" t="b">
        <f>COUNTIF(Estadísticas!I:I,'centraldecomunicacion.es'!H1380)&gt;0</f>
        <v>0</v>
      </c>
    </row>
    <row r="1381" spans="1:9">
      <c r="A1381" t="s">
        <v>5069</v>
      </c>
      <c r="B1381" t="s">
        <v>10</v>
      </c>
      <c r="C1381" t="s">
        <v>5070</v>
      </c>
      <c r="D1381" t="s">
        <v>4735</v>
      </c>
      <c r="E1381" t="s">
        <v>4736</v>
      </c>
      <c r="F1381" t="s">
        <v>28</v>
      </c>
      <c r="G1381" t="s">
        <v>5071</v>
      </c>
      <c r="H1381" t="s">
        <v>30</v>
      </c>
      <c r="I1381" t="b">
        <f>COUNTIF(Estadísticas!I:I,'centraldecomunicacion.es'!H1381)&gt;0</f>
        <v>0</v>
      </c>
    </row>
    <row r="1382" spans="1:9">
      <c r="A1382" t="s">
        <v>5072</v>
      </c>
      <c r="B1382" t="s">
        <v>10</v>
      </c>
      <c r="C1382" t="s">
        <v>5073</v>
      </c>
      <c r="D1382" t="s">
        <v>4735</v>
      </c>
      <c r="E1382" t="s">
        <v>4817</v>
      </c>
      <c r="F1382" t="s">
        <v>5074</v>
      </c>
      <c r="G1382" t="s">
        <v>5075</v>
      </c>
      <c r="H1382" t="s">
        <v>5076</v>
      </c>
      <c r="I1382" t="b">
        <f>COUNTIF(Estadísticas!I:I,'centraldecomunicacion.es'!H1382)&gt;0</f>
        <v>0</v>
      </c>
    </row>
    <row r="1383" spans="1:9">
      <c r="A1383" t="s">
        <v>5077</v>
      </c>
      <c r="B1383" t="s">
        <v>10</v>
      </c>
      <c r="C1383" t="s">
        <v>5078</v>
      </c>
      <c r="D1383" t="s">
        <v>5079</v>
      </c>
      <c r="E1383" t="s">
        <v>4736</v>
      </c>
      <c r="F1383" t="s">
        <v>28</v>
      </c>
      <c r="G1383" t="s">
        <v>5080</v>
      </c>
      <c r="H1383" t="s">
        <v>30</v>
      </c>
      <c r="I1383" t="b">
        <f>COUNTIF(Estadísticas!I:I,'centraldecomunicacion.es'!H1383)&gt;0</f>
        <v>0</v>
      </c>
    </row>
    <row r="1384" spans="1:9">
      <c r="A1384" t="s">
        <v>5081</v>
      </c>
      <c r="B1384" t="s">
        <v>10</v>
      </c>
      <c r="C1384" t="s">
        <v>5082</v>
      </c>
      <c r="D1384" t="s">
        <v>4792</v>
      </c>
      <c r="E1384" t="s">
        <v>4736</v>
      </c>
      <c r="F1384" t="s">
        <v>5083</v>
      </c>
      <c r="G1384" t="s">
        <v>5084</v>
      </c>
      <c r="H1384" t="s">
        <v>5085</v>
      </c>
      <c r="I1384" t="b">
        <f>COUNTIF(Estadísticas!I:I,'centraldecomunicacion.es'!H1384)&gt;0</f>
        <v>1</v>
      </c>
    </row>
    <row r="1385" spans="1:9">
      <c r="A1385" t="s">
        <v>5086</v>
      </c>
      <c r="B1385" t="s">
        <v>10</v>
      </c>
      <c r="C1385" t="s">
        <v>5087</v>
      </c>
      <c r="D1385" t="s">
        <v>4735</v>
      </c>
      <c r="E1385" t="s">
        <v>4736</v>
      </c>
      <c r="F1385" t="s">
        <v>28</v>
      </c>
      <c r="G1385" t="s">
        <v>5088</v>
      </c>
      <c r="H1385" t="s">
        <v>30</v>
      </c>
      <c r="I1385" t="b">
        <f>COUNTIF(Estadísticas!I:I,'centraldecomunicacion.es'!H1385)&gt;0</f>
        <v>0</v>
      </c>
    </row>
    <row r="1386" spans="1:9">
      <c r="A1386" t="s">
        <v>5089</v>
      </c>
      <c r="B1386" t="s">
        <v>10</v>
      </c>
      <c r="C1386" t="s">
        <v>5090</v>
      </c>
      <c r="D1386" t="s">
        <v>4735</v>
      </c>
      <c r="E1386" t="s">
        <v>4736</v>
      </c>
      <c r="F1386" t="s">
        <v>5091</v>
      </c>
      <c r="G1386" t="s">
        <v>4830</v>
      </c>
      <c r="H1386" t="s">
        <v>5092</v>
      </c>
      <c r="I1386" t="b">
        <f>COUNTIF(Estadísticas!I:I,'centraldecomunicacion.es'!H1386)&gt;0</f>
        <v>0</v>
      </c>
    </row>
    <row r="1387" spans="1:9">
      <c r="A1387" t="s">
        <v>5093</v>
      </c>
      <c r="B1387" t="s">
        <v>10</v>
      </c>
      <c r="C1387" t="s">
        <v>5094</v>
      </c>
      <c r="D1387" t="s">
        <v>4868</v>
      </c>
      <c r="E1387" t="s">
        <v>4736</v>
      </c>
      <c r="F1387" t="s">
        <v>28</v>
      </c>
      <c r="G1387" t="s">
        <v>5095</v>
      </c>
      <c r="H1387" t="s">
        <v>30</v>
      </c>
      <c r="I1387" t="b">
        <f>COUNTIF(Estadísticas!I:I,'centraldecomunicacion.es'!H1387)&gt;0</f>
        <v>0</v>
      </c>
    </row>
    <row r="1388" spans="1:9">
      <c r="A1388" t="s">
        <v>5096</v>
      </c>
      <c r="B1388" t="s">
        <v>10</v>
      </c>
      <c r="C1388" t="s">
        <v>5097</v>
      </c>
      <c r="D1388" t="s">
        <v>5098</v>
      </c>
      <c r="E1388" t="s">
        <v>4736</v>
      </c>
      <c r="F1388" t="s">
        <v>5099</v>
      </c>
      <c r="G1388" t="s">
        <v>5100</v>
      </c>
      <c r="H1388" t="s">
        <v>5101</v>
      </c>
      <c r="I1388" t="b">
        <f>COUNTIF(Estadísticas!I:I,'centraldecomunicacion.es'!H1388)&gt;0</f>
        <v>0</v>
      </c>
    </row>
    <row r="1389" spans="1:9">
      <c r="A1389" t="s">
        <v>5102</v>
      </c>
      <c r="B1389" t="s">
        <v>10</v>
      </c>
      <c r="C1389" t="s">
        <v>5103</v>
      </c>
      <c r="D1389" t="s">
        <v>4972</v>
      </c>
      <c r="E1389" t="s">
        <v>4736</v>
      </c>
      <c r="F1389" t="s">
        <v>28</v>
      </c>
      <c r="G1389" t="s">
        <v>28</v>
      </c>
      <c r="H1389" t="s">
        <v>30</v>
      </c>
      <c r="I1389" t="b">
        <f>COUNTIF(Estadísticas!I:I,'centraldecomunicacion.es'!H1389)&gt;0</f>
        <v>0</v>
      </c>
    </row>
    <row r="1390" spans="1:9">
      <c r="A1390" t="s">
        <v>4062</v>
      </c>
      <c r="B1390" t="s">
        <v>10</v>
      </c>
      <c r="C1390" t="s">
        <v>5104</v>
      </c>
      <c r="D1390" t="s">
        <v>4735</v>
      </c>
      <c r="E1390" t="s">
        <v>4736</v>
      </c>
      <c r="F1390" t="s">
        <v>5105</v>
      </c>
      <c r="G1390" t="s">
        <v>5106</v>
      </c>
      <c r="H1390" t="s">
        <v>30</v>
      </c>
      <c r="I1390" t="b">
        <f>COUNTIF(Estadísticas!I:I,'centraldecomunicacion.es'!H1390)&gt;0</f>
        <v>0</v>
      </c>
    </row>
    <row r="1391" spans="1:9">
      <c r="A1391" t="s">
        <v>5107</v>
      </c>
      <c r="B1391" t="s">
        <v>10</v>
      </c>
      <c r="C1391" t="s">
        <v>5108</v>
      </c>
      <c r="D1391" t="s">
        <v>5109</v>
      </c>
      <c r="E1391" t="s">
        <v>4736</v>
      </c>
      <c r="F1391" t="s">
        <v>5110</v>
      </c>
      <c r="G1391" t="s">
        <v>5111</v>
      </c>
      <c r="H1391" t="s">
        <v>30</v>
      </c>
      <c r="I1391" t="b">
        <f>COUNTIF(Estadísticas!I:I,'centraldecomunicacion.es'!H1391)&gt;0</f>
        <v>0</v>
      </c>
    </row>
    <row r="1392" spans="1:9">
      <c r="A1392" t="s">
        <v>5112</v>
      </c>
      <c r="B1392" t="s">
        <v>10</v>
      </c>
      <c r="C1392" t="s">
        <v>5113</v>
      </c>
      <c r="D1392" t="s">
        <v>276</v>
      </c>
      <c r="E1392" t="s">
        <v>4736</v>
      </c>
      <c r="F1392" t="s">
        <v>5114</v>
      </c>
      <c r="G1392" t="s">
        <v>5115</v>
      </c>
      <c r="H1392" t="s">
        <v>1643</v>
      </c>
      <c r="I1392" t="b">
        <f>COUNTIF(Estadísticas!I:I,'centraldecomunicacion.es'!H1392)&gt;0</f>
        <v>0</v>
      </c>
    </row>
    <row r="1393" spans="1:9">
      <c r="A1393" t="s">
        <v>5116</v>
      </c>
      <c r="B1393" t="s">
        <v>10</v>
      </c>
      <c r="C1393" t="s">
        <v>5117</v>
      </c>
      <c r="D1393" t="s">
        <v>4955</v>
      </c>
      <c r="E1393" t="s">
        <v>4736</v>
      </c>
      <c r="F1393" t="s">
        <v>5118</v>
      </c>
      <c r="G1393" t="s">
        <v>5119</v>
      </c>
      <c r="H1393" t="s">
        <v>5120</v>
      </c>
      <c r="I1393" t="b">
        <f>COUNTIF(Estadísticas!I:I,'centraldecomunicacion.es'!H1393)&gt;0</f>
        <v>0</v>
      </c>
    </row>
    <row r="1394" spans="1:9">
      <c r="A1394" t="s">
        <v>5121</v>
      </c>
      <c r="B1394" t="s">
        <v>10</v>
      </c>
      <c r="C1394" t="s">
        <v>5122</v>
      </c>
      <c r="D1394" t="s">
        <v>276</v>
      </c>
      <c r="E1394" t="s">
        <v>4736</v>
      </c>
      <c r="F1394" t="s">
        <v>28</v>
      </c>
      <c r="G1394" t="s">
        <v>5123</v>
      </c>
      <c r="H1394" t="s">
        <v>30</v>
      </c>
      <c r="I1394" t="b">
        <f>COUNTIF(Estadísticas!I:I,'centraldecomunicacion.es'!H1394)&gt;0</f>
        <v>0</v>
      </c>
    </row>
    <row r="1395" spans="1:9">
      <c r="A1395" t="s">
        <v>5124</v>
      </c>
      <c r="B1395" t="s">
        <v>10</v>
      </c>
      <c r="C1395" t="s">
        <v>5125</v>
      </c>
      <c r="D1395" t="s">
        <v>4882</v>
      </c>
      <c r="E1395" t="s">
        <v>5126</v>
      </c>
      <c r="F1395" t="s">
        <v>5127</v>
      </c>
      <c r="G1395" t="s">
        <v>5128</v>
      </c>
      <c r="H1395" t="s">
        <v>5129</v>
      </c>
      <c r="I1395" t="b">
        <f>COUNTIF(Estadísticas!I:I,'centraldecomunicacion.es'!H1395)&gt;0</f>
        <v>0</v>
      </c>
    </row>
    <row r="1396" spans="1:9">
      <c r="A1396" t="s">
        <v>5130</v>
      </c>
      <c r="B1396" t="s">
        <v>10</v>
      </c>
      <c r="C1396" t="s">
        <v>5131</v>
      </c>
      <c r="D1396" t="s">
        <v>4735</v>
      </c>
      <c r="E1396" t="s">
        <v>4736</v>
      </c>
      <c r="F1396" t="s">
        <v>4798</v>
      </c>
      <c r="G1396" t="s">
        <v>5132</v>
      </c>
      <c r="H1396" t="s">
        <v>4800</v>
      </c>
      <c r="I1396" t="b">
        <f>COUNTIF(Estadísticas!I:I,'centraldecomunicacion.es'!H1396)&gt;0</f>
        <v>0</v>
      </c>
    </row>
    <row r="1397" spans="1:9">
      <c r="A1397" t="s">
        <v>5133</v>
      </c>
      <c r="B1397" t="s">
        <v>10</v>
      </c>
      <c r="C1397" t="s">
        <v>4945</v>
      </c>
      <c r="D1397" t="s">
        <v>4809</v>
      </c>
      <c r="E1397" t="s">
        <v>4736</v>
      </c>
      <c r="F1397" t="s">
        <v>28</v>
      </c>
      <c r="G1397" t="s">
        <v>5134</v>
      </c>
      <c r="H1397" t="s">
        <v>30</v>
      </c>
      <c r="I1397" t="b">
        <f>COUNTIF(Estadísticas!I:I,'centraldecomunicacion.es'!H1397)&gt;0</f>
        <v>0</v>
      </c>
    </row>
    <row r="1398" spans="1:9">
      <c r="A1398" t="s">
        <v>5135</v>
      </c>
      <c r="B1398" t="s">
        <v>10</v>
      </c>
      <c r="C1398" t="s">
        <v>5136</v>
      </c>
      <c r="D1398" t="s">
        <v>4735</v>
      </c>
      <c r="E1398" t="s">
        <v>4817</v>
      </c>
      <c r="F1398" t="s">
        <v>28</v>
      </c>
      <c r="G1398" t="s">
        <v>5137</v>
      </c>
      <c r="H1398" t="s">
        <v>30</v>
      </c>
      <c r="I1398" t="b">
        <f>COUNTIF(Estadísticas!I:I,'centraldecomunicacion.es'!H1398)&gt;0</f>
        <v>0</v>
      </c>
    </row>
    <row r="1399" spans="1:9">
      <c r="A1399" t="s">
        <v>5138</v>
      </c>
      <c r="B1399" t="s">
        <v>10</v>
      </c>
      <c r="C1399" t="s">
        <v>5139</v>
      </c>
      <c r="D1399" t="s">
        <v>5140</v>
      </c>
      <c r="E1399" t="s">
        <v>4736</v>
      </c>
      <c r="F1399" t="s">
        <v>5141</v>
      </c>
      <c r="G1399" t="s">
        <v>5142</v>
      </c>
      <c r="H1399" t="s">
        <v>5143</v>
      </c>
      <c r="I1399" t="b">
        <f>COUNTIF(Estadísticas!I:I,'centraldecomunicacion.es'!H1399)&gt;0</f>
        <v>1</v>
      </c>
    </row>
    <row r="1400" spans="1:9">
      <c r="A1400" t="s">
        <v>5144</v>
      </c>
      <c r="B1400" t="s">
        <v>10</v>
      </c>
      <c r="C1400" t="s">
        <v>5145</v>
      </c>
      <c r="D1400" t="s">
        <v>4920</v>
      </c>
      <c r="E1400" t="s">
        <v>4736</v>
      </c>
      <c r="F1400" t="s">
        <v>38</v>
      </c>
      <c r="G1400" t="s">
        <v>5146</v>
      </c>
      <c r="H1400" t="s">
        <v>30</v>
      </c>
      <c r="I1400" t="b">
        <f>COUNTIF(Estadísticas!I:I,'centraldecomunicacion.es'!H1400)&gt;0</f>
        <v>0</v>
      </c>
    </row>
    <row r="1401" spans="1:9">
      <c r="A1401" t="s">
        <v>26</v>
      </c>
      <c r="B1401" t="s">
        <v>10</v>
      </c>
      <c r="C1401" t="s">
        <v>5147</v>
      </c>
      <c r="D1401" t="s">
        <v>4735</v>
      </c>
      <c r="E1401" t="s">
        <v>4736</v>
      </c>
      <c r="F1401" t="s">
        <v>28</v>
      </c>
      <c r="G1401" t="s">
        <v>396</v>
      </c>
      <c r="H1401" t="s">
        <v>30</v>
      </c>
      <c r="I1401" t="b">
        <f>COUNTIF(Estadísticas!I:I,'centraldecomunicacion.es'!H1401)&gt;0</f>
        <v>0</v>
      </c>
    </row>
    <row r="1402" spans="1:9">
      <c r="A1402" t="s">
        <v>5148</v>
      </c>
      <c r="B1402" t="s">
        <v>10</v>
      </c>
      <c r="C1402" t="s">
        <v>5149</v>
      </c>
      <c r="D1402" t="s">
        <v>4735</v>
      </c>
      <c r="E1402" t="s">
        <v>4736</v>
      </c>
      <c r="F1402" t="s">
        <v>28</v>
      </c>
      <c r="G1402" t="s">
        <v>5150</v>
      </c>
      <c r="H1402" t="s">
        <v>30</v>
      </c>
      <c r="I1402" t="b">
        <f>COUNTIF(Estadísticas!I:I,'centraldecomunicacion.es'!H1402)&gt;0</f>
        <v>0</v>
      </c>
    </row>
    <row r="1403" spans="1:9">
      <c r="A1403" t="s">
        <v>5151</v>
      </c>
      <c r="B1403" t="s">
        <v>10</v>
      </c>
      <c r="C1403" t="s">
        <v>5152</v>
      </c>
      <c r="D1403" t="s">
        <v>5153</v>
      </c>
      <c r="E1403" t="s">
        <v>4736</v>
      </c>
      <c r="F1403" t="s">
        <v>28</v>
      </c>
      <c r="G1403" t="s">
        <v>5154</v>
      </c>
      <c r="H1403" t="s">
        <v>30</v>
      </c>
      <c r="I1403" t="b">
        <f>COUNTIF(Estadísticas!I:I,'centraldecomunicacion.es'!H1403)&gt;0</f>
        <v>0</v>
      </c>
    </row>
    <row r="1404" spans="1:9">
      <c r="A1404" t="s">
        <v>5155</v>
      </c>
      <c r="B1404" t="s">
        <v>10</v>
      </c>
      <c r="C1404" t="s">
        <v>5156</v>
      </c>
      <c r="D1404" t="s">
        <v>5157</v>
      </c>
      <c r="E1404" t="s">
        <v>4736</v>
      </c>
      <c r="F1404" t="s">
        <v>28</v>
      </c>
      <c r="G1404" t="s">
        <v>5158</v>
      </c>
      <c r="H1404" t="s">
        <v>30</v>
      </c>
      <c r="I1404" t="b">
        <f>COUNTIF(Estadísticas!I:I,'centraldecomunicacion.es'!H1404)&gt;0</f>
        <v>0</v>
      </c>
    </row>
    <row r="1405" spans="1:9">
      <c r="A1405" t="s">
        <v>5159</v>
      </c>
      <c r="B1405" t="s">
        <v>10</v>
      </c>
      <c r="C1405" t="s">
        <v>5160</v>
      </c>
      <c r="D1405" t="s">
        <v>4735</v>
      </c>
      <c r="E1405" t="s">
        <v>4817</v>
      </c>
      <c r="F1405" t="s">
        <v>5161</v>
      </c>
      <c r="G1405" t="s">
        <v>5162</v>
      </c>
      <c r="H1405" t="s">
        <v>5163</v>
      </c>
      <c r="I1405" t="b">
        <f>COUNTIF(Estadísticas!I:I,'centraldecomunicacion.es'!H1405)&gt;0</f>
        <v>0</v>
      </c>
    </row>
    <row r="1406" spans="1:9">
      <c r="A1406" t="s">
        <v>5164</v>
      </c>
      <c r="B1406" t="s">
        <v>10</v>
      </c>
      <c r="C1406" t="s">
        <v>5165</v>
      </c>
      <c r="D1406" t="s">
        <v>4735</v>
      </c>
      <c r="E1406" t="s">
        <v>4736</v>
      </c>
      <c r="F1406" t="s">
        <v>5166</v>
      </c>
      <c r="G1406" t="s">
        <v>5167</v>
      </c>
      <c r="H1406" t="s">
        <v>691</v>
      </c>
      <c r="I1406" t="b">
        <f>COUNTIF(Estadísticas!I:I,'centraldecomunicacion.es'!H1406)&gt;0</f>
        <v>0</v>
      </c>
    </row>
    <row r="1407" spans="1:9">
      <c r="A1407" t="s">
        <v>5168</v>
      </c>
      <c r="B1407" t="s">
        <v>10</v>
      </c>
      <c r="C1407" t="s">
        <v>5169</v>
      </c>
      <c r="D1407" t="s">
        <v>5013</v>
      </c>
      <c r="E1407" t="s">
        <v>4736</v>
      </c>
      <c r="F1407" t="s">
        <v>50</v>
      </c>
      <c r="G1407" t="s">
        <v>5170</v>
      </c>
      <c r="H1407" t="s">
        <v>30</v>
      </c>
      <c r="I1407" t="b">
        <f>COUNTIF(Estadísticas!I:I,'centraldecomunicacion.es'!H1407)&gt;0</f>
        <v>0</v>
      </c>
    </row>
    <row r="1408" spans="1:9">
      <c r="A1408" t="s">
        <v>5171</v>
      </c>
      <c r="B1408" t="s">
        <v>10</v>
      </c>
      <c r="C1408" t="s">
        <v>5172</v>
      </c>
      <c r="D1408" t="s">
        <v>5140</v>
      </c>
      <c r="E1408" t="s">
        <v>4736</v>
      </c>
      <c r="F1408" t="s">
        <v>5173</v>
      </c>
      <c r="G1408" t="s">
        <v>5174</v>
      </c>
      <c r="H1408" t="s">
        <v>30</v>
      </c>
      <c r="I1408" t="b">
        <f>COUNTIF(Estadísticas!I:I,'centraldecomunicacion.es'!H1408)&gt;0</f>
        <v>0</v>
      </c>
    </row>
    <row r="1409" spans="1:9">
      <c r="A1409" t="s">
        <v>5175</v>
      </c>
      <c r="B1409" t="s">
        <v>10</v>
      </c>
      <c r="C1409" t="s">
        <v>5176</v>
      </c>
      <c r="D1409" t="s">
        <v>4771</v>
      </c>
      <c r="E1409" t="s">
        <v>4736</v>
      </c>
      <c r="F1409" t="s">
        <v>28</v>
      </c>
      <c r="G1409" t="s">
        <v>5177</v>
      </c>
      <c r="H1409" t="s">
        <v>30</v>
      </c>
      <c r="I1409" t="b">
        <f>COUNTIF(Estadísticas!I:I,'centraldecomunicacion.es'!H1409)&gt;0</f>
        <v>0</v>
      </c>
    </row>
    <row r="1410" spans="1:9">
      <c r="A1410" t="s">
        <v>5178</v>
      </c>
      <c r="B1410" t="s">
        <v>10</v>
      </c>
      <c r="C1410" t="s">
        <v>5179</v>
      </c>
      <c r="D1410" t="s">
        <v>5109</v>
      </c>
      <c r="E1410" t="s">
        <v>4736</v>
      </c>
      <c r="F1410" t="s">
        <v>5180</v>
      </c>
      <c r="G1410" t="s">
        <v>5181</v>
      </c>
      <c r="H1410" t="s">
        <v>5182</v>
      </c>
      <c r="I1410" t="b">
        <f>COUNTIF(Estadísticas!I:I,'centraldecomunicacion.es'!H1410)&gt;0</f>
        <v>0</v>
      </c>
    </row>
    <row r="1411" spans="1:9">
      <c r="A1411" t="s">
        <v>5183</v>
      </c>
      <c r="B1411" t="s">
        <v>10</v>
      </c>
      <c r="C1411" t="s">
        <v>28</v>
      </c>
      <c r="D1411" t="s">
        <v>4771</v>
      </c>
      <c r="E1411" t="s">
        <v>28</v>
      </c>
      <c r="F1411" t="s">
        <v>28</v>
      </c>
      <c r="G1411" t="s">
        <v>28</v>
      </c>
      <c r="H1411" t="s">
        <v>30</v>
      </c>
      <c r="I1411" t="b">
        <f>COUNTIF(Estadísticas!I:I,'centraldecomunicacion.es'!H1411)&gt;0</f>
        <v>0</v>
      </c>
    </row>
    <row r="1412" spans="1:9">
      <c r="A1412" t="s">
        <v>5184</v>
      </c>
      <c r="B1412" t="s">
        <v>10</v>
      </c>
      <c r="C1412" t="s">
        <v>5185</v>
      </c>
      <c r="D1412" t="s">
        <v>5186</v>
      </c>
      <c r="E1412" t="s">
        <v>4736</v>
      </c>
      <c r="F1412" t="s">
        <v>28</v>
      </c>
      <c r="G1412" t="s">
        <v>5187</v>
      </c>
      <c r="H1412" t="s">
        <v>30</v>
      </c>
      <c r="I1412" t="b">
        <f>COUNTIF(Estadísticas!I:I,'centraldecomunicacion.es'!H1412)&gt;0</f>
        <v>0</v>
      </c>
    </row>
    <row r="1413" spans="1:9">
      <c r="A1413" t="s">
        <v>5188</v>
      </c>
      <c r="B1413" t="s">
        <v>10</v>
      </c>
      <c r="C1413" t="s">
        <v>5189</v>
      </c>
      <c r="D1413" t="s">
        <v>5190</v>
      </c>
      <c r="E1413" t="s">
        <v>4817</v>
      </c>
      <c r="F1413" t="s">
        <v>28</v>
      </c>
      <c r="G1413" t="s">
        <v>5191</v>
      </c>
      <c r="H1413" t="s">
        <v>30</v>
      </c>
      <c r="I1413" t="b">
        <f>COUNTIF(Estadísticas!I:I,'centraldecomunicacion.es'!H1413)&gt;0</f>
        <v>0</v>
      </c>
    </row>
    <row r="1414" spans="1:9">
      <c r="A1414" t="s">
        <v>5192</v>
      </c>
      <c r="B1414" t="s">
        <v>10</v>
      </c>
      <c r="C1414" t="s">
        <v>28</v>
      </c>
      <c r="D1414" t="s">
        <v>4771</v>
      </c>
      <c r="E1414" t="s">
        <v>28</v>
      </c>
      <c r="F1414" t="s">
        <v>5193</v>
      </c>
      <c r="G1414" t="s">
        <v>28</v>
      </c>
      <c r="H1414" t="s">
        <v>30</v>
      </c>
      <c r="I1414" t="b">
        <f>COUNTIF(Estadísticas!I:I,'centraldecomunicacion.es'!H1414)&gt;0</f>
        <v>0</v>
      </c>
    </row>
    <row r="1415" spans="1:9">
      <c r="A1415" t="s">
        <v>5194</v>
      </c>
      <c r="B1415" t="s">
        <v>10</v>
      </c>
      <c r="C1415" t="s">
        <v>5195</v>
      </c>
      <c r="D1415" t="s">
        <v>4792</v>
      </c>
      <c r="E1415" t="s">
        <v>4736</v>
      </c>
      <c r="F1415" t="s">
        <v>28</v>
      </c>
      <c r="G1415" t="s">
        <v>5196</v>
      </c>
      <c r="H1415" t="s">
        <v>30</v>
      </c>
      <c r="I1415" t="b">
        <f>COUNTIF(Estadísticas!I:I,'centraldecomunicacion.es'!H1415)&gt;0</f>
        <v>0</v>
      </c>
    </row>
    <row r="1416" spans="1:9">
      <c r="A1416" t="s">
        <v>5197</v>
      </c>
      <c r="B1416" t="s">
        <v>10</v>
      </c>
      <c r="C1416" t="s">
        <v>5198</v>
      </c>
      <c r="D1416" t="s">
        <v>4735</v>
      </c>
      <c r="E1416" t="s">
        <v>4817</v>
      </c>
      <c r="F1416" t="s">
        <v>28</v>
      </c>
      <c r="G1416" t="s">
        <v>28</v>
      </c>
      <c r="H1416" t="s">
        <v>30</v>
      </c>
      <c r="I1416" t="b">
        <f>COUNTIF(Estadísticas!I:I,'centraldecomunicacion.es'!H1416)&gt;0</f>
        <v>0</v>
      </c>
    </row>
    <row r="1417" spans="1:9">
      <c r="A1417" t="s">
        <v>5199</v>
      </c>
      <c r="B1417" t="s">
        <v>10</v>
      </c>
      <c r="C1417" t="s">
        <v>5200</v>
      </c>
      <c r="D1417" t="s">
        <v>5190</v>
      </c>
      <c r="E1417" t="s">
        <v>4736</v>
      </c>
      <c r="F1417" t="s">
        <v>28</v>
      </c>
      <c r="G1417" t="s">
        <v>28</v>
      </c>
      <c r="H1417" t="s">
        <v>30</v>
      </c>
      <c r="I1417" t="b">
        <f>COUNTIF(Estadísticas!I:I,'centraldecomunicacion.es'!H1417)&gt;0</f>
        <v>0</v>
      </c>
    </row>
    <row r="1418" spans="1:9">
      <c r="A1418" t="s">
        <v>5201</v>
      </c>
      <c r="B1418" t="s">
        <v>10</v>
      </c>
      <c r="C1418" t="s">
        <v>5202</v>
      </c>
      <c r="D1418" t="s">
        <v>5203</v>
      </c>
      <c r="E1418" t="s">
        <v>4736</v>
      </c>
      <c r="F1418" t="s">
        <v>28</v>
      </c>
      <c r="G1418" t="s">
        <v>5204</v>
      </c>
      <c r="H1418" t="s">
        <v>30</v>
      </c>
      <c r="I1418" t="b">
        <f>COUNTIF(Estadísticas!I:I,'centraldecomunicacion.es'!H1418)&gt;0</f>
        <v>0</v>
      </c>
    </row>
    <row r="1419" spans="1:9">
      <c r="A1419" t="s">
        <v>5205</v>
      </c>
      <c r="B1419" t="s">
        <v>10</v>
      </c>
      <c r="C1419" t="s">
        <v>5206</v>
      </c>
      <c r="D1419" t="s">
        <v>4803</v>
      </c>
      <c r="E1419" t="s">
        <v>4817</v>
      </c>
      <c r="F1419" t="s">
        <v>5207</v>
      </c>
      <c r="G1419" t="s">
        <v>5208</v>
      </c>
      <c r="H1419" t="s">
        <v>30</v>
      </c>
      <c r="I1419" t="b">
        <f>COUNTIF(Estadísticas!I:I,'centraldecomunicacion.es'!H1419)&gt;0</f>
        <v>0</v>
      </c>
    </row>
    <row r="1420" spans="1:9">
      <c r="A1420" t="s">
        <v>4310</v>
      </c>
      <c r="B1420" t="s">
        <v>10</v>
      </c>
      <c r="C1420" t="s">
        <v>5209</v>
      </c>
      <c r="D1420" t="s">
        <v>4735</v>
      </c>
      <c r="E1420" t="s">
        <v>4736</v>
      </c>
      <c r="F1420" t="s">
        <v>28</v>
      </c>
      <c r="G1420" t="s">
        <v>28</v>
      </c>
      <c r="H1420" t="s">
        <v>30</v>
      </c>
      <c r="I1420" t="b">
        <f>COUNTIF(Estadísticas!I:I,'centraldecomunicacion.es'!H1420)&gt;0</f>
        <v>0</v>
      </c>
    </row>
    <row r="1421" spans="1:9">
      <c r="A1421" t="s">
        <v>5210</v>
      </c>
      <c r="B1421" t="s">
        <v>10</v>
      </c>
      <c r="C1421" t="s">
        <v>28</v>
      </c>
      <c r="D1421" t="s">
        <v>4771</v>
      </c>
      <c r="E1421" t="s">
        <v>28</v>
      </c>
      <c r="F1421" t="s">
        <v>5211</v>
      </c>
      <c r="G1421" t="s">
        <v>5212</v>
      </c>
      <c r="H1421" t="s">
        <v>691</v>
      </c>
      <c r="I1421" t="b">
        <f>COUNTIF(Estadísticas!I:I,'centraldecomunicacion.es'!H1421)&gt;0</f>
        <v>0</v>
      </c>
    </row>
    <row r="1422" spans="1:9">
      <c r="A1422" t="s">
        <v>5213</v>
      </c>
      <c r="B1422" t="s">
        <v>10</v>
      </c>
      <c r="C1422" t="s">
        <v>28</v>
      </c>
      <c r="D1422" t="s">
        <v>4771</v>
      </c>
      <c r="E1422" t="s">
        <v>28</v>
      </c>
      <c r="F1422" t="s">
        <v>5214</v>
      </c>
      <c r="G1422" t="s">
        <v>5215</v>
      </c>
      <c r="H1422" t="s">
        <v>30</v>
      </c>
      <c r="I1422" t="b">
        <f>COUNTIF(Estadísticas!I:I,'centraldecomunicacion.es'!H1422)&gt;0</f>
        <v>0</v>
      </c>
    </row>
    <row r="1423" spans="1:9">
      <c r="A1423" t="s">
        <v>5216</v>
      </c>
      <c r="B1423" t="s">
        <v>10</v>
      </c>
      <c r="C1423" t="s">
        <v>5217</v>
      </c>
      <c r="D1423" t="s">
        <v>5140</v>
      </c>
      <c r="E1423" t="s">
        <v>4736</v>
      </c>
      <c r="F1423" t="s">
        <v>28</v>
      </c>
      <c r="G1423" t="s">
        <v>5218</v>
      </c>
      <c r="H1423" t="s">
        <v>30</v>
      </c>
      <c r="I1423" t="b">
        <f>COUNTIF(Estadísticas!I:I,'centraldecomunicacion.es'!H1423)&gt;0</f>
        <v>0</v>
      </c>
    </row>
    <row r="1424" spans="1:9">
      <c r="A1424" t="s">
        <v>5219</v>
      </c>
      <c r="B1424" t="s">
        <v>10</v>
      </c>
      <c r="C1424" t="s">
        <v>5220</v>
      </c>
      <c r="D1424" t="s">
        <v>4735</v>
      </c>
      <c r="E1424" t="s">
        <v>4736</v>
      </c>
      <c r="F1424" t="s">
        <v>5221</v>
      </c>
      <c r="G1424" t="s">
        <v>28</v>
      </c>
      <c r="H1424" t="s">
        <v>30</v>
      </c>
      <c r="I1424" t="b">
        <f>COUNTIF(Estadísticas!I:I,'centraldecomunicacion.es'!H1424)&gt;0</f>
        <v>0</v>
      </c>
    </row>
    <row r="1425" spans="1:9">
      <c r="A1425" t="s">
        <v>5222</v>
      </c>
      <c r="B1425" t="s">
        <v>10</v>
      </c>
      <c r="C1425" t="s">
        <v>5223</v>
      </c>
      <c r="D1425" t="s">
        <v>5224</v>
      </c>
      <c r="E1425" t="s">
        <v>4736</v>
      </c>
      <c r="F1425" t="s">
        <v>5225</v>
      </c>
      <c r="G1425" t="s">
        <v>5226</v>
      </c>
      <c r="H1425" t="s">
        <v>5227</v>
      </c>
      <c r="I1425" t="b">
        <f>COUNTIF(Estadísticas!I:I,'centraldecomunicacion.es'!H1425)&gt;0</f>
        <v>1</v>
      </c>
    </row>
    <row r="1426" spans="1:9">
      <c r="A1426" t="s">
        <v>5228</v>
      </c>
      <c r="B1426" t="s">
        <v>10</v>
      </c>
      <c r="C1426" t="s">
        <v>5229</v>
      </c>
      <c r="D1426" t="s">
        <v>5017</v>
      </c>
      <c r="E1426" t="s">
        <v>4817</v>
      </c>
      <c r="F1426" t="s">
        <v>28</v>
      </c>
      <c r="G1426" t="s">
        <v>5060</v>
      </c>
      <c r="H1426" t="s">
        <v>30</v>
      </c>
      <c r="I1426" t="b">
        <f>COUNTIF(Estadísticas!I:I,'centraldecomunicacion.es'!H1426)&gt;0</f>
        <v>0</v>
      </c>
    </row>
    <row r="1427" spans="1:9">
      <c r="A1427" t="s">
        <v>5230</v>
      </c>
      <c r="B1427" t="s">
        <v>10</v>
      </c>
      <c r="C1427" t="s">
        <v>5231</v>
      </c>
      <c r="D1427" t="s">
        <v>5232</v>
      </c>
      <c r="E1427" t="s">
        <v>4736</v>
      </c>
      <c r="F1427" t="s">
        <v>28</v>
      </c>
      <c r="G1427" t="s">
        <v>5233</v>
      </c>
      <c r="H1427" t="s">
        <v>30</v>
      </c>
      <c r="I1427" t="b">
        <f>COUNTIF(Estadísticas!I:I,'centraldecomunicacion.es'!H1427)&gt;0</f>
        <v>0</v>
      </c>
    </row>
    <row r="1428" spans="1:9">
      <c r="A1428" t="s">
        <v>5234</v>
      </c>
      <c r="B1428" t="s">
        <v>10</v>
      </c>
      <c r="C1428" t="s">
        <v>28</v>
      </c>
      <c r="D1428" t="s">
        <v>4771</v>
      </c>
      <c r="E1428" t="s">
        <v>28</v>
      </c>
      <c r="F1428" t="s">
        <v>5235</v>
      </c>
      <c r="G1428" t="s">
        <v>5236</v>
      </c>
      <c r="H1428" t="s">
        <v>5237</v>
      </c>
      <c r="I1428" t="b">
        <f>COUNTIF(Estadísticas!I:I,'centraldecomunicacion.es'!H1428)&gt;0</f>
        <v>0</v>
      </c>
    </row>
    <row r="1429" spans="1:9">
      <c r="A1429" t="s">
        <v>5238</v>
      </c>
      <c r="B1429" t="s">
        <v>10</v>
      </c>
      <c r="C1429" t="s">
        <v>5239</v>
      </c>
      <c r="D1429" t="s">
        <v>5240</v>
      </c>
      <c r="E1429" t="s">
        <v>4817</v>
      </c>
      <c r="F1429" t="s">
        <v>5173</v>
      </c>
      <c r="G1429" t="s">
        <v>5241</v>
      </c>
      <c r="H1429" t="s">
        <v>30</v>
      </c>
      <c r="I1429" t="b">
        <f>COUNTIF(Estadísticas!I:I,'centraldecomunicacion.es'!H1429)&gt;0</f>
        <v>0</v>
      </c>
    </row>
    <row r="1430" spans="1:9">
      <c r="A1430" t="s">
        <v>5242</v>
      </c>
      <c r="B1430" t="s">
        <v>10</v>
      </c>
      <c r="C1430" t="s">
        <v>28</v>
      </c>
      <c r="D1430" t="s">
        <v>4771</v>
      </c>
      <c r="E1430" t="s">
        <v>28</v>
      </c>
      <c r="F1430" t="s">
        <v>4316</v>
      </c>
      <c r="G1430" t="s">
        <v>4317</v>
      </c>
      <c r="H1430" t="s">
        <v>30</v>
      </c>
      <c r="I1430" t="b">
        <f>COUNTIF(Estadísticas!I:I,'centraldecomunicacion.es'!H1430)&gt;0</f>
        <v>0</v>
      </c>
    </row>
    <row r="1431" spans="1:9">
      <c r="A1431" t="s">
        <v>5243</v>
      </c>
      <c r="B1431" t="s">
        <v>10</v>
      </c>
      <c r="C1431" t="s">
        <v>5244</v>
      </c>
      <c r="D1431" t="s">
        <v>5190</v>
      </c>
      <c r="E1431" t="s">
        <v>4736</v>
      </c>
      <c r="F1431" t="s">
        <v>28</v>
      </c>
      <c r="G1431" t="s">
        <v>5245</v>
      </c>
      <c r="H1431" t="s">
        <v>30</v>
      </c>
      <c r="I1431" t="b">
        <f>COUNTIF(Estadísticas!I:I,'centraldecomunicacion.es'!H1431)&gt;0</f>
        <v>0</v>
      </c>
    </row>
    <row r="1432" spans="1:9">
      <c r="A1432" t="s">
        <v>5246</v>
      </c>
      <c r="B1432" t="s">
        <v>10</v>
      </c>
      <c r="C1432" t="s">
        <v>5247</v>
      </c>
      <c r="D1432" t="s">
        <v>5248</v>
      </c>
      <c r="E1432" t="s">
        <v>4736</v>
      </c>
      <c r="F1432" t="s">
        <v>28</v>
      </c>
      <c r="G1432" t="s">
        <v>5249</v>
      </c>
      <c r="H1432" t="s">
        <v>30</v>
      </c>
      <c r="I1432" t="b">
        <f>COUNTIF(Estadísticas!I:I,'centraldecomunicacion.es'!H1432)&gt;0</f>
        <v>0</v>
      </c>
    </row>
    <row r="1433" spans="1:9">
      <c r="A1433" t="s">
        <v>5250</v>
      </c>
      <c r="B1433" t="s">
        <v>10</v>
      </c>
      <c r="C1433" t="s">
        <v>5251</v>
      </c>
      <c r="D1433" t="s">
        <v>4972</v>
      </c>
      <c r="E1433" t="s">
        <v>4736</v>
      </c>
      <c r="F1433" t="s">
        <v>50</v>
      </c>
      <c r="G1433" t="s">
        <v>5252</v>
      </c>
      <c r="H1433" t="s">
        <v>30</v>
      </c>
      <c r="I1433" t="b">
        <f>COUNTIF(Estadísticas!I:I,'centraldecomunicacion.es'!H1433)&gt;0</f>
        <v>0</v>
      </c>
    </row>
    <row r="1434" spans="1:9">
      <c r="A1434" t="s">
        <v>5253</v>
      </c>
      <c r="B1434" t="s">
        <v>10</v>
      </c>
      <c r="C1434" t="s">
        <v>5254</v>
      </c>
      <c r="D1434" t="s">
        <v>5140</v>
      </c>
      <c r="E1434" t="s">
        <v>4736</v>
      </c>
      <c r="F1434" t="s">
        <v>5255</v>
      </c>
      <c r="G1434" t="s">
        <v>5256</v>
      </c>
      <c r="H1434" t="s">
        <v>30</v>
      </c>
      <c r="I1434" t="b">
        <f>COUNTIF(Estadísticas!I:I,'centraldecomunicacion.es'!H1434)&gt;0</f>
        <v>0</v>
      </c>
    </row>
    <row r="1435" spans="1:9">
      <c r="A1435" t="s">
        <v>5257</v>
      </c>
      <c r="B1435" t="s">
        <v>10</v>
      </c>
      <c r="C1435" t="s">
        <v>5258</v>
      </c>
      <c r="D1435" t="s">
        <v>4893</v>
      </c>
      <c r="E1435" t="s">
        <v>4736</v>
      </c>
      <c r="F1435" t="s">
        <v>28</v>
      </c>
      <c r="G1435" t="s">
        <v>5259</v>
      </c>
      <c r="H1435" t="s">
        <v>30</v>
      </c>
      <c r="I1435" t="b">
        <f>COUNTIF(Estadísticas!I:I,'centraldecomunicacion.es'!H1435)&gt;0</f>
        <v>0</v>
      </c>
    </row>
    <row r="1436" spans="1:9">
      <c r="A1436" t="s">
        <v>5260</v>
      </c>
      <c r="B1436" t="s">
        <v>10</v>
      </c>
      <c r="C1436" t="s">
        <v>5261</v>
      </c>
      <c r="D1436" t="s">
        <v>5262</v>
      </c>
      <c r="E1436" t="s">
        <v>4736</v>
      </c>
      <c r="F1436" t="s">
        <v>28</v>
      </c>
      <c r="G1436" t="s">
        <v>5263</v>
      </c>
      <c r="H1436" t="s">
        <v>30</v>
      </c>
      <c r="I1436" t="b">
        <f>COUNTIF(Estadísticas!I:I,'centraldecomunicacion.es'!H1436)&gt;0</f>
        <v>0</v>
      </c>
    </row>
    <row r="1437" spans="1:9">
      <c r="A1437" t="s">
        <v>5264</v>
      </c>
      <c r="B1437" t="s">
        <v>10</v>
      </c>
      <c r="C1437" t="s">
        <v>4864</v>
      </c>
      <c r="D1437" t="s">
        <v>4735</v>
      </c>
      <c r="E1437" t="s">
        <v>4736</v>
      </c>
      <c r="F1437" t="s">
        <v>28</v>
      </c>
      <c r="G1437" t="s">
        <v>28</v>
      </c>
      <c r="H1437" t="s">
        <v>30</v>
      </c>
      <c r="I1437" t="b">
        <f>COUNTIF(Estadísticas!I:I,'centraldecomunicacion.es'!H1437)&gt;0</f>
        <v>0</v>
      </c>
    </row>
    <row r="1438" spans="1:9">
      <c r="A1438" t="s">
        <v>5265</v>
      </c>
      <c r="B1438" t="s">
        <v>10</v>
      </c>
      <c r="C1438" t="s">
        <v>4876</v>
      </c>
      <c r="D1438" t="s">
        <v>4735</v>
      </c>
      <c r="E1438" t="s">
        <v>4736</v>
      </c>
      <c r="F1438" t="s">
        <v>4877</v>
      </c>
      <c r="G1438" t="s">
        <v>4878</v>
      </c>
      <c r="H1438" t="s">
        <v>4879</v>
      </c>
      <c r="I1438" t="b">
        <f>COUNTIF(Estadísticas!I:I,'centraldecomunicacion.es'!H1438)&gt;0</f>
        <v>1</v>
      </c>
    </row>
    <row r="1439" spans="1:9">
      <c r="A1439" t="s">
        <v>5266</v>
      </c>
      <c r="B1439" t="s">
        <v>10</v>
      </c>
      <c r="C1439" t="s">
        <v>28</v>
      </c>
      <c r="D1439" t="s">
        <v>4771</v>
      </c>
      <c r="E1439" t="s">
        <v>28</v>
      </c>
      <c r="F1439" t="s">
        <v>38</v>
      </c>
      <c r="G1439" t="s">
        <v>5267</v>
      </c>
      <c r="H1439" t="s">
        <v>30</v>
      </c>
      <c r="I1439" t="b">
        <f>COUNTIF(Estadísticas!I:I,'centraldecomunicacion.es'!H1439)&gt;0</f>
        <v>0</v>
      </c>
    </row>
    <row r="1440" spans="1:9">
      <c r="A1440" t="s">
        <v>4796</v>
      </c>
      <c r="B1440" t="s">
        <v>10</v>
      </c>
      <c r="C1440" t="s">
        <v>5268</v>
      </c>
      <c r="D1440" t="s">
        <v>5269</v>
      </c>
      <c r="E1440" t="s">
        <v>4736</v>
      </c>
      <c r="F1440" t="s">
        <v>4798</v>
      </c>
      <c r="G1440" t="s">
        <v>5270</v>
      </c>
      <c r="H1440" t="s">
        <v>4800</v>
      </c>
      <c r="I1440" t="b">
        <f>COUNTIF(Estadísticas!I:I,'centraldecomunicacion.es'!H1440)&gt;0</f>
        <v>0</v>
      </c>
    </row>
    <row r="1441" spans="1:9">
      <c r="A1441" t="s">
        <v>5271</v>
      </c>
      <c r="B1441" t="s">
        <v>10</v>
      </c>
      <c r="C1441" t="s">
        <v>5272</v>
      </c>
      <c r="D1441" t="s">
        <v>5079</v>
      </c>
      <c r="E1441" t="s">
        <v>4736</v>
      </c>
      <c r="F1441" t="s">
        <v>5273</v>
      </c>
      <c r="G1441" t="s">
        <v>5274</v>
      </c>
      <c r="H1441" t="s">
        <v>5275</v>
      </c>
      <c r="I1441" t="b">
        <f>COUNTIF(Estadísticas!I:I,'centraldecomunicacion.es'!H1441)&gt;0</f>
        <v>0</v>
      </c>
    </row>
    <row r="1442" spans="1:9">
      <c r="A1442" t="s">
        <v>5276</v>
      </c>
      <c r="B1442" t="s">
        <v>10</v>
      </c>
      <c r="C1442" t="s">
        <v>5277</v>
      </c>
      <c r="D1442" t="s">
        <v>4735</v>
      </c>
      <c r="E1442" t="s">
        <v>4736</v>
      </c>
      <c r="F1442" t="s">
        <v>28</v>
      </c>
      <c r="G1442" t="s">
        <v>5278</v>
      </c>
      <c r="H1442" t="s">
        <v>30</v>
      </c>
      <c r="I1442" t="b">
        <f>COUNTIF(Estadísticas!I:I,'centraldecomunicacion.es'!H1442)&gt;0</f>
        <v>0</v>
      </c>
    </row>
    <row r="1443" spans="1:9">
      <c r="A1443" t="s">
        <v>4062</v>
      </c>
      <c r="B1443" t="s">
        <v>10</v>
      </c>
      <c r="C1443" t="s">
        <v>5279</v>
      </c>
      <c r="D1443" t="s">
        <v>5280</v>
      </c>
      <c r="E1443" t="s">
        <v>4817</v>
      </c>
      <c r="F1443" t="s">
        <v>5281</v>
      </c>
      <c r="G1443" t="s">
        <v>5282</v>
      </c>
      <c r="H1443" t="s">
        <v>5283</v>
      </c>
      <c r="I1443" t="b">
        <f>COUNTIF(Estadísticas!I:I,'centraldecomunicacion.es'!H1443)&gt;0</f>
        <v>0</v>
      </c>
    </row>
    <row r="1444" spans="1:9">
      <c r="A1444" t="s">
        <v>5284</v>
      </c>
      <c r="B1444" t="s">
        <v>10</v>
      </c>
      <c r="C1444" t="s">
        <v>4828</v>
      </c>
      <c r="D1444" t="s">
        <v>4735</v>
      </c>
      <c r="E1444" t="s">
        <v>4736</v>
      </c>
      <c r="F1444" t="s">
        <v>5285</v>
      </c>
      <c r="G1444" t="s">
        <v>4830</v>
      </c>
      <c r="H1444" t="s">
        <v>30</v>
      </c>
      <c r="I1444" t="b">
        <f>COUNTIF(Estadísticas!I:I,'centraldecomunicacion.es'!H1444)&gt;0</f>
        <v>0</v>
      </c>
    </row>
    <row r="1445" spans="1:9">
      <c r="A1445" t="s">
        <v>5286</v>
      </c>
      <c r="B1445" t="s">
        <v>10</v>
      </c>
      <c r="C1445" t="s">
        <v>5287</v>
      </c>
      <c r="D1445" t="s">
        <v>5140</v>
      </c>
      <c r="E1445" t="s">
        <v>4817</v>
      </c>
      <c r="F1445" t="s">
        <v>5288</v>
      </c>
      <c r="G1445" t="s">
        <v>5289</v>
      </c>
      <c r="H1445" t="s">
        <v>5290</v>
      </c>
      <c r="I1445" t="b">
        <f>COUNTIF(Estadísticas!I:I,'centraldecomunicacion.es'!H1445)&gt;0</f>
        <v>0</v>
      </c>
    </row>
    <row r="1446" spans="1:9">
      <c r="A1446" t="s">
        <v>5291</v>
      </c>
      <c r="B1446" t="s">
        <v>10</v>
      </c>
      <c r="C1446" t="s">
        <v>5292</v>
      </c>
      <c r="D1446" t="s">
        <v>4735</v>
      </c>
      <c r="E1446" t="s">
        <v>4736</v>
      </c>
      <c r="F1446" t="s">
        <v>28</v>
      </c>
      <c r="G1446" t="s">
        <v>5293</v>
      </c>
      <c r="H1446" t="s">
        <v>30</v>
      </c>
      <c r="I1446" t="b">
        <f>COUNTIF(Estadísticas!I:I,'centraldecomunicacion.es'!H1446)&gt;0</f>
        <v>0</v>
      </c>
    </row>
    <row r="1447" spans="1:9">
      <c r="A1447" t="s">
        <v>5294</v>
      </c>
      <c r="B1447" t="s">
        <v>10</v>
      </c>
      <c r="C1447" t="s">
        <v>5295</v>
      </c>
      <c r="D1447" t="s">
        <v>4735</v>
      </c>
      <c r="E1447" t="s">
        <v>4735</v>
      </c>
      <c r="F1447" t="s">
        <v>28</v>
      </c>
      <c r="G1447" t="s">
        <v>5296</v>
      </c>
      <c r="H1447" t="s">
        <v>30</v>
      </c>
      <c r="I1447" t="b">
        <f>COUNTIF(Estadísticas!I:I,'centraldecomunicacion.es'!H1447)&gt;0</f>
        <v>0</v>
      </c>
    </row>
    <row r="1448" spans="1:9">
      <c r="A1448" t="s">
        <v>5297</v>
      </c>
      <c r="B1448" t="s">
        <v>10</v>
      </c>
      <c r="C1448" t="s">
        <v>5298</v>
      </c>
      <c r="D1448" t="s">
        <v>4735</v>
      </c>
      <c r="E1448" t="s">
        <v>4817</v>
      </c>
      <c r="F1448" t="s">
        <v>5299</v>
      </c>
      <c r="G1448" t="s">
        <v>5300</v>
      </c>
      <c r="H1448" t="s">
        <v>30</v>
      </c>
      <c r="I1448" t="b">
        <f>COUNTIF(Estadísticas!I:I,'centraldecomunicacion.es'!H1448)&gt;0</f>
        <v>0</v>
      </c>
    </row>
    <row r="1449" spans="1:9">
      <c r="A1449" t="s">
        <v>5301</v>
      </c>
      <c r="B1449" t="s">
        <v>10</v>
      </c>
      <c r="C1449" t="s">
        <v>5302</v>
      </c>
      <c r="D1449" t="s">
        <v>5157</v>
      </c>
      <c r="E1449" t="s">
        <v>4736</v>
      </c>
      <c r="F1449" t="s">
        <v>5303</v>
      </c>
      <c r="G1449" t="s">
        <v>5304</v>
      </c>
      <c r="H1449" t="s">
        <v>30</v>
      </c>
      <c r="I1449" t="b">
        <f>COUNTIF(Estadísticas!I:I,'centraldecomunicacion.es'!H1449)&gt;0</f>
        <v>0</v>
      </c>
    </row>
    <row r="1450" spans="1:9">
      <c r="A1450" t="s">
        <v>5305</v>
      </c>
      <c r="B1450" t="s">
        <v>10</v>
      </c>
      <c r="C1450" t="s">
        <v>5306</v>
      </c>
      <c r="D1450" t="s">
        <v>4792</v>
      </c>
      <c r="E1450" t="s">
        <v>4736</v>
      </c>
      <c r="F1450" t="s">
        <v>28</v>
      </c>
      <c r="G1450" t="s">
        <v>5123</v>
      </c>
      <c r="H1450" t="s">
        <v>30</v>
      </c>
      <c r="I1450" t="b">
        <f>COUNTIF(Estadísticas!I:I,'centraldecomunicacion.es'!H1450)&gt;0</f>
        <v>0</v>
      </c>
    </row>
    <row r="1451" spans="1:9">
      <c r="A1451" t="s">
        <v>5307</v>
      </c>
      <c r="B1451" t="s">
        <v>10</v>
      </c>
      <c r="C1451" t="s">
        <v>5308</v>
      </c>
      <c r="D1451" t="s">
        <v>5309</v>
      </c>
      <c r="E1451" t="s">
        <v>4817</v>
      </c>
      <c r="F1451" t="s">
        <v>5310</v>
      </c>
      <c r="G1451" t="s">
        <v>5311</v>
      </c>
      <c r="H1451" t="s">
        <v>5312</v>
      </c>
      <c r="I1451" t="b">
        <f>COUNTIF(Estadísticas!I:I,'centraldecomunicacion.es'!H1451)&gt;0</f>
        <v>1</v>
      </c>
    </row>
    <row r="1452" spans="1:9">
      <c r="A1452" t="s">
        <v>5313</v>
      </c>
      <c r="B1452" t="s">
        <v>10</v>
      </c>
      <c r="C1452" t="s">
        <v>5314</v>
      </c>
      <c r="D1452" t="s">
        <v>5140</v>
      </c>
      <c r="E1452" t="s">
        <v>5126</v>
      </c>
      <c r="F1452" t="s">
        <v>28</v>
      </c>
      <c r="G1452" t="s">
        <v>5289</v>
      </c>
      <c r="H1452" t="s">
        <v>30</v>
      </c>
      <c r="I1452" t="b">
        <f>COUNTIF(Estadísticas!I:I,'centraldecomunicacion.es'!H1452)&gt;0</f>
        <v>0</v>
      </c>
    </row>
    <row r="1453" spans="1:9">
      <c r="A1453" t="s">
        <v>5315</v>
      </c>
      <c r="B1453" t="s">
        <v>10</v>
      </c>
      <c r="C1453" t="s">
        <v>5316</v>
      </c>
      <c r="D1453" t="s">
        <v>5317</v>
      </c>
      <c r="E1453" t="s">
        <v>4817</v>
      </c>
      <c r="F1453" t="s">
        <v>642</v>
      </c>
      <c r="G1453" t="s">
        <v>5318</v>
      </c>
      <c r="H1453" t="s">
        <v>30</v>
      </c>
      <c r="I1453" t="b">
        <f>COUNTIF(Estadísticas!I:I,'centraldecomunicacion.es'!H1453)&gt;0</f>
        <v>0</v>
      </c>
    </row>
    <row r="1454" spans="1:9">
      <c r="A1454" t="s">
        <v>5319</v>
      </c>
      <c r="B1454" t="s">
        <v>10</v>
      </c>
      <c r="C1454" t="s">
        <v>5320</v>
      </c>
      <c r="D1454" t="s">
        <v>5321</v>
      </c>
      <c r="E1454" t="s">
        <v>5126</v>
      </c>
      <c r="F1454" t="s">
        <v>28</v>
      </c>
      <c r="G1454" t="s">
        <v>5322</v>
      </c>
      <c r="H1454" t="s">
        <v>30</v>
      </c>
      <c r="I1454" t="b">
        <f>COUNTIF(Estadísticas!I:I,'centraldecomunicacion.es'!H1454)&gt;0</f>
        <v>0</v>
      </c>
    </row>
    <row r="1455" spans="1:9">
      <c r="A1455" t="s">
        <v>5323</v>
      </c>
      <c r="B1455" t="s">
        <v>10</v>
      </c>
      <c r="C1455" t="s">
        <v>5324</v>
      </c>
      <c r="D1455" t="s">
        <v>4981</v>
      </c>
      <c r="E1455" t="s">
        <v>4817</v>
      </c>
      <c r="F1455" t="s">
        <v>5325</v>
      </c>
      <c r="G1455" t="s">
        <v>5326</v>
      </c>
      <c r="H1455" t="s">
        <v>5327</v>
      </c>
      <c r="I1455" t="b">
        <f>COUNTIF(Estadísticas!I:I,'centraldecomunicacion.es'!H1455)&gt;0</f>
        <v>0</v>
      </c>
    </row>
    <row r="1456" spans="1:9">
      <c r="A1456" t="s">
        <v>5328</v>
      </c>
      <c r="B1456" t="s">
        <v>10</v>
      </c>
      <c r="C1456" t="s">
        <v>5329</v>
      </c>
      <c r="D1456" t="s">
        <v>5330</v>
      </c>
      <c r="E1456" t="s">
        <v>5331</v>
      </c>
      <c r="F1456" t="s">
        <v>5332</v>
      </c>
      <c r="G1456" t="s">
        <v>5333</v>
      </c>
      <c r="H1456" t="s">
        <v>5334</v>
      </c>
      <c r="I1456" t="b">
        <f>COUNTIF(Estadísticas!I:I,'centraldecomunicacion.es'!H1456)&gt;0</f>
        <v>1</v>
      </c>
    </row>
    <row r="1457" spans="1:9">
      <c r="A1457" t="s">
        <v>5335</v>
      </c>
      <c r="B1457" t="s">
        <v>10</v>
      </c>
      <c r="C1457" t="s">
        <v>5336</v>
      </c>
      <c r="D1457" t="s">
        <v>5337</v>
      </c>
      <c r="E1457" t="s">
        <v>5331</v>
      </c>
      <c r="F1457" t="s">
        <v>5338</v>
      </c>
      <c r="G1457" t="s">
        <v>5339</v>
      </c>
      <c r="H1457" t="s">
        <v>30</v>
      </c>
      <c r="I1457" t="b">
        <f>COUNTIF(Estadísticas!I:I,'centraldecomunicacion.es'!H1457)&gt;0</f>
        <v>0</v>
      </c>
    </row>
    <row r="1458" spans="1:9">
      <c r="A1458" t="s">
        <v>5340</v>
      </c>
      <c r="B1458" t="s">
        <v>10</v>
      </c>
      <c r="C1458" t="s">
        <v>5341</v>
      </c>
      <c r="D1458" t="s">
        <v>5330</v>
      </c>
      <c r="E1458" t="s">
        <v>5331</v>
      </c>
      <c r="F1458" t="s">
        <v>5342</v>
      </c>
      <c r="G1458" t="s">
        <v>28</v>
      </c>
      <c r="H1458" t="s">
        <v>30</v>
      </c>
      <c r="I1458" t="b">
        <f>COUNTIF(Estadísticas!I:I,'centraldecomunicacion.es'!H1458)&gt;0</f>
        <v>0</v>
      </c>
    </row>
    <row r="1459" spans="1:9">
      <c r="A1459" t="s">
        <v>5343</v>
      </c>
      <c r="B1459" t="s">
        <v>10</v>
      </c>
      <c r="C1459" t="s">
        <v>5344</v>
      </c>
      <c r="D1459" t="s">
        <v>5330</v>
      </c>
      <c r="E1459" t="s">
        <v>5331</v>
      </c>
      <c r="F1459" t="s">
        <v>5345</v>
      </c>
      <c r="G1459" t="s">
        <v>5346</v>
      </c>
      <c r="H1459" t="s">
        <v>5347</v>
      </c>
      <c r="I1459" t="b">
        <f>COUNTIF(Estadísticas!I:I,'centraldecomunicacion.es'!H1459)&gt;0</f>
        <v>0</v>
      </c>
    </row>
    <row r="1460" spans="1:9">
      <c r="A1460" t="s">
        <v>5348</v>
      </c>
      <c r="B1460" t="s">
        <v>10</v>
      </c>
      <c r="C1460" t="s">
        <v>5349</v>
      </c>
      <c r="D1460" t="s">
        <v>5330</v>
      </c>
      <c r="E1460" t="s">
        <v>5331</v>
      </c>
      <c r="F1460" t="s">
        <v>5350</v>
      </c>
      <c r="G1460" t="s">
        <v>5351</v>
      </c>
      <c r="H1460" t="s">
        <v>30</v>
      </c>
      <c r="I1460" t="b">
        <f>COUNTIF(Estadísticas!I:I,'centraldecomunicacion.es'!H1460)&gt;0</f>
        <v>0</v>
      </c>
    </row>
    <row r="1461" spans="1:9">
      <c r="A1461" t="s">
        <v>5352</v>
      </c>
      <c r="B1461" t="s">
        <v>10</v>
      </c>
      <c r="C1461" t="s">
        <v>5353</v>
      </c>
      <c r="D1461" t="s">
        <v>5330</v>
      </c>
      <c r="E1461" t="s">
        <v>5331</v>
      </c>
      <c r="F1461" t="s">
        <v>5354</v>
      </c>
      <c r="G1461" t="s">
        <v>5355</v>
      </c>
      <c r="H1461" t="s">
        <v>5356</v>
      </c>
      <c r="I1461" t="b">
        <f>COUNTIF(Estadísticas!I:I,'centraldecomunicacion.es'!H1461)&gt;0</f>
        <v>1</v>
      </c>
    </row>
    <row r="1462" spans="1:9">
      <c r="A1462" t="s">
        <v>5357</v>
      </c>
      <c r="B1462" t="s">
        <v>10</v>
      </c>
      <c r="C1462" t="s">
        <v>5358</v>
      </c>
      <c r="D1462" t="s">
        <v>5330</v>
      </c>
      <c r="E1462" t="s">
        <v>5331</v>
      </c>
      <c r="F1462" t="s">
        <v>5359</v>
      </c>
      <c r="G1462" t="s">
        <v>5360</v>
      </c>
      <c r="H1462" t="s">
        <v>30</v>
      </c>
      <c r="I1462" t="b">
        <f>COUNTIF(Estadísticas!I:I,'centraldecomunicacion.es'!H1462)&gt;0</f>
        <v>0</v>
      </c>
    </row>
    <row r="1463" spans="1:9">
      <c r="A1463" t="s">
        <v>5361</v>
      </c>
      <c r="B1463" t="s">
        <v>10</v>
      </c>
      <c r="C1463" t="s">
        <v>5362</v>
      </c>
      <c r="D1463" t="s">
        <v>5330</v>
      </c>
      <c r="E1463" t="s">
        <v>5331</v>
      </c>
      <c r="F1463" t="s">
        <v>50</v>
      </c>
      <c r="G1463" t="s">
        <v>5363</v>
      </c>
      <c r="H1463" t="s">
        <v>30</v>
      </c>
      <c r="I1463" t="b">
        <f>COUNTIF(Estadísticas!I:I,'centraldecomunicacion.es'!H1463)&gt;0</f>
        <v>0</v>
      </c>
    </row>
    <row r="1464" spans="1:9">
      <c r="A1464" t="s">
        <v>5364</v>
      </c>
      <c r="B1464" t="s">
        <v>10</v>
      </c>
      <c r="C1464" t="s">
        <v>5365</v>
      </c>
      <c r="D1464" t="s">
        <v>5330</v>
      </c>
      <c r="E1464" t="s">
        <v>5331</v>
      </c>
      <c r="F1464" t="s">
        <v>5366</v>
      </c>
      <c r="G1464" t="s">
        <v>5367</v>
      </c>
      <c r="H1464" t="s">
        <v>5368</v>
      </c>
      <c r="I1464" t="b">
        <f>COUNTIF(Estadísticas!I:I,'centraldecomunicacion.es'!H1464)&gt;0</f>
        <v>0</v>
      </c>
    </row>
    <row r="1465" spans="1:9">
      <c r="A1465" t="s">
        <v>5369</v>
      </c>
      <c r="B1465" t="s">
        <v>10</v>
      </c>
      <c r="C1465" t="s">
        <v>5370</v>
      </c>
      <c r="D1465" t="s">
        <v>5330</v>
      </c>
      <c r="E1465" t="s">
        <v>5331</v>
      </c>
      <c r="F1465" t="s">
        <v>5371</v>
      </c>
      <c r="G1465" t="s">
        <v>5372</v>
      </c>
      <c r="H1465" t="s">
        <v>30</v>
      </c>
      <c r="I1465" t="b">
        <f>COUNTIF(Estadísticas!I:I,'centraldecomunicacion.es'!H1465)&gt;0</f>
        <v>0</v>
      </c>
    </row>
    <row r="1466" spans="1:9">
      <c r="A1466" t="s">
        <v>5373</v>
      </c>
      <c r="B1466" t="s">
        <v>10</v>
      </c>
      <c r="C1466" t="s">
        <v>5374</v>
      </c>
      <c r="D1466" t="s">
        <v>5330</v>
      </c>
      <c r="E1466" t="s">
        <v>5330</v>
      </c>
      <c r="F1466" t="s">
        <v>28</v>
      </c>
      <c r="G1466" t="s">
        <v>28</v>
      </c>
      <c r="H1466" t="s">
        <v>30</v>
      </c>
      <c r="I1466" t="b">
        <f>COUNTIF(Estadísticas!I:I,'centraldecomunicacion.es'!H1466)&gt;0</f>
        <v>0</v>
      </c>
    </row>
    <row r="1467" spans="1:9">
      <c r="A1467" t="s">
        <v>5375</v>
      </c>
      <c r="B1467" t="s">
        <v>10</v>
      </c>
      <c r="C1467" t="s">
        <v>5376</v>
      </c>
      <c r="D1467" t="s">
        <v>5330</v>
      </c>
      <c r="E1467" t="s">
        <v>5331</v>
      </c>
      <c r="F1467" t="s">
        <v>5377</v>
      </c>
      <c r="G1467" t="s">
        <v>5378</v>
      </c>
      <c r="H1467" t="s">
        <v>30</v>
      </c>
      <c r="I1467" t="b">
        <f>COUNTIF(Estadísticas!I:I,'centraldecomunicacion.es'!H1467)&gt;0</f>
        <v>0</v>
      </c>
    </row>
    <row r="1468" spans="1:9">
      <c r="A1468" t="s">
        <v>5379</v>
      </c>
      <c r="B1468" t="s">
        <v>10</v>
      </c>
      <c r="C1468" t="s">
        <v>5380</v>
      </c>
      <c r="D1468" t="s">
        <v>5330</v>
      </c>
      <c r="E1468" t="s">
        <v>5331</v>
      </c>
      <c r="F1468" t="s">
        <v>28</v>
      </c>
      <c r="G1468" t="s">
        <v>5381</v>
      </c>
      <c r="H1468" t="s">
        <v>30</v>
      </c>
      <c r="I1468" t="b">
        <f>COUNTIF(Estadísticas!I:I,'centraldecomunicacion.es'!H1468)&gt;0</f>
        <v>0</v>
      </c>
    </row>
    <row r="1469" spans="1:9">
      <c r="A1469" t="s">
        <v>5382</v>
      </c>
      <c r="B1469" t="s">
        <v>10</v>
      </c>
      <c r="C1469" t="s">
        <v>5383</v>
      </c>
      <c r="D1469" t="s">
        <v>5330</v>
      </c>
      <c r="E1469" t="s">
        <v>5331</v>
      </c>
      <c r="F1469" t="s">
        <v>28</v>
      </c>
      <c r="G1469" t="s">
        <v>5384</v>
      </c>
      <c r="H1469" t="s">
        <v>30</v>
      </c>
      <c r="I1469" t="b">
        <f>COUNTIF(Estadísticas!I:I,'centraldecomunicacion.es'!H1469)&gt;0</f>
        <v>0</v>
      </c>
    </row>
    <row r="1470" spans="1:9">
      <c r="A1470" t="s">
        <v>5385</v>
      </c>
      <c r="B1470" t="s">
        <v>10</v>
      </c>
      <c r="C1470" t="s">
        <v>5386</v>
      </c>
      <c r="D1470" t="s">
        <v>5330</v>
      </c>
      <c r="E1470" t="s">
        <v>5331</v>
      </c>
      <c r="F1470" t="s">
        <v>28</v>
      </c>
      <c r="G1470" t="s">
        <v>5387</v>
      </c>
      <c r="H1470" t="s">
        <v>30</v>
      </c>
      <c r="I1470" t="b">
        <f>COUNTIF(Estadísticas!I:I,'centraldecomunicacion.es'!H1470)&gt;0</f>
        <v>0</v>
      </c>
    </row>
    <row r="1471" spans="1:9">
      <c r="A1471" t="s">
        <v>5388</v>
      </c>
      <c r="B1471" t="s">
        <v>10</v>
      </c>
      <c r="C1471" t="s">
        <v>5389</v>
      </c>
      <c r="D1471" t="s">
        <v>5330</v>
      </c>
      <c r="E1471" t="s">
        <v>5331</v>
      </c>
      <c r="F1471" t="s">
        <v>5388</v>
      </c>
      <c r="G1471" t="s">
        <v>5390</v>
      </c>
      <c r="H1471" t="s">
        <v>5391</v>
      </c>
      <c r="I1471" t="b">
        <f>COUNTIF(Estadísticas!I:I,'centraldecomunicacion.es'!H1471)&gt;0</f>
        <v>0</v>
      </c>
    </row>
    <row r="1472" spans="1:9">
      <c r="A1472" t="s">
        <v>5392</v>
      </c>
      <c r="B1472" t="s">
        <v>10</v>
      </c>
      <c r="C1472" t="s">
        <v>5393</v>
      </c>
      <c r="D1472" t="s">
        <v>5330</v>
      </c>
      <c r="E1472" t="s">
        <v>5331</v>
      </c>
      <c r="F1472" t="s">
        <v>5394</v>
      </c>
      <c r="G1472" t="s">
        <v>5395</v>
      </c>
      <c r="H1472" t="s">
        <v>5396</v>
      </c>
      <c r="I1472" t="b">
        <f>COUNTIF(Estadísticas!I:I,'centraldecomunicacion.es'!H1472)&gt;0</f>
        <v>0</v>
      </c>
    </row>
    <row r="1473" spans="1:9">
      <c r="A1473" t="s">
        <v>5397</v>
      </c>
      <c r="B1473" t="s">
        <v>10</v>
      </c>
      <c r="C1473" t="s">
        <v>5398</v>
      </c>
      <c r="D1473" t="s">
        <v>5330</v>
      </c>
      <c r="E1473" t="s">
        <v>5331</v>
      </c>
      <c r="F1473" t="s">
        <v>5399</v>
      </c>
      <c r="G1473" t="s">
        <v>5400</v>
      </c>
      <c r="H1473" t="s">
        <v>691</v>
      </c>
      <c r="I1473" t="b">
        <f>COUNTIF(Estadísticas!I:I,'centraldecomunicacion.es'!H1473)&gt;0</f>
        <v>0</v>
      </c>
    </row>
    <row r="1474" spans="1:9">
      <c r="A1474" t="s">
        <v>5401</v>
      </c>
      <c r="B1474" t="s">
        <v>10</v>
      </c>
      <c r="C1474" t="s">
        <v>5402</v>
      </c>
      <c r="D1474" t="s">
        <v>5330</v>
      </c>
      <c r="E1474" t="s">
        <v>5330</v>
      </c>
      <c r="F1474" t="s">
        <v>5403</v>
      </c>
      <c r="G1474" t="s">
        <v>5404</v>
      </c>
      <c r="H1474" t="s">
        <v>30</v>
      </c>
      <c r="I1474" t="b">
        <f>COUNTIF(Estadísticas!I:I,'centraldecomunicacion.es'!H1474)&gt;0</f>
        <v>0</v>
      </c>
    </row>
    <row r="1475" spans="1:9">
      <c r="A1475" t="s">
        <v>5405</v>
      </c>
      <c r="B1475" t="s">
        <v>10</v>
      </c>
      <c r="C1475" t="s">
        <v>5406</v>
      </c>
      <c r="D1475" t="s">
        <v>5407</v>
      </c>
      <c r="E1475" t="s">
        <v>5331</v>
      </c>
      <c r="F1475" t="s">
        <v>5408</v>
      </c>
      <c r="G1475" t="s">
        <v>5409</v>
      </c>
      <c r="H1475" t="s">
        <v>5410</v>
      </c>
      <c r="I1475" t="b">
        <f>COUNTIF(Estadísticas!I:I,'centraldecomunicacion.es'!H1475)&gt;0</f>
        <v>1</v>
      </c>
    </row>
    <row r="1476" spans="1:9">
      <c r="A1476" t="s">
        <v>5411</v>
      </c>
      <c r="B1476" t="s">
        <v>10</v>
      </c>
      <c r="C1476" t="s">
        <v>5412</v>
      </c>
      <c r="D1476" t="s">
        <v>5330</v>
      </c>
      <c r="E1476" t="s">
        <v>5331</v>
      </c>
      <c r="F1476" t="s">
        <v>5413</v>
      </c>
      <c r="G1476" t="s">
        <v>5414</v>
      </c>
      <c r="H1476" t="s">
        <v>30</v>
      </c>
      <c r="I1476" t="b">
        <f>COUNTIF(Estadísticas!I:I,'centraldecomunicacion.es'!H1476)&gt;0</f>
        <v>0</v>
      </c>
    </row>
    <row r="1477" spans="1:9">
      <c r="A1477" t="s">
        <v>5415</v>
      </c>
      <c r="B1477" t="s">
        <v>10</v>
      </c>
      <c r="C1477" t="s">
        <v>5416</v>
      </c>
      <c r="D1477" t="s">
        <v>5330</v>
      </c>
      <c r="E1477" t="s">
        <v>5331</v>
      </c>
      <c r="F1477" t="s">
        <v>5417</v>
      </c>
      <c r="G1477" t="s">
        <v>5418</v>
      </c>
      <c r="H1477" t="s">
        <v>5419</v>
      </c>
      <c r="I1477" t="b">
        <f>COUNTIF(Estadísticas!I:I,'centraldecomunicacion.es'!H1477)&gt;0</f>
        <v>1</v>
      </c>
    </row>
    <row r="1478" spans="1:9">
      <c r="A1478" t="s">
        <v>1037</v>
      </c>
      <c r="B1478" t="s">
        <v>10</v>
      </c>
      <c r="C1478" t="s">
        <v>5420</v>
      </c>
      <c r="D1478" t="s">
        <v>5330</v>
      </c>
      <c r="E1478" t="s">
        <v>5331</v>
      </c>
      <c r="F1478" t="s">
        <v>28</v>
      </c>
      <c r="G1478" t="s">
        <v>5421</v>
      </c>
      <c r="H1478" t="s">
        <v>30</v>
      </c>
      <c r="I1478" t="b">
        <f>COUNTIF(Estadísticas!I:I,'centraldecomunicacion.es'!H1478)&gt;0</f>
        <v>0</v>
      </c>
    </row>
    <row r="1479" spans="1:9">
      <c r="A1479" t="s">
        <v>5422</v>
      </c>
      <c r="B1479" t="s">
        <v>10</v>
      </c>
      <c r="C1479" t="s">
        <v>5423</v>
      </c>
      <c r="D1479" t="s">
        <v>5330</v>
      </c>
      <c r="E1479" t="s">
        <v>5331</v>
      </c>
      <c r="F1479" t="s">
        <v>28</v>
      </c>
      <c r="G1479" t="s">
        <v>5424</v>
      </c>
      <c r="H1479" t="s">
        <v>30</v>
      </c>
      <c r="I1479" t="b">
        <f>COUNTIF(Estadísticas!I:I,'centraldecomunicacion.es'!H1479)&gt;0</f>
        <v>0</v>
      </c>
    </row>
    <row r="1480" spans="1:9">
      <c r="A1480" t="s">
        <v>5425</v>
      </c>
      <c r="B1480" t="s">
        <v>10</v>
      </c>
      <c r="C1480" t="s">
        <v>5426</v>
      </c>
      <c r="D1480" t="s">
        <v>5427</v>
      </c>
      <c r="E1480" t="s">
        <v>5331</v>
      </c>
      <c r="F1480" t="s">
        <v>5428</v>
      </c>
      <c r="G1480" t="s">
        <v>5429</v>
      </c>
      <c r="H1480" t="s">
        <v>30</v>
      </c>
      <c r="I1480" t="b">
        <f>COUNTIF(Estadísticas!I:I,'centraldecomunicacion.es'!H1480)&gt;0</f>
        <v>0</v>
      </c>
    </row>
    <row r="1481" spans="1:9">
      <c r="A1481" t="s">
        <v>5430</v>
      </c>
      <c r="B1481" t="s">
        <v>10</v>
      </c>
      <c r="C1481" t="s">
        <v>5431</v>
      </c>
      <c r="D1481" t="s">
        <v>5432</v>
      </c>
      <c r="E1481" t="s">
        <v>5331</v>
      </c>
      <c r="F1481" t="s">
        <v>50</v>
      </c>
      <c r="G1481" t="s">
        <v>5433</v>
      </c>
      <c r="H1481" t="s">
        <v>30</v>
      </c>
      <c r="I1481" t="b">
        <f>COUNTIF(Estadísticas!I:I,'centraldecomunicacion.es'!H1481)&gt;0</f>
        <v>0</v>
      </c>
    </row>
    <row r="1482" spans="1:9">
      <c r="A1482" t="s">
        <v>5434</v>
      </c>
      <c r="B1482" t="s">
        <v>10</v>
      </c>
      <c r="C1482" t="s">
        <v>5435</v>
      </c>
      <c r="D1482" t="s">
        <v>5330</v>
      </c>
      <c r="E1482" t="s">
        <v>5331</v>
      </c>
      <c r="F1482" t="s">
        <v>28</v>
      </c>
      <c r="G1482" t="s">
        <v>5436</v>
      </c>
      <c r="H1482" t="s">
        <v>30</v>
      </c>
      <c r="I1482" t="b">
        <f>COUNTIF(Estadísticas!I:I,'centraldecomunicacion.es'!H1482)&gt;0</f>
        <v>0</v>
      </c>
    </row>
    <row r="1483" spans="1:9">
      <c r="A1483" t="s">
        <v>5437</v>
      </c>
      <c r="B1483" t="s">
        <v>10</v>
      </c>
      <c r="C1483" t="s">
        <v>5438</v>
      </c>
      <c r="D1483" t="s">
        <v>5330</v>
      </c>
      <c r="E1483" t="s">
        <v>5331</v>
      </c>
      <c r="F1483" t="s">
        <v>28</v>
      </c>
      <c r="G1483" t="s">
        <v>5439</v>
      </c>
      <c r="H1483" t="s">
        <v>30</v>
      </c>
      <c r="I1483" t="b">
        <f>COUNTIF(Estadísticas!I:I,'centraldecomunicacion.es'!H1483)&gt;0</f>
        <v>0</v>
      </c>
    </row>
    <row r="1484" spans="1:9">
      <c r="A1484" t="s">
        <v>5440</v>
      </c>
      <c r="B1484" t="s">
        <v>10</v>
      </c>
      <c r="C1484" t="s">
        <v>5441</v>
      </c>
      <c r="D1484" t="s">
        <v>5330</v>
      </c>
      <c r="E1484" t="s">
        <v>5331</v>
      </c>
      <c r="F1484" t="s">
        <v>28</v>
      </c>
      <c r="G1484" t="s">
        <v>5442</v>
      </c>
      <c r="H1484" t="s">
        <v>30</v>
      </c>
      <c r="I1484" t="b">
        <f>COUNTIF(Estadísticas!I:I,'centraldecomunicacion.es'!H1484)&gt;0</f>
        <v>0</v>
      </c>
    </row>
    <row r="1485" spans="1:9">
      <c r="A1485" t="s">
        <v>5443</v>
      </c>
      <c r="B1485" t="s">
        <v>10</v>
      </c>
      <c r="C1485" t="s">
        <v>5444</v>
      </c>
      <c r="D1485" t="s">
        <v>5330</v>
      </c>
      <c r="E1485" t="s">
        <v>5331</v>
      </c>
      <c r="F1485" t="s">
        <v>5445</v>
      </c>
      <c r="G1485" t="s">
        <v>5446</v>
      </c>
      <c r="H1485" t="s">
        <v>30</v>
      </c>
      <c r="I1485" t="b">
        <f>COUNTIF(Estadísticas!I:I,'centraldecomunicacion.es'!H1485)&gt;0</f>
        <v>0</v>
      </c>
    </row>
    <row r="1486" spans="1:9">
      <c r="A1486" t="s">
        <v>5447</v>
      </c>
      <c r="B1486" t="s">
        <v>10</v>
      </c>
      <c r="C1486" t="s">
        <v>5448</v>
      </c>
      <c r="D1486" t="s">
        <v>5449</v>
      </c>
      <c r="E1486" t="s">
        <v>5331</v>
      </c>
      <c r="F1486" t="s">
        <v>28</v>
      </c>
      <c r="G1486" t="s">
        <v>5450</v>
      </c>
      <c r="H1486" t="s">
        <v>30</v>
      </c>
      <c r="I1486" t="b">
        <f>COUNTIF(Estadísticas!I:I,'centraldecomunicacion.es'!H1486)&gt;0</f>
        <v>0</v>
      </c>
    </row>
    <row r="1487" spans="1:9">
      <c r="A1487" t="s">
        <v>5451</v>
      </c>
      <c r="B1487" t="s">
        <v>10</v>
      </c>
      <c r="C1487" t="s">
        <v>5452</v>
      </c>
      <c r="D1487" t="s">
        <v>5453</v>
      </c>
      <c r="E1487" t="s">
        <v>5331</v>
      </c>
      <c r="F1487" t="s">
        <v>28</v>
      </c>
      <c r="G1487" t="s">
        <v>5454</v>
      </c>
      <c r="H1487" t="s">
        <v>30</v>
      </c>
      <c r="I1487" t="b">
        <f>COUNTIF(Estadísticas!I:I,'centraldecomunicacion.es'!H1487)&gt;0</f>
        <v>0</v>
      </c>
    </row>
    <row r="1488" spans="1:9">
      <c r="A1488" t="s">
        <v>5455</v>
      </c>
      <c r="B1488" t="s">
        <v>10</v>
      </c>
      <c r="C1488" t="s">
        <v>5456</v>
      </c>
      <c r="D1488" t="s">
        <v>5457</v>
      </c>
      <c r="E1488" t="s">
        <v>5331</v>
      </c>
      <c r="F1488" t="s">
        <v>28</v>
      </c>
      <c r="G1488" t="s">
        <v>5458</v>
      </c>
      <c r="H1488" t="s">
        <v>30</v>
      </c>
      <c r="I1488" t="b">
        <f>COUNTIF(Estadísticas!I:I,'centraldecomunicacion.es'!H1488)&gt;0</f>
        <v>0</v>
      </c>
    </row>
    <row r="1489" spans="1:9">
      <c r="A1489" t="s">
        <v>5459</v>
      </c>
      <c r="B1489" t="s">
        <v>10</v>
      </c>
      <c r="C1489" t="s">
        <v>5460</v>
      </c>
      <c r="D1489" t="s">
        <v>5461</v>
      </c>
      <c r="E1489" t="s">
        <v>5331</v>
      </c>
      <c r="F1489" t="s">
        <v>28</v>
      </c>
      <c r="G1489" t="s">
        <v>5462</v>
      </c>
      <c r="H1489" t="s">
        <v>30</v>
      </c>
      <c r="I1489" t="b">
        <f>COUNTIF(Estadísticas!I:I,'centraldecomunicacion.es'!H1489)&gt;0</f>
        <v>0</v>
      </c>
    </row>
    <row r="1490" spans="1:9">
      <c r="A1490" t="s">
        <v>5463</v>
      </c>
      <c r="B1490" t="s">
        <v>10</v>
      </c>
      <c r="C1490" t="s">
        <v>5464</v>
      </c>
      <c r="D1490" t="s">
        <v>5465</v>
      </c>
      <c r="E1490" t="s">
        <v>5331</v>
      </c>
      <c r="F1490" t="s">
        <v>28</v>
      </c>
      <c r="G1490" t="s">
        <v>5466</v>
      </c>
      <c r="H1490" t="s">
        <v>30</v>
      </c>
      <c r="I1490" t="b">
        <f>COUNTIF(Estadísticas!I:I,'centraldecomunicacion.es'!H1490)&gt;0</f>
        <v>0</v>
      </c>
    </row>
    <row r="1491" spans="1:9">
      <c r="A1491" t="s">
        <v>5467</v>
      </c>
      <c r="B1491" t="s">
        <v>10</v>
      </c>
      <c r="C1491" t="s">
        <v>5468</v>
      </c>
      <c r="D1491" t="s">
        <v>5469</v>
      </c>
      <c r="E1491" t="s">
        <v>5331</v>
      </c>
      <c r="F1491" t="s">
        <v>28</v>
      </c>
      <c r="G1491" t="s">
        <v>5470</v>
      </c>
      <c r="H1491" t="s">
        <v>30</v>
      </c>
      <c r="I1491" t="b">
        <f>COUNTIF(Estadísticas!I:I,'centraldecomunicacion.es'!H1491)&gt;0</f>
        <v>0</v>
      </c>
    </row>
    <row r="1492" spans="1:9">
      <c r="A1492" t="s">
        <v>5471</v>
      </c>
      <c r="B1492" t="s">
        <v>10</v>
      </c>
      <c r="C1492" t="s">
        <v>5472</v>
      </c>
      <c r="D1492" t="s">
        <v>5473</v>
      </c>
      <c r="E1492" t="s">
        <v>5331</v>
      </c>
      <c r="F1492" t="s">
        <v>28</v>
      </c>
      <c r="G1492" t="s">
        <v>5474</v>
      </c>
      <c r="H1492" t="s">
        <v>30</v>
      </c>
      <c r="I1492" t="b">
        <f>COUNTIF(Estadísticas!I:I,'centraldecomunicacion.es'!H1492)&gt;0</f>
        <v>0</v>
      </c>
    </row>
    <row r="1493" spans="1:9">
      <c r="A1493" t="s">
        <v>5475</v>
      </c>
      <c r="B1493" t="s">
        <v>10</v>
      </c>
      <c r="C1493" t="s">
        <v>5476</v>
      </c>
      <c r="D1493" t="s">
        <v>5477</v>
      </c>
      <c r="E1493" t="s">
        <v>5331</v>
      </c>
      <c r="F1493" t="s">
        <v>28</v>
      </c>
      <c r="G1493" t="s">
        <v>5478</v>
      </c>
      <c r="H1493" t="s">
        <v>30</v>
      </c>
      <c r="I1493" t="b">
        <f>COUNTIF(Estadísticas!I:I,'centraldecomunicacion.es'!H1493)&gt;0</f>
        <v>0</v>
      </c>
    </row>
    <row r="1494" spans="1:9">
      <c r="A1494" t="s">
        <v>5479</v>
      </c>
      <c r="B1494" t="s">
        <v>10</v>
      </c>
      <c r="C1494" t="s">
        <v>5480</v>
      </c>
      <c r="D1494" t="s">
        <v>5473</v>
      </c>
      <c r="E1494" t="s">
        <v>5331</v>
      </c>
      <c r="F1494" t="s">
        <v>28</v>
      </c>
      <c r="G1494" t="s">
        <v>5481</v>
      </c>
      <c r="H1494" t="s">
        <v>30</v>
      </c>
      <c r="I1494" t="b">
        <f>COUNTIF(Estadísticas!I:I,'centraldecomunicacion.es'!H1494)&gt;0</f>
        <v>0</v>
      </c>
    </row>
    <row r="1495" spans="1:9">
      <c r="A1495" t="s">
        <v>5482</v>
      </c>
      <c r="B1495" t="s">
        <v>10</v>
      </c>
      <c r="C1495" t="s">
        <v>5483</v>
      </c>
      <c r="D1495" t="s">
        <v>5484</v>
      </c>
      <c r="E1495" t="s">
        <v>5331</v>
      </c>
      <c r="F1495" t="s">
        <v>28</v>
      </c>
      <c r="G1495" t="s">
        <v>5485</v>
      </c>
      <c r="H1495" t="s">
        <v>30</v>
      </c>
      <c r="I1495" t="b">
        <f>COUNTIF(Estadísticas!I:I,'centraldecomunicacion.es'!H1495)&gt;0</f>
        <v>0</v>
      </c>
    </row>
    <row r="1496" spans="1:9">
      <c r="A1496" t="s">
        <v>5486</v>
      </c>
      <c r="B1496" t="s">
        <v>10</v>
      </c>
      <c r="C1496" t="s">
        <v>5487</v>
      </c>
      <c r="D1496" t="s">
        <v>5488</v>
      </c>
      <c r="E1496" t="s">
        <v>5331</v>
      </c>
      <c r="F1496" t="s">
        <v>28</v>
      </c>
      <c r="G1496" t="s">
        <v>5489</v>
      </c>
      <c r="H1496" t="s">
        <v>30</v>
      </c>
      <c r="I1496" t="b">
        <f>COUNTIF(Estadísticas!I:I,'centraldecomunicacion.es'!H1496)&gt;0</f>
        <v>0</v>
      </c>
    </row>
    <row r="1497" spans="1:9">
      <c r="A1497" t="s">
        <v>5490</v>
      </c>
      <c r="B1497" t="s">
        <v>10</v>
      </c>
      <c r="C1497" t="s">
        <v>5491</v>
      </c>
      <c r="D1497" t="s">
        <v>5484</v>
      </c>
      <c r="E1497" t="s">
        <v>5331</v>
      </c>
      <c r="F1497" t="s">
        <v>5492</v>
      </c>
      <c r="G1497" t="s">
        <v>5493</v>
      </c>
      <c r="H1497" t="s">
        <v>5494</v>
      </c>
      <c r="I1497" t="b">
        <f>COUNTIF(Estadísticas!I:I,'centraldecomunicacion.es'!H1497)&gt;0</f>
        <v>1</v>
      </c>
    </row>
    <row r="1498" spans="1:9">
      <c r="A1498" t="s">
        <v>5495</v>
      </c>
      <c r="B1498" t="s">
        <v>10</v>
      </c>
      <c r="C1498" t="s">
        <v>5496</v>
      </c>
      <c r="D1498" t="s">
        <v>5497</v>
      </c>
      <c r="E1498" t="s">
        <v>5331</v>
      </c>
      <c r="F1498" t="s">
        <v>28</v>
      </c>
      <c r="G1498" t="s">
        <v>5498</v>
      </c>
      <c r="H1498" t="s">
        <v>30</v>
      </c>
      <c r="I1498" t="b">
        <f>COUNTIF(Estadísticas!I:I,'centraldecomunicacion.es'!H1498)&gt;0</f>
        <v>0</v>
      </c>
    </row>
    <row r="1499" spans="1:9">
      <c r="A1499" t="s">
        <v>5499</v>
      </c>
      <c r="B1499" t="s">
        <v>10</v>
      </c>
      <c r="C1499" t="s">
        <v>5500</v>
      </c>
      <c r="D1499" t="s">
        <v>5477</v>
      </c>
      <c r="E1499" t="s">
        <v>5331</v>
      </c>
      <c r="F1499" t="s">
        <v>50</v>
      </c>
      <c r="G1499" t="s">
        <v>5501</v>
      </c>
      <c r="H1499" t="s">
        <v>30</v>
      </c>
      <c r="I1499" t="b">
        <f>COUNTIF(Estadísticas!I:I,'centraldecomunicacion.es'!H1499)&gt;0</f>
        <v>0</v>
      </c>
    </row>
    <row r="1500" spans="1:9">
      <c r="A1500" t="s">
        <v>5502</v>
      </c>
      <c r="B1500" t="s">
        <v>10</v>
      </c>
      <c r="C1500" t="s">
        <v>5503</v>
      </c>
      <c r="D1500" t="s">
        <v>5488</v>
      </c>
      <c r="E1500" t="s">
        <v>5331</v>
      </c>
      <c r="F1500" t="s">
        <v>28</v>
      </c>
      <c r="G1500" t="s">
        <v>5504</v>
      </c>
      <c r="H1500" t="s">
        <v>30</v>
      </c>
      <c r="I1500" t="b">
        <f>COUNTIF(Estadísticas!I:I,'centraldecomunicacion.es'!H1500)&gt;0</f>
        <v>0</v>
      </c>
    </row>
    <row r="1501" spans="1:9">
      <c r="A1501" t="s">
        <v>5505</v>
      </c>
      <c r="B1501" t="s">
        <v>10</v>
      </c>
      <c r="C1501" t="s">
        <v>5506</v>
      </c>
      <c r="D1501" t="s">
        <v>5461</v>
      </c>
      <c r="E1501" t="s">
        <v>5331</v>
      </c>
      <c r="F1501" t="s">
        <v>28</v>
      </c>
      <c r="G1501" t="s">
        <v>5507</v>
      </c>
      <c r="H1501" t="s">
        <v>30</v>
      </c>
      <c r="I1501" t="b">
        <f>COUNTIF(Estadísticas!I:I,'centraldecomunicacion.es'!H1501)&gt;0</f>
        <v>0</v>
      </c>
    </row>
    <row r="1502" spans="1:9">
      <c r="A1502" t="s">
        <v>5508</v>
      </c>
      <c r="B1502" t="s">
        <v>10</v>
      </c>
      <c r="C1502" t="s">
        <v>5509</v>
      </c>
      <c r="D1502" t="s">
        <v>5484</v>
      </c>
      <c r="E1502" t="s">
        <v>5331</v>
      </c>
      <c r="F1502" t="s">
        <v>28</v>
      </c>
      <c r="G1502" t="s">
        <v>5510</v>
      </c>
      <c r="H1502" t="s">
        <v>30</v>
      </c>
      <c r="I1502" t="b">
        <f>COUNTIF(Estadísticas!I:I,'centraldecomunicacion.es'!H1502)&gt;0</f>
        <v>0</v>
      </c>
    </row>
    <row r="1503" spans="1:9">
      <c r="A1503" t="s">
        <v>5511</v>
      </c>
      <c r="B1503" t="s">
        <v>10</v>
      </c>
      <c r="C1503" t="s">
        <v>5512</v>
      </c>
      <c r="D1503" t="s">
        <v>5513</v>
      </c>
      <c r="E1503" t="s">
        <v>5331</v>
      </c>
      <c r="F1503" t="s">
        <v>28</v>
      </c>
      <c r="G1503" t="s">
        <v>5514</v>
      </c>
      <c r="H1503" t="s">
        <v>30</v>
      </c>
      <c r="I1503" t="b">
        <f>COUNTIF(Estadísticas!I:I,'centraldecomunicacion.es'!H1503)&gt;0</f>
        <v>0</v>
      </c>
    </row>
    <row r="1504" spans="1:9">
      <c r="A1504" t="s">
        <v>5515</v>
      </c>
      <c r="B1504" t="s">
        <v>10</v>
      </c>
      <c r="C1504" t="s">
        <v>5516</v>
      </c>
      <c r="D1504" t="s">
        <v>5517</v>
      </c>
      <c r="E1504" t="s">
        <v>5331</v>
      </c>
      <c r="F1504" t="s">
        <v>28</v>
      </c>
      <c r="G1504" t="s">
        <v>5518</v>
      </c>
      <c r="H1504" t="s">
        <v>30</v>
      </c>
      <c r="I1504" t="b">
        <f>COUNTIF(Estadísticas!I:I,'centraldecomunicacion.es'!H1504)&gt;0</f>
        <v>0</v>
      </c>
    </row>
    <row r="1505" spans="1:9">
      <c r="A1505" t="s">
        <v>5519</v>
      </c>
      <c r="B1505" t="s">
        <v>10</v>
      </c>
      <c r="C1505" t="s">
        <v>5520</v>
      </c>
      <c r="D1505" t="s">
        <v>5473</v>
      </c>
      <c r="E1505" t="s">
        <v>5331</v>
      </c>
      <c r="F1505" t="s">
        <v>28</v>
      </c>
      <c r="G1505" t="s">
        <v>5521</v>
      </c>
      <c r="H1505" t="s">
        <v>30</v>
      </c>
      <c r="I1505" t="b">
        <f>COUNTIF(Estadísticas!I:I,'centraldecomunicacion.es'!H1505)&gt;0</f>
        <v>0</v>
      </c>
    </row>
    <row r="1506" spans="1:9">
      <c r="A1506" t="s">
        <v>5522</v>
      </c>
      <c r="B1506" t="s">
        <v>10</v>
      </c>
      <c r="C1506" t="s">
        <v>5523</v>
      </c>
      <c r="D1506" t="s">
        <v>5473</v>
      </c>
      <c r="E1506" t="s">
        <v>5331</v>
      </c>
      <c r="F1506" t="s">
        <v>5524</v>
      </c>
      <c r="G1506" t="s">
        <v>5525</v>
      </c>
      <c r="H1506" t="s">
        <v>30</v>
      </c>
      <c r="I1506" t="b">
        <f>COUNTIF(Estadísticas!I:I,'centraldecomunicacion.es'!H1506)&gt;0</f>
        <v>0</v>
      </c>
    </row>
    <row r="1507" spans="1:9">
      <c r="A1507" t="s">
        <v>5526</v>
      </c>
      <c r="B1507" t="s">
        <v>10</v>
      </c>
      <c r="C1507" t="s">
        <v>5527</v>
      </c>
      <c r="D1507" t="s">
        <v>5528</v>
      </c>
      <c r="E1507" t="s">
        <v>5331</v>
      </c>
      <c r="F1507" t="s">
        <v>5529</v>
      </c>
      <c r="G1507" t="s">
        <v>5530</v>
      </c>
      <c r="H1507" t="s">
        <v>30</v>
      </c>
      <c r="I1507" t="b">
        <f>COUNTIF(Estadísticas!I:I,'centraldecomunicacion.es'!H1507)&gt;0</f>
        <v>0</v>
      </c>
    </row>
    <row r="1508" spans="1:9">
      <c r="A1508" t="s">
        <v>1781</v>
      </c>
      <c r="B1508" t="s">
        <v>10</v>
      </c>
      <c r="C1508" t="s">
        <v>5531</v>
      </c>
      <c r="D1508" t="s">
        <v>5449</v>
      </c>
      <c r="E1508" t="s">
        <v>5331</v>
      </c>
      <c r="F1508" t="s">
        <v>28</v>
      </c>
      <c r="G1508" t="s">
        <v>5532</v>
      </c>
      <c r="H1508" t="s">
        <v>30</v>
      </c>
      <c r="I1508" t="b">
        <f>COUNTIF(Estadísticas!I:I,'centraldecomunicacion.es'!H1508)&gt;0</f>
        <v>0</v>
      </c>
    </row>
    <row r="1509" spans="1:9">
      <c r="A1509" t="s">
        <v>5533</v>
      </c>
      <c r="B1509" t="s">
        <v>10</v>
      </c>
      <c r="C1509" t="s">
        <v>5534</v>
      </c>
      <c r="D1509" t="s">
        <v>5535</v>
      </c>
      <c r="E1509" t="s">
        <v>5331</v>
      </c>
      <c r="F1509" t="s">
        <v>5536</v>
      </c>
      <c r="G1509" t="s">
        <v>5537</v>
      </c>
      <c r="H1509" t="s">
        <v>5538</v>
      </c>
      <c r="I1509" t="b">
        <f>COUNTIF(Estadísticas!I:I,'centraldecomunicacion.es'!H1509)&gt;0</f>
        <v>1</v>
      </c>
    </row>
    <row r="1510" spans="1:9">
      <c r="A1510" t="s">
        <v>5539</v>
      </c>
      <c r="B1510" t="s">
        <v>10</v>
      </c>
      <c r="C1510" t="s">
        <v>5540</v>
      </c>
      <c r="D1510" t="s">
        <v>5484</v>
      </c>
      <c r="E1510" t="s">
        <v>5541</v>
      </c>
      <c r="F1510" t="s">
        <v>5542</v>
      </c>
      <c r="G1510" t="s">
        <v>5543</v>
      </c>
      <c r="H1510" t="s">
        <v>30</v>
      </c>
      <c r="I1510" t="b">
        <f>COUNTIF(Estadísticas!I:I,'centraldecomunicacion.es'!H1510)&gt;0</f>
        <v>0</v>
      </c>
    </row>
    <row r="1511" spans="1:9">
      <c r="A1511" t="s">
        <v>5544</v>
      </c>
      <c r="B1511" t="s">
        <v>10</v>
      </c>
      <c r="C1511" t="s">
        <v>5545</v>
      </c>
      <c r="D1511" t="s">
        <v>5473</v>
      </c>
      <c r="E1511" t="s">
        <v>5331</v>
      </c>
      <c r="F1511" t="s">
        <v>5546</v>
      </c>
      <c r="G1511" t="s">
        <v>5474</v>
      </c>
      <c r="H1511" t="s">
        <v>5547</v>
      </c>
      <c r="I1511" t="b">
        <f>COUNTIF(Estadísticas!I:I,'centraldecomunicacion.es'!H1511)&gt;0</f>
        <v>0</v>
      </c>
    </row>
    <row r="1512" spans="1:9">
      <c r="A1512" t="s">
        <v>5548</v>
      </c>
      <c r="B1512" t="s">
        <v>10</v>
      </c>
      <c r="C1512" t="s">
        <v>5549</v>
      </c>
      <c r="D1512" t="s">
        <v>5461</v>
      </c>
      <c r="E1512" t="s">
        <v>5331</v>
      </c>
      <c r="F1512" t="s">
        <v>28</v>
      </c>
      <c r="G1512" t="s">
        <v>5462</v>
      </c>
      <c r="H1512" t="s">
        <v>30</v>
      </c>
      <c r="I1512" t="b">
        <f>COUNTIF(Estadísticas!I:I,'centraldecomunicacion.es'!H1512)&gt;0</f>
        <v>0</v>
      </c>
    </row>
    <row r="1513" spans="1:9">
      <c r="A1513" t="s">
        <v>5550</v>
      </c>
      <c r="B1513" t="s">
        <v>10</v>
      </c>
      <c r="C1513" t="s">
        <v>5551</v>
      </c>
      <c r="D1513" t="s">
        <v>5497</v>
      </c>
      <c r="E1513" t="s">
        <v>5331</v>
      </c>
      <c r="F1513" t="s">
        <v>28</v>
      </c>
      <c r="G1513" t="s">
        <v>5552</v>
      </c>
      <c r="H1513" t="s">
        <v>30</v>
      </c>
      <c r="I1513" t="b">
        <f>COUNTIF(Estadísticas!I:I,'centraldecomunicacion.es'!H1513)&gt;0</f>
        <v>0</v>
      </c>
    </row>
    <row r="1514" spans="1:9">
      <c r="A1514" t="s">
        <v>5553</v>
      </c>
      <c r="B1514" t="s">
        <v>10</v>
      </c>
      <c r="C1514" t="s">
        <v>5554</v>
      </c>
      <c r="D1514" t="s">
        <v>5407</v>
      </c>
      <c r="E1514" t="s">
        <v>5331</v>
      </c>
      <c r="F1514" t="s">
        <v>28</v>
      </c>
      <c r="G1514" t="s">
        <v>5555</v>
      </c>
      <c r="H1514" t="s">
        <v>30</v>
      </c>
      <c r="I1514" t="b">
        <f>COUNTIF(Estadísticas!I:I,'centraldecomunicacion.es'!H1514)&gt;0</f>
        <v>0</v>
      </c>
    </row>
    <row r="1515" spans="1:9">
      <c r="A1515" t="s">
        <v>5556</v>
      </c>
      <c r="B1515" t="s">
        <v>10</v>
      </c>
      <c r="C1515" t="s">
        <v>5557</v>
      </c>
      <c r="D1515" t="s">
        <v>5558</v>
      </c>
      <c r="E1515" t="s">
        <v>5331</v>
      </c>
      <c r="F1515" t="s">
        <v>5559</v>
      </c>
      <c r="G1515" t="s">
        <v>5560</v>
      </c>
      <c r="H1515" t="s">
        <v>5561</v>
      </c>
      <c r="I1515" t="b">
        <f>COUNTIF(Estadísticas!I:I,'centraldecomunicacion.es'!H1515)&gt;0</f>
        <v>0</v>
      </c>
    </row>
    <row r="1516" spans="1:9">
      <c r="A1516" t="s">
        <v>5562</v>
      </c>
      <c r="B1516" t="s">
        <v>10</v>
      </c>
      <c r="C1516" t="s">
        <v>5563</v>
      </c>
      <c r="D1516" t="s">
        <v>5564</v>
      </c>
      <c r="E1516" t="s">
        <v>5331</v>
      </c>
      <c r="F1516" t="s">
        <v>746</v>
      </c>
      <c r="G1516" t="s">
        <v>5565</v>
      </c>
      <c r="H1516" t="s">
        <v>30</v>
      </c>
      <c r="I1516" t="b">
        <f>COUNTIF(Estadísticas!I:I,'centraldecomunicacion.es'!H1516)&gt;0</f>
        <v>0</v>
      </c>
    </row>
    <row r="1517" spans="1:9">
      <c r="A1517" t="s">
        <v>5566</v>
      </c>
      <c r="B1517" t="s">
        <v>10</v>
      </c>
      <c r="C1517" t="s">
        <v>5567</v>
      </c>
      <c r="D1517" t="s">
        <v>5568</v>
      </c>
      <c r="E1517" t="s">
        <v>5331</v>
      </c>
      <c r="F1517" t="s">
        <v>28</v>
      </c>
      <c r="G1517" t="s">
        <v>5569</v>
      </c>
      <c r="H1517" t="s">
        <v>30</v>
      </c>
      <c r="I1517" t="b">
        <f>COUNTIF(Estadísticas!I:I,'centraldecomunicacion.es'!H1517)&gt;0</f>
        <v>0</v>
      </c>
    </row>
    <row r="1518" spans="1:9">
      <c r="A1518" t="s">
        <v>5570</v>
      </c>
      <c r="B1518" t="s">
        <v>10</v>
      </c>
      <c r="C1518" t="s">
        <v>5571</v>
      </c>
      <c r="D1518" t="s">
        <v>5407</v>
      </c>
      <c r="E1518" t="s">
        <v>5331</v>
      </c>
      <c r="F1518" t="s">
        <v>28</v>
      </c>
      <c r="G1518" t="s">
        <v>5572</v>
      </c>
      <c r="H1518" t="s">
        <v>30</v>
      </c>
      <c r="I1518" t="b">
        <f>COUNTIF(Estadísticas!I:I,'centraldecomunicacion.es'!H1518)&gt;0</f>
        <v>0</v>
      </c>
    </row>
    <row r="1519" spans="1:9">
      <c r="A1519" t="s">
        <v>5573</v>
      </c>
      <c r="B1519" t="s">
        <v>10</v>
      </c>
      <c r="C1519" t="s">
        <v>5574</v>
      </c>
      <c r="D1519" t="s">
        <v>5330</v>
      </c>
      <c r="E1519" t="s">
        <v>5331</v>
      </c>
      <c r="F1519" t="s">
        <v>28</v>
      </c>
      <c r="G1519" t="s">
        <v>5575</v>
      </c>
      <c r="H1519" t="s">
        <v>30</v>
      </c>
      <c r="I1519" t="b">
        <f>COUNTIF(Estadísticas!I:I,'centraldecomunicacion.es'!H1519)&gt;0</f>
        <v>0</v>
      </c>
    </row>
    <row r="1520" spans="1:9">
      <c r="A1520" t="s">
        <v>5576</v>
      </c>
      <c r="B1520" t="s">
        <v>10</v>
      </c>
      <c r="C1520" t="s">
        <v>5577</v>
      </c>
      <c r="D1520" t="s">
        <v>5453</v>
      </c>
      <c r="E1520" t="s">
        <v>5331</v>
      </c>
      <c r="F1520" t="s">
        <v>28</v>
      </c>
      <c r="G1520" t="s">
        <v>5578</v>
      </c>
      <c r="H1520" t="s">
        <v>30</v>
      </c>
      <c r="I1520" t="b">
        <f>COUNTIF(Estadísticas!I:I,'centraldecomunicacion.es'!H1520)&gt;0</f>
        <v>0</v>
      </c>
    </row>
    <row r="1521" spans="1:9">
      <c r="A1521" t="s">
        <v>5579</v>
      </c>
      <c r="B1521" t="s">
        <v>10</v>
      </c>
      <c r="C1521" t="s">
        <v>5580</v>
      </c>
      <c r="D1521" t="s">
        <v>5407</v>
      </c>
      <c r="E1521" t="s">
        <v>5331</v>
      </c>
      <c r="F1521" t="s">
        <v>28</v>
      </c>
      <c r="G1521" t="s">
        <v>5581</v>
      </c>
      <c r="H1521" t="s">
        <v>30</v>
      </c>
      <c r="I1521" t="b">
        <f>COUNTIF(Estadísticas!I:I,'centraldecomunicacion.es'!H1521)&gt;0</f>
        <v>0</v>
      </c>
    </row>
    <row r="1522" spans="1:9">
      <c r="A1522" t="s">
        <v>5582</v>
      </c>
      <c r="B1522" t="s">
        <v>10</v>
      </c>
      <c r="C1522" t="s">
        <v>5583</v>
      </c>
      <c r="D1522" t="s">
        <v>5432</v>
      </c>
      <c r="E1522" t="s">
        <v>5331</v>
      </c>
      <c r="F1522" t="s">
        <v>5584</v>
      </c>
      <c r="G1522" t="s">
        <v>5585</v>
      </c>
      <c r="H1522" t="s">
        <v>5586</v>
      </c>
      <c r="I1522" t="b">
        <f>COUNTIF(Estadísticas!I:I,'centraldecomunicacion.es'!H1522)&gt;0</f>
        <v>0</v>
      </c>
    </row>
    <row r="1523" spans="1:9">
      <c r="A1523" t="s">
        <v>5587</v>
      </c>
      <c r="B1523" t="s">
        <v>10</v>
      </c>
      <c r="C1523" t="s">
        <v>5588</v>
      </c>
      <c r="D1523" t="s">
        <v>5589</v>
      </c>
      <c r="E1523" t="s">
        <v>5331</v>
      </c>
      <c r="F1523" t="s">
        <v>28</v>
      </c>
      <c r="G1523" t="s">
        <v>5590</v>
      </c>
      <c r="H1523" t="s">
        <v>30</v>
      </c>
      <c r="I1523" t="b">
        <f>COUNTIF(Estadísticas!I:I,'centraldecomunicacion.es'!H1523)&gt;0</f>
        <v>0</v>
      </c>
    </row>
    <row r="1524" spans="1:9">
      <c r="A1524" t="s">
        <v>5591</v>
      </c>
      <c r="B1524" t="s">
        <v>10</v>
      </c>
      <c r="C1524" t="s">
        <v>5592</v>
      </c>
      <c r="D1524" t="s">
        <v>5407</v>
      </c>
      <c r="E1524" t="s">
        <v>5331</v>
      </c>
      <c r="F1524" t="s">
        <v>28</v>
      </c>
      <c r="G1524" t="s">
        <v>5593</v>
      </c>
      <c r="H1524" t="s">
        <v>30</v>
      </c>
      <c r="I1524" t="b">
        <f>COUNTIF(Estadísticas!I:I,'centraldecomunicacion.es'!H1524)&gt;0</f>
        <v>0</v>
      </c>
    </row>
    <row r="1525" spans="1:9">
      <c r="A1525" t="s">
        <v>5594</v>
      </c>
      <c r="B1525" t="s">
        <v>10</v>
      </c>
      <c r="C1525" t="s">
        <v>5595</v>
      </c>
      <c r="D1525" t="s">
        <v>5330</v>
      </c>
      <c r="E1525" t="s">
        <v>5331</v>
      </c>
      <c r="F1525" t="s">
        <v>5596</v>
      </c>
      <c r="G1525" t="s">
        <v>5597</v>
      </c>
      <c r="H1525" t="s">
        <v>5598</v>
      </c>
      <c r="I1525" t="b">
        <f>COUNTIF(Estadísticas!I:I,'centraldecomunicacion.es'!H1525)&gt;0</f>
        <v>0</v>
      </c>
    </row>
    <row r="1526" spans="1:9">
      <c r="A1526" t="s">
        <v>5599</v>
      </c>
      <c r="B1526" t="s">
        <v>10</v>
      </c>
      <c r="C1526" t="s">
        <v>5600</v>
      </c>
      <c r="D1526" t="s">
        <v>5473</v>
      </c>
      <c r="E1526" t="s">
        <v>5331</v>
      </c>
      <c r="F1526" t="s">
        <v>28</v>
      </c>
      <c r="G1526" t="s">
        <v>28</v>
      </c>
      <c r="H1526" t="s">
        <v>30</v>
      </c>
      <c r="I1526" t="b">
        <f>COUNTIF(Estadísticas!I:I,'centraldecomunicacion.es'!H1526)&gt;0</f>
        <v>0</v>
      </c>
    </row>
    <row r="1527" spans="1:9">
      <c r="A1527" t="s">
        <v>5601</v>
      </c>
      <c r="B1527" t="s">
        <v>10</v>
      </c>
      <c r="C1527" t="s">
        <v>5602</v>
      </c>
      <c r="D1527" t="s">
        <v>5432</v>
      </c>
      <c r="E1527" t="s">
        <v>5331</v>
      </c>
      <c r="F1527" t="s">
        <v>5536</v>
      </c>
      <c r="G1527" t="s">
        <v>5603</v>
      </c>
      <c r="H1527" t="s">
        <v>5538</v>
      </c>
      <c r="I1527" t="b">
        <f>COUNTIF(Estadísticas!I:I,'centraldecomunicacion.es'!H1527)&gt;0</f>
        <v>1</v>
      </c>
    </row>
    <row r="1528" spans="1:9">
      <c r="A1528" t="s">
        <v>5604</v>
      </c>
      <c r="B1528" t="s">
        <v>10</v>
      </c>
      <c r="C1528" t="s">
        <v>5605</v>
      </c>
      <c r="D1528" t="s">
        <v>5484</v>
      </c>
      <c r="E1528" t="s">
        <v>5331</v>
      </c>
      <c r="F1528" t="s">
        <v>28</v>
      </c>
      <c r="G1528" t="s">
        <v>5606</v>
      </c>
      <c r="H1528" t="s">
        <v>30</v>
      </c>
      <c r="I1528" t="b">
        <f>COUNTIF(Estadísticas!I:I,'centraldecomunicacion.es'!H1528)&gt;0</f>
        <v>0</v>
      </c>
    </row>
    <row r="1529" spans="1:9">
      <c r="A1529" t="s">
        <v>5607</v>
      </c>
      <c r="B1529" t="s">
        <v>10</v>
      </c>
      <c r="C1529" t="s">
        <v>5608</v>
      </c>
      <c r="D1529" t="s">
        <v>5407</v>
      </c>
      <c r="E1529" t="s">
        <v>5331</v>
      </c>
      <c r="F1529" t="s">
        <v>28</v>
      </c>
      <c r="G1529" t="s">
        <v>5609</v>
      </c>
      <c r="H1529" t="s">
        <v>30</v>
      </c>
      <c r="I1529" t="b">
        <f>COUNTIF(Estadísticas!I:I,'centraldecomunicacion.es'!H1529)&gt;0</f>
        <v>0</v>
      </c>
    </row>
    <row r="1530" spans="1:9">
      <c r="A1530" t="s">
        <v>5610</v>
      </c>
      <c r="B1530" t="s">
        <v>10</v>
      </c>
      <c r="C1530" t="s">
        <v>5611</v>
      </c>
      <c r="D1530" t="s">
        <v>5612</v>
      </c>
      <c r="E1530" t="s">
        <v>5331</v>
      </c>
      <c r="F1530" t="s">
        <v>28</v>
      </c>
      <c r="G1530" t="s">
        <v>5613</v>
      </c>
      <c r="H1530" t="s">
        <v>30</v>
      </c>
      <c r="I1530" t="b">
        <f>COUNTIF(Estadísticas!I:I,'centraldecomunicacion.es'!H1530)&gt;0</f>
        <v>0</v>
      </c>
    </row>
    <row r="1531" spans="1:9">
      <c r="A1531" t="s">
        <v>5614</v>
      </c>
      <c r="B1531" t="s">
        <v>10</v>
      </c>
      <c r="C1531" t="s">
        <v>5615</v>
      </c>
      <c r="D1531" t="s">
        <v>5407</v>
      </c>
      <c r="E1531" t="s">
        <v>5331</v>
      </c>
      <c r="F1531" t="s">
        <v>28</v>
      </c>
      <c r="G1531" t="s">
        <v>5616</v>
      </c>
      <c r="H1531" t="s">
        <v>30</v>
      </c>
      <c r="I1531" t="b">
        <f>COUNTIF(Estadísticas!I:I,'centraldecomunicacion.es'!H1531)&gt;0</f>
        <v>0</v>
      </c>
    </row>
    <row r="1532" spans="1:9">
      <c r="A1532" t="s">
        <v>5617</v>
      </c>
      <c r="B1532" t="s">
        <v>10</v>
      </c>
      <c r="C1532" t="s">
        <v>5618</v>
      </c>
      <c r="D1532" t="s">
        <v>5619</v>
      </c>
      <c r="E1532" t="s">
        <v>5331</v>
      </c>
      <c r="F1532" t="s">
        <v>5620</v>
      </c>
      <c r="G1532" t="s">
        <v>5621</v>
      </c>
      <c r="H1532" t="s">
        <v>5622</v>
      </c>
      <c r="I1532" t="b">
        <f>COUNTIF(Estadísticas!I:I,'centraldecomunicacion.es'!H1532)&gt;0</f>
        <v>1</v>
      </c>
    </row>
    <row r="1533" spans="1:9">
      <c r="A1533" t="s">
        <v>5623</v>
      </c>
      <c r="B1533" t="s">
        <v>10</v>
      </c>
      <c r="C1533" t="s">
        <v>5624</v>
      </c>
      <c r="D1533" t="s">
        <v>5558</v>
      </c>
      <c r="E1533" t="s">
        <v>5331</v>
      </c>
      <c r="F1533" t="s">
        <v>5625</v>
      </c>
      <c r="G1533" t="s">
        <v>5626</v>
      </c>
      <c r="H1533" t="s">
        <v>30</v>
      </c>
      <c r="I1533" t="b">
        <f>COUNTIF(Estadísticas!I:I,'centraldecomunicacion.es'!H1533)&gt;0</f>
        <v>0</v>
      </c>
    </row>
    <row r="1534" spans="1:9">
      <c r="A1534" t="s">
        <v>5627</v>
      </c>
      <c r="B1534" t="s">
        <v>10</v>
      </c>
      <c r="C1534" t="s">
        <v>5628</v>
      </c>
      <c r="D1534" t="s">
        <v>5629</v>
      </c>
      <c r="E1534" t="s">
        <v>5331</v>
      </c>
      <c r="F1534" t="s">
        <v>28</v>
      </c>
      <c r="G1534" t="s">
        <v>5630</v>
      </c>
      <c r="H1534" t="s">
        <v>30</v>
      </c>
      <c r="I1534" t="b">
        <f>COUNTIF(Estadísticas!I:I,'centraldecomunicacion.es'!H1534)&gt;0</f>
        <v>0</v>
      </c>
    </row>
    <row r="1535" spans="1:9">
      <c r="A1535" t="s">
        <v>5631</v>
      </c>
      <c r="B1535" t="s">
        <v>10</v>
      </c>
      <c r="C1535" t="s">
        <v>5632</v>
      </c>
      <c r="D1535" t="s">
        <v>5633</v>
      </c>
      <c r="E1535" t="s">
        <v>5331</v>
      </c>
      <c r="F1535" t="s">
        <v>28</v>
      </c>
      <c r="G1535" t="s">
        <v>5634</v>
      </c>
      <c r="H1535" t="s">
        <v>30</v>
      </c>
      <c r="I1535" t="b">
        <f>COUNTIF(Estadísticas!I:I,'centraldecomunicacion.es'!H1535)&gt;0</f>
        <v>0</v>
      </c>
    </row>
    <row r="1536" spans="1:9">
      <c r="A1536" t="s">
        <v>5635</v>
      </c>
      <c r="B1536" t="s">
        <v>10</v>
      </c>
      <c r="C1536" t="s">
        <v>5636</v>
      </c>
      <c r="D1536" t="s">
        <v>5453</v>
      </c>
      <c r="E1536" t="s">
        <v>5331</v>
      </c>
      <c r="F1536" t="s">
        <v>5403</v>
      </c>
      <c r="G1536" t="s">
        <v>5637</v>
      </c>
      <c r="H1536" t="s">
        <v>30</v>
      </c>
      <c r="I1536" t="b">
        <f>COUNTIF(Estadísticas!I:I,'centraldecomunicacion.es'!H1536)&gt;0</f>
        <v>0</v>
      </c>
    </row>
    <row r="1537" spans="1:9">
      <c r="A1537" t="s">
        <v>5638</v>
      </c>
      <c r="B1537" t="s">
        <v>10</v>
      </c>
      <c r="C1537" t="s">
        <v>5639</v>
      </c>
      <c r="D1537" t="s">
        <v>5497</v>
      </c>
      <c r="E1537" t="s">
        <v>5331</v>
      </c>
      <c r="F1537" t="s">
        <v>28</v>
      </c>
      <c r="G1537" t="s">
        <v>5640</v>
      </c>
      <c r="H1537" t="s">
        <v>30</v>
      </c>
      <c r="I1537" t="b">
        <f>COUNTIF(Estadísticas!I:I,'centraldecomunicacion.es'!H1537)&gt;0</f>
        <v>0</v>
      </c>
    </row>
    <row r="1538" spans="1:9">
      <c r="A1538" t="s">
        <v>5641</v>
      </c>
      <c r="B1538" t="s">
        <v>10</v>
      </c>
      <c r="C1538" t="s">
        <v>5642</v>
      </c>
      <c r="D1538" t="s">
        <v>5453</v>
      </c>
      <c r="E1538" t="s">
        <v>5331</v>
      </c>
      <c r="F1538" t="s">
        <v>28</v>
      </c>
      <c r="G1538" t="s">
        <v>5643</v>
      </c>
      <c r="H1538" t="s">
        <v>30</v>
      </c>
      <c r="I1538" t="b">
        <f>COUNTIF(Estadísticas!I:I,'centraldecomunicacion.es'!H1538)&gt;0</f>
        <v>0</v>
      </c>
    </row>
    <row r="1539" spans="1:9">
      <c r="A1539" t="s">
        <v>5644</v>
      </c>
      <c r="B1539" t="s">
        <v>10</v>
      </c>
      <c r="C1539" t="s">
        <v>5645</v>
      </c>
      <c r="D1539" t="s">
        <v>5330</v>
      </c>
      <c r="E1539" t="s">
        <v>5331</v>
      </c>
      <c r="F1539" t="s">
        <v>50</v>
      </c>
      <c r="G1539" t="s">
        <v>5646</v>
      </c>
      <c r="H1539" t="s">
        <v>30</v>
      </c>
      <c r="I1539" t="b">
        <f>COUNTIF(Estadísticas!I:I,'centraldecomunicacion.es'!H1539)&gt;0</f>
        <v>0</v>
      </c>
    </row>
    <row r="1540" spans="1:9">
      <c r="A1540" t="s">
        <v>5647</v>
      </c>
      <c r="B1540" t="s">
        <v>10</v>
      </c>
      <c r="C1540" t="s">
        <v>5648</v>
      </c>
      <c r="D1540" t="s">
        <v>5649</v>
      </c>
      <c r="E1540" t="s">
        <v>5331</v>
      </c>
      <c r="F1540" t="s">
        <v>28</v>
      </c>
      <c r="G1540" t="s">
        <v>28</v>
      </c>
      <c r="H1540" t="s">
        <v>30</v>
      </c>
      <c r="I1540" t="b">
        <f>COUNTIF(Estadísticas!I:I,'centraldecomunicacion.es'!H1540)&gt;0</f>
        <v>0</v>
      </c>
    </row>
    <row r="1541" spans="1:9">
      <c r="A1541" t="s">
        <v>5650</v>
      </c>
      <c r="B1541" t="s">
        <v>10</v>
      </c>
      <c r="C1541" t="s">
        <v>5651</v>
      </c>
      <c r="D1541" t="s">
        <v>5497</v>
      </c>
      <c r="E1541" t="s">
        <v>5331</v>
      </c>
      <c r="F1541" t="s">
        <v>28</v>
      </c>
      <c r="G1541" t="s">
        <v>5652</v>
      </c>
      <c r="H1541" t="s">
        <v>30</v>
      </c>
      <c r="I1541" t="b">
        <f>COUNTIF(Estadísticas!I:I,'centraldecomunicacion.es'!H1541)&gt;0</f>
        <v>0</v>
      </c>
    </row>
    <row r="1542" spans="1:9">
      <c r="A1542" t="s">
        <v>5653</v>
      </c>
      <c r="B1542" t="s">
        <v>10</v>
      </c>
      <c r="C1542" t="s">
        <v>5654</v>
      </c>
      <c r="D1542" t="s">
        <v>5517</v>
      </c>
      <c r="E1542" t="s">
        <v>5331</v>
      </c>
      <c r="F1542" t="s">
        <v>5655</v>
      </c>
      <c r="G1542" t="s">
        <v>5656</v>
      </c>
      <c r="H1542" t="s">
        <v>5657</v>
      </c>
      <c r="I1542" t="b">
        <f>COUNTIF(Estadísticas!I:I,'centraldecomunicacion.es'!H1542)&gt;0</f>
        <v>0</v>
      </c>
    </row>
    <row r="1543" spans="1:9">
      <c r="A1543" t="s">
        <v>5658</v>
      </c>
      <c r="B1543" t="s">
        <v>10</v>
      </c>
      <c r="C1543" t="s">
        <v>5659</v>
      </c>
      <c r="D1543" t="s">
        <v>5660</v>
      </c>
      <c r="E1543" t="s">
        <v>5331</v>
      </c>
      <c r="F1543" t="s">
        <v>5661</v>
      </c>
      <c r="G1543" t="s">
        <v>5662</v>
      </c>
      <c r="H1543" t="s">
        <v>30</v>
      </c>
      <c r="I1543" t="b">
        <f>COUNTIF(Estadísticas!I:I,'centraldecomunicacion.es'!H1543)&gt;0</f>
        <v>0</v>
      </c>
    </row>
    <row r="1544" spans="1:9">
      <c r="A1544" t="s">
        <v>5663</v>
      </c>
      <c r="B1544" t="s">
        <v>10</v>
      </c>
      <c r="C1544" t="s">
        <v>28</v>
      </c>
      <c r="D1544" t="s">
        <v>5664</v>
      </c>
      <c r="E1544" t="s">
        <v>28</v>
      </c>
      <c r="F1544" t="s">
        <v>5665</v>
      </c>
      <c r="G1544" t="s">
        <v>5666</v>
      </c>
      <c r="H1544" t="s">
        <v>5667</v>
      </c>
      <c r="I1544" t="b">
        <f>COUNTIF(Estadísticas!I:I,'centraldecomunicacion.es'!H1544)&gt;0</f>
        <v>1</v>
      </c>
    </row>
    <row r="1545" spans="1:9">
      <c r="A1545" t="s">
        <v>5668</v>
      </c>
      <c r="B1545" t="s">
        <v>10</v>
      </c>
      <c r="C1545" t="s">
        <v>5669</v>
      </c>
      <c r="D1545" t="s">
        <v>5497</v>
      </c>
      <c r="E1545" t="s">
        <v>5331</v>
      </c>
      <c r="F1545" t="s">
        <v>28</v>
      </c>
      <c r="G1545" t="s">
        <v>5670</v>
      </c>
      <c r="H1545" t="s">
        <v>30</v>
      </c>
      <c r="I1545" t="b">
        <f>COUNTIF(Estadísticas!I:I,'centraldecomunicacion.es'!H1545)&gt;0</f>
        <v>0</v>
      </c>
    </row>
    <row r="1546" spans="1:9">
      <c r="A1546" t="s">
        <v>5671</v>
      </c>
      <c r="B1546" t="s">
        <v>10</v>
      </c>
      <c r="C1546" t="s">
        <v>5672</v>
      </c>
      <c r="D1546" t="s">
        <v>5673</v>
      </c>
      <c r="E1546" t="s">
        <v>5331</v>
      </c>
      <c r="F1546" t="s">
        <v>28</v>
      </c>
      <c r="G1546" t="s">
        <v>28</v>
      </c>
      <c r="H1546" t="s">
        <v>30</v>
      </c>
      <c r="I1546" t="b">
        <f>COUNTIF(Estadísticas!I:I,'centraldecomunicacion.es'!H1546)&gt;0</f>
        <v>0</v>
      </c>
    </row>
    <row r="1547" spans="1:9">
      <c r="A1547" t="s">
        <v>5674</v>
      </c>
      <c r="B1547" t="s">
        <v>10</v>
      </c>
      <c r="C1547" t="s">
        <v>5675</v>
      </c>
      <c r="D1547" t="s">
        <v>5676</v>
      </c>
      <c r="E1547" t="s">
        <v>5331</v>
      </c>
      <c r="F1547" t="s">
        <v>50</v>
      </c>
      <c r="G1547" t="s">
        <v>5677</v>
      </c>
      <c r="H1547" t="s">
        <v>30</v>
      </c>
      <c r="I1547" t="b">
        <f>COUNTIF(Estadísticas!I:I,'centraldecomunicacion.es'!H1547)&gt;0</f>
        <v>0</v>
      </c>
    </row>
    <row r="1548" spans="1:9">
      <c r="A1548" t="s">
        <v>5678</v>
      </c>
      <c r="B1548" t="s">
        <v>10</v>
      </c>
      <c r="C1548" t="s">
        <v>5679</v>
      </c>
      <c r="D1548" t="s">
        <v>5484</v>
      </c>
      <c r="E1548" t="s">
        <v>5331</v>
      </c>
      <c r="F1548" t="s">
        <v>28</v>
      </c>
      <c r="G1548" t="s">
        <v>28</v>
      </c>
      <c r="H1548" t="s">
        <v>30</v>
      </c>
      <c r="I1548" t="b">
        <f>COUNTIF(Estadísticas!I:I,'centraldecomunicacion.es'!H1548)&gt;0</f>
        <v>0</v>
      </c>
    </row>
    <row r="1549" spans="1:9">
      <c r="A1549" t="s">
        <v>5680</v>
      </c>
      <c r="B1549" t="s">
        <v>10</v>
      </c>
      <c r="C1549" t="s">
        <v>5681</v>
      </c>
      <c r="D1549" t="s">
        <v>5407</v>
      </c>
      <c r="E1549" t="s">
        <v>5331</v>
      </c>
      <c r="F1549" t="s">
        <v>28</v>
      </c>
      <c r="G1549" t="s">
        <v>28</v>
      </c>
      <c r="H1549" t="s">
        <v>30</v>
      </c>
      <c r="I1549" t="b">
        <f>COUNTIF(Estadísticas!I:I,'centraldecomunicacion.es'!H1549)&gt;0</f>
        <v>0</v>
      </c>
    </row>
    <row r="1550" spans="1:9">
      <c r="A1550" t="s">
        <v>5682</v>
      </c>
      <c r="B1550" t="s">
        <v>10</v>
      </c>
      <c r="C1550" t="s">
        <v>5683</v>
      </c>
      <c r="D1550" t="s">
        <v>5465</v>
      </c>
      <c r="E1550" t="s">
        <v>5331</v>
      </c>
      <c r="F1550" t="s">
        <v>28</v>
      </c>
      <c r="G1550" t="s">
        <v>28</v>
      </c>
      <c r="H1550" t="s">
        <v>30</v>
      </c>
      <c r="I1550" t="b">
        <f>COUNTIF(Estadísticas!I:I,'centraldecomunicacion.es'!H1550)&gt;0</f>
        <v>0</v>
      </c>
    </row>
    <row r="1551" spans="1:9">
      <c r="A1551" t="s">
        <v>5684</v>
      </c>
      <c r="B1551" t="s">
        <v>10</v>
      </c>
      <c r="C1551" t="s">
        <v>5685</v>
      </c>
      <c r="D1551" t="s">
        <v>5612</v>
      </c>
      <c r="E1551" t="s">
        <v>5331</v>
      </c>
      <c r="F1551" t="s">
        <v>28</v>
      </c>
      <c r="G1551" t="s">
        <v>28</v>
      </c>
      <c r="H1551" t="s">
        <v>30</v>
      </c>
      <c r="I1551" t="b">
        <f>COUNTIF(Estadísticas!I:I,'centraldecomunicacion.es'!H1551)&gt;0</f>
        <v>0</v>
      </c>
    </row>
    <row r="1552" spans="1:9">
      <c r="A1552" t="s">
        <v>5686</v>
      </c>
      <c r="B1552" t="s">
        <v>10</v>
      </c>
      <c r="C1552" t="s">
        <v>5687</v>
      </c>
      <c r="D1552" t="s">
        <v>5688</v>
      </c>
      <c r="E1552" t="s">
        <v>5688</v>
      </c>
      <c r="F1552" t="s">
        <v>5689</v>
      </c>
      <c r="G1552" t="s">
        <v>5690</v>
      </c>
      <c r="H1552" t="s">
        <v>30</v>
      </c>
      <c r="I1552" t="b">
        <f>COUNTIF(Estadísticas!I:I,'centraldecomunicacion.es'!H1552)&gt;0</f>
        <v>0</v>
      </c>
    </row>
    <row r="1553" spans="1:9">
      <c r="A1553" t="s">
        <v>5691</v>
      </c>
      <c r="B1553" t="s">
        <v>10</v>
      </c>
      <c r="C1553" t="s">
        <v>5692</v>
      </c>
      <c r="D1553" t="s">
        <v>5688</v>
      </c>
      <c r="E1553" t="s">
        <v>5688</v>
      </c>
      <c r="F1553" t="s">
        <v>5693</v>
      </c>
      <c r="G1553" t="s">
        <v>5694</v>
      </c>
      <c r="H1553" t="s">
        <v>30</v>
      </c>
      <c r="I1553" t="b">
        <f>COUNTIF(Estadísticas!I:I,'centraldecomunicacion.es'!H1553)&gt;0</f>
        <v>0</v>
      </c>
    </row>
    <row r="1554" spans="1:9">
      <c r="A1554" t="s">
        <v>5695</v>
      </c>
      <c r="B1554" t="s">
        <v>10</v>
      </c>
      <c r="C1554" t="s">
        <v>5696</v>
      </c>
      <c r="D1554" t="s">
        <v>5697</v>
      </c>
      <c r="E1554" t="s">
        <v>5688</v>
      </c>
      <c r="F1554" t="s">
        <v>28</v>
      </c>
      <c r="G1554" t="s">
        <v>5698</v>
      </c>
      <c r="H1554" t="s">
        <v>30</v>
      </c>
      <c r="I1554" t="b">
        <f>COUNTIF(Estadísticas!I:I,'centraldecomunicacion.es'!H1554)&gt;0</f>
        <v>0</v>
      </c>
    </row>
    <row r="1555" spans="1:9">
      <c r="A1555" t="s">
        <v>5699</v>
      </c>
      <c r="B1555" t="s">
        <v>10</v>
      </c>
      <c r="C1555" t="s">
        <v>5700</v>
      </c>
      <c r="D1555" t="s">
        <v>5697</v>
      </c>
      <c r="E1555" t="s">
        <v>5688</v>
      </c>
      <c r="F1555" t="s">
        <v>28</v>
      </c>
      <c r="G1555" t="s">
        <v>5701</v>
      </c>
      <c r="H1555" t="s">
        <v>30</v>
      </c>
      <c r="I1555" t="b">
        <f>COUNTIF(Estadísticas!I:I,'centraldecomunicacion.es'!H1555)&gt;0</f>
        <v>0</v>
      </c>
    </row>
    <row r="1556" spans="1:9">
      <c r="A1556" t="s">
        <v>5702</v>
      </c>
      <c r="B1556" t="s">
        <v>10</v>
      </c>
      <c r="C1556" t="s">
        <v>5703</v>
      </c>
      <c r="D1556" t="s">
        <v>5688</v>
      </c>
      <c r="E1556" t="s">
        <v>5688</v>
      </c>
      <c r="F1556" t="s">
        <v>5704</v>
      </c>
      <c r="G1556" t="s">
        <v>5705</v>
      </c>
      <c r="H1556" t="s">
        <v>30</v>
      </c>
      <c r="I1556" t="b">
        <f>COUNTIF(Estadísticas!I:I,'centraldecomunicacion.es'!H1556)&gt;0</f>
        <v>0</v>
      </c>
    </row>
    <row r="1557" spans="1:9">
      <c r="A1557" t="s">
        <v>10</v>
      </c>
      <c r="B1557" t="s">
        <v>10</v>
      </c>
      <c r="C1557" t="s">
        <v>5706</v>
      </c>
      <c r="D1557" t="s">
        <v>5707</v>
      </c>
      <c r="E1557" t="s">
        <v>5688</v>
      </c>
      <c r="F1557" t="s">
        <v>5708</v>
      </c>
      <c r="G1557" t="s">
        <v>5709</v>
      </c>
      <c r="H1557" t="s">
        <v>30</v>
      </c>
      <c r="I1557" t="b">
        <f>COUNTIF(Estadísticas!I:I,'centraldecomunicacion.es'!H1557)&gt;0</f>
        <v>0</v>
      </c>
    </row>
    <row r="1558" spans="1:9">
      <c r="A1558" t="s">
        <v>5710</v>
      </c>
      <c r="B1558" t="s">
        <v>10</v>
      </c>
      <c r="C1558" t="s">
        <v>5711</v>
      </c>
      <c r="D1558" t="s">
        <v>5712</v>
      </c>
      <c r="E1558" t="s">
        <v>5688</v>
      </c>
      <c r="F1558" t="s">
        <v>28</v>
      </c>
      <c r="G1558" t="s">
        <v>28</v>
      </c>
      <c r="H1558" t="s">
        <v>30</v>
      </c>
      <c r="I1558" t="b">
        <f>COUNTIF(Estadísticas!I:I,'centraldecomunicacion.es'!H1558)&gt;0</f>
        <v>0</v>
      </c>
    </row>
    <row r="1559" spans="1:9">
      <c r="A1559" t="s">
        <v>5713</v>
      </c>
      <c r="B1559" t="s">
        <v>10</v>
      </c>
      <c r="C1559" t="s">
        <v>5714</v>
      </c>
      <c r="D1559" t="s">
        <v>5715</v>
      </c>
      <c r="E1559" t="s">
        <v>5688</v>
      </c>
      <c r="F1559" t="s">
        <v>28</v>
      </c>
      <c r="G1559" t="s">
        <v>5716</v>
      </c>
      <c r="H1559" t="s">
        <v>30</v>
      </c>
      <c r="I1559" t="b">
        <f>COUNTIF(Estadísticas!I:I,'centraldecomunicacion.es'!H1559)&gt;0</f>
        <v>0</v>
      </c>
    </row>
    <row r="1560" spans="1:9">
      <c r="A1560" t="s">
        <v>5717</v>
      </c>
      <c r="B1560" t="s">
        <v>10</v>
      </c>
      <c r="C1560" t="s">
        <v>5718</v>
      </c>
      <c r="D1560" t="s">
        <v>5719</v>
      </c>
      <c r="E1560" t="s">
        <v>5688</v>
      </c>
      <c r="F1560" t="s">
        <v>5720</v>
      </c>
      <c r="G1560" t="s">
        <v>5721</v>
      </c>
      <c r="H1560" t="s">
        <v>5722</v>
      </c>
      <c r="I1560" t="b">
        <f>COUNTIF(Estadísticas!I:I,'centraldecomunicacion.es'!H1560)&gt;0</f>
        <v>0</v>
      </c>
    </row>
    <row r="1561" spans="1:9">
      <c r="A1561" t="s">
        <v>5723</v>
      </c>
      <c r="B1561" t="s">
        <v>10</v>
      </c>
      <c r="C1561" t="s">
        <v>5724</v>
      </c>
      <c r="D1561" t="s">
        <v>5725</v>
      </c>
      <c r="E1561" t="s">
        <v>5688</v>
      </c>
      <c r="F1561" t="s">
        <v>993</v>
      </c>
      <c r="G1561" t="s">
        <v>5726</v>
      </c>
      <c r="H1561" t="s">
        <v>995</v>
      </c>
      <c r="I1561" t="b">
        <f>COUNTIF(Estadísticas!I:I,'centraldecomunicacion.es'!H1561)&gt;0</f>
        <v>0</v>
      </c>
    </row>
    <row r="1562" spans="1:9">
      <c r="A1562" t="s">
        <v>5727</v>
      </c>
      <c r="B1562" t="s">
        <v>10</v>
      </c>
      <c r="C1562" t="s">
        <v>5728</v>
      </c>
      <c r="D1562" t="s">
        <v>3583</v>
      </c>
      <c r="E1562" t="s">
        <v>1868</v>
      </c>
      <c r="F1562" t="s">
        <v>5729</v>
      </c>
      <c r="G1562" t="s">
        <v>5730</v>
      </c>
      <c r="H1562" t="s">
        <v>30</v>
      </c>
      <c r="I1562" t="b">
        <f>COUNTIF(Estadísticas!I:I,'centraldecomunicacion.es'!H1562)&gt;0</f>
        <v>0</v>
      </c>
    </row>
    <row r="1563" spans="1:9">
      <c r="A1563" t="s">
        <v>5731</v>
      </c>
      <c r="B1563" t="s">
        <v>10</v>
      </c>
      <c r="C1563" t="s">
        <v>5732</v>
      </c>
      <c r="D1563" t="s">
        <v>5688</v>
      </c>
      <c r="E1563" t="s">
        <v>5688</v>
      </c>
      <c r="F1563" t="s">
        <v>5733</v>
      </c>
      <c r="G1563" t="s">
        <v>5734</v>
      </c>
      <c r="H1563" t="s">
        <v>5735</v>
      </c>
      <c r="I1563" t="b">
        <f>COUNTIF(Estadísticas!I:I,'centraldecomunicacion.es'!H1563)&gt;0</f>
        <v>1</v>
      </c>
    </row>
    <row r="1564" spans="1:9">
      <c r="A1564" t="s">
        <v>5736</v>
      </c>
      <c r="B1564" t="s">
        <v>10</v>
      </c>
      <c r="C1564" t="s">
        <v>5737</v>
      </c>
      <c r="D1564" t="s">
        <v>5688</v>
      </c>
      <c r="E1564" t="s">
        <v>5688</v>
      </c>
      <c r="F1564" t="s">
        <v>5733</v>
      </c>
      <c r="G1564" t="s">
        <v>5738</v>
      </c>
      <c r="H1564" t="s">
        <v>5735</v>
      </c>
      <c r="I1564" t="b">
        <f>COUNTIF(Estadísticas!I:I,'centraldecomunicacion.es'!H1564)&gt;0</f>
        <v>1</v>
      </c>
    </row>
    <row r="1565" spans="1:9">
      <c r="A1565" t="s">
        <v>5739</v>
      </c>
      <c r="B1565" t="s">
        <v>10</v>
      </c>
      <c r="C1565" t="s">
        <v>5740</v>
      </c>
      <c r="D1565" t="s">
        <v>5688</v>
      </c>
      <c r="E1565" t="s">
        <v>5688</v>
      </c>
      <c r="F1565" t="s">
        <v>5741</v>
      </c>
      <c r="G1565" t="s">
        <v>5742</v>
      </c>
      <c r="H1565" t="s">
        <v>5743</v>
      </c>
      <c r="I1565" t="b">
        <f>COUNTIF(Estadísticas!I:I,'centraldecomunicacion.es'!H1565)&gt;0</f>
        <v>1</v>
      </c>
    </row>
    <row r="1566" spans="1:9">
      <c r="A1566" t="s">
        <v>5744</v>
      </c>
      <c r="B1566" t="s">
        <v>10</v>
      </c>
      <c r="C1566" t="s">
        <v>5745</v>
      </c>
      <c r="D1566" t="s">
        <v>5688</v>
      </c>
      <c r="E1566" t="s">
        <v>5688</v>
      </c>
      <c r="F1566" t="s">
        <v>5746</v>
      </c>
      <c r="G1566" t="s">
        <v>5747</v>
      </c>
      <c r="H1566" t="s">
        <v>5748</v>
      </c>
      <c r="I1566" t="b">
        <f>COUNTIF(Estadísticas!I:I,'centraldecomunicacion.es'!H1566)&gt;0</f>
        <v>0</v>
      </c>
    </row>
    <row r="1567" spans="1:9">
      <c r="A1567" t="s">
        <v>5749</v>
      </c>
      <c r="B1567" t="s">
        <v>10</v>
      </c>
      <c r="C1567" t="s">
        <v>5750</v>
      </c>
      <c r="D1567" t="s">
        <v>5688</v>
      </c>
      <c r="E1567" t="s">
        <v>5688</v>
      </c>
      <c r="F1567" t="s">
        <v>28</v>
      </c>
      <c r="G1567" t="s">
        <v>5751</v>
      </c>
      <c r="H1567" t="s">
        <v>30</v>
      </c>
      <c r="I1567" t="b">
        <f>COUNTIF(Estadísticas!I:I,'centraldecomunicacion.es'!H1567)&gt;0</f>
        <v>0</v>
      </c>
    </row>
    <row r="1568" spans="1:9">
      <c r="A1568" t="s">
        <v>5752</v>
      </c>
      <c r="B1568" t="s">
        <v>10</v>
      </c>
      <c r="C1568" t="s">
        <v>5753</v>
      </c>
      <c r="D1568" t="s">
        <v>5688</v>
      </c>
      <c r="E1568" t="s">
        <v>5688</v>
      </c>
      <c r="F1568" t="s">
        <v>28</v>
      </c>
      <c r="G1568" t="s">
        <v>28</v>
      </c>
      <c r="H1568" t="s">
        <v>30</v>
      </c>
      <c r="I1568" t="b">
        <f>COUNTIF(Estadísticas!I:I,'centraldecomunicacion.es'!H1568)&gt;0</f>
        <v>0</v>
      </c>
    </row>
    <row r="1569" spans="1:9">
      <c r="A1569" t="s">
        <v>5754</v>
      </c>
      <c r="B1569" t="s">
        <v>10</v>
      </c>
      <c r="C1569" t="s">
        <v>5755</v>
      </c>
      <c r="D1569" t="s">
        <v>5688</v>
      </c>
      <c r="E1569" t="s">
        <v>5688</v>
      </c>
      <c r="F1569" t="s">
        <v>5756</v>
      </c>
      <c r="G1569" t="s">
        <v>5757</v>
      </c>
      <c r="H1569" t="s">
        <v>5758</v>
      </c>
      <c r="I1569" t="b">
        <f>COUNTIF(Estadísticas!I:I,'centraldecomunicacion.es'!H1569)&gt;0</f>
        <v>0</v>
      </c>
    </row>
    <row r="1570" spans="1:9">
      <c r="A1570" t="s">
        <v>5759</v>
      </c>
      <c r="B1570" t="s">
        <v>10</v>
      </c>
      <c r="C1570" t="s">
        <v>5760</v>
      </c>
      <c r="D1570" t="s">
        <v>5688</v>
      </c>
      <c r="E1570" t="s">
        <v>5688</v>
      </c>
      <c r="F1570" t="s">
        <v>5761</v>
      </c>
      <c r="G1570" t="s">
        <v>5762</v>
      </c>
      <c r="H1570" t="s">
        <v>30</v>
      </c>
      <c r="I1570" t="b">
        <f>COUNTIF(Estadísticas!I:I,'centraldecomunicacion.es'!H1570)&gt;0</f>
        <v>0</v>
      </c>
    </row>
    <row r="1571" spans="1:9">
      <c r="A1571" t="s">
        <v>5112</v>
      </c>
      <c r="B1571" t="s">
        <v>10</v>
      </c>
      <c r="C1571" t="s">
        <v>5763</v>
      </c>
      <c r="D1571" t="s">
        <v>5688</v>
      </c>
      <c r="E1571" t="s">
        <v>5688</v>
      </c>
      <c r="F1571" t="s">
        <v>5366</v>
      </c>
      <c r="G1571" t="s">
        <v>5764</v>
      </c>
      <c r="H1571" t="s">
        <v>5368</v>
      </c>
      <c r="I1571" t="b">
        <f>COUNTIF(Estadísticas!I:I,'centraldecomunicacion.es'!H1571)&gt;0</f>
        <v>0</v>
      </c>
    </row>
    <row r="1572" spans="1:9">
      <c r="A1572" t="s">
        <v>5765</v>
      </c>
      <c r="B1572" t="s">
        <v>10</v>
      </c>
      <c r="C1572" t="s">
        <v>5766</v>
      </c>
      <c r="D1572" t="s">
        <v>5688</v>
      </c>
      <c r="E1572" t="s">
        <v>5688</v>
      </c>
      <c r="F1572" t="s">
        <v>50</v>
      </c>
      <c r="G1572" t="s">
        <v>5767</v>
      </c>
      <c r="H1572" t="s">
        <v>30</v>
      </c>
      <c r="I1572" t="b">
        <f>COUNTIF(Estadísticas!I:I,'centraldecomunicacion.es'!H1572)&gt;0</f>
        <v>0</v>
      </c>
    </row>
    <row r="1573" spans="1:9">
      <c r="A1573" t="s">
        <v>5768</v>
      </c>
      <c r="B1573" t="s">
        <v>10</v>
      </c>
      <c r="C1573" t="s">
        <v>5769</v>
      </c>
      <c r="D1573" t="s">
        <v>5688</v>
      </c>
      <c r="E1573" t="s">
        <v>5688</v>
      </c>
      <c r="F1573" t="s">
        <v>5733</v>
      </c>
      <c r="G1573" t="s">
        <v>5770</v>
      </c>
      <c r="H1573" t="s">
        <v>5735</v>
      </c>
      <c r="I1573" t="b">
        <f>COUNTIF(Estadísticas!I:I,'centraldecomunicacion.es'!H1573)&gt;0</f>
        <v>1</v>
      </c>
    </row>
    <row r="1574" spans="1:9">
      <c r="A1574" t="s">
        <v>5771</v>
      </c>
      <c r="B1574" t="s">
        <v>10</v>
      </c>
      <c r="C1574" t="s">
        <v>5772</v>
      </c>
      <c r="D1574" t="s">
        <v>5688</v>
      </c>
      <c r="E1574" t="s">
        <v>5688</v>
      </c>
      <c r="F1574" t="s">
        <v>5756</v>
      </c>
      <c r="G1574" t="s">
        <v>5757</v>
      </c>
      <c r="H1574" t="s">
        <v>5758</v>
      </c>
      <c r="I1574" t="b">
        <f>COUNTIF(Estadísticas!I:I,'centraldecomunicacion.es'!H1574)&gt;0</f>
        <v>0</v>
      </c>
    </row>
    <row r="1575" spans="1:9">
      <c r="A1575" t="s">
        <v>5773</v>
      </c>
      <c r="B1575" t="s">
        <v>10</v>
      </c>
      <c r="C1575" t="s">
        <v>5774</v>
      </c>
      <c r="D1575" t="s">
        <v>5697</v>
      </c>
      <c r="E1575" t="s">
        <v>5688</v>
      </c>
      <c r="F1575" t="s">
        <v>5775</v>
      </c>
      <c r="G1575" t="s">
        <v>5776</v>
      </c>
      <c r="H1575" t="s">
        <v>5777</v>
      </c>
      <c r="I1575" t="b">
        <f>COUNTIF(Estadísticas!I:I,'centraldecomunicacion.es'!H1575)&gt;0</f>
        <v>0</v>
      </c>
    </row>
    <row r="1576" spans="1:9">
      <c r="A1576" t="s">
        <v>5778</v>
      </c>
      <c r="B1576" t="s">
        <v>10</v>
      </c>
      <c r="C1576" t="s">
        <v>5779</v>
      </c>
      <c r="D1576" t="s">
        <v>5688</v>
      </c>
      <c r="E1576" t="s">
        <v>5688</v>
      </c>
      <c r="F1576" t="s">
        <v>5780</v>
      </c>
      <c r="G1576" t="s">
        <v>5781</v>
      </c>
      <c r="H1576" t="s">
        <v>5782</v>
      </c>
      <c r="I1576" t="b">
        <f>COUNTIF(Estadísticas!I:I,'centraldecomunicacion.es'!H1576)&gt;0</f>
        <v>0</v>
      </c>
    </row>
    <row r="1577" spans="1:9">
      <c r="A1577" t="s">
        <v>5783</v>
      </c>
      <c r="B1577" t="s">
        <v>10</v>
      </c>
      <c r="C1577" t="s">
        <v>5784</v>
      </c>
      <c r="D1577" t="s">
        <v>5688</v>
      </c>
      <c r="E1577" t="s">
        <v>5688</v>
      </c>
      <c r="F1577" t="s">
        <v>28</v>
      </c>
      <c r="G1577" t="s">
        <v>28</v>
      </c>
      <c r="H1577" t="s">
        <v>30</v>
      </c>
      <c r="I1577" t="b">
        <f>COUNTIF(Estadísticas!I:I,'centraldecomunicacion.es'!H1577)&gt;0</f>
        <v>0</v>
      </c>
    </row>
    <row r="1578" spans="1:9">
      <c r="A1578" t="s">
        <v>5785</v>
      </c>
      <c r="B1578" t="s">
        <v>10</v>
      </c>
      <c r="C1578" t="s">
        <v>5786</v>
      </c>
      <c r="D1578" t="s">
        <v>5688</v>
      </c>
      <c r="E1578" t="s">
        <v>5688</v>
      </c>
      <c r="F1578" t="s">
        <v>5787</v>
      </c>
      <c r="G1578" t="s">
        <v>5788</v>
      </c>
      <c r="H1578" t="s">
        <v>5789</v>
      </c>
      <c r="I1578" t="b">
        <f>COUNTIF(Estadísticas!I:I,'centraldecomunicacion.es'!H1578)&gt;0</f>
        <v>1</v>
      </c>
    </row>
    <row r="1579" spans="1:9">
      <c r="A1579" t="s">
        <v>5790</v>
      </c>
      <c r="B1579" t="s">
        <v>10</v>
      </c>
      <c r="C1579" t="s">
        <v>5791</v>
      </c>
      <c r="D1579" t="s">
        <v>5688</v>
      </c>
      <c r="E1579" t="s">
        <v>5688</v>
      </c>
      <c r="F1579" t="s">
        <v>28</v>
      </c>
      <c r="G1579" t="s">
        <v>5792</v>
      </c>
      <c r="H1579" t="s">
        <v>30</v>
      </c>
      <c r="I1579" t="b">
        <f>COUNTIF(Estadísticas!I:I,'centraldecomunicacion.es'!H1579)&gt;0</f>
        <v>0</v>
      </c>
    </row>
    <row r="1580" spans="1:9">
      <c r="A1580" t="s">
        <v>5793</v>
      </c>
      <c r="B1580" t="s">
        <v>10</v>
      </c>
      <c r="C1580" t="s">
        <v>5794</v>
      </c>
      <c r="D1580" t="s">
        <v>5688</v>
      </c>
      <c r="E1580" t="s">
        <v>5688</v>
      </c>
      <c r="F1580" t="s">
        <v>28</v>
      </c>
      <c r="G1580" t="s">
        <v>5795</v>
      </c>
      <c r="H1580" t="s">
        <v>30</v>
      </c>
      <c r="I1580" t="b">
        <f>COUNTIF(Estadísticas!I:I,'centraldecomunicacion.es'!H1580)&gt;0</f>
        <v>0</v>
      </c>
    </row>
    <row r="1581" spans="1:9">
      <c r="A1581" t="s">
        <v>5796</v>
      </c>
      <c r="B1581" t="s">
        <v>10</v>
      </c>
      <c r="C1581" t="s">
        <v>5797</v>
      </c>
      <c r="D1581" t="s">
        <v>5697</v>
      </c>
      <c r="E1581" t="s">
        <v>5688</v>
      </c>
      <c r="F1581" t="s">
        <v>28</v>
      </c>
      <c r="G1581" t="s">
        <v>28</v>
      </c>
      <c r="H1581" t="s">
        <v>30</v>
      </c>
      <c r="I1581" t="b">
        <f>COUNTIF(Estadísticas!I:I,'centraldecomunicacion.es'!H1581)&gt;0</f>
        <v>0</v>
      </c>
    </row>
    <row r="1582" spans="1:9">
      <c r="A1582" t="s">
        <v>5798</v>
      </c>
      <c r="B1582" t="s">
        <v>10</v>
      </c>
      <c r="C1582" t="s">
        <v>5799</v>
      </c>
      <c r="D1582" t="s">
        <v>5697</v>
      </c>
      <c r="E1582" t="s">
        <v>5688</v>
      </c>
      <c r="F1582" t="s">
        <v>28</v>
      </c>
      <c r="G1582" t="s">
        <v>5800</v>
      </c>
      <c r="H1582" t="s">
        <v>30</v>
      </c>
      <c r="I1582" t="b">
        <f>COUNTIF(Estadísticas!I:I,'centraldecomunicacion.es'!H1582)&gt;0</f>
        <v>0</v>
      </c>
    </row>
    <row r="1583" spans="1:9">
      <c r="A1583" t="s">
        <v>1632</v>
      </c>
      <c r="B1583" t="s">
        <v>10</v>
      </c>
      <c r="C1583" t="s">
        <v>5801</v>
      </c>
      <c r="D1583" t="s">
        <v>5688</v>
      </c>
      <c r="E1583" t="s">
        <v>5688</v>
      </c>
      <c r="F1583" t="s">
        <v>28</v>
      </c>
      <c r="G1583" t="s">
        <v>5802</v>
      </c>
      <c r="H1583" t="s">
        <v>30</v>
      </c>
      <c r="I1583" t="b">
        <f>COUNTIF(Estadísticas!I:I,'centraldecomunicacion.es'!H1583)&gt;0</f>
        <v>0</v>
      </c>
    </row>
    <row r="1584" spans="1:9">
      <c r="A1584" t="s">
        <v>5803</v>
      </c>
      <c r="B1584" t="s">
        <v>10</v>
      </c>
      <c r="C1584" t="s">
        <v>5804</v>
      </c>
      <c r="D1584" t="s">
        <v>5805</v>
      </c>
      <c r="E1584" t="s">
        <v>5688</v>
      </c>
      <c r="F1584" t="s">
        <v>28</v>
      </c>
      <c r="G1584" t="s">
        <v>5806</v>
      </c>
      <c r="H1584" t="s">
        <v>30</v>
      </c>
      <c r="I1584" t="b">
        <f>COUNTIF(Estadísticas!I:I,'centraldecomunicacion.es'!H1584)&gt;0</f>
        <v>0</v>
      </c>
    </row>
    <row r="1585" spans="1:9">
      <c r="A1585" t="s">
        <v>5807</v>
      </c>
      <c r="B1585" t="s">
        <v>10</v>
      </c>
      <c r="C1585" t="s">
        <v>5808</v>
      </c>
      <c r="D1585" t="s">
        <v>5805</v>
      </c>
      <c r="E1585" t="s">
        <v>5688</v>
      </c>
      <c r="F1585" t="s">
        <v>28</v>
      </c>
      <c r="G1585" t="s">
        <v>5809</v>
      </c>
      <c r="H1585" t="s">
        <v>30</v>
      </c>
      <c r="I1585" t="b">
        <f>COUNTIF(Estadísticas!I:I,'centraldecomunicacion.es'!H1585)&gt;0</f>
        <v>0</v>
      </c>
    </row>
    <row r="1586" spans="1:9">
      <c r="A1586" t="s">
        <v>5810</v>
      </c>
      <c r="B1586" t="s">
        <v>10</v>
      </c>
      <c r="C1586" t="s">
        <v>28</v>
      </c>
      <c r="D1586" t="s">
        <v>5805</v>
      </c>
      <c r="E1586" t="s">
        <v>28</v>
      </c>
      <c r="F1586" t="s">
        <v>28</v>
      </c>
      <c r="G1586" t="s">
        <v>28</v>
      </c>
      <c r="H1586" t="s">
        <v>30</v>
      </c>
      <c r="I1586" t="b">
        <f>COUNTIF(Estadísticas!I:I,'centraldecomunicacion.es'!H1586)&gt;0</f>
        <v>0</v>
      </c>
    </row>
    <row r="1587" spans="1:9">
      <c r="A1587" t="s">
        <v>5811</v>
      </c>
      <c r="B1587" t="s">
        <v>10</v>
      </c>
      <c r="C1587" t="s">
        <v>5812</v>
      </c>
      <c r="D1587" t="s">
        <v>5688</v>
      </c>
      <c r="E1587" t="s">
        <v>5688</v>
      </c>
      <c r="F1587" t="s">
        <v>28</v>
      </c>
      <c r="G1587" t="s">
        <v>5813</v>
      </c>
      <c r="H1587" t="s">
        <v>30</v>
      </c>
      <c r="I1587" t="b">
        <f>COUNTIF(Estadísticas!I:I,'centraldecomunicacion.es'!H1587)&gt;0</f>
        <v>0</v>
      </c>
    </row>
    <row r="1588" spans="1:9">
      <c r="A1588" t="s">
        <v>5814</v>
      </c>
      <c r="B1588" t="s">
        <v>10</v>
      </c>
      <c r="C1588" t="s">
        <v>5815</v>
      </c>
      <c r="D1588" t="s">
        <v>5688</v>
      </c>
      <c r="E1588" t="s">
        <v>5688</v>
      </c>
      <c r="F1588" t="s">
        <v>5816</v>
      </c>
      <c r="G1588" t="s">
        <v>28</v>
      </c>
      <c r="H1588" t="s">
        <v>5817</v>
      </c>
      <c r="I1588" t="b">
        <f>COUNTIF(Estadísticas!I:I,'centraldecomunicacion.es'!H1588)&gt;0</f>
        <v>0</v>
      </c>
    </row>
    <row r="1589" spans="1:9">
      <c r="A1589" t="s">
        <v>5818</v>
      </c>
      <c r="B1589" t="s">
        <v>10</v>
      </c>
      <c r="C1589" t="s">
        <v>5819</v>
      </c>
      <c r="D1589" t="s">
        <v>5688</v>
      </c>
      <c r="E1589" t="s">
        <v>5688</v>
      </c>
      <c r="F1589" t="s">
        <v>28</v>
      </c>
      <c r="G1589" t="s">
        <v>5820</v>
      </c>
      <c r="H1589" t="s">
        <v>30</v>
      </c>
      <c r="I1589" t="b">
        <f>COUNTIF(Estadísticas!I:I,'centraldecomunicacion.es'!H1589)&gt;0</f>
        <v>0</v>
      </c>
    </row>
    <row r="1590" spans="1:9">
      <c r="A1590" t="s">
        <v>5821</v>
      </c>
      <c r="B1590" t="s">
        <v>10</v>
      </c>
      <c r="C1590" t="s">
        <v>5822</v>
      </c>
      <c r="D1590" t="s">
        <v>5688</v>
      </c>
      <c r="E1590" t="s">
        <v>5688</v>
      </c>
      <c r="F1590" t="s">
        <v>28</v>
      </c>
      <c r="G1590" t="s">
        <v>28</v>
      </c>
      <c r="H1590" t="s">
        <v>30</v>
      </c>
      <c r="I1590" t="b">
        <f>COUNTIF(Estadísticas!I:I,'centraldecomunicacion.es'!H1590)&gt;0</f>
        <v>0</v>
      </c>
    </row>
    <row r="1591" spans="1:9">
      <c r="A1591" t="s">
        <v>5823</v>
      </c>
      <c r="B1591" t="s">
        <v>10</v>
      </c>
      <c r="C1591" t="s">
        <v>5824</v>
      </c>
      <c r="D1591" t="s">
        <v>5697</v>
      </c>
      <c r="E1591" t="s">
        <v>5688</v>
      </c>
      <c r="F1591" t="s">
        <v>5825</v>
      </c>
      <c r="G1591" t="s">
        <v>5826</v>
      </c>
      <c r="H1591" t="s">
        <v>30</v>
      </c>
      <c r="I1591" t="b">
        <f>COUNTIF(Estadísticas!I:I,'centraldecomunicacion.es'!H1591)&gt;0</f>
        <v>0</v>
      </c>
    </row>
    <row r="1592" spans="1:9">
      <c r="A1592" t="s">
        <v>5827</v>
      </c>
      <c r="B1592" t="s">
        <v>10</v>
      </c>
      <c r="C1592" t="s">
        <v>5828</v>
      </c>
      <c r="D1592" t="s">
        <v>5697</v>
      </c>
      <c r="E1592" t="s">
        <v>5688</v>
      </c>
      <c r="F1592" t="s">
        <v>5829</v>
      </c>
      <c r="G1592" t="s">
        <v>5830</v>
      </c>
      <c r="H1592" t="s">
        <v>5831</v>
      </c>
      <c r="I1592" t="b">
        <f>COUNTIF(Estadísticas!I:I,'centraldecomunicacion.es'!H1592)&gt;0</f>
        <v>0</v>
      </c>
    </row>
    <row r="1593" spans="1:9">
      <c r="A1593" t="s">
        <v>5832</v>
      </c>
      <c r="B1593" t="s">
        <v>10</v>
      </c>
      <c r="C1593" t="s">
        <v>5833</v>
      </c>
      <c r="D1593" t="s">
        <v>5697</v>
      </c>
      <c r="E1593" t="s">
        <v>5688</v>
      </c>
      <c r="F1593" t="s">
        <v>5834</v>
      </c>
      <c r="G1593" t="s">
        <v>5835</v>
      </c>
      <c r="H1593" t="s">
        <v>5836</v>
      </c>
      <c r="I1593" t="b">
        <f>COUNTIF(Estadísticas!I:I,'centraldecomunicacion.es'!H1593)&gt;0</f>
        <v>0</v>
      </c>
    </row>
    <row r="1594" spans="1:9">
      <c r="A1594" t="s">
        <v>5837</v>
      </c>
      <c r="B1594" t="s">
        <v>10</v>
      </c>
      <c r="C1594" t="s">
        <v>28</v>
      </c>
      <c r="D1594" t="s">
        <v>5805</v>
      </c>
      <c r="E1594" t="s">
        <v>28</v>
      </c>
      <c r="F1594" t="s">
        <v>28</v>
      </c>
      <c r="G1594" t="s">
        <v>5838</v>
      </c>
      <c r="H1594" t="s">
        <v>30</v>
      </c>
      <c r="I1594" t="b">
        <f>COUNTIF(Estadísticas!I:I,'centraldecomunicacion.es'!H1594)&gt;0</f>
        <v>0</v>
      </c>
    </row>
    <row r="1595" spans="1:9">
      <c r="A1595" t="s">
        <v>5839</v>
      </c>
      <c r="B1595" t="s">
        <v>10</v>
      </c>
      <c r="C1595" t="s">
        <v>5840</v>
      </c>
      <c r="D1595" t="s">
        <v>5697</v>
      </c>
      <c r="E1595" t="s">
        <v>5688</v>
      </c>
      <c r="F1595" t="s">
        <v>5841</v>
      </c>
      <c r="G1595" t="s">
        <v>5842</v>
      </c>
      <c r="H1595" t="s">
        <v>30</v>
      </c>
      <c r="I1595" t="b">
        <f>COUNTIF(Estadísticas!I:I,'centraldecomunicacion.es'!H1595)&gt;0</f>
        <v>0</v>
      </c>
    </row>
    <row r="1596" spans="1:9">
      <c r="A1596" t="s">
        <v>5843</v>
      </c>
      <c r="B1596" t="s">
        <v>10</v>
      </c>
      <c r="C1596" t="s">
        <v>5844</v>
      </c>
      <c r="D1596" t="s">
        <v>5845</v>
      </c>
      <c r="E1596" t="s">
        <v>5688</v>
      </c>
      <c r="F1596" t="s">
        <v>28</v>
      </c>
      <c r="G1596" t="s">
        <v>5846</v>
      </c>
      <c r="H1596" t="s">
        <v>30</v>
      </c>
      <c r="I1596" t="b">
        <f>COUNTIF(Estadísticas!I:I,'centraldecomunicacion.es'!H1596)&gt;0</f>
        <v>0</v>
      </c>
    </row>
    <row r="1597" spans="1:9">
      <c r="A1597" t="s">
        <v>5847</v>
      </c>
      <c r="B1597" t="s">
        <v>10</v>
      </c>
      <c r="C1597" t="s">
        <v>5848</v>
      </c>
      <c r="D1597" t="s">
        <v>5845</v>
      </c>
      <c r="E1597" t="s">
        <v>5688</v>
      </c>
      <c r="F1597" t="s">
        <v>28</v>
      </c>
      <c r="G1597" t="s">
        <v>5849</v>
      </c>
      <c r="H1597" t="s">
        <v>30</v>
      </c>
      <c r="I1597" t="b">
        <f>COUNTIF(Estadísticas!I:I,'centraldecomunicacion.es'!H1597)&gt;0</f>
        <v>0</v>
      </c>
    </row>
    <row r="1598" spans="1:9">
      <c r="A1598" t="s">
        <v>5850</v>
      </c>
      <c r="B1598" t="s">
        <v>10</v>
      </c>
      <c r="C1598" t="s">
        <v>5851</v>
      </c>
      <c r="D1598" t="s">
        <v>5697</v>
      </c>
      <c r="E1598" t="s">
        <v>5688</v>
      </c>
      <c r="F1598" t="s">
        <v>5852</v>
      </c>
      <c r="G1598" t="s">
        <v>5853</v>
      </c>
      <c r="H1598" t="s">
        <v>5854</v>
      </c>
      <c r="I1598" t="b">
        <f>COUNTIF(Estadísticas!I:I,'centraldecomunicacion.es'!H1598)&gt;0</f>
        <v>0</v>
      </c>
    </row>
    <row r="1599" spans="1:9">
      <c r="A1599" t="s">
        <v>5855</v>
      </c>
      <c r="B1599" t="s">
        <v>10</v>
      </c>
      <c r="C1599" t="s">
        <v>5856</v>
      </c>
      <c r="D1599" t="s">
        <v>5697</v>
      </c>
      <c r="E1599" t="s">
        <v>5688</v>
      </c>
      <c r="F1599" t="s">
        <v>50</v>
      </c>
      <c r="G1599" t="s">
        <v>5857</v>
      </c>
      <c r="H1599" t="s">
        <v>30</v>
      </c>
      <c r="I1599" t="b">
        <f>COUNTIF(Estadísticas!I:I,'centraldecomunicacion.es'!H1599)&gt;0</f>
        <v>0</v>
      </c>
    </row>
    <row r="1600" spans="1:9">
      <c r="A1600" t="s">
        <v>5858</v>
      </c>
      <c r="B1600" t="s">
        <v>10</v>
      </c>
      <c r="C1600" t="s">
        <v>5859</v>
      </c>
      <c r="D1600" t="s">
        <v>5697</v>
      </c>
      <c r="E1600" t="s">
        <v>5688</v>
      </c>
      <c r="F1600" t="s">
        <v>38</v>
      </c>
      <c r="G1600" t="s">
        <v>5860</v>
      </c>
      <c r="H1600" t="s">
        <v>30</v>
      </c>
      <c r="I1600" t="b">
        <f>COUNTIF(Estadísticas!I:I,'centraldecomunicacion.es'!H1600)&gt;0</f>
        <v>0</v>
      </c>
    </row>
    <row r="1601" spans="1:9">
      <c r="A1601" t="s">
        <v>5861</v>
      </c>
      <c r="B1601" t="s">
        <v>10</v>
      </c>
      <c r="C1601" t="s">
        <v>5862</v>
      </c>
      <c r="D1601" t="s">
        <v>5845</v>
      </c>
      <c r="E1601" t="s">
        <v>5688</v>
      </c>
      <c r="F1601" t="s">
        <v>38</v>
      </c>
      <c r="G1601" t="s">
        <v>5863</v>
      </c>
      <c r="H1601" t="s">
        <v>30</v>
      </c>
      <c r="I1601" t="b">
        <f>COUNTIF(Estadísticas!I:I,'centraldecomunicacion.es'!H1601)&gt;0</f>
        <v>0</v>
      </c>
    </row>
    <row r="1602" spans="1:9">
      <c r="A1602" t="s">
        <v>5864</v>
      </c>
      <c r="B1602" t="s">
        <v>10</v>
      </c>
      <c r="C1602" t="s">
        <v>5865</v>
      </c>
      <c r="D1602" t="s">
        <v>5805</v>
      </c>
      <c r="E1602" t="s">
        <v>5688</v>
      </c>
      <c r="F1602" t="s">
        <v>28</v>
      </c>
      <c r="G1602" t="s">
        <v>28</v>
      </c>
      <c r="H1602" t="s">
        <v>30</v>
      </c>
      <c r="I1602" t="b">
        <f>COUNTIF(Estadísticas!I:I,'centraldecomunicacion.es'!H1602)&gt;0</f>
        <v>0</v>
      </c>
    </row>
    <row r="1603" spans="1:9">
      <c r="A1603" t="s">
        <v>5866</v>
      </c>
      <c r="B1603" t="s">
        <v>10</v>
      </c>
      <c r="C1603" t="s">
        <v>5867</v>
      </c>
      <c r="D1603" t="s">
        <v>5868</v>
      </c>
      <c r="E1603" t="s">
        <v>5688</v>
      </c>
      <c r="F1603" t="s">
        <v>5869</v>
      </c>
      <c r="G1603" t="s">
        <v>5870</v>
      </c>
      <c r="H1603" t="s">
        <v>5871</v>
      </c>
      <c r="I1603" t="b">
        <f>COUNTIF(Estadísticas!I:I,'centraldecomunicacion.es'!H1603)&gt;0</f>
        <v>0</v>
      </c>
    </row>
    <row r="1604" spans="1:9">
      <c r="A1604" t="s">
        <v>5872</v>
      </c>
      <c r="B1604" t="s">
        <v>10</v>
      </c>
      <c r="C1604" t="s">
        <v>5873</v>
      </c>
      <c r="D1604" t="s">
        <v>5688</v>
      </c>
      <c r="E1604" t="s">
        <v>5688</v>
      </c>
      <c r="F1604" t="s">
        <v>5874</v>
      </c>
      <c r="G1604" t="s">
        <v>28</v>
      </c>
      <c r="H1604" t="s">
        <v>5875</v>
      </c>
      <c r="I1604" t="b">
        <f>COUNTIF(Estadísticas!I:I,'centraldecomunicacion.es'!H1604)&gt;0</f>
        <v>0</v>
      </c>
    </row>
    <row r="1605" spans="1:9">
      <c r="A1605" t="s">
        <v>5876</v>
      </c>
      <c r="B1605" t="s">
        <v>10</v>
      </c>
      <c r="C1605" t="s">
        <v>5877</v>
      </c>
      <c r="D1605" t="s">
        <v>5878</v>
      </c>
      <c r="E1605" t="s">
        <v>5688</v>
      </c>
      <c r="F1605" t="s">
        <v>28</v>
      </c>
      <c r="G1605" t="s">
        <v>5879</v>
      </c>
      <c r="H1605" t="s">
        <v>30</v>
      </c>
      <c r="I1605" t="b">
        <f>COUNTIF(Estadísticas!I:I,'centraldecomunicacion.es'!H1605)&gt;0</f>
        <v>0</v>
      </c>
    </row>
    <row r="1606" spans="1:9">
      <c r="A1606" t="s">
        <v>5880</v>
      </c>
      <c r="B1606" t="s">
        <v>10</v>
      </c>
      <c r="C1606" t="s">
        <v>5881</v>
      </c>
      <c r="D1606" t="s">
        <v>5882</v>
      </c>
      <c r="E1606" t="s">
        <v>5688</v>
      </c>
      <c r="F1606" t="s">
        <v>28</v>
      </c>
      <c r="G1606" t="s">
        <v>5883</v>
      </c>
      <c r="H1606" t="s">
        <v>30</v>
      </c>
      <c r="I1606" t="b">
        <f>COUNTIF(Estadísticas!I:I,'centraldecomunicacion.es'!H1606)&gt;0</f>
        <v>0</v>
      </c>
    </row>
    <row r="1607" spans="1:9">
      <c r="A1607" t="s">
        <v>5884</v>
      </c>
      <c r="B1607" t="s">
        <v>10</v>
      </c>
      <c r="C1607" t="s">
        <v>5885</v>
      </c>
      <c r="D1607" t="s">
        <v>5805</v>
      </c>
      <c r="E1607" t="s">
        <v>5707</v>
      </c>
      <c r="F1607" t="s">
        <v>28</v>
      </c>
      <c r="G1607" t="s">
        <v>5886</v>
      </c>
      <c r="H1607" t="s">
        <v>30</v>
      </c>
      <c r="I1607" t="b">
        <f>COUNTIF(Estadísticas!I:I,'centraldecomunicacion.es'!H1607)&gt;0</f>
        <v>0</v>
      </c>
    </row>
    <row r="1608" spans="1:9">
      <c r="A1608" t="s">
        <v>5887</v>
      </c>
      <c r="B1608" t="s">
        <v>10</v>
      </c>
      <c r="C1608" t="s">
        <v>5888</v>
      </c>
      <c r="D1608" t="s">
        <v>5889</v>
      </c>
      <c r="E1608" t="s">
        <v>5688</v>
      </c>
      <c r="F1608" t="s">
        <v>28</v>
      </c>
      <c r="G1608" t="s">
        <v>5890</v>
      </c>
      <c r="H1608" t="s">
        <v>30</v>
      </c>
      <c r="I1608" t="b">
        <f>COUNTIF(Estadísticas!I:I,'centraldecomunicacion.es'!H1608)&gt;0</f>
        <v>0</v>
      </c>
    </row>
    <row r="1609" spans="1:9">
      <c r="A1609" t="s">
        <v>5891</v>
      </c>
      <c r="B1609" t="s">
        <v>10</v>
      </c>
      <c r="C1609" t="s">
        <v>5892</v>
      </c>
      <c r="D1609" t="s">
        <v>5889</v>
      </c>
      <c r="E1609" t="s">
        <v>5688</v>
      </c>
      <c r="F1609" t="s">
        <v>28</v>
      </c>
      <c r="G1609" t="s">
        <v>5893</v>
      </c>
      <c r="H1609" t="s">
        <v>30</v>
      </c>
      <c r="I1609" t="b">
        <f>COUNTIF(Estadísticas!I:I,'centraldecomunicacion.es'!H1609)&gt;0</f>
        <v>0</v>
      </c>
    </row>
    <row r="1610" spans="1:9">
      <c r="A1610" t="s">
        <v>5894</v>
      </c>
      <c r="B1610" t="s">
        <v>10</v>
      </c>
      <c r="C1610" t="s">
        <v>5895</v>
      </c>
      <c r="D1610" t="s">
        <v>5896</v>
      </c>
      <c r="E1610" t="s">
        <v>5688</v>
      </c>
      <c r="F1610" t="s">
        <v>28</v>
      </c>
      <c r="G1610" t="s">
        <v>28</v>
      </c>
      <c r="H1610" t="s">
        <v>30</v>
      </c>
      <c r="I1610" t="b">
        <f>COUNTIF(Estadísticas!I:I,'centraldecomunicacion.es'!H1610)&gt;0</f>
        <v>0</v>
      </c>
    </row>
    <row r="1611" spans="1:9">
      <c r="A1611" t="s">
        <v>5897</v>
      </c>
      <c r="B1611" t="s">
        <v>10</v>
      </c>
      <c r="C1611" t="s">
        <v>5898</v>
      </c>
      <c r="D1611" t="s">
        <v>5899</v>
      </c>
      <c r="E1611" t="s">
        <v>5688</v>
      </c>
      <c r="F1611" t="s">
        <v>5900</v>
      </c>
      <c r="G1611" t="s">
        <v>5901</v>
      </c>
      <c r="H1611" t="s">
        <v>30</v>
      </c>
      <c r="I1611" t="b">
        <f>COUNTIF(Estadísticas!I:I,'centraldecomunicacion.es'!H1611)&gt;0</f>
        <v>0</v>
      </c>
    </row>
    <row r="1612" spans="1:9">
      <c r="A1612" t="s">
        <v>5902</v>
      </c>
      <c r="B1612" t="s">
        <v>219</v>
      </c>
      <c r="C1612" t="s">
        <v>5903</v>
      </c>
      <c r="D1612" t="s">
        <v>5882</v>
      </c>
      <c r="E1612" t="s">
        <v>5882</v>
      </c>
      <c r="F1612" t="s">
        <v>50</v>
      </c>
      <c r="G1612" t="s">
        <v>5904</v>
      </c>
      <c r="H1612" t="s">
        <v>30</v>
      </c>
      <c r="I1612" t="b">
        <f>COUNTIF(Estadísticas!I:I,'centraldecomunicacion.es'!H1612)&gt;0</f>
        <v>0</v>
      </c>
    </row>
    <row r="1613" spans="1:9">
      <c r="A1613" t="s">
        <v>5905</v>
      </c>
      <c r="B1613" t="s">
        <v>10</v>
      </c>
      <c r="C1613" t="s">
        <v>5906</v>
      </c>
      <c r="D1613" t="s">
        <v>5878</v>
      </c>
      <c r="E1613" t="s">
        <v>5688</v>
      </c>
      <c r="F1613" t="s">
        <v>28</v>
      </c>
      <c r="G1613" t="s">
        <v>5907</v>
      </c>
      <c r="H1613" t="s">
        <v>30</v>
      </c>
      <c r="I1613" t="b">
        <f>COUNTIF(Estadísticas!I:I,'centraldecomunicacion.es'!H1613)&gt;0</f>
        <v>0</v>
      </c>
    </row>
    <row r="1614" spans="1:9">
      <c r="A1614" t="s">
        <v>5908</v>
      </c>
      <c r="B1614" t="s">
        <v>10</v>
      </c>
      <c r="C1614" t="s">
        <v>5909</v>
      </c>
      <c r="D1614" t="s">
        <v>5899</v>
      </c>
      <c r="E1614" t="s">
        <v>5688</v>
      </c>
      <c r="F1614" t="s">
        <v>28</v>
      </c>
      <c r="G1614" t="s">
        <v>5910</v>
      </c>
      <c r="H1614" t="s">
        <v>30</v>
      </c>
      <c r="I1614" t="b">
        <f>COUNTIF(Estadísticas!I:I,'centraldecomunicacion.es'!H1614)&gt;0</f>
        <v>0</v>
      </c>
    </row>
    <row r="1615" spans="1:9">
      <c r="A1615" t="s">
        <v>5911</v>
      </c>
      <c r="B1615" t="s">
        <v>10</v>
      </c>
      <c r="C1615" t="s">
        <v>5912</v>
      </c>
      <c r="D1615" t="s">
        <v>5878</v>
      </c>
      <c r="E1615" t="s">
        <v>5688</v>
      </c>
      <c r="F1615" t="s">
        <v>28</v>
      </c>
      <c r="G1615" t="s">
        <v>28</v>
      </c>
      <c r="H1615" t="s">
        <v>30</v>
      </c>
      <c r="I1615" t="b">
        <f>COUNTIF(Estadísticas!I:I,'centraldecomunicacion.es'!H1615)&gt;0</f>
        <v>0</v>
      </c>
    </row>
    <row r="1616" spans="1:9">
      <c r="A1616" t="s">
        <v>5913</v>
      </c>
      <c r="B1616" t="s">
        <v>10</v>
      </c>
      <c r="C1616" t="s">
        <v>5914</v>
      </c>
      <c r="D1616" t="s">
        <v>5889</v>
      </c>
      <c r="E1616" t="s">
        <v>5688</v>
      </c>
      <c r="F1616" t="s">
        <v>28</v>
      </c>
      <c r="G1616" t="s">
        <v>5915</v>
      </c>
      <c r="H1616" t="s">
        <v>30</v>
      </c>
      <c r="I1616" t="b">
        <f>COUNTIF(Estadísticas!I:I,'centraldecomunicacion.es'!H1616)&gt;0</f>
        <v>0</v>
      </c>
    </row>
    <row r="1617" spans="1:9">
      <c r="A1617" t="s">
        <v>5916</v>
      </c>
      <c r="B1617" t="s">
        <v>10</v>
      </c>
      <c r="C1617" t="s">
        <v>5917</v>
      </c>
      <c r="D1617" t="s">
        <v>5878</v>
      </c>
      <c r="E1617" t="s">
        <v>5688</v>
      </c>
      <c r="F1617" t="s">
        <v>28</v>
      </c>
      <c r="G1617" t="s">
        <v>5918</v>
      </c>
      <c r="H1617" t="s">
        <v>30</v>
      </c>
      <c r="I1617" t="b">
        <f>COUNTIF(Estadísticas!I:I,'centraldecomunicacion.es'!H1617)&gt;0</f>
        <v>0</v>
      </c>
    </row>
    <row r="1618" spans="1:9">
      <c r="A1618" t="s">
        <v>5919</v>
      </c>
      <c r="B1618" t="s">
        <v>10</v>
      </c>
      <c r="C1618" t="s">
        <v>5920</v>
      </c>
      <c r="D1618" t="s">
        <v>5889</v>
      </c>
      <c r="E1618" t="s">
        <v>5688</v>
      </c>
      <c r="F1618" t="s">
        <v>28</v>
      </c>
      <c r="G1618" t="s">
        <v>5921</v>
      </c>
      <c r="H1618" t="s">
        <v>30</v>
      </c>
      <c r="I1618" t="b">
        <f>COUNTIF(Estadísticas!I:I,'centraldecomunicacion.es'!H1618)&gt;0</f>
        <v>0</v>
      </c>
    </row>
    <row r="1619" spans="1:9">
      <c r="A1619" t="s">
        <v>5922</v>
      </c>
      <c r="B1619" t="s">
        <v>10</v>
      </c>
      <c r="C1619" t="s">
        <v>5923</v>
      </c>
      <c r="D1619" t="s">
        <v>5878</v>
      </c>
      <c r="E1619" t="s">
        <v>5688</v>
      </c>
      <c r="F1619" t="s">
        <v>28</v>
      </c>
      <c r="G1619" t="s">
        <v>5924</v>
      </c>
      <c r="H1619" t="s">
        <v>30</v>
      </c>
      <c r="I1619" t="b">
        <f>COUNTIF(Estadísticas!I:I,'centraldecomunicacion.es'!H1619)&gt;0</f>
        <v>0</v>
      </c>
    </row>
    <row r="1620" spans="1:9">
      <c r="A1620" t="s">
        <v>5925</v>
      </c>
      <c r="B1620" t="s">
        <v>10</v>
      </c>
      <c r="C1620" t="s">
        <v>5926</v>
      </c>
      <c r="D1620" t="s">
        <v>5927</v>
      </c>
      <c r="E1620" t="s">
        <v>5688</v>
      </c>
      <c r="F1620" t="s">
        <v>28</v>
      </c>
      <c r="G1620" t="s">
        <v>5928</v>
      </c>
      <c r="H1620" t="s">
        <v>30</v>
      </c>
      <c r="I1620" t="b">
        <f>COUNTIF(Estadísticas!I:I,'centraldecomunicacion.es'!H1620)&gt;0</f>
        <v>0</v>
      </c>
    </row>
    <row r="1621" spans="1:9">
      <c r="A1621" t="s">
        <v>5929</v>
      </c>
      <c r="B1621" t="s">
        <v>10</v>
      </c>
      <c r="C1621" t="s">
        <v>5930</v>
      </c>
      <c r="D1621" t="s">
        <v>5931</v>
      </c>
      <c r="E1621" t="s">
        <v>5688</v>
      </c>
      <c r="F1621" t="s">
        <v>28</v>
      </c>
      <c r="G1621" t="s">
        <v>5932</v>
      </c>
      <c r="H1621" t="s">
        <v>30</v>
      </c>
      <c r="I1621" t="b">
        <f>COUNTIF(Estadísticas!I:I,'centraldecomunicacion.es'!H1621)&gt;0</f>
        <v>0</v>
      </c>
    </row>
    <row r="1622" spans="1:9">
      <c r="A1622" t="s">
        <v>5933</v>
      </c>
      <c r="B1622" t="s">
        <v>10</v>
      </c>
      <c r="C1622" t="s">
        <v>5934</v>
      </c>
      <c r="D1622" t="s">
        <v>5935</v>
      </c>
      <c r="E1622" t="s">
        <v>5688</v>
      </c>
      <c r="F1622" t="s">
        <v>28</v>
      </c>
      <c r="G1622" t="s">
        <v>5936</v>
      </c>
      <c r="H1622" t="s">
        <v>30</v>
      </c>
      <c r="I1622" t="b">
        <f>COUNTIF(Estadísticas!I:I,'centraldecomunicacion.es'!H1622)&gt;0</f>
        <v>0</v>
      </c>
    </row>
    <row r="1623" spans="1:9">
      <c r="A1623" t="s">
        <v>5937</v>
      </c>
      <c r="B1623" t="s">
        <v>10</v>
      </c>
      <c r="C1623" t="s">
        <v>5938</v>
      </c>
      <c r="D1623" t="s">
        <v>5939</v>
      </c>
      <c r="E1623" t="s">
        <v>5688</v>
      </c>
      <c r="F1623" t="s">
        <v>28</v>
      </c>
      <c r="G1623" t="s">
        <v>5940</v>
      </c>
      <c r="H1623" t="s">
        <v>30</v>
      </c>
      <c r="I1623" t="b">
        <f>COUNTIF(Estadísticas!I:I,'centraldecomunicacion.es'!H1623)&gt;0</f>
        <v>0</v>
      </c>
    </row>
    <row r="1624" spans="1:9">
      <c r="A1624" t="s">
        <v>5941</v>
      </c>
      <c r="B1624" t="s">
        <v>10</v>
      </c>
      <c r="C1624" t="s">
        <v>5942</v>
      </c>
      <c r="D1624" t="s">
        <v>5805</v>
      </c>
      <c r="E1624" t="s">
        <v>5688</v>
      </c>
      <c r="F1624" t="s">
        <v>28</v>
      </c>
      <c r="G1624" t="s">
        <v>5943</v>
      </c>
      <c r="H1624" t="s">
        <v>30</v>
      </c>
      <c r="I1624" t="b">
        <f>COUNTIF(Estadísticas!I:I,'centraldecomunicacion.es'!H1624)&gt;0</f>
        <v>0</v>
      </c>
    </row>
    <row r="1625" spans="1:9">
      <c r="A1625" t="s">
        <v>5944</v>
      </c>
      <c r="B1625" t="s">
        <v>10</v>
      </c>
      <c r="C1625" t="s">
        <v>5945</v>
      </c>
      <c r="D1625" t="s">
        <v>5946</v>
      </c>
      <c r="E1625" t="s">
        <v>5688</v>
      </c>
      <c r="F1625" t="s">
        <v>28</v>
      </c>
      <c r="G1625" t="s">
        <v>5947</v>
      </c>
      <c r="H1625" t="s">
        <v>30</v>
      </c>
      <c r="I1625" t="b">
        <f>COUNTIF(Estadísticas!I:I,'centraldecomunicacion.es'!H1625)&gt;0</f>
        <v>0</v>
      </c>
    </row>
    <row r="1626" spans="1:9">
      <c r="A1626" t="s">
        <v>5884</v>
      </c>
      <c r="B1626" t="s">
        <v>10</v>
      </c>
      <c r="C1626" t="s">
        <v>5948</v>
      </c>
      <c r="D1626" t="s">
        <v>5707</v>
      </c>
      <c r="E1626" t="s">
        <v>5688</v>
      </c>
      <c r="F1626" t="s">
        <v>28</v>
      </c>
      <c r="G1626" t="s">
        <v>5949</v>
      </c>
      <c r="H1626" t="s">
        <v>30</v>
      </c>
      <c r="I1626" t="b">
        <f>COUNTIF(Estadísticas!I:I,'centraldecomunicacion.es'!H1626)&gt;0</f>
        <v>0</v>
      </c>
    </row>
    <row r="1627" spans="1:9">
      <c r="A1627" t="s">
        <v>5950</v>
      </c>
      <c r="B1627" t="s">
        <v>10</v>
      </c>
      <c r="C1627" t="s">
        <v>5951</v>
      </c>
      <c r="D1627" t="s">
        <v>5878</v>
      </c>
      <c r="E1627" t="s">
        <v>5688</v>
      </c>
      <c r="F1627" t="s">
        <v>50</v>
      </c>
      <c r="G1627" t="s">
        <v>5952</v>
      </c>
      <c r="H1627" t="s">
        <v>30</v>
      </c>
      <c r="I1627" t="b">
        <f>COUNTIF(Estadísticas!I:I,'centraldecomunicacion.es'!H1627)&gt;0</f>
        <v>0</v>
      </c>
    </row>
    <row r="1628" spans="1:9">
      <c r="A1628" t="s">
        <v>5953</v>
      </c>
      <c r="B1628" t="s">
        <v>10</v>
      </c>
      <c r="C1628" t="s">
        <v>5954</v>
      </c>
      <c r="D1628" t="s">
        <v>5955</v>
      </c>
      <c r="E1628" t="s">
        <v>5688</v>
      </c>
      <c r="F1628" t="s">
        <v>50</v>
      </c>
      <c r="G1628" t="s">
        <v>5956</v>
      </c>
      <c r="H1628" t="s">
        <v>30</v>
      </c>
      <c r="I1628" t="b">
        <f>COUNTIF(Estadísticas!I:I,'centraldecomunicacion.es'!H1628)&gt;0</f>
        <v>0</v>
      </c>
    </row>
    <row r="1629" spans="1:9">
      <c r="A1629" t="s">
        <v>5957</v>
      </c>
      <c r="B1629" t="s">
        <v>10</v>
      </c>
      <c r="C1629" t="s">
        <v>5958</v>
      </c>
      <c r="D1629" t="s">
        <v>5935</v>
      </c>
      <c r="E1629" t="s">
        <v>5688</v>
      </c>
      <c r="F1629" t="s">
        <v>50</v>
      </c>
      <c r="G1629" t="s">
        <v>5959</v>
      </c>
      <c r="H1629" t="s">
        <v>30</v>
      </c>
      <c r="I1629" t="b">
        <f>COUNTIF(Estadísticas!I:I,'centraldecomunicacion.es'!H1629)&gt;0</f>
        <v>0</v>
      </c>
    </row>
    <row r="1630" spans="1:9">
      <c r="A1630" t="s">
        <v>5960</v>
      </c>
      <c r="B1630" t="s">
        <v>10</v>
      </c>
      <c r="C1630" t="s">
        <v>5961</v>
      </c>
      <c r="D1630" t="s">
        <v>5955</v>
      </c>
      <c r="E1630" t="s">
        <v>5688</v>
      </c>
      <c r="F1630" t="s">
        <v>28</v>
      </c>
      <c r="G1630" t="s">
        <v>5962</v>
      </c>
      <c r="H1630" t="s">
        <v>30</v>
      </c>
      <c r="I1630" t="b">
        <f>COUNTIF(Estadísticas!I:I,'centraldecomunicacion.es'!H1630)&gt;0</f>
        <v>0</v>
      </c>
    </row>
    <row r="1631" spans="1:9">
      <c r="A1631" t="s">
        <v>5963</v>
      </c>
      <c r="B1631" t="s">
        <v>10</v>
      </c>
      <c r="C1631" t="s">
        <v>5964</v>
      </c>
      <c r="D1631" t="s">
        <v>5931</v>
      </c>
      <c r="E1631" t="s">
        <v>5688</v>
      </c>
      <c r="F1631" t="s">
        <v>5965</v>
      </c>
      <c r="G1631" t="s">
        <v>5966</v>
      </c>
      <c r="H1631" t="s">
        <v>30</v>
      </c>
      <c r="I1631" t="b">
        <f>COUNTIF(Estadísticas!I:I,'centraldecomunicacion.es'!H1631)&gt;0</f>
        <v>0</v>
      </c>
    </row>
    <row r="1632" spans="1:9">
      <c r="A1632" t="s">
        <v>5967</v>
      </c>
      <c r="B1632" t="s">
        <v>10</v>
      </c>
      <c r="C1632" t="s">
        <v>5968</v>
      </c>
      <c r="D1632" t="s">
        <v>5805</v>
      </c>
      <c r="E1632" t="s">
        <v>5688</v>
      </c>
      <c r="F1632" t="s">
        <v>28</v>
      </c>
      <c r="G1632" t="s">
        <v>5969</v>
      </c>
      <c r="H1632" t="s">
        <v>30</v>
      </c>
      <c r="I1632" t="b">
        <f>COUNTIF(Estadísticas!I:I,'centraldecomunicacion.es'!H1632)&gt;0</f>
        <v>0</v>
      </c>
    </row>
    <row r="1633" spans="1:9">
      <c r="A1633" t="s">
        <v>5970</v>
      </c>
      <c r="B1633" t="s">
        <v>10</v>
      </c>
      <c r="C1633" t="s">
        <v>5971</v>
      </c>
      <c r="D1633" t="s">
        <v>5805</v>
      </c>
      <c r="E1633" t="s">
        <v>5688</v>
      </c>
      <c r="F1633" t="s">
        <v>28</v>
      </c>
      <c r="G1633" t="s">
        <v>5972</v>
      </c>
      <c r="H1633" t="s">
        <v>30</v>
      </c>
      <c r="I1633" t="b">
        <f>COUNTIF(Estadísticas!I:I,'centraldecomunicacion.es'!H1633)&gt;0</f>
        <v>0</v>
      </c>
    </row>
    <row r="1634" spans="1:9">
      <c r="A1634" t="s">
        <v>5973</v>
      </c>
      <c r="B1634" t="s">
        <v>219</v>
      </c>
      <c r="C1634" t="s">
        <v>5974</v>
      </c>
      <c r="D1634" t="s">
        <v>5931</v>
      </c>
      <c r="E1634" t="s">
        <v>5688</v>
      </c>
      <c r="F1634" t="s">
        <v>50</v>
      </c>
      <c r="G1634" t="s">
        <v>5975</v>
      </c>
      <c r="H1634" t="s">
        <v>30</v>
      </c>
      <c r="I1634" t="b">
        <f>COUNTIF(Estadísticas!I:I,'centraldecomunicacion.es'!H1634)&gt;0</f>
        <v>0</v>
      </c>
    </row>
    <row r="1635" spans="1:9">
      <c r="A1635" t="s">
        <v>5976</v>
      </c>
      <c r="B1635" t="s">
        <v>10</v>
      </c>
      <c r="C1635" t="s">
        <v>5977</v>
      </c>
      <c r="D1635" t="s">
        <v>5931</v>
      </c>
      <c r="E1635" t="s">
        <v>5931</v>
      </c>
      <c r="F1635" t="s">
        <v>28</v>
      </c>
      <c r="G1635" t="s">
        <v>5978</v>
      </c>
      <c r="H1635" t="s">
        <v>30</v>
      </c>
      <c r="I1635" t="b">
        <f>COUNTIF(Estadísticas!I:I,'centraldecomunicacion.es'!H1635)&gt;0</f>
        <v>0</v>
      </c>
    </row>
    <row r="1636" spans="1:9">
      <c r="A1636" t="s">
        <v>5979</v>
      </c>
      <c r="B1636" t="s">
        <v>10</v>
      </c>
      <c r="C1636" t="s">
        <v>5980</v>
      </c>
      <c r="D1636" t="s">
        <v>5981</v>
      </c>
      <c r="E1636" t="s">
        <v>5688</v>
      </c>
      <c r="F1636" t="s">
        <v>28</v>
      </c>
      <c r="G1636" t="s">
        <v>5982</v>
      </c>
      <c r="H1636" t="s">
        <v>30</v>
      </c>
      <c r="I1636" t="b">
        <f>COUNTIF(Estadísticas!I:I,'centraldecomunicacion.es'!H1636)&gt;0</f>
        <v>0</v>
      </c>
    </row>
    <row r="1637" spans="1:9">
      <c r="A1637" t="s">
        <v>5983</v>
      </c>
      <c r="B1637" t="s">
        <v>10</v>
      </c>
      <c r="C1637" t="s">
        <v>5984</v>
      </c>
      <c r="D1637" t="s">
        <v>5715</v>
      </c>
      <c r="E1637" t="s">
        <v>5688</v>
      </c>
      <c r="F1637" t="s">
        <v>5985</v>
      </c>
      <c r="G1637" t="s">
        <v>5986</v>
      </c>
      <c r="H1637" t="s">
        <v>30</v>
      </c>
      <c r="I1637" t="b">
        <f>COUNTIF(Estadísticas!I:I,'centraldecomunicacion.es'!H1637)&gt;0</f>
        <v>0</v>
      </c>
    </row>
    <row r="1638" spans="1:9">
      <c r="A1638" t="s">
        <v>5987</v>
      </c>
      <c r="B1638" t="s">
        <v>10</v>
      </c>
      <c r="C1638" t="s">
        <v>5988</v>
      </c>
      <c r="D1638" t="s">
        <v>5989</v>
      </c>
      <c r="E1638" t="s">
        <v>5688</v>
      </c>
      <c r="F1638" t="s">
        <v>28</v>
      </c>
      <c r="G1638" t="s">
        <v>5990</v>
      </c>
      <c r="H1638" t="s">
        <v>30</v>
      </c>
      <c r="I1638" t="b">
        <f>COUNTIF(Estadísticas!I:I,'centraldecomunicacion.es'!H1638)&gt;0</f>
        <v>0</v>
      </c>
    </row>
    <row r="1639" spans="1:9">
      <c r="A1639" t="s">
        <v>5991</v>
      </c>
      <c r="B1639" t="s">
        <v>10</v>
      </c>
      <c r="C1639" t="s">
        <v>5992</v>
      </c>
      <c r="D1639" t="s">
        <v>5981</v>
      </c>
      <c r="E1639" t="s">
        <v>5688</v>
      </c>
      <c r="F1639" t="s">
        <v>28</v>
      </c>
      <c r="G1639" t="s">
        <v>5993</v>
      </c>
      <c r="H1639" t="s">
        <v>30</v>
      </c>
      <c r="I1639" t="b">
        <f>COUNTIF(Estadísticas!I:I,'centraldecomunicacion.es'!H1639)&gt;0</f>
        <v>0</v>
      </c>
    </row>
    <row r="1640" spans="1:9">
      <c r="A1640" t="s">
        <v>5994</v>
      </c>
      <c r="B1640" t="s">
        <v>10</v>
      </c>
      <c r="C1640" t="s">
        <v>5995</v>
      </c>
      <c r="D1640" t="s">
        <v>5996</v>
      </c>
      <c r="E1640" t="s">
        <v>5688</v>
      </c>
      <c r="F1640" t="s">
        <v>28</v>
      </c>
      <c r="G1640" t="s">
        <v>28</v>
      </c>
      <c r="H1640" t="s">
        <v>30</v>
      </c>
      <c r="I1640" t="b">
        <f>COUNTIF(Estadísticas!I:I,'centraldecomunicacion.es'!H1640)&gt;0</f>
        <v>0</v>
      </c>
    </row>
    <row r="1641" spans="1:9">
      <c r="A1641" t="s">
        <v>5997</v>
      </c>
      <c r="B1641" t="s">
        <v>10</v>
      </c>
      <c r="C1641" t="s">
        <v>5998</v>
      </c>
      <c r="D1641" t="s">
        <v>5715</v>
      </c>
      <c r="E1641" t="s">
        <v>5688</v>
      </c>
      <c r="F1641" t="s">
        <v>50</v>
      </c>
      <c r="G1641" t="s">
        <v>5999</v>
      </c>
      <c r="H1641" t="s">
        <v>30</v>
      </c>
      <c r="I1641" t="b">
        <f>COUNTIF(Estadísticas!I:I,'centraldecomunicacion.es'!H1641)&gt;0</f>
        <v>0</v>
      </c>
    </row>
    <row r="1642" spans="1:9">
      <c r="A1642" t="s">
        <v>1925</v>
      </c>
      <c r="B1642" t="s">
        <v>10</v>
      </c>
      <c r="C1642" t="s">
        <v>6000</v>
      </c>
      <c r="D1642" t="s">
        <v>6001</v>
      </c>
      <c r="E1642" t="s">
        <v>5688</v>
      </c>
      <c r="F1642" t="s">
        <v>28</v>
      </c>
      <c r="G1642" t="s">
        <v>6002</v>
      </c>
      <c r="H1642" t="s">
        <v>30</v>
      </c>
      <c r="I1642" t="b">
        <f>COUNTIF(Estadísticas!I:I,'centraldecomunicacion.es'!H1642)&gt;0</f>
        <v>0</v>
      </c>
    </row>
    <row r="1643" spans="1:9">
      <c r="A1643" t="s">
        <v>6003</v>
      </c>
      <c r="B1643" t="s">
        <v>10</v>
      </c>
      <c r="C1643" t="s">
        <v>6004</v>
      </c>
      <c r="D1643" t="s">
        <v>5927</v>
      </c>
      <c r="E1643" t="s">
        <v>5688</v>
      </c>
      <c r="F1643" t="s">
        <v>50</v>
      </c>
      <c r="G1643" t="s">
        <v>6005</v>
      </c>
      <c r="H1643" t="s">
        <v>30</v>
      </c>
      <c r="I1643" t="b">
        <f>COUNTIF(Estadísticas!I:I,'centraldecomunicacion.es'!H1643)&gt;0</f>
        <v>0</v>
      </c>
    </row>
    <row r="1644" spans="1:9">
      <c r="A1644" t="s">
        <v>6006</v>
      </c>
      <c r="B1644" t="s">
        <v>10</v>
      </c>
      <c r="C1644" t="s">
        <v>6007</v>
      </c>
      <c r="D1644" t="s">
        <v>5715</v>
      </c>
      <c r="E1644" t="s">
        <v>5688</v>
      </c>
      <c r="F1644" t="s">
        <v>28</v>
      </c>
      <c r="G1644" t="s">
        <v>6008</v>
      </c>
      <c r="H1644" t="s">
        <v>30</v>
      </c>
      <c r="I1644" t="b">
        <f>COUNTIF(Estadísticas!I:I,'centraldecomunicacion.es'!H1644)&gt;0</f>
        <v>0</v>
      </c>
    </row>
    <row r="1645" spans="1:9">
      <c r="A1645" t="s">
        <v>6009</v>
      </c>
      <c r="B1645" t="s">
        <v>10</v>
      </c>
      <c r="C1645" t="s">
        <v>6010</v>
      </c>
      <c r="D1645" t="s">
        <v>5715</v>
      </c>
      <c r="E1645" t="s">
        <v>5688</v>
      </c>
      <c r="F1645" t="s">
        <v>28</v>
      </c>
      <c r="G1645" t="s">
        <v>6011</v>
      </c>
      <c r="H1645" t="s">
        <v>30</v>
      </c>
      <c r="I1645" t="b">
        <f>COUNTIF(Estadísticas!I:I,'centraldecomunicacion.es'!H1645)&gt;0</f>
        <v>0</v>
      </c>
    </row>
    <row r="1646" spans="1:9">
      <c r="A1646" t="s">
        <v>6012</v>
      </c>
      <c r="B1646" t="s">
        <v>10</v>
      </c>
      <c r="C1646" t="s">
        <v>6013</v>
      </c>
      <c r="D1646" t="s">
        <v>6014</v>
      </c>
      <c r="E1646" t="s">
        <v>5688</v>
      </c>
      <c r="F1646" t="s">
        <v>28</v>
      </c>
      <c r="G1646" t="s">
        <v>28</v>
      </c>
      <c r="H1646" t="s">
        <v>30</v>
      </c>
      <c r="I1646" t="b">
        <f>COUNTIF(Estadísticas!I:I,'centraldecomunicacion.es'!H1646)&gt;0</f>
        <v>0</v>
      </c>
    </row>
    <row r="1647" spans="1:9">
      <c r="A1647" t="s">
        <v>6015</v>
      </c>
      <c r="B1647" t="s">
        <v>10</v>
      </c>
      <c r="C1647" t="s">
        <v>6016</v>
      </c>
      <c r="D1647" t="s">
        <v>6001</v>
      </c>
      <c r="E1647" t="s">
        <v>5688</v>
      </c>
      <c r="F1647" t="s">
        <v>28</v>
      </c>
      <c r="G1647" t="s">
        <v>6017</v>
      </c>
      <c r="H1647" t="s">
        <v>30</v>
      </c>
      <c r="I1647" t="b">
        <f>COUNTIF(Estadísticas!I:I,'centraldecomunicacion.es'!H1647)&gt;0</f>
        <v>0</v>
      </c>
    </row>
    <row r="1648" spans="1:9">
      <c r="A1648" t="s">
        <v>6018</v>
      </c>
      <c r="B1648" t="s">
        <v>10</v>
      </c>
      <c r="C1648" t="s">
        <v>6019</v>
      </c>
      <c r="D1648" t="s">
        <v>5697</v>
      </c>
      <c r="E1648" t="s">
        <v>5688</v>
      </c>
      <c r="F1648" t="s">
        <v>28</v>
      </c>
      <c r="G1648" t="s">
        <v>6020</v>
      </c>
      <c r="H1648" t="s">
        <v>30</v>
      </c>
      <c r="I1648" t="b">
        <f>COUNTIF(Estadísticas!I:I,'centraldecomunicacion.es'!H1648)&gt;0</f>
        <v>0</v>
      </c>
    </row>
    <row r="1649" spans="1:9">
      <c r="A1649" t="s">
        <v>6021</v>
      </c>
      <c r="B1649" t="s">
        <v>10</v>
      </c>
      <c r="C1649" t="s">
        <v>6022</v>
      </c>
      <c r="D1649" t="s">
        <v>6001</v>
      </c>
      <c r="E1649" t="s">
        <v>5688</v>
      </c>
      <c r="F1649" t="s">
        <v>28</v>
      </c>
      <c r="G1649" t="s">
        <v>6023</v>
      </c>
      <c r="H1649" t="s">
        <v>30</v>
      </c>
      <c r="I1649" t="b">
        <f>COUNTIF(Estadísticas!I:I,'centraldecomunicacion.es'!H1649)&gt;0</f>
        <v>0</v>
      </c>
    </row>
    <row r="1650" spans="1:9">
      <c r="A1650" t="s">
        <v>6024</v>
      </c>
      <c r="B1650" t="s">
        <v>10</v>
      </c>
      <c r="C1650" t="s">
        <v>6025</v>
      </c>
      <c r="D1650" t="s">
        <v>6026</v>
      </c>
      <c r="E1650" t="s">
        <v>5688</v>
      </c>
      <c r="F1650" t="s">
        <v>28</v>
      </c>
      <c r="G1650" t="s">
        <v>6027</v>
      </c>
      <c r="H1650" t="s">
        <v>30</v>
      </c>
      <c r="I1650" t="b">
        <f>COUNTIF(Estadísticas!I:I,'centraldecomunicacion.es'!H1650)&gt;0</f>
        <v>0</v>
      </c>
    </row>
    <row r="1651" spans="1:9">
      <c r="A1651" t="s">
        <v>6028</v>
      </c>
      <c r="B1651" t="s">
        <v>10</v>
      </c>
      <c r="C1651" t="s">
        <v>6029</v>
      </c>
      <c r="D1651" t="s">
        <v>5715</v>
      </c>
      <c r="E1651" t="s">
        <v>5688</v>
      </c>
      <c r="F1651" t="s">
        <v>28</v>
      </c>
      <c r="G1651" t="s">
        <v>6030</v>
      </c>
      <c r="H1651" t="s">
        <v>30</v>
      </c>
      <c r="I1651" t="b">
        <f>COUNTIF(Estadísticas!I:I,'centraldecomunicacion.es'!H1651)&gt;0</f>
        <v>0</v>
      </c>
    </row>
    <row r="1652" spans="1:9">
      <c r="A1652" t="s">
        <v>6031</v>
      </c>
      <c r="B1652" t="s">
        <v>10</v>
      </c>
      <c r="C1652" t="s">
        <v>6032</v>
      </c>
      <c r="D1652" t="s">
        <v>6001</v>
      </c>
      <c r="E1652" t="s">
        <v>5688</v>
      </c>
      <c r="F1652" t="s">
        <v>6033</v>
      </c>
      <c r="G1652" t="s">
        <v>6034</v>
      </c>
      <c r="H1652" t="s">
        <v>6035</v>
      </c>
      <c r="I1652" t="b">
        <f>COUNTIF(Estadísticas!I:I,'centraldecomunicacion.es'!H1652)&gt;0</f>
        <v>0</v>
      </c>
    </row>
    <row r="1653" spans="1:9">
      <c r="A1653" t="s">
        <v>6036</v>
      </c>
      <c r="B1653" t="s">
        <v>10</v>
      </c>
      <c r="C1653" t="s">
        <v>6037</v>
      </c>
      <c r="D1653" t="s">
        <v>6001</v>
      </c>
      <c r="E1653" t="s">
        <v>5688</v>
      </c>
      <c r="F1653" t="s">
        <v>28</v>
      </c>
      <c r="G1653" t="s">
        <v>6038</v>
      </c>
      <c r="H1653" t="s">
        <v>30</v>
      </c>
      <c r="I1653" t="b">
        <f>COUNTIF(Estadísticas!I:I,'centraldecomunicacion.es'!H1653)&gt;0</f>
        <v>0</v>
      </c>
    </row>
    <row r="1654" spans="1:9">
      <c r="A1654" t="s">
        <v>6039</v>
      </c>
      <c r="B1654" t="s">
        <v>10</v>
      </c>
      <c r="C1654" t="s">
        <v>6040</v>
      </c>
      <c r="D1654" t="s">
        <v>6001</v>
      </c>
      <c r="E1654" t="s">
        <v>5688</v>
      </c>
      <c r="F1654" t="s">
        <v>28</v>
      </c>
      <c r="G1654" t="s">
        <v>6041</v>
      </c>
      <c r="H1654" t="s">
        <v>30</v>
      </c>
      <c r="I1654" t="b">
        <f>COUNTIF(Estadísticas!I:I,'centraldecomunicacion.es'!H1654)&gt;0</f>
        <v>0</v>
      </c>
    </row>
    <row r="1655" spans="1:9">
      <c r="A1655" t="s">
        <v>6042</v>
      </c>
      <c r="B1655" t="s">
        <v>10</v>
      </c>
      <c r="C1655" t="s">
        <v>6043</v>
      </c>
      <c r="D1655" t="s">
        <v>5889</v>
      </c>
      <c r="E1655" t="s">
        <v>5688</v>
      </c>
      <c r="F1655" t="s">
        <v>6044</v>
      </c>
      <c r="G1655" t="s">
        <v>6045</v>
      </c>
      <c r="H1655" t="s">
        <v>30</v>
      </c>
      <c r="I1655" t="b">
        <f>COUNTIF(Estadísticas!I:I,'centraldecomunicacion.es'!H1655)&gt;0</f>
        <v>0</v>
      </c>
    </row>
    <row r="1656" spans="1:9">
      <c r="A1656" t="s">
        <v>6046</v>
      </c>
      <c r="B1656" t="s">
        <v>10</v>
      </c>
      <c r="C1656" t="s">
        <v>6047</v>
      </c>
      <c r="D1656" t="s">
        <v>5697</v>
      </c>
      <c r="E1656" t="s">
        <v>5688</v>
      </c>
      <c r="F1656" t="s">
        <v>6048</v>
      </c>
      <c r="G1656" t="s">
        <v>6049</v>
      </c>
      <c r="H1656" t="s">
        <v>6050</v>
      </c>
      <c r="I1656" t="b">
        <f>COUNTIF(Estadísticas!I:I,'centraldecomunicacion.es'!H1656)&gt;0</f>
        <v>0</v>
      </c>
    </row>
    <row r="1657" spans="1:9">
      <c r="A1657" t="s">
        <v>6051</v>
      </c>
      <c r="B1657" t="s">
        <v>10</v>
      </c>
      <c r="C1657" t="s">
        <v>6052</v>
      </c>
      <c r="D1657" t="s">
        <v>5715</v>
      </c>
      <c r="E1657" t="s">
        <v>5688</v>
      </c>
      <c r="F1657" t="s">
        <v>6053</v>
      </c>
      <c r="G1657" t="s">
        <v>6054</v>
      </c>
      <c r="H1657" t="s">
        <v>6055</v>
      </c>
      <c r="I1657" t="b">
        <f>COUNTIF(Estadísticas!I:I,'centraldecomunicacion.es'!H1657)&gt;0</f>
        <v>0</v>
      </c>
    </row>
    <row r="1658" spans="1:9">
      <c r="A1658" t="s">
        <v>1781</v>
      </c>
      <c r="B1658" t="s">
        <v>10</v>
      </c>
      <c r="C1658" t="s">
        <v>6056</v>
      </c>
      <c r="D1658" t="s">
        <v>6057</v>
      </c>
      <c r="E1658" t="s">
        <v>5688</v>
      </c>
      <c r="F1658" t="s">
        <v>28</v>
      </c>
      <c r="G1658" t="s">
        <v>6058</v>
      </c>
      <c r="H1658" t="s">
        <v>30</v>
      </c>
      <c r="I1658" t="b">
        <f>COUNTIF(Estadísticas!I:I,'centraldecomunicacion.es'!H1658)&gt;0</f>
        <v>0</v>
      </c>
    </row>
    <row r="1659" spans="1:9">
      <c r="A1659" t="s">
        <v>6059</v>
      </c>
      <c r="B1659" t="s">
        <v>10</v>
      </c>
      <c r="C1659" t="s">
        <v>6060</v>
      </c>
      <c r="D1659" t="s">
        <v>6061</v>
      </c>
      <c r="E1659" t="s">
        <v>5688</v>
      </c>
      <c r="F1659" t="s">
        <v>28</v>
      </c>
      <c r="G1659" t="s">
        <v>6062</v>
      </c>
      <c r="H1659" t="s">
        <v>30</v>
      </c>
      <c r="I1659" t="b">
        <f>COUNTIF(Estadísticas!I:I,'centraldecomunicacion.es'!H1659)&gt;0</f>
        <v>0</v>
      </c>
    </row>
    <row r="1660" spans="1:9">
      <c r="A1660" t="s">
        <v>6063</v>
      </c>
      <c r="B1660" t="s">
        <v>10</v>
      </c>
      <c r="C1660" t="s">
        <v>6064</v>
      </c>
      <c r="D1660" t="s">
        <v>6061</v>
      </c>
      <c r="E1660" t="s">
        <v>5688</v>
      </c>
      <c r="F1660" t="s">
        <v>28</v>
      </c>
      <c r="G1660" t="s">
        <v>6065</v>
      </c>
      <c r="H1660" t="s">
        <v>30</v>
      </c>
      <c r="I1660" t="b">
        <f>COUNTIF(Estadísticas!I:I,'centraldecomunicacion.es'!H1660)&gt;0</f>
        <v>0</v>
      </c>
    </row>
    <row r="1661" spans="1:9">
      <c r="A1661" t="s">
        <v>6066</v>
      </c>
      <c r="B1661" t="s">
        <v>10</v>
      </c>
      <c r="C1661" t="s">
        <v>6067</v>
      </c>
      <c r="D1661" t="s">
        <v>6068</v>
      </c>
      <c r="E1661" t="s">
        <v>5688</v>
      </c>
      <c r="F1661" t="s">
        <v>28</v>
      </c>
      <c r="G1661" t="s">
        <v>6069</v>
      </c>
      <c r="H1661" t="s">
        <v>30</v>
      </c>
      <c r="I1661" t="b">
        <f>COUNTIF(Estadísticas!I:I,'centraldecomunicacion.es'!H1661)&gt;0</f>
        <v>0</v>
      </c>
    </row>
    <row r="1662" spans="1:9">
      <c r="A1662" t="s">
        <v>6070</v>
      </c>
      <c r="B1662" t="s">
        <v>10</v>
      </c>
      <c r="C1662" t="s">
        <v>6071</v>
      </c>
      <c r="D1662" t="s">
        <v>6072</v>
      </c>
      <c r="E1662" t="s">
        <v>5688</v>
      </c>
      <c r="F1662" t="s">
        <v>28</v>
      </c>
      <c r="G1662" t="s">
        <v>6073</v>
      </c>
      <c r="H1662" t="s">
        <v>30</v>
      </c>
      <c r="I1662" t="b">
        <f>COUNTIF(Estadísticas!I:I,'centraldecomunicacion.es'!H1662)&gt;0</f>
        <v>0</v>
      </c>
    </row>
    <row r="1663" spans="1:9">
      <c r="A1663" t="s">
        <v>6074</v>
      </c>
      <c r="B1663" t="s">
        <v>10</v>
      </c>
      <c r="C1663" t="s">
        <v>6075</v>
      </c>
      <c r="D1663" t="s">
        <v>6076</v>
      </c>
      <c r="E1663" t="s">
        <v>5688</v>
      </c>
      <c r="F1663" t="s">
        <v>28</v>
      </c>
      <c r="G1663" t="s">
        <v>6077</v>
      </c>
      <c r="H1663" t="s">
        <v>30</v>
      </c>
      <c r="I1663" t="b">
        <f>COUNTIF(Estadísticas!I:I,'centraldecomunicacion.es'!H1663)&gt;0</f>
        <v>0</v>
      </c>
    </row>
    <row r="1664" spans="1:9">
      <c r="A1664" t="s">
        <v>6078</v>
      </c>
      <c r="B1664" t="s">
        <v>10</v>
      </c>
      <c r="C1664" t="s">
        <v>6079</v>
      </c>
      <c r="D1664" t="s">
        <v>6080</v>
      </c>
      <c r="E1664" t="s">
        <v>5688</v>
      </c>
      <c r="F1664" t="s">
        <v>28</v>
      </c>
      <c r="G1664" t="s">
        <v>6081</v>
      </c>
      <c r="H1664" t="s">
        <v>30</v>
      </c>
      <c r="I1664" t="b">
        <f>COUNTIF(Estadísticas!I:I,'centraldecomunicacion.es'!H1664)&gt;0</f>
        <v>0</v>
      </c>
    </row>
    <row r="1665" spans="1:9">
      <c r="A1665" t="s">
        <v>6082</v>
      </c>
      <c r="B1665" t="s">
        <v>10</v>
      </c>
      <c r="C1665" t="s">
        <v>6083</v>
      </c>
      <c r="D1665" t="s">
        <v>6084</v>
      </c>
      <c r="E1665" t="s">
        <v>5688</v>
      </c>
      <c r="F1665" t="s">
        <v>746</v>
      </c>
      <c r="G1665" t="s">
        <v>6085</v>
      </c>
      <c r="H1665" t="s">
        <v>30</v>
      </c>
      <c r="I1665" t="b">
        <f>COUNTIF(Estadísticas!I:I,'centraldecomunicacion.es'!H1665)&gt;0</f>
        <v>0</v>
      </c>
    </row>
    <row r="1666" spans="1:9">
      <c r="A1666" t="s">
        <v>6086</v>
      </c>
      <c r="B1666" t="s">
        <v>10</v>
      </c>
      <c r="C1666" t="s">
        <v>6087</v>
      </c>
      <c r="D1666" t="s">
        <v>6088</v>
      </c>
      <c r="E1666" t="s">
        <v>5688</v>
      </c>
      <c r="F1666" t="s">
        <v>28</v>
      </c>
      <c r="G1666" t="s">
        <v>6089</v>
      </c>
      <c r="H1666" t="s">
        <v>30</v>
      </c>
      <c r="I1666" t="b">
        <f>COUNTIF(Estadísticas!I:I,'centraldecomunicacion.es'!H1666)&gt;0</f>
        <v>0</v>
      </c>
    </row>
    <row r="1667" spans="1:9">
      <c r="A1667" t="s">
        <v>6090</v>
      </c>
      <c r="B1667" t="s">
        <v>10</v>
      </c>
      <c r="C1667" t="s">
        <v>6091</v>
      </c>
      <c r="D1667" t="s">
        <v>5805</v>
      </c>
      <c r="E1667" t="s">
        <v>5688</v>
      </c>
      <c r="F1667" t="s">
        <v>28</v>
      </c>
      <c r="G1667" t="s">
        <v>6092</v>
      </c>
      <c r="H1667" t="s">
        <v>30</v>
      </c>
      <c r="I1667" t="b">
        <f>COUNTIF(Estadísticas!I:I,'centraldecomunicacion.es'!H1667)&gt;0</f>
        <v>0</v>
      </c>
    </row>
    <row r="1668" spans="1:9">
      <c r="A1668" t="s">
        <v>6093</v>
      </c>
      <c r="B1668" t="s">
        <v>10</v>
      </c>
      <c r="C1668" t="s">
        <v>6094</v>
      </c>
      <c r="D1668" t="s">
        <v>6095</v>
      </c>
      <c r="E1668" t="s">
        <v>5688</v>
      </c>
      <c r="F1668" t="s">
        <v>28</v>
      </c>
      <c r="G1668" t="s">
        <v>6096</v>
      </c>
      <c r="H1668" t="s">
        <v>30</v>
      </c>
      <c r="I1668" t="b">
        <f>COUNTIF(Estadísticas!I:I,'centraldecomunicacion.es'!H1668)&gt;0</f>
        <v>0</v>
      </c>
    </row>
    <row r="1669" spans="1:9">
      <c r="A1669" t="s">
        <v>6097</v>
      </c>
      <c r="B1669" t="s">
        <v>10</v>
      </c>
      <c r="C1669" t="s">
        <v>6098</v>
      </c>
      <c r="D1669" t="s">
        <v>6099</v>
      </c>
      <c r="E1669" t="s">
        <v>5688</v>
      </c>
      <c r="F1669" t="s">
        <v>6100</v>
      </c>
      <c r="G1669" t="s">
        <v>6101</v>
      </c>
      <c r="H1669" t="s">
        <v>30</v>
      </c>
      <c r="I1669" t="b">
        <f>COUNTIF(Estadísticas!I:I,'centraldecomunicacion.es'!H1669)&gt;0</f>
        <v>0</v>
      </c>
    </row>
    <row r="1670" spans="1:9">
      <c r="A1670" t="s">
        <v>6102</v>
      </c>
      <c r="B1670" t="s">
        <v>10</v>
      </c>
      <c r="C1670" t="s">
        <v>6103</v>
      </c>
      <c r="D1670" t="s">
        <v>6104</v>
      </c>
      <c r="E1670" t="s">
        <v>5688</v>
      </c>
      <c r="F1670" t="s">
        <v>28</v>
      </c>
      <c r="G1670" t="s">
        <v>6105</v>
      </c>
      <c r="H1670" t="s">
        <v>30</v>
      </c>
      <c r="I1670" t="b">
        <f>COUNTIF(Estadísticas!I:I,'centraldecomunicacion.es'!H1670)&gt;0</f>
        <v>0</v>
      </c>
    </row>
    <row r="1671" spans="1:9">
      <c r="A1671" t="s">
        <v>6093</v>
      </c>
      <c r="B1671" t="s">
        <v>10</v>
      </c>
      <c r="C1671" t="s">
        <v>6106</v>
      </c>
      <c r="D1671" t="s">
        <v>6095</v>
      </c>
      <c r="E1671" t="s">
        <v>5688</v>
      </c>
      <c r="F1671" t="s">
        <v>28</v>
      </c>
      <c r="G1671" t="s">
        <v>6107</v>
      </c>
      <c r="H1671" t="s">
        <v>30</v>
      </c>
      <c r="I1671" t="b">
        <f>COUNTIF(Estadísticas!I:I,'centraldecomunicacion.es'!H1671)&gt;0</f>
        <v>0</v>
      </c>
    </row>
    <row r="1672" spans="1:9">
      <c r="A1672" t="s">
        <v>6108</v>
      </c>
      <c r="B1672" t="s">
        <v>10</v>
      </c>
      <c r="C1672" t="s">
        <v>6109</v>
      </c>
      <c r="D1672" t="s">
        <v>6110</v>
      </c>
      <c r="E1672" t="s">
        <v>5688</v>
      </c>
      <c r="F1672" t="s">
        <v>28</v>
      </c>
      <c r="G1672" t="s">
        <v>6111</v>
      </c>
      <c r="H1672" t="s">
        <v>30</v>
      </c>
      <c r="I1672" t="b">
        <f>COUNTIF(Estadísticas!I:I,'centraldecomunicacion.es'!H1672)&gt;0</f>
        <v>0</v>
      </c>
    </row>
    <row r="1673" spans="1:9">
      <c r="A1673" t="s">
        <v>6112</v>
      </c>
      <c r="B1673" t="s">
        <v>10</v>
      </c>
      <c r="C1673" t="s">
        <v>6113</v>
      </c>
      <c r="D1673" t="s">
        <v>6114</v>
      </c>
      <c r="E1673" t="s">
        <v>5688</v>
      </c>
      <c r="F1673" t="s">
        <v>6115</v>
      </c>
      <c r="G1673" t="s">
        <v>6116</v>
      </c>
      <c r="H1673" t="s">
        <v>30</v>
      </c>
      <c r="I1673" t="b">
        <f>COUNTIF(Estadísticas!I:I,'centraldecomunicacion.es'!H1673)&gt;0</f>
        <v>0</v>
      </c>
    </row>
    <row r="1674" spans="1:9">
      <c r="A1674" t="s">
        <v>6117</v>
      </c>
      <c r="B1674" t="s">
        <v>10</v>
      </c>
      <c r="C1674" t="s">
        <v>6118</v>
      </c>
      <c r="D1674" t="s">
        <v>6119</v>
      </c>
      <c r="E1674" t="s">
        <v>5688</v>
      </c>
      <c r="F1674" t="s">
        <v>6120</v>
      </c>
      <c r="G1674" t="s">
        <v>6121</v>
      </c>
      <c r="H1674" t="s">
        <v>30</v>
      </c>
      <c r="I1674" t="b">
        <f>COUNTIF(Estadísticas!I:I,'centraldecomunicacion.es'!H1674)&gt;0</f>
        <v>0</v>
      </c>
    </row>
    <row r="1675" spans="1:9">
      <c r="A1675" t="s">
        <v>6122</v>
      </c>
      <c r="B1675" t="s">
        <v>10</v>
      </c>
      <c r="C1675" t="s">
        <v>6123</v>
      </c>
      <c r="D1675" t="s">
        <v>5805</v>
      </c>
      <c r="E1675" t="s">
        <v>5688</v>
      </c>
      <c r="F1675" t="s">
        <v>6124</v>
      </c>
      <c r="G1675" t="s">
        <v>6125</v>
      </c>
      <c r="H1675" t="s">
        <v>30</v>
      </c>
      <c r="I1675" t="b">
        <f>COUNTIF(Estadísticas!I:I,'centraldecomunicacion.es'!H1675)&gt;0</f>
        <v>0</v>
      </c>
    </row>
    <row r="1676" spans="1:9">
      <c r="A1676" t="s">
        <v>6126</v>
      </c>
      <c r="B1676" t="s">
        <v>482</v>
      </c>
      <c r="C1676" t="s">
        <v>6127</v>
      </c>
      <c r="D1676" t="s">
        <v>5955</v>
      </c>
      <c r="E1676" t="s">
        <v>5688</v>
      </c>
      <c r="F1676" t="s">
        <v>28</v>
      </c>
      <c r="G1676" t="s">
        <v>6128</v>
      </c>
      <c r="H1676" t="s">
        <v>30</v>
      </c>
      <c r="I1676" t="b">
        <f>COUNTIF(Estadísticas!I:I,'centraldecomunicacion.es'!H1676)&gt;0</f>
        <v>0</v>
      </c>
    </row>
    <row r="1677" spans="1:9">
      <c r="A1677" t="s">
        <v>6129</v>
      </c>
      <c r="B1677" t="s">
        <v>10</v>
      </c>
      <c r="C1677" t="s">
        <v>6130</v>
      </c>
      <c r="D1677" t="s">
        <v>6131</v>
      </c>
      <c r="E1677" t="s">
        <v>6132</v>
      </c>
      <c r="F1677" t="s">
        <v>28</v>
      </c>
      <c r="G1677" t="s">
        <v>6133</v>
      </c>
      <c r="H1677" t="s">
        <v>30</v>
      </c>
      <c r="I1677" t="b">
        <f>COUNTIF(Estadísticas!I:I,'centraldecomunicacion.es'!H1677)&gt;0</f>
        <v>0</v>
      </c>
    </row>
    <row r="1678" spans="1:9">
      <c r="A1678" t="s">
        <v>6134</v>
      </c>
      <c r="B1678" t="s">
        <v>10</v>
      </c>
      <c r="C1678" t="s">
        <v>6135</v>
      </c>
      <c r="D1678" t="s">
        <v>6136</v>
      </c>
      <c r="E1678" t="s">
        <v>6132</v>
      </c>
      <c r="F1678" t="s">
        <v>28</v>
      </c>
      <c r="G1678" t="s">
        <v>6137</v>
      </c>
      <c r="H1678" t="s">
        <v>30</v>
      </c>
      <c r="I1678" t="b">
        <f>COUNTIF(Estadísticas!I:I,'centraldecomunicacion.es'!H1678)&gt;0</f>
        <v>0</v>
      </c>
    </row>
    <row r="1679" spans="1:9">
      <c r="A1679" t="s">
        <v>6138</v>
      </c>
      <c r="B1679" t="s">
        <v>10</v>
      </c>
      <c r="C1679" t="s">
        <v>6139</v>
      </c>
      <c r="D1679" t="s">
        <v>6140</v>
      </c>
      <c r="E1679" t="s">
        <v>6132</v>
      </c>
      <c r="F1679" t="s">
        <v>6141</v>
      </c>
      <c r="G1679" t="s">
        <v>6142</v>
      </c>
      <c r="H1679" t="s">
        <v>6143</v>
      </c>
      <c r="I1679" t="b">
        <f>COUNTIF(Estadísticas!I:I,'centraldecomunicacion.es'!H1679)&gt;0</f>
        <v>0</v>
      </c>
    </row>
    <row r="1680" spans="1:9">
      <c r="A1680" t="s">
        <v>6144</v>
      </c>
      <c r="B1680" t="s">
        <v>10</v>
      </c>
      <c r="C1680" t="s">
        <v>6145</v>
      </c>
      <c r="D1680" t="s">
        <v>6146</v>
      </c>
      <c r="E1680" t="s">
        <v>6132</v>
      </c>
      <c r="F1680" t="s">
        <v>6147</v>
      </c>
      <c r="G1680" t="s">
        <v>6148</v>
      </c>
      <c r="H1680" t="s">
        <v>6149</v>
      </c>
      <c r="I1680" t="b">
        <f>COUNTIF(Estadísticas!I:I,'centraldecomunicacion.es'!H1680)&gt;0</f>
        <v>0</v>
      </c>
    </row>
    <row r="1681" spans="1:9">
      <c r="A1681" t="s">
        <v>6150</v>
      </c>
      <c r="B1681" t="s">
        <v>10</v>
      </c>
      <c r="C1681" t="s">
        <v>6151</v>
      </c>
      <c r="D1681" t="s">
        <v>6140</v>
      </c>
      <c r="E1681" t="s">
        <v>6132</v>
      </c>
      <c r="F1681" t="s">
        <v>6152</v>
      </c>
      <c r="G1681" t="s">
        <v>6153</v>
      </c>
      <c r="H1681" t="s">
        <v>6154</v>
      </c>
      <c r="I1681" t="b">
        <f>COUNTIF(Estadísticas!I:I,'centraldecomunicacion.es'!H1681)&gt;0</f>
        <v>0</v>
      </c>
    </row>
    <row r="1682" spans="1:9">
      <c r="A1682" t="s">
        <v>6155</v>
      </c>
      <c r="B1682" t="s">
        <v>10</v>
      </c>
      <c r="C1682" t="s">
        <v>6156</v>
      </c>
      <c r="D1682" t="s">
        <v>6140</v>
      </c>
      <c r="E1682" t="s">
        <v>6132</v>
      </c>
      <c r="F1682" t="s">
        <v>6157</v>
      </c>
      <c r="G1682" t="s">
        <v>6158</v>
      </c>
      <c r="H1682" t="s">
        <v>6159</v>
      </c>
      <c r="I1682" t="b">
        <f>COUNTIF(Estadísticas!I:I,'centraldecomunicacion.es'!H1682)&gt;0</f>
        <v>0</v>
      </c>
    </row>
    <row r="1683" spans="1:9">
      <c r="A1683" t="s">
        <v>879</v>
      </c>
      <c r="B1683" t="s">
        <v>10</v>
      </c>
      <c r="C1683" t="s">
        <v>6160</v>
      </c>
      <c r="D1683" t="s">
        <v>6161</v>
      </c>
      <c r="E1683" t="s">
        <v>6132</v>
      </c>
      <c r="F1683" t="s">
        <v>6162</v>
      </c>
      <c r="G1683" t="s">
        <v>6163</v>
      </c>
      <c r="H1683" t="s">
        <v>30</v>
      </c>
      <c r="I1683" t="b">
        <f>COUNTIF(Estadísticas!I:I,'centraldecomunicacion.es'!H1683)&gt;0</f>
        <v>0</v>
      </c>
    </row>
    <row r="1684" spans="1:9">
      <c r="A1684" t="s">
        <v>6164</v>
      </c>
      <c r="B1684" t="s">
        <v>10</v>
      </c>
      <c r="C1684" t="s">
        <v>6165</v>
      </c>
      <c r="D1684" t="s">
        <v>6140</v>
      </c>
      <c r="E1684" t="s">
        <v>6132</v>
      </c>
      <c r="F1684" t="s">
        <v>6166</v>
      </c>
      <c r="G1684" t="s">
        <v>6167</v>
      </c>
      <c r="H1684" t="s">
        <v>30</v>
      </c>
      <c r="I1684" t="b">
        <f>COUNTIF(Estadísticas!I:I,'centraldecomunicacion.es'!H1684)&gt;0</f>
        <v>0</v>
      </c>
    </row>
    <row r="1685" spans="1:9">
      <c r="A1685" t="s">
        <v>6168</v>
      </c>
      <c r="B1685" t="s">
        <v>10</v>
      </c>
      <c r="C1685" t="s">
        <v>6169</v>
      </c>
      <c r="D1685" t="s">
        <v>6170</v>
      </c>
      <c r="E1685" t="s">
        <v>6132</v>
      </c>
      <c r="F1685" t="s">
        <v>6171</v>
      </c>
      <c r="G1685" t="s">
        <v>6172</v>
      </c>
      <c r="H1685" t="s">
        <v>30</v>
      </c>
      <c r="I1685" t="b">
        <f>COUNTIF(Estadísticas!I:I,'centraldecomunicacion.es'!H1685)&gt;0</f>
        <v>0</v>
      </c>
    </row>
    <row r="1686" spans="1:9">
      <c r="A1686" t="s">
        <v>6173</v>
      </c>
      <c r="B1686" t="s">
        <v>10</v>
      </c>
      <c r="C1686" t="s">
        <v>6174</v>
      </c>
      <c r="D1686" t="s">
        <v>6140</v>
      </c>
      <c r="E1686" t="s">
        <v>6132</v>
      </c>
      <c r="F1686" t="s">
        <v>6175</v>
      </c>
      <c r="G1686" t="s">
        <v>6176</v>
      </c>
      <c r="H1686" t="s">
        <v>6177</v>
      </c>
      <c r="I1686" t="b">
        <f>COUNTIF(Estadísticas!I:I,'centraldecomunicacion.es'!H1686)&gt;0</f>
        <v>1</v>
      </c>
    </row>
    <row r="1687" spans="1:9">
      <c r="A1687" t="s">
        <v>6178</v>
      </c>
      <c r="B1687" t="s">
        <v>10</v>
      </c>
      <c r="C1687" t="s">
        <v>6179</v>
      </c>
      <c r="D1687" t="s">
        <v>6140</v>
      </c>
      <c r="E1687" t="s">
        <v>6132</v>
      </c>
      <c r="F1687" t="s">
        <v>6180</v>
      </c>
      <c r="G1687" t="s">
        <v>6181</v>
      </c>
      <c r="H1687" t="s">
        <v>6182</v>
      </c>
      <c r="I1687" t="b">
        <f>COUNTIF(Estadísticas!I:I,'centraldecomunicacion.es'!H1687)&gt;0</f>
        <v>0</v>
      </c>
    </row>
    <row r="1688" spans="1:9">
      <c r="A1688" t="s">
        <v>6183</v>
      </c>
      <c r="B1688" t="s">
        <v>10</v>
      </c>
      <c r="C1688" t="s">
        <v>6184</v>
      </c>
      <c r="D1688" t="s">
        <v>6170</v>
      </c>
      <c r="E1688" t="s">
        <v>6132</v>
      </c>
      <c r="F1688" t="s">
        <v>6185</v>
      </c>
      <c r="G1688" t="s">
        <v>6186</v>
      </c>
      <c r="H1688" t="s">
        <v>6187</v>
      </c>
      <c r="I1688" t="b">
        <f>COUNTIF(Estadísticas!I:I,'centraldecomunicacion.es'!H1688)&gt;0</f>
        <v>0</v>
      </c>
    </row>
    <row r="1689" spans="1:9">
      <c r="A1689" t="s">
        <v>5112</v>
      </c>
      <c r="B1689" t="s">
        <v>10</v>
      </c>
      <c r="C1689" t="s">
        <v>6188</v>
      </c>
      <c r="D1689" t="s">
        <v>6189</v>
      </c>
      <c r="E1689" t="s">
        <v>6132</v>
      </c>
      <c r="F1689" t="s">
        <v>3856</v>
      </c>
      <c r="G1689" t="s">
        <v>6190</v>
      </c>
      <c r="H1689" t="s">
        <v>30</v>
      </c>
      <c r="I1689" t="b">
        <f>COUNTIF(Estadísticas!I:I,'centraldecomunicacion.es'!H1689)&gt;0</f>
        <v>0</v>
      </c>
    </row>
    <row r="1690" spans="1:9">
      <c r="A1690" t="s">
        <v>6191</v>
      </c>
      <c r="B1690" t="s">
        <v>10</v>
      </c>
      <c r="C1690" t="s">
        <v>6192</v>
      </c>
      <c r="D1690" t="s">
        <v>6193</v>
      </c>
      <c r="E1690" t="s">
        <v>6132</v>
      </c>
      <c r="F1690" t="s">
        <v>6141</v>
      </c>
      <c r="G1690" t="s">
        <v>6194</v>
      </c>
      <c r="H1690" t="s">
        <v>6143</v>
      </c>
      <c r="I1690" t="b">
        <f>COUNTIF(Estadísticas!I:I,'centraldecomunicacion.es'!H1690)&gt;0</f>
        <v>0</v>
      </c>
    </row>
    <row r="1691" spans="1:9">
      <c r="A1691" t="s">
        <v>6195</v>
      </c>
      <c r="B1691" t="s">
        <v>10</v>
      </c>
      <c r="C1691" t="s">
        <v>6196</v>
      </c>
      <c r="D1691" t="s">
        <v>6170</v>
      </c>
      <c r="E1691" t="s">
        <v>6132</v>
      </c>
      <c r="F1691" t="s">
        <v>6197</v>
      </c>
      <c r="G1691" t="s">
        <v>6198</v>
      </c>
      <c r="H1691" t="s">
        <v>6199</v>
      </c>
      <c r="I1691" t="b">
        <f>COUNTIF(Estadísticas!I:I,'centraldecomunicacion.es'!H1691)&gt;0</f>
        <v>0</v>
      </c>
    </row>
    <row r="1692" spans="1:9">
      <c r="A1692" t="s">
        <v>6200</v>
      </c>
      <c r="B1692" t="s">
        <v>10</v>
      </c>
      <c r="C1692" t="s">
        <v>6201</v>
      </c>
      <c r="D1692" t="s">
        <v>6202</v>
      </c>
      <c r="E1692" t="s">
        <v>6132</v>
      </c>
      <c r="F1692" t="s">
        <v>6203</v>
      </c>
      <c r="G1692" t="s">
        <v>6204</v>
      </c>
      <c r="H1692" t="s">
        <v>30</v>
      </c>
      <c r="I1692" t="b">
        <f>COUNTIF(Estadísticas!I:I,'centraldecomunicacion.es'!H1692)&gt;0</f>
        <v>0</v>
      </c>
    </row>
    <row r="1693" spans="1:9">
      <c r="A1693" t="s">
        <v>6173</v>
      </c>
      <c r="B1693" t="s">
        <v>10</v>
      </c>
      <c r="C1693" t="s">
        <v>6205</v>
      </c>
      <c r="D1693" t="s">
        <v>6170</v>
      </c>
      <c r="E1693" t="s">
        <v>6132</v>
      </c>
      <c r="F1693" t="s">
        <v>6175</v>
      </c>
      <c r="G1693" t="s">
        <v>6206</v>
      </c>
      <c r="H1693" t="s">
        <v>6177</v>
      </c>
      <c r="I1693" t="b">
        <f>COUNTIF(Estadísticas!I:I,'centraldecomunicacion.es'!H1693)&gt;0</f>
        <v>1</v>
      </c>
    </row>
    <row r="1694" spans="1:9">
      <c r="A1694" t="s">
        <v>6207</v>
      </c>
      <c r="B1694" t="s">
        <v>10</v>
      </c>
      <c r="C1694" t="s">
        <v>6208</v>
      </c>
      <c r="D1694" t="s">
        <v>6140</v>
      </c>
      <c r="E1694" t="s">
        <v>6132</v>
      </c>
      <c r="F1694" t="s">
        <v>28</v>
      </c>
      <c r="G1694" t="s">
        <v>6209</v>
      </c>
      <c r="H1694" t="s">
        <v>30</v>
      </c>
      <c r="I1694" t="b">
        <f>COUNTIF(Estadísticas!I:I,'centraldecomunicacion.es'!H1694)&gt;0</f>
        <v>0</v>
      </c>
    </row>
    <row r="1695" spans="1:9">
      <c r="A1695" t="s">
        <v>6210</v>
      </c>
      <c r="B1695" t="s">
        <v>10</v>
      </c>
      <c r="C1695" t="s">
        <v>6211</v>
      </c>
      <c r="D1695" t="s">
        <v>6170</v>
      </c>
      <c r="E1695" t="s">
        <v>6132</v>
      </c>
      <c r="F1695" t="s">
        <v>28</v>
      </c>
      <c r="G1695" t="s">
        <v>6212</v>
      </c>
      <c r="H1695" t="s">
        <v>30</v>
      </c>
      <c r="I1695" t="b">
        <f>COUNTIF(Estadísticas!I:I,'centraldecomunicacion.es'!H1695)&gt;0</f>
        <v>0</v>
      </c>
    </row>
    <row r="1696" spans="1:9">
      <c r="A1696" t="s">
        <v>6213</v>
      </c>
      <c r="B1696" t="s">
        <v>10</v>
      </c>
      <c r="C1696" t="s">
        <v>6214</v>
      </c>
      <c r="D1696" t="s">
        <v>6215</v>
      </c>
      <c r="E1696" t="s">
        <v>6132</v>
      </c>
      <c r="F1696" t="s">
        <v>6216</v>
      </c>
      <c r="G1696" t="s">
        <v>6217</v>
      </c>
      <c r="H1696" t="s">
        <v>30</v>
      </c>
      <c r="I1696" t="b">
        <f>COUNTIF(Estadísticas!I:I,'centraldecomunicacion.es'!H1696)&gt;0</f>
        <v>0</v>
      </c>
    </row>
    <row r="1697" spans="1:9">
      <c r="A1697" t="s">
        <v>6218</v>
      </c>
      <c r="B1697" t="s">
        <v>10</v>
      </c>
      <c r="C1697" t="s">
        <v>6219</v>
      </c>
      <c r="D1697" t="s">
        <v>6140</v>
      </c>
      <c r="E1697" t="s">
        <v>6132</v>
      </c>
      <c r="F1697" t="s">
        <v>87</v>
      </c>
      <c r="G1697" t="s">
        <v>6220</v>
      </c>
      <c r="H1697" t="s">
        <v>30</v>
      </c>
      <c r="I1697" t="b">
        <f>COUNTIF(Estadísticas!I:I,'centraldecomunicacion.es'!H1697)&gt;0</f>
        <v>0</v>
      </c>
    </row>
    <row r="1698" spans="1:9">
      <c r="A1698" t="s">
        <v>6221</v>
      </c>
      <c r="B1698" t="s">
        <v>10</v>
      </c>
      <c r="C1698" t="s">
        <v>6222</v>
      </c>
      <c r="D1698" t="s">
        <v>6223</v>
      </c>
      <c r="E1698" t="s">
        <v>6132</v>
      </c>
      <c r="F1698" t="s">
        <v>6224</v>
      </c>
      <c r="G1698" t="s">
        <v>6225</v>
      </c>
      <c r="H1698" t="s">
        <v>30</v>
      </c>
      <c r="I1698" t="b">
        <f>COUNTIF(Estadísticas!I:I,'centraldecomunicacion.es'!H1698)&gt;0</f>
        <v>0</v>
      </c>
    </row>
    <row r="1699" spans="1:9">
      <c r="A1699" t="s">
        <v>6226</v>
      </c>
      <c r="B1699" t="s">
        <v>10</v>
      </c>
      <c r="C1699" t="s">
        <v>6227</v>
      </c>
      <c r="D1699" t="s">
        <v>6228</v>
      </c>
      <c r="E1699" t="s">
        <v>6132</v>
      </c>
      <c r="F1699" t="s">
        <v>28</v>
      </c>
      <c r="G1699" t="s">
        <v>6229</v>
      </c>
      <c r="H1699" t="s">
        <v>30</v>
      </c>
      <c r="I1699" t="b">
        <f>COUNTIF(Estadísticas!I:I,'centraldecomunicacion.es'!H1699)&gt;0</f>
        <v>0</v>
      </c>
    </row>
    <row r="1700" spans="1:9">
      <c r="A1700" t="s">
        <v>6230</v>
      </c>
      <c r="B1700" t="s">
        <v>10</v>
      </c>
      <c r="C1700" t="s">
        <v>6231</v>
      </c>
      <c r="D1700" t="s">
        <v>6140</v>
      </c>
      <c r="E1700" t="s">
        <v>6132</v>
      </c>
      <c r="F1700" t="s">
        <v>28</v>
      </c>
      <c r="G1700" t="s">
        <v>28</v>
      </c>
      <c r="H1700" t="s">
        <v>30</v>
      </c>
      <c r="I1700" t="b">
        <f>COUNTIF(Estadísticas!I:I,'centraldecomunicacion.es'!H1700)&gt;0</f>
        <v>0</v>
      </c>
    </row>
    <row r="1701" spans="1:9">
      <c r="A1701" t="s">
        <v>6232</v>
      </c>
      <c r="B1701" t="s">
        <v>10</v>
      </c>
      <c r="C1701" t="s">
        <v>6233</v>
      </c>
      <c r="D1701" t="s">
        <v>6189</v>
      </c>
      <c r="E1701" t="s">
        <v>6132</v>
      </c>
      <c r="F1701" t="s">
        <v>6234</v>
      </c>
      <c r="G1701" t="s">
        <v>6235</v>
      </c>
      <c r="H1701" t="s">
        <v>6236</v>
      </c>
      <c r="I1701" t="b">
        <f>COUNTIF(Estadísticas!I:I,'centraldecomunicacion.es'!H1701)&gt;0</f>
        <v>0</v>
      </c>
    </row>
    <row r="1702" spans="1:9">
      <c r="A1702" t="s">
        <v>6237</v>
      </c>
      <c r="B1702" t="s">
        <v>10</v>
      </c>
      <c r="C1702" t="s">
        <v>6238</v>
      </c>
      <c r="D1702" t="s">
        <v>6239</v>
      </c>
      <c r="E1702" t="s">
        <v>6239</v>
      </c>
      <c r="F1702" t="s">
        <v>28</v>
      </c>
      <c r="G1702" t="s">
        <v>6240</v>
      </c>
      <c r="H1702" t="s">
        <v>30</v>
      </c>
      <c r="I1702" t="b">
        <f>COUNTIF(Estadísticas!I:I,'centraldecomunicacion.es'!H1702)&gt;0</f>
        <v>0</v>
      </c>
    </row>
    <row r="1703" spans="1:9">
      <c r="A1703" t="s">
        <v>6241</v>
      </c>
      <c r="B1703" t="s">
        <v>10</v>
      </c>
      <c r="C1703" t="s">
        <v>6242</v>
      </c>
      <c r="D1703" t="s">
        <v>6243</v>
      </c>
      <c r="E1703" t="s">
        <v>6132</v>
      </c>
      <c r="F1703" t="s">
        <v>28</v>
      </c>
      <c r="G1703" t="s">
        <v>6235</v>
      </c>
      <c r="H1703" t="s">
        <v>30</v>
      </c>
      <c r="I1703" t="b">
        <f>COUNTIF(Estadísticas!I:I,'centraldecomunicacion.es'!H1703)&gt;0</f>
        <v>0</v>
      </c>
    </row>
    <row r="1704" spans="1:9">
      <c r="A1704" t="s">
        <v>6244</v>
      </c>
      <c r="B1704" t="s">
        <v>10</v>
      </c>
      <c r="C1704" t="s">
        <v>6245</v>
      </c>
      <c r="D1704" t="s">
        <v>6246</v>
      </c>
      <c r="E1704" t="s">
        <v>6132</v>
      </c>
      <c r="F1704" t="s">
        <v>6247</v>
      </c>
      <c r="G1704" t="s">
        <v>6248</v>
      </c>
      <c r="H1704" t="s">
        <v>30</v>
      </c>
      <c r="I1704" t="b">
        <f>COUNTIF(Estadísticas!I:I,'centraldecomunicacion.es'!H1704)&gt;0</f>
        <v>0</v>
      </c>
    </row>
    <row r="1705" spans="1:9">
      <c r="A1705" t="s">
        <v>6249</v>
      </c>
      <c r="B1705" t="s">
        <v>10</v>
      </c>
      <c r="C1705" t="s">
        <v>6250</v>
      </c>
      <c r="D1705" t="s">
        <v>6140</v>
      </c>
      <c r="E1705" t="s">
        <v>6132</v>
      </c>
      <c r="F1705" t="s">
        <v>6251</v>
      </c>
      <c r="G1705" t="s">
        <v>6252</v>
      </c>
      <c r="H1705" t="s">
        <v>30</v>
      </c>
      <c r="I1705" t="b">
        <f>COUNTIF(Estadísticas!I:I,'centraldecomunicacion.es'!H1705)&gt;0</f>
        <v>0</v>
      </c>
    </row>
    <row r="1706" spans="1:9">
      <c r="A1706" t="s">
        <v>6253</v>
      </c>
      <c r="B1706" t="s">
        <v>10</v>
      </c>
      <c r="C1706" t="s">
        <v>6254</v>
      </c>
      <c r="D1706" t="s">
        <v>6255</v>
      </c>
      <c r="E1706" t="s">
        <v>6132</v>
      </c>
      <c r="F1706" t="s">
        <v>28</v>
      </c>
      <c r="G1706" t="s">
        <v>6256</v>
      </c>
      <c r="H1706" t="s">
        <v>30</v>
      </c>
      <c r="I1706" t="b">
        <f>COUNTIF(Estadísticas!I:I,'centraldecomunicacion.es'!H1706)&gt;0</f>
        <v>0</v>
      </c>
    </row>
    <row r="1707" spans="1:9">
      <c r="A1707" t="s">
        <v>6257</v>
      </c>
      <c r="B1707" t="s">
        <v>10</v>
      </c>
      <c r="C1707" t="s">
        <v>6258</v>
      </c>
      <c r="D1707" t="s">
        <v>6259</v>
      </c>
      <c r="E1707" t="s">
        <v>6132</v>
      </c>
      <c r="F1707" t="s">
        <v>6260</v>
      </c>
      <c r="G1707" t="s">
        <v>6261</v>
      </c>
      <c r="H1707" t="s">
        <v>30</v>
      </c>
      <c r="I1707" t="b">
        <f>COUNTIF(Estadísticas!I:I,'centraldecomunicacion.es'!H1707)&gt;0</f>
        <v>0</v>
      </c>
    </row>
    <row r="1708" spans="1:9">
      <c r="A1708" t="s">
        <v>6262</v>
      </c>
      <c r="B1708" t="s">
        <v>10</v>
      </c>
      <c r="C1708" t="s">
        <v>6263</v>
      </c>
      <c r="D1708" t="s">
        <v>6170</v>
      </c>
      <c r="E1708" t="s">
        <v>6132</v>
      </c>
      <c r="F1708" t="s">
        <v>6264</v>
      </c>
      <c r="G1708" t="s">
        <v>6265</v>
      </c>
      <c r="H1708" t="s">
        <v>6266</v>
      </c>
      <c r="I1708" t="b">
        <f>COUNTIF(Estadísticas!I:I,'centraldecomunicacion.es'!H1708)&gt;0</f>
        <v>1</v>
      </c>
    </row>
    <row r="1709" spans="1:9">
      <c r="A1709" t="s">
        <v>6267</v>
      </c>
      <c r="B1709" t="s">
        <v>10</v>
      </c>
      <c r="C1709" t="s">
        <v>6268</v>
      </c>
      <c r="D1709" t="s">
        <v>6140</v>
      </c>
      <c r="E1709" t="s">
        <v>6132</v>
      </c>
      <c r="F1709" t="s">
        <v>50</v>
      </c>
      <c r="G1709" t="s">
        <v>6269</v>
      </c>
      <c r="H1709" t="s">
        <v>30</v>
      </c>
      <c r="I1709" t="b">
        <f>COUNTIF(Estadísticas!I:I,'centraldecomunicacion.es'!H1709)&gt;0</f>
        <v>0</v>
      </c>
    </row>
    <row r="1710" spans="1:9">
      <c r="A1710" t="s">
        <v>6270</v>
      </c>
      <c r="B1710" t="s">
        <v>10</v>
      </c>
      <c r="C1710" t="s">
        <v>6271</v>
      </c>
      <c r="D1710" t="s">
        <v>6140</v>
      </c>
      <c r="E1710" t="s">
        <v>6132</v>
      </c>
      <c r="F1710" t="s">
        <v>6272</v>
      </c>
      <c r="G1710" t="s">
        <v>6273</v>
      </c>
      <c r="H1710" t="s">
        <v>6274</v>
      </c>
      <c r="I1710" t="b">
        <f>COUNTIF(Estadísticas!I:I,'centraldecomunicacion.es'!H1710)&gt;0</f>
        <v>1</v>
      </c>
    </row>
    <row r="1711" spans="1:9">
      <c r="A1711" t="s">
        <v>26</v>
      </c>
      <c r="B1711" t="s">
        <v>10</v>
      </c>
      <c r="C1711" t="s">
        <v>6275</v>
      </c>
      <c r="D1711" t="s">
        <v>6140</v>
      </c>
      <c r="E1711" t="s">
        <v>6132</v>
      </c>
      <c r="F1711" t="s">
        <v>28</v>
      </c>
      <c r="G1711" t="s">
        <v>396</v>
      </c>
      <c r="H1711" t="s">
        <v>30</v>
      </c>
      <c r="I1711" t="b">
        <f>COUNTIF(Estadísticas!I:I,'centraldecomunicacion.es'!H1711)&gt;0</f>
        <v>0</v>
      </c>
    </row>
    <row r="1712" spans="1:9">
      <c r="A1712" t="s">
        <v>6276</v>
      </c>
      <c r="B1712" t="s">
        <v>10</v>
      </c>
      <c r="C1712" t="s">
        <v>6277</v>
      </c>
      <c r="D1712" t="s">
        <v>6278</v>
      </c>
      <c r="E1712" t="s">
        <v>6132</v>
      </c>
      <c r="F1712" t="s">
        <v>28</v>
      </c>
      <c r="G1712" t="s">
        <v>6279</v>
      </c>
      <c r="H1712" t="s">
        <v>30</v>
      </c>
      <c r="I1712" t="b">
        <f>COUNTIF(Estadísticas!I:I,'centraldecomunicacion.es'!H1712)&gt;0</f>
        <v>0</v>
      </c>
    </row>
    <row r="1713" spans="1:9">
      <c r="A1713" t="s">
        <v>2125</v>
      </c>
      <c r="B1713" t="s">
        <v>10</v>
      </c>
      <c r="C1713" t="s">
        <v>6263</v>
      </c>
      <c r="D1713" t="s">
        <v>6170</v>
      </c>
      <c r="E1713" t="s">
        <v>6132</v>
      </c>
      <c r="F1713" t="s">
        <v>28</v>
      </c>
      <c r="G1713" t="s">
        <v>6265</v>
      </c>
      <c r="H1713" t="s">
        <v>30</v>
      </c>
      <c r="I1713" t="b">
        <f>COUNTIF(Estadísticas!I:I,'centraldecomunicacion.es'!H1713)&gt;0</f>
        <v>0</v>
      </c>
    </row>
    <row r="1714" spans="1:9">
      <c r="A1714" t="s">
        <v>6280</v>
      </c>
      <c r="B1714" t="s">
        <v>10</v>
      </c>
      <c r="C1714" t="s">
        <v>6281</v>
      </c>
      <c r="D1714" t="s">
        <v>6140</v>
      </c>
      <c r="E1714" t="s">
        <v>6132</v>
      </c>
      <c r="F1714" t="s">
        <v>6282</v>
      </c>
      <c r="G1714" t="s">
        <v>6283</v>
      </c>
      <c r="H1714" t="s">
        <v>6284</v>
      </c>
      <c r="I1714" t="b">
        <f>COUNTIF(Estadísticas!I:I,'centraldecomunicacion.es'!H1714)&gt;0</f>
        <v>0</v>
      </c>
    </row>
    <row r="1715" spans="1:9">
      <c r="A1715" t="s">
        <v>6285</v>
      </c>
      <c r="B1715" t="s">
        <v>10</v>
      </c>
      <c r="C1715" t="s">
        <v>6286</v>
      </c>
      <c r="D1715" t="s">
        <v>6287</v>
      </c>
      <c r="E1715" t="s">
        <v>6132</v>
      </c>
      <c r="F1715" t="s">
        <v>28</v>
      </c>
      <c r="G1715" t="s">
        <v>6288</v>
      </c>
      <c r="H1715" t="s">
        <v>30</v>
      </c>
      <c r="I1715" t="b">
        <f>COUNTIF(Estadísticas!I:I,'centraldecomunicacion.es'!H1715)&gt;0</f>
        <v>0</v>
      </c>
    </row>
    <row r="1716" spans="1:9">
      <c r="A1716" t="s">
        <v>6289</v>
      </c>
      <c r="B1716" t="s">
        <v>10</v>
      </c>
      <c r="C1716" t="s">
        <v>6290</v>
      </c>
      <c r="D1716" t="s">
        <v>6243</v>
      </c>
      <c r="E1716" t="s">
        <v>6291</v>
      </c>
      <c r="F1716" t="s">
        <v>28</v>
      </c>
      <c r="G1716" t="s">
        <v>6292</v>
      </c>
      <c r="H1716" t="s">
        <v>30</v>
      </c>
      <c r="I1716" t="b">
        <f>COUNTIF(Estadísticas!I:I,'centraldecomunicacion.es'!H1716)&gt;0</f>
        <v>0</v>
      </c>
    </row>
    <row r="1717" spans="1:9">
      <c r="A1717" t="s">
        <v>6293</v>
      </c>
      <c r="B1717" t="s">
        <v>10</v>
      </c>
      <c r="C1717" t="s">
        <v>6294</v>
      </c>
      <c r="D1717" t="s">
        <v>6223</v>
      </c>
      <c r="E1717" t="s">
        <v>6132</v>
      </c>
      <c r="F1717" t="s">
        <v>6295</v>
      </c>
      <c r="G1717" t="s">
        <v>6296</v>
      </c>
      <c r="H1717" t="s">
        <v>1643</v>
      </c>
      <c r="I1717" t="b">
        <f>COUNTIF(Estadísticas!I:I,'centraldecomunicacion.es'!H1717)&gt;0</f>
        <v>0</v>
      </c>
    </row>
    <row r="1718" spans="1:9">
      <c r="A1718" t="s">
        <v>6297</v>
      </c>
      <c r="B1718" t="s">
        <v>10</v>
      </c>
      <c r="C1718" t="s">
        <v>6298</v>
      </c>
      <c r="D1718" t="s">
        <v>6299</v>
      </c>
      <c r="E1718" t="s">
        <v>6132</v>
      </c>
      <c r="F1718" t="s">
        <v>3856</v>
      </c>
      <c r="G1718" t="s">
        <v>6300</v>
      </c>
      <c r="H1718" t="s">
        <v>30</v>
      </c>
      <c r="I1718" t="b">
        <f>COUNTIF(Estadísticas!I:I,'centraldecomunicacion.es'!H1718)&gt;0</f>
        <v>0</v>
      </c>
    </row>
    <row r="1719" spans="1:9">
      <c r="A1719" t="s">
        <v>436</v>
      </c>
      <c r="B1719" t="s">
        <v>10</v>
      </c>
      <c r="C1719" t="s">
        <v>6301</v>
      </c>
      <c r="D1719" t="s">
        <v>6299</v>
      </c>
      <c r="E1719" t="s">
        <v>6132</v>
      </c>
      <c r="F1719" t="s">
        <v>28</v>
      </c>
      <c r="G1719" t="s">
        <v>6302</v>
      </c>
      <c r="H1719" t="s">
        <v>30</v>
      </c>
      <c r="I1719" t="b">
        <f>COUNTIF(Estadísticas!I:I,'centraldecomunicacion.es'!H1719)&gt;0</f>
        <v>0</v>
      </c>
    </row>
    <row r="1720" spans="1:9">
      <c r="A1720" t="s">
        <v>6303</v>
      </c>
      <c r="B1720" t="s">
        <v>10</v>
      </c>
      <c r="C1720" t="s">
        <v>6275</v>
      </c>
      <c r="D1720" t="s">
        <v>6140</v>
      </c>
      <c r="E1720" t="s">
        <v>6132</v>
      </c>
      <c r="F1720" t="s">
        <v>6304</v>
      </c>
      <c r="G1720" t="s">
        <v>6305</v>
      </c>
      <c r="H1720" t="s">
        <v>6306</v>
      </c>
      <c r="I1720" t="b">
        <f>COUNTIF(Estadísticas!I:I,'centraldecomunicacion.es'!H1720)&gt;0</f>
        <v>0</v>
      </c>
    </row>
    <row r="1721" spans="1:9">
      <c r="A1721" t="s">
        <v>6307</v>
      </c>
      <c r="B1721" t="s">
        <v>10</v>
      </c>
      <c r="C1721" t="s">
        <v>6308</v>
      </c>
      <c r="D1721" t="s">
        <v>6309</v>
      </c>
      <c r="E1721" t="s">
        <v>6132</v>
      </c>
      <c r="F1721" t="s">
        <v>28</v>
      </c>
      <c r="G1721" t="s">
        <v>6310</v>
      </c>
      <c r="H1721" t="s">
        <v>30</v>
      </c>
      <c r="I1721" t="b">
        <f>COUNTIF(Estadísticas!I:I,'centraldecomunicacion.es'!H1721)&gt;0</f>
        <v>0</v>
      </c>
    </row>
    <row r="1722" spans="1:9">
      <c r="A1722" t="s">
        <v>6311</v>
      </c>
      <c r="B1722" t="s">
        <v>10</v>
      </c>
      <c r="C1722" t="s">
        <v>6312</v>
      </c>
      <c r="D1722" t="s">
        <v>6313</v>
      </c>
      <c r="E1722" t="s">
        <v>6132</v>
      </c>
      <c r="F1722" t="s">
        <v>746</v>
      </c>
      <c r="G1722" t="s">
        <v>6314</v>
      </c>
      <c r="H1722" t="s">
        <v>30</v>
      </c>
      <c r="I1722" t="b">
        <f>COUNTIF(Estadísticas!I:I,'centraldecomunicacion.es'!H1722)&gt;0</f>
        <v>0</v>
      </c>
    </row>
    <row r="1723" spans="1:9">
      <c r="A1723" t="s">
        <v>6315</v>
      </c>
      <c r="B1723" t="s">
        <v>10</v>
      </c>
      <c r="C1723" t="s">
        <v>6316</v>
      </c>
      <c r="D1723" t="s">
        <v>6317</v>
      </c>
      <c r="E1723" t="s">
        <v>6132</v>
      </c>
      <c r="F1723" t="s">
        <v>6318</v>
      </c>
      <c r="G1723" t="s">
        <v>6319</v>
      </c>
      <c r="H1723" t="s">
        <v>6320</v>
      </c>
      <c r="I1723" t="b">
        <f>COUNTIF(Estadísticas!I:I,'centraldecomunicacion.es'!H1723)&gt;0</f>
        <v>0</v>
      </c>
    </row>
    <row r="1724" spans="1:9">
      <c r="A1724" t="s">
        <v>6321</v>
      </c>
      <c r="B1724" t="s">
        <v>10</v>
      </c>
      <c r="C1724" t="s">
        <v>6322</v>
      </c>
      <c r="D1724" t="s">
        <v>6323</v>
      </c>
      <c r="E1724" t="s">
        <v>6132</v>
      </c>
      <c r="F1724" t="s">
        <v>6324</v>
      </c>
      <c r="G1724" t="s">
        <v>6325</v>
      </c>
      <c r="H1724" t="s">
        <v>30</v>
      </c>
      <c r="I1724" t="b">
        <f>COUNTIF(Estadísticas!I:I,'centraldecomunicacion.es'!H1724)&gt;0</f>
        <v>0</v>
      </c>
    </row>
    <row r="1725" spans="1:9">
      <c r="A1725" t="s">
        <v>6326</v>
      </c>
      <c r="B1725" t="s">
        <v>10</v>
      </c>
      <c r="C1725" t="s">
        <v>6327</v>
      </c>
      <c r="D1725" t="s">
        <v>6202</v>
      </c>
      <c r="E1725" t="s">
        <v>6132</v>
      </c>
      <c r="F1725" t="s">
        <v>28</v>
      </c>
      <c r="G1725" t="s">
        <v>6328</v>
      </c>
      <c r="H1725" t="s">
        <v>30</v>
      </c>
      <c r="I1725" t="b">
        <f>COUNTIF(Estadísticas!I:I,'centraldecomunicacion.es'!H1725)&gt;0</f>
        <v>0</v>
      </c>
    </row>
    <row r="1726" spans="1:9">
      <c r="A1726" t="s">
        <v>6329</v>
      </c>
      <c r="B1726" t="s">
        <v>10</v>
      </c>
      <c r="C1726" t="s">
        <v>6330</v>
      </c>
      <c r="D1726" t="s">
        <v>6331</v>
      </c>
      <c r="E1726" t="s">
        <v>6132</v>
      </c>
      <c r="F1726" t="s">
        <v>6332</v>
      </c>
      <c r="G1726" t="s">
        <v>6333</v>
      </c>
      <c r="H1726" t="s">
        <v>6334</v>
      </c>
      <c r="I1726" t="b">
        <f>COUNTIF(Estadísticas!I:I,'centraldecomunicacion.es'!H1726)&gt;0</f>
        <v>1</v>
      </c>
    </row>
    <row r="1727" spans="1:9">
      <c r="A1727" t="s">
        <v>6335</v>
      </c>
      <c r="B1727" t="s">
        <v>10</v>
      </c>
      <c r="C1727" t="s">
        <v>6336</v>
      </c>
      <c r="D1727" t="s">
        <v>6215</v>
      </c>
      <c r="E1727" t="s">
        <v>6132</v>
      </c>
      <c r="F1727" t="s">
        <v>28</v>
      </c>
      <c r="G1727" t="s">
        <v>28</v>
      </c>
      <c r="H1727" t="s">
        <v>30</v>
      </c>
      <c r="I1727" t="b">
        <f>COUNTIF(Estadísticas!I:I,'centraldecomunicacion.es'!H1727)&gt;0</f>
        <v>0</v>
      </c>
    </row>
    <row r="1728" spans="1:9">
      <c r="A1728" t="s">
        <v>6337</v>
      </c>
      <c r="B1728" t="s">
        <v>10</v>
      </c>
      <c r="C1728" t="s">
        <v>6338</v>
      </c>
      <c r="D1728" t="s">
        <v>6170</v>
      </c>
      <c r="E1728" t="s">
        <v>6132</v>
      </c>
      <c r="F1728" t="s">
        <v>6339</v>
      </c>
      <c r="G1728" t="s">
        <v>6340</v>
      </c>
      <c r="H1728" t="s">
        <v>30</v>
      </c>
      <c r="I1728" t="b">
        <f>COUNTIF(Estadísticas!I:I,'centraldecomunicacion.es'!H1728)&gt;0</f>
        <v>0</v>
      </c>
    </row>
    <row r="1729" spans="1:9">
      <c r="A1729" t="s">
        <v>6341</v>
      </c>
      <c r="B1729" t="s">
        <v>10</v>
      </c>
      <c r="C1729" t="s">
        <v>6342</v>
      </c>
      <c r="D1729" t="s">
        <v>6140</v>
      </c>
      <c r="E1729" t="s">
        <v>6132</v>
      </c>
      <c r="F1729" t="s">
        <v>6343</v>
      </c>
      <c r="G1729" t="s">
        <v>6344</v>
      </c>
      <c r="H1729" t="s">
        <v>6345</v>
      </c>
      <c r="I1729" t="b">
        <f>COUNTIF(Estadísticas!I:I,'centraldecomunicacion.es'!H1729)&gt;0</f>
        <v>1</v>
      </c>
    </row>
    <row r="1730" spans="1:9">
      <c r="A1730" t="s">
        <v>1306</v>
      </c>
      <c r="B1730" t="s">
        <v>10</v>
      </c>
      <c r="C1730" t="s">
        <v>6346</v>
      </c>
      <c r="D1730" t="s">
        <v>6347</v>
      </c>
      <c r="E1730" t="s">
        <v>6132</v>
      </c>
      <c r="F1730" t="s">
        <v>28</v>
      </c>
      <c r="G1730" t="s">
        <v>6348</v>
      </c>
      <c r="H1730" t="s">
        <v>30</v>
      </c>
      <c r="I1730" t="b">
        <f>COUNTIF(Estadísticas!I:I,'centraldecomunicacion.es'!H1730)&gt;0</f>
        <v>0</v>
      </c>
    </row>
    <row r="1731" spans="1:9">
      <c r="A1731" t="s">
        <v>6349</v>
      </c>
      <c r="B1731" t="s">
        <v>10</v>
      </c>
      <c r="C1731" t="s">
        <v>6350</v>
      </c>
      <c r="D1731" t="s">
        <v>6259</v>
      </c>
      <c r="E1731" t="s">
        <v>6132</v>
      </c>
      <c r="F1731" t="s">
        <v>28</v>
      </c>
      <c r="G1731" t="s">
        <v>6351</v>
      </c>
      <c r="H1731" t="s">
        <v>30</v>
      </c>
      <c r="I1731" t="b">
        <f>COUNTIF(Estadísticas!I:I,'centraldecomunicacion.es'!H1731)&gt;0</f>
        <v>0</v>
      </c>
    </row>
    <row r="1732" spans="1:9">
      <c r="A1732" t="s">
        <v>6352</v>
      </c>
      <c r="B1732" t="s">
        <v>10</v>
      </c>
      <c r="C1732" t="s">
        <v>6353</v>
      </c>
      <c r="D1732" t="s">
        <v>6354</v>
      </c>
      <c r="E1732" t="s">
        <v>6132</v>
      </c>
      <c r="F1732" t="s">
        <v>28</v>
      </c>
      <c r="G1732" t="s">
        <v>6355</v>
      </c>
      <c r="H1732" t="s">
        <v>30</v>
      </c>
      <c r="I1732" t="b">
        <f>COUNTIF(Estadísticas!I:I,'centraldecomunicacion.es'!H1732)&gt;0</f>
        <v>0</v>
      </c>
    </row>
    <row r="1733" spans="1:9">
      <c r="A1733" t="s">
        <v>6356</v>
      </c>
      <c r="B1733" t="s">
        <v>10</v>
      </c>
      <c r="C1733" t="s">
        <v>6357</v>
      </c>
      <c r="D1733" t="s">
        <v>6331</v>
      </c>
      <c r="E1733" t="s">
        <v>6132</v>
      </c>
      <c r="F1733" t="s">
        <v>28</v>
      </c>
      <c r="G1733" t="s">
        <v>6358</v>
      </c>
      <c r="H1733" t="s">
        <v>30</v>
      </c>
      <c r="I1733" t="b">
        <f>COUNTIF(Estadísticas!I:I,'centraldecomunicacion.es'!H1733)&gt;0</f>
        <v>0</v>
      </c>
    </row>
    <row r="1734" spans="1:9">
      <c r="A1734" t="s">
        <v>6359</v>
      </c>
      <c r="B1734" t="s">
        <v>10</v>
      </c>
      <c r="C1734" t="s">
        <v>6360</v>
      </c>
      <c r="D1734" t="s">
        <v>6361</v>
      </c>
      <c r="E1734" t="s">
        <v>6132</v>
      </c>
      <c r="F1734" t="s">
        <v>28</v>
      </c>
      <c r="G1734" t="s">
        <v>6362</v>
      </c>
      <c r="H1734" t="s">
        <v>30</v>
      </c>
      <c r="I1734" t="b">
        <f>COUNTIF(Estadísticas!I:I,'centraldecomunicacion.es'!H1734)&gt;0</f>
        <v>0</v>
      </c>
    </row>
    <row r="1735" spans="1:9">
      <c r="A1735" t="s">
        <v>6363</v>
      </c>
      <c r="B1735" t="s">
        <v>10</v>
      </c>
      <c r="C1735" t="s">
        <v>6364</v>
      </c>
      <c r="D1735" t="s">
        <v>6287</v>
      </c>
      <c r="E1735" t="s">
        <v>6132</v>
      </c>
      <c r="F1735" t="s">
        <v>28</v>
      </c>
      <c r="G1735" t="s">
        <v>6365</v>
      </c>
      <c r="H1735" t="s">
        <v>30</v>
      </c>
      <c r="I1735" t="b">
        <f>COUNTIF(Estadísticas!I:I,'centraldecomunicacion.es'!H1735)&gt;0</f>
        <v>0</v>
      </c>
    </row>
    <row r="1736" spans="1:9">
      <c r="A1736" t="s">
        <v>6366</v>
      </c>
      <c r="B1736" t="s">
        <v>10</v>
      </c>
      <c r="C1736" t="s">
        <v>6367</v>
      </c>
      <c r="D1736" t="s">
        <v>6140</v>
      </c>
      <c r="E1736" t="s">
        <v>6132</v>
      </c>
      <c r="F1736" t="s">
        <v>6368</v>
      </c>
      <c r="G1736" t="s">
        <v>6369</v>
      </c>
      <c r="H1736" t="s">
        <v>30</v>
      </c>
      <c r="I1736" t="b">
        <f>COUNTIF(Estadísticas!I:I,'centraldecomunicacion.es'!H1736)&gt;0</f>
        <v>0</v>
      </c>
    </row>
    <row r="1737" spans="1:9">
      <c r="A1737" t="s">
        <v>6370</v>
      </c>
      <c r="B1737" t="s">
        <v>10</v>
      </c>
      <c r="C1737" t="s">
        <v>6371</v>
      </c>
      <c r="D1737" t="s">
        <v>6372</v>
      </c>
      <c r="E1737" t="s">
        <v>6132</v>
      </c>
      <c r="F1737" t="s">
        <v>6373</v>
      </c>
      <c r="G1737" t="s">
        <v>6374</v>
      </c>
      <c r="H1737" t="s">
        <v>6375</v>
      </c>
      <c r="I1737" t="b">
        <f>COUNTIF(Estadísticas!I:I,'centraldecomunicacion.es'!H1737)&gt;0</f>
        <v>0</v>
      </c>
    </row>
    <row r="1738" spans="1:9">
      <c r="A1738" t="s">
        <v>6376</v>
      </c>
      <c r="B1738" t="s">
        <v>10</v>
      </c>
      <c r="C1738" t="s">
        <v>6377</v>
      </c>
      <c r="D1738" t="s">
        <v>6317</v>
      </c>
      <c r="E1738" t="s">
        <v>6132</v>
      </c>
      <c r="F1738" t="s">
        <v>746</v>
      </c>
      <c r="G1738" t="s">
        <v>6378</v>
      </c>
      <c r="H1738" t="s">
        <v>30</v>
      </c>
      <c r="I1738" t="b">
        <f>COUNTIF(Estadísticas!I:I,'centraldecomunicacion.es'!H1738)&gt;0</f>
        <v>0</v>
      </c>
    </row>
    <row r="1739" spans="1:9">
      <c r="A1739" t="s">
        <v>6379</v>
      </c>
      <c r="B1739" t="s">
        <v>10</v>
      </c>
      <c r="C1739" t="s">
        <v>6380</v>
      </c>
      <c r="D1739" t="s">
        <v>6354</v>
      </c>
      <c r="E1739" t="s">
        <v>6132</v>
      </c>
      <c r="F1739" t="s">
        <v>28</v>
      </c>
      <c r="G1739" t="s">
        <v>6381</v>
      </c>
      <c r="H1739" t="s">
        <v>30</v>
      </c>
      <c r="I1739" t="b">
        <f>COUNTIF(Estadísticas!I:I,'centraldecomunicacion.es'!H1739)&gt;0</f>
        <v>0</v>
      </c>
    </row>
    <row r="1740" spans="1:9">
      <c r="A1740" t="s">
        <v>6382</v>
      </c>
      <c r="B1740" t="s">
        <v>10</v>
      </c>
      <c r="C1740" t="s">
        <v>6383</v>
      </c>
      <c r="D1740" t="s">
        <v>6384</v>
      </c>
      <c r="E1740" t="s">
        <v>6132</v>
      </c>
      <c r="F1740" t="s">
        <v>28</v>
      </c>
      <c r="G1740" t="s">
        <v>6385</v>
      </c>
      <c r="H1740" t="s">
        <v>30</v>
      </c>
      <c r="I1740" t="b">
        <f>COUNTIF(Estadísticas!I:I,'centraldecomunicacion.es'!H1740)&gt;0</f>
        <v>0</v>
      </c>
    </row>
    <row r="1741" spans="1:9">
      <c r="A1741" t="s">
        <v>6386</v>
      </c>
      <c r="B1741" t="s">
        <v>10</v>
      </c>
      <c r="C1741" t="s">
        <v>6387</v>
      </c>
      <c r="D1741" t="s">
        <v>6140</v>
      </c>
      <c r="E1741" t="s">
        <v>6132</v>
      </c>
      <c r="F1741" t="s">
        <v>28</v>
      </c>
      <c r="G1741" t="s">
        <v>6388</v>
      </c>
      <c r="H1741" t="s">
        <v>30</v>
      </c>
      <c r="I1741" t="b">
        <f>COUNTIF(Estadísticas!I:I,'centraldecomunicacion.es'!H1741)&gt;0</f>
        <v>0</v>
      </c>
    </row>
    <row r="1742" spans="1:9">
      <c r="A1742" t="s">
        <v>6389</v>
      </c>
      <c r="B1742" t="s">
        <v>10</v>
      </c>
      <c r="C1742" t="s">
        <v>6390</v>
      </c>
      <c r="D1742" t="s">
        <v>6259</v>
      </c>
      <c r="E1742" t="s">
        <v>6132</v>
      </c>
      <c r="F1742" t="s">
        <v>28</v>
      </c>
      <c r="G1742" t="s">
        <v>6391</v>
      </c>
      <c r="H1742" t="s">
        <v>30</v>
      </c>
      <c r="I1742" t="b">
        <f>COUNTIF(Estadísticas!I:I,'centraldecomunicacion.es'!H1742)&gt;0</f>
        <v>0</v>
      </c>
    </row>
    <row r="1743" spans="1:9">
      <c r="A1743" t="s">
        <v>6392</v>
      </c>
      <c r="B1743" t="s">
        <v>10</v>
      </c>
      <c r="C1743" t="s">
        <v>6393</v>
      </c>
      <c r="D1743" t="s">
        <v>6394</v>
      </c>
      <c r="E1743" t="s">
        <v>6132</v>
      </c>
      <c r="F1743" t="s">
        <v>6224</v>
      </c>
      <c r="G1743" t="s">
        <v>6395</v>
      </c>
      <c r="H1743" t="s">
        <v>30</v>
      </c>
      <c r="I1743" t="b">
        <f>COUNTIF(Estadísticas!I:I,'centraldecomunicacion.es'!H1743)&gt;0</f>
        <v>0</v>
      </c>
    </row>
    <row r="1744" spans="1:9">
      <c r="A1744" t="s">
        <v>6396</v>
      </c>
      <c r="B1744" t="s">
        <v>10</v>
      </c>
      <c r="C1744" t="s">
        <v>6397</v>
      </c>
      <c r="D1744" t="s">
        <v>6215</v>
      </c>
      <c r="E1744" t="s">
        <v>6132</v>
      </c>
      <c r="F1744" t="s">
        <v>28</v>
      </c>
      <c r="G1744" t="s">
        <v>6398</v>
      </c>
      <c r="H1744" t="s">
        <v>30</v>
      </c>
      <c r="I1744" t="b">
        <f>COUNTIF(Estadísticas!I:I,'centraldecomunicacion.es'!H1744)&gt;0</f>
        <v>0</v>
      </c>
    </row>
    <row r="1745" spans="1:9">
      <c r="A1745" t="s">
        <v>6399</v>
      </c>
      <c r="B1745" t="s">
        <v>10</v>
      </c>
      <c r="C1745" t="s">
        <v>6400</v>
      </c>
      <c r="D1745" t="s">
        <v>6140</v>
      </c>
      <c r="E1745" t="s">
        <v>6132</v>
      </c>
      <c r="F1745" t="s">
        <v>28</v>
      </c>
      <c r="G1745" t="s">
        <v>28</v>
      </c>
      <c r="H1745" t="s">
        <v>30</v>
      </c>
      <c r="I1745" t="b">
        <f>COUNTIF(Estadísticas!I:I,'centraldecomunicacion.es'!H1745)&gt;0</f>
        <v>0</v>
      </c>
    </row>
    <row r="1746" spans="1:9">
      <c r="A1746" t="s">
        <v>6401</v>
      </c>
      <c r="B1746" t="s">
        <v>10</v>
      </c>
      <c r="C1746" t="s">
        <v>6275</v>
      </c>
      <c r="D1746" t="s">
        <v>6140</v>
      </c>
      <c r="E1746" t="s">
        <v>6132</v>
      </c>
      <c r="F1746" t="s">
        <v>28</v>
      </c>
      <c r="G1746" t="s">
        <v>6402</v>
      </c>
      <c r="H1746" t="s">
        <v>30</v>
      </c>
      <c r="I1746" t="b">
        <f>COUNTIF(Estadísticas!I:I,'centraldecomunicacion.es'!H1746)&gt;0</f>
        <v>0</v>
      </c>
    </row>
    <row r="1747" spans="1:9">
      <c r="A1747" t="s">
        <v>6403</v>
      </c>
      <c r="B1747" t="s">
        <v>10</v>
      </c>
      <c r="C1747" t="s">
        <v>6404</v>
      </c>
      <c r="D1747" t="s">
        <v>6405</v>
      </c>
      <c r="E1747" t="s">
        <v>6132</v>
      </c>
      <c r="F1747" t="s">
        <v>28</v>
      </c>
      <c r="G1747" t="s">
        <v>6406</v>
      </c>
      <c r="H1747" t="s">
        <v>30</v>
      </c>
      <c r="I1747" t="b">
        <f>COUNTIF(Estadísticas!I:I,'centraldecomunicacion.es'!H1747)&gt;0</f>
        <v>0</v>
      </c>
    </row>
    <row r="1748" spans="1:9">
      <c r="A1748" t="s">
        <v>6407</v>
      </c>
      <c r="B1748" t="s">
        <v>10</v>
      </c>
      <c r="C1748" t="s">
        <v>6408</v>
      </c>
      <c r="D1748" t="s">
        <v>6331</v>
      </c>
      <c r="E1748" t="s">
        <v>6132</v>
      </c>
      <c r="F1748" t="s">
        <v>28</v>
      </c>
      <c r="G1748" t="s">
        <v>6409</v>
      </c>
      <c r="H1748" t="s">
        <v>30</v>
      </c>
      <c r="I1748" t="b">
        <f>COUNTIF(Estadísticas!I:I,'centraldecomunicacion.es'!H1748)&gt;0</f>
        <v>0</v>
      </c>
    </row>
    <row r="1749" spans="1:9">
      <c r="A1749" t="s">
        <v>6410</v>
      </c>
      <c r="B1749" t="s">
        <v>10</v>
      </c>
      <c r="C1749" t="s">
        <v>6411</v>
      </c>
      <c r="D1749" t="s">
        <v>6140</v>
      </c>
      <c r="E1749" t="s">
        <v>6132</v>
      </c>
      <c r="F1749" t="s">
        <v>6412</v>
      </c>
      <c r="G1749" t="s">
        <v>6413</v>
      </c>
      <c r="H1749" t="s">
        <v>6414</v>
      </c>
      <c r="I1749" t="b">
        <f>COUNTIF(Estadísticas!I:I,'centraldecomunicacion.es'!H1749)&gt;0</f>
        <v>1</v>
      </c>
    </row>
    <row r="1750" spans="1:9">
      <c r="A1750" t="s">
        <v>6415</v>
      </c>
      <c r="B1750" t="s">
        <v>10</v>
      </c>
      <c r="C1750" t="s">
        <v>6416</v>
      </c>
      <c r="D1750" t="s">
        <v>6140</v>
      </c>
      <c r="E1750" t="s">
        <v>6132</v>
      </c>
      <c r="F1750" t="s">
        <v>28</v>
      </c>
      <c r="G1750" t="s">
        <v>6417</v>
      </c>
      <c r="H1750" t="s">
        <v>30</v>
      </c>
      <c r="I1750" t="b">
        <f>COUNTIF(Estadísticas!I:I,'centraldecomunicacion.es'!H1750)&gt;0</f>
        <v>0</v>
      </c>
    </row>
    <row r="1751" spans="1:9">
      <c r="A1751" t="s">
        <v>6418</v>
      </c>
      <c r="B1751" t="s">
        <v>10</v>
      </c>
      <c r="C1751" t="s">
        <v>6419</v>
      </c>
      <c r="D1751" t="s">
        <v>6140</v>
      </c>
      <c r="E1751" t="s">
        <v>6132</v>
      </c>
      <c r="F1751" t="s">
        <v>6420</v>
      </c>
      <c r="G1751" t="s">
        <v>6421</v>
      </c>
      <c r="H1751" t="s">
        <v>6422</v>
      </c>
      <c r="I1751" t="b">
        <f>COUNTIF(Estadísticas!I:I,'centraldecomunicacion.es'!H1751)&gt;0</f>
        <v>1</v>
      </c>
    </row>
    <row r="1752" spans="1:9">
      <c r="A1752" t="s">
        <v>6423</v>
      </c>
      <c r="B1752" t="s">
        <v>10</v>
      </c>
      <c r="C1752" t="s">
        <v>6424</v>
      </c>
      <c r="D1752" t="s">
        <v>6354</v>
      </c>
      <c r="E1752" t="s">
        <v>6132</v>
      </c>
      <c r="F1752" t="s">
        <v>28</v>
      </c>
      <c r="G1752" t="s">
        <v>6425</v>
      </c>
      <c r="H1752" t="s">
        <v>30</v>
      </c>
      <c r="I1752" t="b">
        <f>COUNTIF(Estadísticas!I:I,'centraldecomunicacion.es'!H1752)&gt;0</f>
        <v>0</v>
      </c>
    </row>
    <row r="1753" spans="1:9">
      <c r="A1753" t="s">
        <v>6426</v>
      </c>
      <c r="B1753" t="s">
        <v>10</v>
      </c>
      <c r="C1753" t="s">
        <v>6427</v>
      </c>
      <c r="D1753" t="s">
        <v>6317</v>
      </c>
      <c r="E1753" t="s">
        <v>6132</v>
      </c>
      <c r="F1753" t="s">
        <v>6428</v>
      </c>
      <c r="G1753" t="s">
        <v>6429</v>
      </c>
      <c r="H1753" t="s">
        <v>30</v>
      </c>
      <c r="I1753" t="b">
        <f>COUNTIF(Estadísticas!I:I,'centraldecomunicacion.es'!H1753)&gt;0</f>
        <v>0</v>
      </c>
    </row>
    <row r="1754" spans="1:9">
      <c r="A1754" t="s">
        <v>6430</v>
      </c>
      <c r="B1754" t="s">
        <v>10</v>
      </c>
      <c r="C1754" t="s">
        <v>6431</v>
      </c>
      <c r="D1754" t="s">
        <v>6432</v>
      </c>
      <c r="E1754" t="s">
        <v>6132</v>
      </c>
      <c r="F1754" t="s">
        <v>6433</v>
      </c>
      <c r="G1754" t="s">
        <v>6434</v>
      </c>
      <c r="H1754" t="s">
        <v>6435</v>
      </c>
      <c r="I1754" t="b">
        <f>COUNTIF(Estadísticas!I:I,'centraldecomunicacion.es'!H1754)&gt;0</f>
        <v>1</v>
      </c>
    </row>
    <row r="1755" spans="1:9">
      <c r="A1755" t="s">
        <v>6436</v>
      </c>
      <c r="B1755" t="s">
        <v>10</v>
      </c>
      <c r="C1755" t="s">
        <v>6437</v>
      </c>
      <c r="D1755" t="s">
        <v>6170</v>
      </c>
      <c r="E1755" t="s">
        <v>6132</v>
      </c>
      <c r="F1755" t="s">
        <v>28</v>
      </c>
      <c r="G1755" t="s">
        <v>6438</v>
      </c>
      <c r="H1755" t="s">
        <v>30</v>
      </c>
      <c r="I1755" t="b">
        <f>COUNTIF(Estadísticas!I:I,'centraldecomunicacion.es'!H1755)&gt;0</f>
        <v>0</v>
      </c>
    </row>
    <row r="1756" spans="1:9">
      <c r="A1756" t="s">
        <v>6439</v>
      </c>
      <c r="B1756" t="s">
        <v>10</v>
      </c>
      <c r="C1756" t="s">
        <v>6440</v>
      </c>
      <c r="D1756" t="s">
        <v>6140</v>
      </c>
      <c r="E1756" t="s">
        <v>6132</v>
      </c>
      <c r="F1756" t="s">
        <v>28</v>
      </c>
      <c r="G1756" t="s">
        <v>6441</v>
      </c>
      <c r="H1756" t="s">
        <v>30</v>
      </c>
      <c r="I1756" t="b">
        <f>COUNTIF(Estadísticas!I:I,'centraldecomunicacion.es'!H1756)&gt;0</f>
        <v>0</v>
      </c>
    </row>
    <row r="1757" spans="1:9">
      <c r="A1757" t="s">
        <v>6442</v>
      </c>
      <c r="B1757" t="s">
        <v>10</v>
      </c>
      <c r="C1757" t="s">
        <v>6443</v>
      </c>
      <c r="D1757" t="s">
        <v>6444</v>
      </c>
      <c r="E1757" t="s">
        <v>6132</v>
      </c>
      <c r="F1757" t="s">
        <v>6445</v>
      </c>
      <c r="G1757" t="s">
        <v>6446</v>
      </c>
      <c r="H1757" t="s">
        <v>6447</v>
      </c>
      <c r="I1757" t="b">
        <f>COUNTIF(Estadísticas!I:I,'centraldecomunicacion.es'!H1757)&gt;0</f>
        <v>0</v>
      </c>
    </row>
    <row r="1758" spans="1:9">
      <c r="A1758" t="s">
        <v>6448</v>
      </c>
      <c r="B1758" t="s">
        <v>10</v>
      </c>
      <c r="C1758" t="s">
        <v>6449</v>
      </c>
      <c r="D1758" t="s">
        <v>6450</v>
      </c>
      <c r="E1758" t="s">
        <v>6450</v>
      </c>
      <c r="F1758" t="s">
        <v>28</v>
      </c>
      <c r="G1758" t="s">
        <v>6451</v>
      </c>
      <c r="H1758" t="s">
        <v>30</v>
      </c>
      <c r="I1758" t="b">
        <f>COUNTIF(Estadísticas!I:I,'centraldecomunicacion.es'!H1758)&gt;0</f>
        <v>0</v>
      </c>
    </row>
    <row r="1759" spans="1:9">
      <c r="A1759" t="s">
        <v>6452</v>
      </c>
      <c r="B1759" t="s">
        <v>10</v>
      </c>
      <c r="C1759" t="s">
        <v>6453</v>
      </c>
      <c r="D1759" t="s">
        <v>6317</v>
      </c>
      <c r="E1759" t="s">
        <v>6132</v>
      </c>
      <c r="F1759" t="s">
        <v>6454</v>
      </c>
      <c r="G1759" t="s">
        <v>6455</v>
      </c>
      <c r="H1759" t="s">
        <v>6456</v>
      </c>
      <c r="I1759" t="b">
        <f>COUNTIF(Estadísticas!I:I,'centraldecomunicacion.es'!H1759)&gt;0</f>
        <v>0</v>
      </c>
    </row>
    <row r="1760" spans="1:9">
      <c r="A1760" t="s">
        <v>6457</v>
      </c>
      <c r="B1760" t="s">
        <v>10</v>
      </c>
      <c r="C1760" t="s">
        <v>28</v>
      </c>
      <c r="D1760" t="s">
        <v>6243</v>
      </c>
      <c r="E1760" t="s">
        <v>28</v>
      </c>
      <c r="F1760" t="s">
        <v>28</v>
      </c>
      <c r="G1760" t="s">
        <v>6458</v>
      </c>
      <c r="H1760" t="s">
        <v>30</v>
      </c>
      <c r="I1760" t="b">
        <f>COUNTIF(Estadísticas!I:I,'centraldecomunicacion.es'!H1760)&gt;0</f>
        <v>0</v>
      </c>
    </row>
    <row r="1761" spans="1:9">
      <c r="A1761" t="s">
        <v>6459</v>
      </c>
      <c r="B1761" t="s">
        <v>10</v>
      </c>
      <c r="C1761" t="s">
        <v>6460</v>
      </c>
      <c r="D1761" t="s">
        <v>6243</v>
      </c>
      <c r="E1761" t="s">
        <v>6132</v>
      </c>
      <c r="F1761" t="s">
        <v>28</v>
      </c>
      <c r="G1761" t="s">
        <v>6461</v>
      </c>
      <c r="H1761" t="s">
        <v>30</v>
      </c>
      <c r="I1761" t="b">
        <f>COUNTIF(Estadísticas!I:I,'centraldecomunicacion.es'!H1761)&gt;0</f>
        <v>0</v>
      </c>
    </row>
    <row r="1762" spans="1:9">
      <c r="A1762" t="s">
        <v>6462</v>
      </c>
      <c r="B1762" t="s">
        <v>10</v>
      </c>
      <c r="C1762" t="s">
        <v>6463</v>
      </c>
      <c r="D1762" t="s">
        <v>6131</v>
      </c>
      <c r="E1762" t="s">
        <v>6132</v>
      </c>
      <c r="F1762" t="s">
        <v>28</v>
      </c>
      <c r="G1762" t="s">
        <v>6464</v>
      </c>
      <c r="H1762" t="s">
        <v>30</v>
      </c>
      <c r="I1762" t="b">
        <f>COUNTIF(Estadísticas!I:I,'centraldecomunicacion.es'!H1762)&gt;0</f>
        <v>0</v>
      </c>
    </row>
    <row r="1763" spans="1:9">
      <c r="A1763" t="s">
        <v>6465</v>
      </c>
      <c r="B1763" t="s">
        <v>10</v>
      </c>
      <c r="C1763" t="s">
        <v>6466</v>
      </c>
      <c r="D1763" t="s">
        <v>6323</v>
      </c>
      <c r="E1763" t="s">
        <v>6132</v>
      </c>
      <c r="F1763" t="s">
        <v>6324</v>
      </c>
      <c r="G1763" t="s">
        <v>6325</v>
      </c>
      <c r="H1763" t="s">
        <v>30</v>
      </c>
      <c r="I1763" t="b">
        <f>COUNTIF(Estadísticas!I:I,'centraldecomunicacion.es'!H1763)&gt;0</f>
        <v>0</v>
      </c>
    </row>
    <row r="1764" spans="1:9">
      <c r="A1764" t="s">
        <v>6467</v>
      </c>
      <c r="B1764" t="s">
        <v>10</v>
      </c>
      <c r="C1764" t="s">
        <v>6468</v>
      </c>
      <c r="D1764" t="s">
        <v>6469</v>
      </c>
      <c r="E1764" t="s">
        <v>6132</v>
      </c>
      <c r="F1764" t="s">
        <v>6470</v>
      </c>
      <c r="G1764" t="s">
        <v>6471</v>
      </c>
      <c r="H1764" t="s">
        <v>6472</v>
      </c>
      <c r="I1764" t="b">
        <f>COUNTIF(Estadísticas!I:I,'centraldecomunicacion.es'!H1764)&gt;0</f>
        <v>0</v>
      </c>
    </row>
    <row r="1765" spans="1:9">
      <c r="A1765" t="s">
        <v>6473</v>
      </c>
      <c r="B1765" t="s">
        <v>10</v>
      </c>
      <c r="C1765" t="s">
        <v>6474</v>
      </c>
      <c r="D1765" t="s">
        <v>6146</v>
      </c>
      <c r="E1765" t="s">
        <v>6132</v>
      </c>
      <c r="F1765" t="s">
        <v>28</v>
      </c>
      <c r="G1765" t="s">
        <v>6148</v>
      </c>
      <c r="H1765" t="s">
        <v>30</v>
      </c>
      <c r="I1765" t="b">
        <f>COUNTIF(Estadísticas!I:I,'centraldecomunicacion.es'!H1765)&gt;0</f>
        <v>0</v>
      </c>
    </row>
    <row r="1766" spans="1:9">
      <c r="A1766" t="s">
        <v>6475</v>
      </c>
      <c r="B1766" t="s">
        <v>10</v>
      </c>
      <c r="C1766" t="s">
        <v>6476</v>
      </c>
      <c r="D1766" t="s">
        <v>6477</v>
      </c>
      <c r="E1766" t="s">
        <v>6478</v>
      </c>
      <c r="F1766" t="s">
        <v>6479</v>
      </c>
      <c r="G1766" t="s">
        <v>6480</v>
      </c>
      <c r="H1766" t="s">
        <v>30</v>
      </c>
      <c r="I1766" t="b">
        <f>COUNTIF(Estadísticas!I:I,'centraldecomunicacion.es'!H1766)&gt;0</f>
        <v>0</v>
      </c>
    </row>
    <row r="1767" spans="1:9">
      <c r="A1767" t="s">
        <v>6481</v>
      </c>
      <c r="B1767" t="s">
        <v>10</v>
      </c>
      <c r="C1767" t="s">
        <v>6482</v>
      </c>
      <c r="D1767" t="s">
        <v>6483</v>
      </c>
      <c r="E1767" t="s">
        <v>6132</v>
      </c>
      <c r="F1767" t="s">
        <v>28</v>
      </c>
      <c r="G1767" t="s">
        <v>28</v>
      </c>
      <c r="H1767" t="s">
        <v>30</v>
      </c>
      <c r="I1767" t="b">
        <f>COUNTIF(Estadísticas!I:I,'centraldecomunicacion.es'!H1767)&gt;0</f>
        <v>0</v>
      </c>
    </row>
    <row r="1768" spans="1:9">
      <c r="A1768" t="s">
        <v>6484</v>
      </c>
      <c r="B1768" t="s">
        <v>10</v>
      </c>
      <c r="C1768" t="s">
        <v>28</v>
      </c>
      <c r="D1768" t="s">
        <v>6243</v>
      </c>
      <c r="E1768" t="s">
        <v>28</v>
      </c>
      <c r="F1768" t="s">
        <v>28</v>
      </c>
      <c r="G1768" t="s">
        <v>6485</v>
      </c>
      <c r="H1768" t="s">
        <v>30</v>
      </c>
      <c r="I1768" t="b">
        <f>COUNTIF(Estadísticas!I:I,'centraldecomunicacion.es'!H1768)&gt;0</f>
        <v>0</v>
      </c>
    </row>
    <row r="1769" spans="1:9">
      <c r="A1769" t="s">
        <v>6486</v>
      </c>
      <c r="B1769" t="s">
        <v>10</v>
      </c>
      <c r="C1769" t="s">
        <v>6487</v>
      </c>
      <c r="D1769" t="s">
        <v>6488</v>
      </c>
      <c r="E1769" t="s">
        <v>6489</v>
      </c>
      <c r="F1769" t="s">
        <v>28</v>
      </c>
      <c r="G1769" t="s">
        <v>6490</v>
      </c>
      <c r="H1769" t="s">
        <v>30</v>
      </c>
      <c r="I1769" t="b">
        <f>COUNTIF(Estadísticas!I:I,'centraldecomunicacion.es'!H1769)&gt;0</f>
        <v>0</v>
      </c>
    </row>
    <row r="1770" spans="1:9">
      <c r="A1770" t="s">
        <v>6491</v>
      </c>
      <c r="B1770" t="s">
        <v>10</v>
      </c>
      <c r="C1770" t="s">
        <v>6492</v>
      </c>
      <c r="D1770" t="s">
        <v>6493</v>
      </c>
      <c r="E1770" t="s">
        <v>4730</v>
      </c>
      <c r="F1770" t="s">
        <v>6494</v>
      </c>
      <c r="G1770" t="s">
        <v>6495</v>
      </c>
      <c r="H1770" t="s">
        <v>6496</v>
      </c>
      <c r="I1770" t="b">
        <f>COUNTIF(Estadísticas!I:I,'centraldecomunicacion.es'!H1770)&gt;0</f>
        <v>1</v>
      </c>
    </row>
    <row r="1771" spans="1:9">
      <c r="A1771" t="s">
        <v>6497</v>
      </c>
      <c r="B1771" t="s">
        <v>10</v>
      </c>
      <c r="C1771" t="s">
        <v>6498</v>
      </c>
      <c r="D1771" t="s">
        <v>6499</v>
      </c>
      <c r="E1771" t="s">
        <v>6489</v>
      </c>
      <c r="F1771" t="s">
        <v>6500</v>
      </c>
      <c r="G1771" t="s">
        <v>6501</v>
      </c>
      <c r="H1771" t="s">
        <v>6502</v>
      </c>
      <c r="I1771" t="b">
        <f>COUNTIF(Estadísticas!I:I,'centraldecomunicacion.es'!H1771)&gt;0</f>
        <v>0</v>
      </c>
    </row>
    <row r="1772" spans="1:9">
      <c r="A1772" t="s">
        <v>6503</v>
      </c>
      <c r="B1772" t="s">
        <v>6504</v>
      </c>
      <c r="C1772" t="s">
        <v>6505</v>
      </c>
      <c r="D1772" t="s">
        <v>6506</v>
      </c>
      <c r="E1772" t="s">
        <v>6132</v>
      </c>
      <c r="F1772" t="s">
        <v>6507</v>
      </c>
      <c r="G1772" t="s">
        <v>28</v>
      </c>
      <c r="H1772" t="s">
        <v>6508</v>
      </c>
      <c r="I1772" t="b">
        <f>COUNTIF(Estadísticas!I:I,'centraldecomunicacion.es'!H1772)&gt;0</f>
        <v>0</v>
      </c>
    </row>
    <row r="1773" spans="1:9">
      <c r="A1773" t="s">
        <v>6509</v>
      </c>
      <c r="B1773" t="s">
        <v>10</v>
      </c>
      <c r="C1773" t="s">
        <v>6510</v>
      </c>
      <c r="D1773" t="s">
        <v>6511</v>
      </c>
      <c r="E1773" t="s">
        <v>6489</v>
      </c>
      <c r="F1773" t="s">
        <v>6512</v>
      </c>
      <c r="G1773" t="s">
        <v>6513</v>
      </c>
      <c r="H1773" t="s">
        <v>6514</v>
      </c>
      <c r="I1773" t="b">
        <f>COUNTIF(Estadísticas!I:I,'centraldecomunicacion.es'!H1773)&gt;0</f>
        <v>1</v>
      </c>
    </row>
    <row r="1774" spans="1:9">
      <c r="A1774" t="s">
        <v>6515</v>
      </c>
      <c r="B1774" t="s">
        <v>10</v>
      </c>
      <c r="C1774" t="s">
        <v>6516</v>
      </c>
      <c r="D1774" t="s">
        <v>6517</v>
      </c>
      <c r="E1774" t="s">
        <v>6478</v>
      </c>
      <c r="F1774" t="s">
        <v>28</v>
      </c>
      <c r="G1774" t="s">
        <v>6518</v>
      </c>
      <c r="H1774" t="s">
        <v>30</v>
      </c>
      <c r="I1774" t="b">
        <f>COUNTIF(Estadísticas!I:I,'centraldecomunicacion.es'!H1774)&gt;0</f>
        <v>0</v>
      </c>
    </row>
    <row r="1775" spans="1:9">
      <c r="A1775" t="s">
        <v>6519</v>
      </c>
      <c r="B1775" t="s">
        <v>10</v>
      </c>
      <c r="C1775" t="s">
        <v>6520</v>
      </c>
      <c r="D1775" t="s">
        <v>6521</v>
      </c>
      <c r="E1775" t="s">
        <v>6489</v>
      </c>
      <c r="F1775" t="s">
        <v>6522</v>
      </c>
      <c r="G1775" t="s">
        <v>6523</v>
      </c>
      <c r="H1775" t="s">
        <v>30</v>
      </c>
      <c r="I1775" t="b">
        <f>COUNTIF(Estadísticas!I:I,'centraldecomunicacion.es'!H1775)&gt;0</f>
        <v>0</v>
      </c>
    </row>
    <row r="1776" spans="1:9">
      <c r="A1776" t="s">
        <v>6524</v>
      </c>
      <c r="B1776" t="s">
        <v>10</v>
      </c>
      <c r="C1776" t="s">
        <v>6525</v>
      </c>
      <c r="D1776" t="s">
        <v>6511</v>
      </c>
      <c r="E1776" t="s">
        <v>6489</v>
      </c>
      <c r="F1776" t="s">
        <v>28</v>
      </c>
      <c r="G1776" t="s">
        <v>6526</v>
      </c>
      <c r="H1776" t="s">
        <v>30</v>
      </c>
      <c r="I1776" t="b">
        <f>COUNTIF(Estadísticas!I:I,'centraldecomunicacion.es'!H1776)&gt;0</f>
        <v>0</v>
      </c>
    </row>
    <row r="1777" spans="1:9">
      <c r="A1777" t="s">
        <v>6527</v>
      </c>
      <c r="B1777" t="s">
        <v>10</v>
      </c>
      <c r="C1777" t="s">
        <v>6528</v>
      </c>
      <c r="D1777" t="s">
        <v>6511</v>
      </c>
      <c r="E1777" t="s">
        <v>6489</v>
      </c>
      <c r="F1777" t="s">
        <v>6529</v>
      </c>
      <c r="G1777" t="s">
        <v>6530</v>
      </c>
      <c r="H1777" t="s">
        <v>30</v>
      </c>
      <c r="I1777" t="b">
        <f>COUNTIF(Estadísticas!I:I,'centraldecomunicacion.es'!H1777)&gt;0</f>
        <v>0</v>
      </c>
    </row>
    <row r="1778" spans="1:9">
      <c r="A1778" t="s">
        <v>6531</v>
      </c>
      <c r="B1778" t="s">
        <v>10</v>
      </c>
      <c r="C1778" t="s">
        <v>6532</v>
      </c>
      <c r="D1778" t="s">
        <v>6533</v>
      </c>
      <c r="E1778" t="s">
        <v>6533</v>
      </c>
      <c r="F1778" t="s">
        <v>28</v>
      </c>
      <c r="G1778" t="s">
        <v>6534</v>
      </c>
      <c r="H1778" t="s">
        <v>30</v>
      </c>
      <c r="I1778" t="b">
        <f>COUNTIF(Estadísticas!I:I,'centraldecomunicacion.es'!H1778)&gt;0</f>
        <v>0</v>
      </c>
    </row>
    <row r="1779" spans="1:9">
      <c r="A1779" t="s">
        <v>6535</v>
      </c>
      <c r="B1779" t="s">
        <v>10</v>
      </c>
      <c r="C1779" t="s">
        <v>6536</v>
      </c>
      <c r="D1779" t="s">
        <v>6533</v>
      </c>
      <c r="E1779" t="s">
        <v>6533</v>
      </c>
      <c r="F1779" t="s">
        <v>28</v>
      </c>
      <c r="G1779" t="s">
        <v>6537</v>
      </c>
      <c r="H1779" t="s">
        <v>30</v>
      </c>
      <c r="I1779" t="b">
        <f>COUNTIF(Estadísticas!I:I,'centraldecomunicacion.es'!H1779)&gt;0</f>
        <v>0</v>
      </c>
    </row>
    <row r="1780" spans="1:9">
      <c r="A1780" t="s">
        <v>6538</v>
      </c>
      <c r="B1780" t="s">
        <v>10</v>
      </c>
      <c r="C1780" t="s">
        <v>6539</v>
      </c>
      <c r="D1780" t="s">
        <v>6533</v>
      </c>
      <c r="E1780" t="s">
        <v>6533</v>
      </c>
      <c r="F1780" t="s">
        <v>28</v>
      </c>
      <c r="G1780" t="s">
        <v>6540</v>
      </c>
      <c r="H1780" t="s">
        <v>30</v>
      </c>
      <c r="I1780" t="b">
        <f>COUNTIF(Estadísticas!I:I,'centraldecomunicacion.es'!H1780)&gt;0</f>
        <v>0</v>
      </c>
    </row>
    <row r="1781" spans="1:9">
      <c r="A1781" t="s">
        <v>6541</v>
      </c>
      <c r="B1781" t="s">
        <v>10</v>
      </c>
      <c r="C1781" t="s">
        <v>6542</v>
      </c>
      <c r="D1781" t="s">
        <v>6533</v>
      </c>
      <c r="E1781" t="s">
        <v>6533</v>
      </c>
      <c r="F1781" t="s">
        <v>6543</v>
      </c>
      <c r="G1781" t="s">
        <v>6544</v>
      </c>
      <c r="H1781" t="s">
        <v>6545</v>
      </c>
      <c r="I1781" t="b">
        <f>COUNTIF(Estadísticas!I:I,'centraldecomunicacion.es'!H1781)&gt;0</f>
        <v>0</v>
      </c>
    </row>
    <row r="1782" spans="1:9">
      <c r="A1782" t="s">
        <v>6546</v>
      </c>
      <c r="B1782" t="s">
        <v>10</v>
      </c>
      <c r="C1782" t="s">
        <v>6547</v>
      </c>
      <c r="D1782" t="s">
        <v>6533</v>
      </c>
      <c r="E1782" t="s">
        <v>6533</v>
      </c>
      <c r="F1782" t="s">
        <v>6548</v>
      </c>
      <c r="G1782" t="s">
        <v>6549</v>
      </c>
      <c r="H1782" t="s">
        <v>30</v>
      </c>
      <c r="I1782" t="b">
        <f>COUNTIF(Estadísticas!I:I,'centraldecomunicacion.es'!H1782)&gt;0</f>
        <v>0</v>
      </c>
    </row>
    <row r="1783" spans="1:9">
      <c r="A1783" t="s">
        <v>6550</v>
      </c>
      <c r="B1783" t="s">
        <v>10</v>
      </c>
      <c r="C1783" t="s">
        <v>6551</v>
      </c>
      <c r="D1783" t="s">
        <v>6533</v>
      </c>
      <c r="E1783" t="s">
        <v>6533</v>
      </c>
      <c r="F1783" t="s">
        <v>6552</v>
      </c>
      <c r="G1783" t="s">
        <v>6553</v>
      </c>
      <c r="H1783" t="s">
        <v>30</v>
      </c>
      <c r="I1783" t="b">
        <f>COUNTIF(Estadísticas!I:I,'centraldecomunicacion.es'!H1783)&gt;0</f>
        <v>0</v>
      </c>
    </row>
    <row r="1784" spans="1:9">
      <c r="A1784" t="s">
        <v>6554</v>
      </c>
      <c r="B1784" t="s">
        <v>10</v>
      </c>
      <c r="C1784" t="s">
        <v>6555</v>
      </c>
      <c r="D1784" t="s">
        <v>6533</v>
      </c>
      <c r="E1784" t="s">
        <v>6533</v>
      </c>
      <c r="F1784" t="s">
        <v>28</v>
      </c>
      <c r="G1784" t="s">
        <v>6556</v>
      </c>
      <c r="H1784" t="s">
        <v>30</v>
      </c>
      <c r="I1784" t="b">
        <f>COUNTIF(Estadísticas!I:I,'centraldecomunicacion.es'!H1784)&gt;0</f>
        <v>0</v>
      </c>
    </row>
    <row r="1785" spans="1:9">
      <c r="A1785" t="s">
        <v>6557</v>
      </c>
      <c r="B1785" t="s">
        <v>10</v>
      </c>
      <c r="C1785" t="s">
        <v>6558</v>
      </c>
      <c r="D1785" t="s">
        <v>6533</v>
      </c>
      <c r="E1785" t="s">
        <v>6533</v>
      </c>
      <c r="F1785" t="s">
        <v>6559</v>
      </c>
      <c r="G1785" t="s">
        <v>6560</v>
      </c>
      <c r="H1785" t="s">
        <v>30</v>
      </c>
      <c r="I1785" t="b">
        <f>COUNTIF(Estadísticas!I:I,'centraldecomunicacion.es'!H1785)&gt;0</f>
        <v>0</v>
      </c>
    </row>
    <row r="1786" spans="1:9">
      <c r="A1786" t="s">
        <v>6561</v>
      </c>
      <c r="B1786" t="s">
        <v>10</v>
      </c>
      <c r="C1786" t="s">
        <v>6562</v>
      </c>
      <c r="D1786" t="s">
        <v>6533</v>
      </c>
      <c r="E1786" t="s">
        <v>6533</v>
      </c>
      <c r="F1786" t="s">
        <v>28</v>
      </c>
      <c r="G1786" t="s">
        <v>6563</v>
      </c>
      <c r="H1786" t="s">
        <v>30</v>
      </c>
      <c r="I1786" t="b">
        <f>COUNTIF(Estadísticas!I:I,'centraldecomunicacion.es'!H1786)&gt;0</f>
        <v>0</v>
      </c>
    </row>
    <row r="1787" spans="1:9">
      <c r="A1787" t="s">
        <v>6564</v>
      </c>
      <c r="B1787" t="s">
        <v>10</v>
      </c>
      <c r="C1787" t="s">
        <v>6565</v>
      </c>
      <c r="D1787" t="s">
        <v>6533</v>
      </c>
      <c r="E1787" t="s">
        <v>6533</v>
      </c>
      <c r="F1787" t="s">
        <v>6566</v>
      </c>
      <c r="G1787" t="s">
        <v>6567</v>
      </c>
      <c r="H1787" t="s">
        <v>6568</v>
      </c>
      <c r="I1787" t="b">
        <f>COUNTIF(Estadísticas!I:I,'centraldecomunicacion.es'!H1787)&gt;0</f>
        <v>1</v>
      </c>
    </row>
    <row r="1788" spans="1:9">
      <c r="A1788" t="s">
        <v>6569</v>
      </c>
      <c r="B1788" t="s">
        <v>10</v>
      </c>
      <c r="C1788" t="s">
        <v>6570</v>
      </c>
      <c r="D1788" t="s">
        <v>6533</v>
      </c>
      <c r="E1788" t="s">
        <v>6533</v>
      </c>
      <c r="F1788" t="s">
        <v>6571</v>
      </c>
      <c r="G1788" t="s">
        <v>6572</v>
      </c>
      <c r="H1788" t="s">
        <v>30</v>
      </c>
      <c r="I1788" t="b">
        <f>COUNTIF(Estadísticas!I:I,'centraldecomunicacion.es'!H1788)&gt;0</f>
        <v>0</v>
      </c>
    </row>
    <row r="1789" spans="1:9">
      <c r="A1789" t="s">
        <v>6573</v>
      </c>
      <c r="B1789" t="s">
        <v>10</v>
      </c>
      <c r="C1789" t="s">
        <v>6574</v>
      </c>
      <c r="D1789" t="s">
        <v>6533</v>
      </c>
      <c r="E1789" t="s">
        <v>6533</v>
      </c>
      <c r="F1789" t="s">
        <v>28</v>
      </c>
      <c r="G1789" t="s">
        <v>28</v>
      </c>
      <c r="H1789" t="s">
        <v>30</v>
      </c>
      <c r="I1789" t="b">
        <f>COUNTIF(Estadísticas!I:I,'centraldecomunicacion.es'!H1789)&gt;0</f>
        <v>0</v>
      </c>
    </row>
    <row r="1790" spans="1:9">
      <c r="A1790" t="s">
        <v>6575</v>
      </c>
      <c r="B1790" t="s">
        <v>10</v>
      </c>
      <c r="C1790" t="s">
        <v>6576</v>
      </c>
      <c r="D1790" t="s">
        <v>6533</v>
      </c>
      <c r="E1790" t="s">
        <v>6533</v>
      </c>
      <c r="F1790" t="s">
        <v>6577</v>
      </c>
      <c r="G1790" t="s">
        <v>6578</v>
      </c>
      <c r="H1790" t="s">
        <v>6579</v>
      </c>
      <c r="I1790" t="b">
        <f>COUNTIF(Estadísticas!I:I,'centraldecomunicacion.es'!H1790)&gt;0</f>
        <v>0</v>
      </c>
    </row>
    <row r="1791" spans="1:9">
      <c r="A1791" t="s">
        <v>6580</v>
      </c>
      <c r="B1791" t="s">
        <v>10</v>
      </c>
      <c r="C1791" t="s">
        <v>6581</v>
      </c>
      <c r="D1791" t="s">
        <v>6533</v>
      </c>
      <c r="E1791" t="s">
        <v>6533</v>
      </c>
      <c r="F1791" t="s">
        <v>28</v>
      </c>
      <c r="G1791" t="s">
        <v>6582</v>
      </c>
      <c r="H1791" t="s">
        <v>30</v>
      </c>
      <c r="I1791" t="b">
        <f>COUNTIF(Estadísticas!I:I,'centraldecomunicacion.es'!H1791)&gt;0</f>
        <v>0</v>
      </c>
    </row>
    <row r="1792" spans="1:9">
      <c r="A1792" t="s">
        <v>6583</v>
      </c>
      <c r="B1792" t="s">
        <v>10</v>
      </c>
      <c r="C1792" t="s">
        <v>6584</v>
      </c>
      <c r="D1792" t="s">
        <v>6533</v>
      </c>
      <c r="E1792" t="s">
        <v>6533</v>
      </c>
      <c r="F1792" t="s">
        <v>6585</v>
      </c>
      <c r="G1792" t="s">
        <v>6586</v>
      </c>
      <c r="H1792" t="s">
        <v>6587</v>
      </c>
      <c r="I1792" t="b">
        <f>COUNTIF(Estadísticas!I:I,'centraldecomunicacion.es'!H1792)&gt;0</f>
        <v>0</v>
      </c>
    </row>
    <row r="1793" spans="1:9">
      <c r="A1793" t="s">
        <v>6588</v>
      </c>
      <c r="B1793" t="s">
        <v>10</v>
      </c>
      <c r="C1793" t="s">
        <v>6589</v>
      </c>
      <c r="D1793" t="s">
        <v>6533</v>
      </c>
      <c r="E1793" t="s">
        <v>6533</v>
      </c>
      <c r="F1793" t="s">
        <v>28</v>
      </c>
      <c r="G1793" t="s">
        <v>28</v>
      </c>
      <c r="H1793" t="s">
        <v>30</v>
      </c>
      <c r="I1793" t="b">
        <f>COUNTIF(Estadísticas!I:I,'centraldecomunicacion.es'!H1793)&gt;0</f>
        <v>0</v>
      </c>
    </row>
    <row r="1794" spans="1:9">
      <c r="A1794" t="s">
        <v>6564</v>
      </c>
      <c r="B1794" t="s">
        <v>10</v>
      </c>
      <c r="C1794" t="s">
        <v>6590</v>
      </c>
      <c r="D1794" t="s">
        <v>6533</v>
      </c>
      <c r="E1794" t="s">
        <v>6533</v>
      </c>
      <c r="F1794" t="s">
        <v>28</v>
      </c>
      <c r="G1794" t="s">
        <v>6591</v>
      </c>
      <c r="H1794" t="s">
        <v>30</v>
      </c>
      <c r="I1794" t="b">
        <f>COUNTIF(Estadísticas!I:I,'centraldecomunicacion.es'!H1794)&gt;0</f>
        <v>0</v>
      </c>
    </row>
    <row r="1795" spans="1:9">
      <c r="A1795" t="s">
        <v>6592</v>
      </c>
      <c r="B1795" t="s">
        <v>10</v>
      </c>
      <c r="C1795" t="s">
        <v>6593</v>
      </c>
      <c r="D1795" t="s">
        <v>6533</v>
      </c>
      <c r="E1795" t="s">
        <v>6533</v>
      </c>
      <c r="F1795" t="s">
        <v>28</v>
      </c>
      <c r="G1795" t="s">
        <v>6594</v>
      </c>
      <c r="H1795" t="s">
        <v>30</v>
      </c>
      <c r="I1795" t="b">
        <f>COUNTIF(Estadísticas!I:I,'centraldecomunicacion.es'!H1795)&gt;0</f>
        <v>0</v>
      </c>
    </row>
    <row r="1796" spans="1:9">
      <c r="A1796" t="s">
        <v>6595</v>
      </c>
      <c r="B1796" t="s">
        <v>10</v>
      </c>
      <c r="C1796" t="s">
        <v>6596</v>
      </c>
      <c r="D1796" t="s">
        <v>6533</v>
      </c>
      <c r="E1796" t="s">
        <v>6533</v>
      </c>
      <c r="F1796" t="s">
        <v>28</v>
      </c>
      <c r="G1796" t="s">
        <v>6597</v>
      </c>
      <c r="H1796" t="s">
        <v>30</v>
      </c>
      <c r="I1796" t="b">
        <f>COUNTIF(Estadísticas!I:I,'centraldecomunicacion.es'!H1796)&gt;0</f>
        <v>0</v>
      </c>
    </row>
    <row r="1797" spans="1:9">
      <c r="A1797" t="s">
        <v>6598</v>
      </c>
      <c r="B1797" t="s">
        <v>10</v>
      </c>
      <c r="C1797" t="s">
        <v>6599</v>
      </c>
      <c r="D1797" t="s">
        <v>6533</v>
      </c>
      <c r="E1797" t="s">
        <v>6533</v>
      </c>
      <c r="F1797" t="s">
        <v>28</v>
      </c>
      <c r="G1797" t="s">
        <v>6600</v>
      </c>
      <c r="H1797" t="s">
        <v>30</v>
      </c>
      <c r="I1797" t="b">
        <f>COUNTIF(Estadísticas!I:I,'centraldecomunicacion.es'!H1797)&gt;0</f>
        <v>0</v>
      </c>
    </row>
    <row r="1798" spans="1:9">
      <c r="A1798" t="s">
        <v>6601</v>
      </c>
      <c r="B1798" t="s">
        <v>10</v>
      </c>
      <c r="C1798" t="s">
        <v>6602</v>
      </c>
      <c r="D1798" t="s">
        <v>6533</v>
      </c>
      <c r="E1798" t="s">
        <v>6533</v>
      </c>
      <c r="F1798" t="s">
        <v>28</v>
      </c>
      <c r="G1798" t="s">
        <v>6603</v>
      </c>
      <c r="H1798" t="s">
        <v>30</v>
      </c>
      <c r="I1798" t="b">
        <f>COUNTIF(Estadísticas!I:I,'centraldecomunicacion.es'!H1798)&gt;0</f>
        <v>0</v>
      </c>
    </row>
    <row r="1799" spans="1:9">
      <c r="A1799" t="s">
        <v>6604</v>
      </c>
      <c r="B1799" t="s">
        <v>10</v>
      </c>
      <c r="C1799" t="s">
        <v>6605</v>
      </c>
      <c r="D1799" t="s">
        <v>6533</v>
      </c>
      <c r="E1799" t="s">
        <v>6533</v>
      </c>
      <c r="F1799" t="s">
        <v>6606</v>
      </c>
      <c r="G1799" t="s">
        <v>28</v>
      </c>
      <c r="H1799" t="s">
        <v>6607</v>
      </c>
      <c r="I1799" t="b">
        <f>COUNTIF(Estadísticas!I:I,'centraldecomunicacion.es'!H1799)&gt;0</f>
        <v>0</v>
      </c>
    </row>
    <row r="1800" spans="1:9">
      <c r="A1800" t="s">
        <v>6608</v>
      </c>
      <c r="B1800" t="s">
        <v>10</v>
      </c>
      <c r="C1800" t="s">
        <v>6609</v>
      </c>
      <c r="D1800" t="s">
        <v>6533</v>
      </c>
      <c r="E1800" t="s">
        <v>6533</v>
      </c>
      <c r="F1800" t="s">
        <v>28</v>
      </c>
      <c r="G1800" t="s">
        <v>28</v>
      </c>
      <c r="H1800" t="s">
        <v>30</v>
      </c>
      <c r="I1800" t="b">
        <f>COUNTIF(Estadísticas!I:I,'centraldecomunicacion.es'!H1800)&gt;0</f>
        <v>0</v>
      </c>
    </row>
    <row r="1801" spans="1:9">
      <c r="A1801" t="s">
        <v>5475</v>
      </c>
      <c r="B1801" t="s">
        <v>10</v>
      </c>
      <c r="C1801" t="s">
        <v>6610</v>
      </c>
      <c r="D1801" t="s">
        <v>6533</v>
      </c>
      <c r="E1801" t="s">
        <v>6533</v>
      </c>
      <c r="F1801" t="s">
        <v>28</v>
      </c>
      <c r="G1801" t="s">
        <v>6611</v>
      </c>
      <c r="H1801" t="s">
        <v>30</v>
      </c>
      <c r="I1801" t="b">
        <f>COUNTIF(Estadísticas!I:I,'centraldecomunicacion.es'!H1801)&gt;0</f>
        <v>0</v>
      </c>
    </row>
    <row r="1802" spans="1:9">
      <c r="A1802" t="s">
        <v>6612</v>
      </c>
      <c r="B1802" t="s">
        <v>10</v>
      </c>
      <c r="C1802" t="s">
        <v>6613</v>
      </c>
      <c r="D1802" t="s">
        <v>6533</v>
      </c>
      <c r="E1802" t="s">
        <v>6533</v>
      </c>
      <c r="F1802" t="s">
        <v>28</v>
      </c>
      <c r="G1802" t="s">
        <v>6614</v>
      </c>
      <c r="H1802" t="s">
        <v>30</v>
      </c>
      <c r="I1802" t="b">
        <f>COUNTIF(Estadísticas!I:I,'centraldecomunicacion.es'!H1802)&gt;0</f>
        <v>0</v>
      </c>
    </row>
    <row r="1803" spans="1:9">
      <c r="A1803" t="s">
        <v>6615</v>
      </c>
      <c r="B1803" t="s">
        <v>10</v>
      </c>
      <c r="C1803" t="s">
        <v>6616</v>
      </c>
      <c r="D1803" t="s">
        <v>6533</v>
      </c>
      <c r="E1803" t="s">
        <v>6533</v>
      </c>
      <c r="F1803" t="s">
        <v>28</v>
      </c>
      <c r="G1803" t="s">
        <v>6617</v>
      </c>
      <c r="H1803" t="s">
        <v>30</v>
      </c>
      <c r="I1803" t="b">
        <f>COUNTIF(Estadísticas!I:I,'centraldecomunicacion.es'!H1803)&gt;0</f>
        <v>0</v>
      </c>
    </row>
    <row r="1804" spans="1:9">
      <c r="A1804" t="s">
        <v>6618</v>
      </c>
      <c r="B1804" t="s">
        <v>10</v>
      </c>
      <c r="C1804" t="s">
        <v>6619</v>
      </c>
      <c r="D1804" t="s">
        <v>6533</v>
      </c>
      <c r="E1804" t="s">
        <v>6533</v>
      </c>
      <c r="F1804" t="s">
        <v>28</v>
      </c>
      <c r="G1804" t="s">
        <v>6620</v>
      </c>
      <c r="H1804" t="s">
        <v>30</v>
      </c>
      <c r="I1804" t="b">
        <f>COUNTIF(Estadísticas!I:I,'centraldecomunicacion.es'!H1804)&gt;0</f>
        <v>0</v>
      </c>
    </row>
    <row r="1805" spans="1:9">
      <c r="A1805" t="s">
        <v>6621</v>
      </c>
      <c r="B1805" t="s">
        <v>10</v>
      </c>
      <c r="C1805" t="s">
        <v>6622</v>
      </c>
      <c r="D1805" t="s">
        <v>6533</v>
      </c>
      <c r="E1805" t="s">
        <v>6533</v>
      </c>
      <c r="F1805" t="s">
        <v>969</v>
      </c>
      <c r="G1805" t="s">
        <v>6623</v>
      </c>
      <c r="H1805" t="s">
        <v>513</v>
      </c>
      <c r="I1805" t="b">
        <f>COUNTIF(Estadísticas!I:I,'centraldecomunicacion.es'!H1805)&gt;0</f>
        <v>1</v>
      </c>
    </row>
    <row r="1806" spans="1:9">
      <c r="A1806" t="s">
        <v>6624</v>
      </c>
      <c r="B1806" t="s">
        <v>219</v>
      </c>
      <c r="C1806" t="s">
        <v>6625</v>
      </c>
      <c r="D1806" t="s">
        <v>6533</v>
      </c>
      <c r="E1806" t="s">
        <v>6533</v>
      </c>
      <c r="F1806" t="s">
        <v>28</v>
      </c>
      <c r="G1806" t="s">
        <v>6626</v>
      </c>
      <c r="H1806" t="s">
        <v>30</v>
      </c>
      <c r="I1806" t="b">
        <f>COUNTIF(Estadísticas!I:I,'centraldecomunicacion.es'!H1806)&gt;0</f>
        <v>0</v>
      </c>
    </row>
    <row r="1807" spans="1:9">
      <c r="A1807" t="s">
        <v>6627</v>
      </c>
      <c r="B1807" t="s">
        <v>10</v>
      </c>
      <c r="C1807" t="s">
        <v>6628</v>
      </c>
      <c r="D1807" t="s">
        <v>6629</v>
      </c>
      <c r="E1807" t="s">
        <v>6533</v>
      </c>
      <c r="F1807" t="s">
        <v>6630</v>
      </c>
      <c r="G1807" t="s">
        <v>28</v>
      </c>
      <c r="H1807" t="s">
        <v>6631</v>
      </c>
      <c r="I1807" t="b">
        <f>COUNTIF(Estadísticas!I:I,'centraldecomunicacion.es'!H1807)&gt;0</f>
        <v>1</v>
      </c>
    </row>
    <row r="1808" spans="1:9">
      <c r="A1808" t="s">
        <v>6632</v>
      </c>
      <c r="B1808" t="s">
        <v>10</v>
      </c>
      <c r="C1808" t="s">
        <v>6633</v>
      </c>
      <c r="D1808" t="s">
        <v>6634</v>
      </c>
      <c r="E1808" t="s">
        <v>6533</v>
      </c>
      <c r="F1808" t="s">
        <v>28</v>
      </c>
      <c r="G1808" t="s">
        <v>6635</v>
      </c>
      <c r="H1808" t="s">
        <v>30</v>
      </c>
      <c r="I1808" t="b">
        <f>COUNTIF(Estadísticas!I:I,'centraldecomunicacion.es'!H1808)&gt;0</f>
        <v>0</v>
      </c>
    </row>
    <row r="1809" spans="1:9">
      <c r="A1809" t="s">
        <v>6636</v>
      </c>
      <c r="B1809" t="s">
        <v>10</v>
      </c>
      <c r="C1809" t="s">
        <v>6637</v>
      </c>
      <c r="D1809" t="s">
        <v>6638</v>
      </c>
      <c r="E1809" t="s">
        <v>6533</v>
      </c>
      <c r="F1809" t="s">
        <v>28</v>
      </c>
      <c r="G1809" t="s">
        <v>6639</v>
      </c>
      <c r="H1809" t="s">
        <v>30</v>
      </c>
      <c r="I1809" t="b">
        <f>COUNTIF(Estadísticas!I:I,'centraldecomunicacion.es'!H1809)&gt;0</f>
        <v>0</v>
      </c>
    </row>
    <row r="1810" spans="1:9">
      <c r="A1810" t="s">
        <v>6640</v>
      </c>
      <c r="B1810" t="s">
        <v>10</v>
      </c>
      <c r="C1810" t="s">
        <v>6641</v>
      </c>
      <c r="D1810" t="s">
        <v>6634</v>
      </c>
      <c r="E1810" t="s">
        <v>6533</v>
      </c>
      <c r="F1810" t="s">
        <v>28</v>
      </c>
      <c r="G1810" t="s">
        <v>6642</v>
      </c>
      <c r="H1810" t="s">
        <v>30</v>
      </c>
      <c r="I1810" t="b">
        <f>COUNTIF(Estadísticas!I:I,'centraldecomunicacion.es'!H1810)&gt;0</f>
        <v>0</v>
      </c>
    </row>
    <row r="1811" spans="1:9">
      <c r="A1811" t="s">
        <v>6643</v>
      </c>
      <c r="B1811" t="s">
        <v>10</v>
      </c>
      <c r="C1811" t="s">
        <v>6644</v>
      </c>
      <c r="D1811" t="s">
        <v>6645</v>
      </c>
      <c r="E1811" t="s">
        <v>6533</v>
      </c>
      <c r="F1811" t="s">
        <v>28</v>
      </c>
      <c r="G1811" t="s">
        <v>6646</v>
      </c>
      <c r="H1811" t="s">
        <v>30</v>
      </c>
      <c r="I1811" t="b">
        <f>COUNTIF(Estadísticas!I:I,'centraldecomunicacion.es'!H1811)&gt;0</f>
        <v>0</v>
      </c>
    </row>
    <row r="1812" spans="1:9">
      <c r="A1812" t="s">
        <v>6647</v>
      </c>
      <c r="B1812" t="s">
        <v>10</v>
      </c>
      <c r="C1812" t="s">
        <v>6648</v>
      </c>
      <c r="D1812" t="s">
        <v>6649</v>
      </c>
      <c r="E1812" t="s">
        <v>6533</v>
      </c>
      <c r="F1812" t="s">
        <v>28</v>
      </c>
      <c r="G1812" t="s">
        <v>6650</v>
      </c>
      <c r="H1812" t="s">
        <v>30</v>
      </c>
      <c r="I1812" t="b">
        <f>COUNTIF(Estadísticas!I:I,'centraldecomunicacion.es'!H1812)&gt;0</f>
        <v>0</v>
      </c>
    </row>
    <row r="1813" spans="1:9">
      <c r="A1813" t="s">
        <v>6651</v>
      </c>
      <c r="B1813" t="s">
        <v>10</v>
      </c>
      <c r="C1813" t="s">
        <v>6652</v>
      </c>
      <c r="D1813" t="s">
        <v>6653</v>
      </c>
      <c r="E1813" t="s">
        <v>6533</v>
      </c>
      <c r="F1813" t="s">
        <v>28</v>
      </c>
      <c r="G1813" t="s">
        <v>6654</v>
      </c>
      <c r="H1813" t="s">
        <v>30</v>
      </c>
      <c r="I1813" t="b">
        <f>COUNTIF(Estadísticas!I:I,'centraldecomunicacion.es'!H1813)&gt;0</f>
        <v>0</v>
      </c>
    </row>
    <row r="1814" spans="1:9">
      <c r="A1814" t="s">
        <v>6655</v>
      </c>
      <c r="B1814" t="s">
        <v>10</v>
      </c>
      <c r="C1814" t="s">
        <v>6656</v>
      </c>
      <c r="D1814" t="s">
        <v>6657</v>
      </c>
      <c r="E1814" t="s">
        <v>6533</v>
      </c>
      <c r="F1814" t="s">
        <v>28</v>
      </c>
      <c r="G1814" t="s">
        <v>6658</v>
      </c>
      <c r="H1814" t="s">
        <v>30</v>
      </c>
      <c r="I1814" t="b">
        <f>COUNTIF(Estadísticas!I:I,'centraldecomunicacion.es'!H1814)&gt;0</f>
        <v>0</v>
      </c>
    </row>
    <row r="1815" spans="1:9">
      <c r="A1815" t="s">
        <v>10</v>
      </c>
      <c r="B1815" t="s">
        <v>10</v>
      </c>
      <c r="C1815" t="s">
        <v>6659</v>
      </c>
      <c r="D1815" t="s">
        <v>6660</v>
      </c>
      <c r="E1815" t="s">
        <v>6533</v>
      </c>
      <c r="F1815" t="s">
        <v>28</v>
      </c>
      <c r="G1815" t="s">
        <v>28</v>
      </c>
      <c r="H1815" t="s">
        <v>30</v>
      </c>
      <c r="I1815" t="b">
        <f>COUNTIF(Estadísticas!I:I,'centraldecomunicacion.es'!H1815)&gt;0</f>
        <v>0</v>
      </c>
    </row>
    <row r="1816" spans="1:9">
      <c r="A1816" t="s">
        <v>6661</v>
      </c>
      <c r="B1816" t="s">
        <v>10</v>
      </c>
      <c r="C1816" t="s">
        <v>6662</v>
      </c>
      <c r="D1816" t="s">
        <v>6657</v>
      </c>
      <c r="E1816" t="s">
        <v>6533</v>
      </c>
      <c r="F1816" t="s">
        <v>6663</v>
      </c>
      <c r="G1816" t="s">
        <v>6664</v>
      </c>
      <c r="H1816" t="s">
        <v>6665</v>
      </c>
      <c r="I1816" t="b">
        <f>COUNTIF(Estadísticas!I:I,'centraldecomunicacion.es'!H1816)&gt;0</f>
        <v>1</v>
      </c>
    </row>
    <row r="1817" spans="1:9">
      <c r="A1817" t="s">
        <v>1983</v>
      </c>
      <c r="B1817" t="s">
        <v>10</v>
      </c>
      <c r="C1817" t="s">
        <v>6666</v>
      </c>
      <c r="D1817" t="s">
        <v>6667</v>
      </c>
      <c r="E1817" t="s">
        <v>6533</v>
      </c>
      <c r="F1817" t="s">
        <v>6668</v>
      </c>
      <c r="G1817" t="s">
        <v>6669</v>
      </c>
      <c r="H1817" t="s">
        <v>30</v>
      </c>
      <c r="I1817" t="b">
        <f>COUNTIF(Estadísticas!I:I,'centraldecomunicacion.es'!H1817)&gt;0</f>
        <v>0</v>
      </c>
    </row>
    <row r="1818" spans="1:9">
      <c r="A1818" t="s">
        <v>6670</v>
      </c>
      <c r="B1818" t="s">
        <v>10</v>
      </c>
      <c r="C1818" t="s">
        <v>6671</v>
      </c>
      <c r="D1818" t="s">
        <v>6657</v>
      </c>
      <c r="E1818" t="s">
        <v>6533</v>
      </c>
      <c r="F1818" t="s">
        <v>28</v>
      </c>
      <c r="G1818" t="s">
        <v>6672</v>
      </c>
      <c r="H1818" t="s">
        <v>30</v>
      </c>
      <c r="I1818" t="b">
        <f>COUNTIF(Estadísticas!I:I,'centraldecomunicacion.es'!H1818)&gt;0</f>
        <v>0</v>
      </c>
    </row>
    <row r="1819" spans="1:9">
      <c r="A1819" t="s">
        <v>6673</v>
      </c>
      <c r="B1819" t="s">
        <v>10</v>
      </c>
      <c r="C1819" t="s">
        <v>6674</v>
      </c>
      <c r="D1819" t="s">
        <v>6649</v>
      </c>
      <c r="E1819" t="s">
        <v>6533</v>
      </c>
      <c r="F1819" t="s">
        <v>6675</v>
      </c>
      <c r="G1819" t="s">
        <v>6676</v>
      </c>
      <c r="H1819" t="s">
        <v>30</v>
      </c>
      <c r="I1819" t="b">
        <f>COUNTIF(Estadísticas!I:I,'centraldecomunicacion.es'!H1819)&gt;0</f>
        <v>0</v>
      </c>
    </row>
    <row r="1820" spans="1:9">
      <c r="A1820" t="s">
        <v>6677</v>
      </c>
      <c r="B1820" t="s">
        <v>10</v>
      </c>
      <c r="C1820" t="s">
        <v>6678</v>
      </c>
      <c r="D1820" t="s">
        <v>6679</v>
      </c>
      <c r="E1820" t="s">
        <v>6680</v>
      </c>
      <c r="F1820" t="s">
        <v>6681</v>
      </c>
      <c r="G1820" t="s">
        <v>6682</v>
      </c>
      <c r="H1820" t="s">
        <v>6683</v>
      </c>
      <c r="I1820" t="b">
        <f>COUNTIF(Estadísticas!I:I,'centraldecomunicacion.es'!H1820)&gt;0</f>
        <v>0</v>
      </c>
    </row>
    <row r="1821" spans="1:9">
      <c r="A1821" t="s">
        <v>6684</v>
      </c>
      <c r="B1821" t="s">
        <v>10</v>
      </c>
      <c r="C1821" t="s">
        <v>6685</v>
      </c>
      <c r="D1821" t="s">
        <v>6657</v>
      </c>
      <c r="E1821" t="s">
        <v>6533</v>
      </c>
      <c r="F1821" t="s">
        <v>746</v>
      </c>
      <c r="G1821" t="s">
        <v>6686</v>
      </c>
      <c r="H1821" t="s">
        <v>30</v>
      </c>
      <c r="I1821" t="b">
        <f>COUNTIF(Estadísticas!I:I,'centraldecomunicacion.es'!H1821)&gt;0</f>
        <v>0</v>
      </c>
    </row>
    <row r="1822" spans="1:9">
      <c r="A1822" t="s">
        <v>6687</v>
      </c>
      <c r="B1822" t="s">
        <v>10</v>
      </c>
      <c r="C1822" t="s">
        <v>6688</v>
      </c>
      <c r="D1822" t="s">
        <v>6689</v>
      </c>
      <c r="E1822" t="s">
        <v>6680</v>
      </c>
      <c r="F1822" t="s">
        <v>28</v>
      </c>
      <c r="G1822" t="s">
        <v>6690</v>
      </c>
      <c r="H1822" t="s">
        <v>30</v>
      </c>
      <c r="I1822" t="b">
        <f>COUNTIF(Estadísticas!I:I,'centraldecomunicacion.es'!H1822)&gt;0</f>
        <v>0</v>
      </c>
    </row>
    <row r="1823" spans="1:9">
      <c r="A1823" t="s">
        <v>6691</v>
      </c>
      <c r="B1823" t="s">
        <v>10</v>
      </c>
      <c r="C1823" t="s">
        <v>6692</v>
      </c>
      <c r="D1823" t="s">
        <v>6657</v>
      </c>
      <c r="E1823" t="s">
        <v>6533</v>
      </c>
      <c r="F1823" t="s">
        <v>28</v>
      </c>
      <c r="G1823" t="s">
        <v>6693</v>
      </c>
      <c r="H1823" t="s">
        <v>30</v>
      </c>
      <c r="I1823" t="b">
        <f>COUNTIF(Estadísticas!I:I,'centraldecomunicacion.es'!H1823)&gt;0</f>
        <v>0</v>
      </c>
    </row>
    <row r="1824" spans="1:9">
      <c r="A1824" t="s">
        <v>6694</v>
      </c>
      <c r="B1824" t="s">
        <v>10</v>
      </c>
      <c r="C1824" t="s">
        <v>6695</v>
      </c>
      <c r="D1824" t="s">
        <v>6696</v>
      </c>
      <c r="E1824" t="s">
        <v>6533</v>
      </c>
      <c r="F1824" t="s">
        <v>6697</v>
      </c>
      <c r="G1824" t="s">
        <v>6698</v>
      </c>
      <c r="H1824" t="s">
        <v>6699</v>
      </c>
      <c r="I1824" t="b">
        <f>COUNTIF(Estadísticas!I:I,'centraldecomunicacion.es'!H1824)&gt;0</f>
        <v>0</v>
      </c>
    </row>
    <row r="1825" spans="1:9">
      <c r="A1825" t="s">
        <v>5077</v>
      </c>
      <c r="B1825" t="s">
        <v>10</v>
      </c>
      <c r="C1825" t="s">
        <v>6700</v>
      </c>
      <c r="D1825" t="s">
        <v>6653</v>
      </c>
      <c r="E1825" t="s">
        <v>6533</v>
      </c>
      <c r="F1825" t="s">
        <v>6701</v>
      </c>
      <c r="G1825" t="s">
        <v>6702</v>
      </c>
      <c r="H1825" t="s">
        <v>30</v>
      </c>
      <c r="I1825" t="b">
        <f>COUNTIF(Estadísticas!I:I,'centraldecomunicacion.es'!H1825)&gt;0</f>
        <v>0</v>
      </c>
    </row>
    <row r="1826" spans="1:9">
      <c r="A1826" t="s">
        <v>6703</v>
      </c>
      <c r="B1826" t="s">
        <v>10</v>
      </c>
      <c r="C1826" t="s">
        <v>6704</v>
      </c>
      <c r="D1826" t="s">
        <v>6705</v>
      </c>
      <c r="E1826" t="s">
        <v>6533</v>
      </c>
      <c r="F1826" t="s">
        <v>28</v>
      </c>
      <c r="G1826" t="s">
        <v>6706</v>
      </c>
      <c r="H1826" t="s">
        <v>30</v>
      </c>
      <c r="I1826" t="b">
        <f>COUNTIF(Estadísticas!I:I,'centraldecomunicacion.es'!H1826)&gt;0</f>
        <v>0</v>
      </c>
    </row>
    <row r="1827" spans="1:9">
      <c r="A1827" t="s">
        <v>6707</v>
      </c>
      <c r="B1827" t="s">
        <v>10</v>
      </c>
      <c r="C1827" t="s">
        <v>6708</v>
      </c>
      <c r="D1827" t="s">
        <v>6696</v>
      </c>
      <c r="E1827" t="s">
        <v>6533</v>
      </c>
      <c r="F1827" t="s">
        <v>28</v>
      </c>
      <c r="G1827" t="s">
        <v>6709</v>
      </c>
      <c r="H1827" t="s">
        <v>30</v>
      </c>
      <c r="I1827" t="b">
        <f>COUNTIF(Estadísticas!I:I,'centraldecomunicacion.es'!H1827)&gt;0</f>
        <v>0</v>
      </c>
    </row>
    <row r="1828" spans="1:9">
      <c r="A1828" t="s">
        <v>6710</v>
      </c>
      <c r="B1828" t="s">
        <v>10</v>
      </c>
      <c r="C1828" t="s">
        <v>6711</v>
      </c>
      <c r="D1828" t="s">
        <v>6696</v>
      </c>
      <c r="E1828" t="s">
        <v>6533</v>
      </c>
      <c r="F1828" t="s">
        <v>28</v>
      </c>
      <c r="G1828" t="s">
        <v>6712</v>
      </c>
      <c r="H1828" t="s">
        <v>30</v>
      </c>
      <c r="I1828" t="b">
        <f>COUNTIF(Estadísticas!I:I,'centraldecomunicacion.es'!H1828)&gt;0</f>
        <v>0</v>
      </c>
    </row>
    <row r="1829" spans="1:9">
      <c r="A1829" t="s">
        <v>6713</v>
      </c>
      <c r="B1829" t="s">
        <v>10</v>
      </c>
      <c r="C1829" t="s">
        <v>6714</v>
      </c>
      <c r="D1829" t="s">
        <v>6705</v>
      </c>
      <c r="E1829" t="s">
        <v>6533</v>
      </c>
      <c r="F1829" t="s">
        <v>28</v>
      </c>
      <c r="G1829" t="s">
        <v>6715</v>
      </c>
      <c r="H1829" t="s">
        <v>30</v>
      </c>
      <c r="I1829" t="b">
        <f>COUNTIF(Estadísticas!I:I,'centraldecomunicacion.es'!H1829)&gt;0</f>
        <v>0</v>
      </c>
    </row>
    <row r="1830" spans="1:9">
      <c r="A1830" t="s">
        <v>6716</v>
      </c>
      <c r="B1830" t="s">
        <v>10</v>
      </c>
      <c r="C1830" t="s">
        <v>6717</v>
      </c>
      <c r="D1830" t="s">
        <v>6718</v>
      </c>
      <c r="E1830" t="s">
        <v>6533</v>
      </c>
      <c r="F1830" t="s">
        <v>28</v>
      </c>
      <c r="G1830" t="s">
        <v>28</v>
      </c>
      <c r="H1830" t="s">
        <v>30</v>
      </c>
      <c r="I1830" t="b">
        <f>COUNTIF(Estadísticas!I:I,'centraldecomunicacion.es'!H1830)&gt;0</f>
        <v>0</v>
      </c>
    </row>
    <row r="1831" spans="1:9">
      <c r="A1831" t="s">
        <v>5908</v>
      </c>
      <c r="B1831" t="s">
        <v>10</v>
      </c>
      <c r="C1831" t="s">
        <v>6719</v>
      </c>
      <c r="D1831" t="s">
        <v>6705</v>
      </c>
      <c r="E1831" t="s">
        <v>6533</v>
      </c>
      <c r="F1831" t="s">
        <v>6720</v>
      </c>
      <c r="G1831" t="s">
        <v>6721</v>
      </c>
      <c r="H1831" t="s">
        <v>1643</v>
      </c>
      <c r="I1831" t="b">
        <f>COUNTIF(Estadísticas!I:I,'centraldecomunicacion.es'!H1831)&gt;0</f>
        <v>0</v>
      </c>
    </row>
    <row r="1832" spans="1:9">
      <c r="A1832" t="s">
        <v>6722</v>
      </c>
      <c r="B1832" t="s">
        <v>10</v>
      </c>
      <c r="C1832" t="s">
        <v>6723</v>
      </c>
      <c r="D1832" t="s">
        <v>6689</v>
      </c>
      <c r="E1832" t="s">
        <v>6680</v>
      </c>
      <c r="F1832" t="s">
        <v>28</v>
      </c>
      <c r="G1832" t="s">
        <v>28</v>
      </c>
      <c r="H1832" t="s">
        <v>30</v>
      </c>
      <c r="I1832" t="b">
        <f>COUNTIF(Estadísticas!I:I,'centraldecomunicacion.es'!H1832)&gt;0</f>
        <v>0</v>
      </c>
    </row>
    <row r="1833" spans="1:9">
      <c r="A1833" t="s">
        <v>6724</v>
      </c>
      <c r="B1833" t="s">
        <v>10</v>
      </c>
      <c r="C1833" t="s">
        <v>6725</v>
      </c>
      <c r="D1833" t="s">
        <v>6705</v>
      </c>
      <c r="E1833" t="s">
        <v>6533</v>
      </c>
      <c r="F1833" t="s">
        <v>28</v>
      </c>
      <c r="G1833" t="s">
        <v>6726</v>
      </c>
      <c r="H1833" t="s">
        <v>30</v>
      </c>
      <c r="I1833" t="b">
        <f>COUNTIF(Estadísticas!I:I,'centraldecomunicacion.es'!H1833)&gt;0</f>
        <v>0</v>
      </c>
    </row>
    <row r="1834" spans="1:9">
      <c r="A1834" t="s">
        <v>6727</v>
      </c>
      <c r="B1834" t="s">
        <v>10</v>
      </c>
      <c r="C1834" t="s">
        <v>6728</v>
      </c>
      <c r="D1834" t="s">
        <v>6729</v>
      </c>
      <c r="E1834" t="s">
        <v>6533</v>
      </c>
      <c r="F1834" t="s">
        <v>6730</v>
      </c>
      <c r="G1834" t="s">
        <v>6731</v>
      </c>
      <c r="H1834" t="s">
        <v>6732</v>
      </c>
      <c r="I1834" t="b">
        <f>COUNTIF(Estadísticas!I:I,'centraldecomunicacion.es'!H1834)&gt;0</f>
        <v>0</v>
      </c>
    </row>
    <row r="1835" spans="1:9">
      <c r="A1835" t="s">
        <v>6733</v>
      </c>
      <c r="B1835" t="s">
        <v>10</v>
      </c>
      <c r="C1835" t="s">
        <v>6734</v>
      </c>
      <c r="D1835" t="s">
        <v>6729</v>
      </c>
      <c r="E1835" t="s">
        <v>6533</v>
      </c>
      <c r="F1835" t="s">
        <v>28</v>
      </c>
      <c r="G1835" t="s">
        <v>6735</v>
      </c>
      <c r="H1835" t="s">
        <v>30</v>
      </c>
      <c r="I1835" t="b">
        <f>COUNTIF(Estadísticas!I:I,'centraldecomunicacion.es'!H1835)&gt;0</f>
        <v>0</v>
      </c>
    </row>
    <row r="1836" spans="1:9">
      <c r="A1836" t="s">
        <v>6736</v>
      </c>
      <c r="B1836" t="s">
        <v>10</v>
      </c>
      <c r="C1836" t="s">
        <v>6737</v>
      </c>
      <c r="D1836" t="s">
        <v>6738</v>
      </c>
      <c r="E1836" t="s">
        <v>6533</v>
      </c>
      <c r="F1836" t="s">
        <v>50</v>
      </c>
      <c r="G1836" t="s">
        <v>6739</v>
      </c>
      <c r="H1836" t="s">
        <v>30</v>
      </c>
      <c r="I1836" t="b">
        <f>COUNTIF(Estadísticas!I:I,'centraldecomunicacion.es'!H1836)&gt;0</f>
        <v>0</v>
      </c>
    </row>
    <row r="1837" spans="1:9">
      <c r="A1837" t="s">
        <v>6740</v>
      </c>
      <c r="B1837" t="s">
        <v>10</v>
      </c>
      <c r="C1837" t="s">
        <v>6741</v>
      </c>
      <c r="D1837" t="s">
        <v>6742</v>
      </c>
      <c r="E1837" t="s">
        <v>6533</v>
      </c>
      <c r="F1837" t="s">
        <v>6743</v>
      </c>
      <c r="G1837" t="s">
        <v>6744</v>
      </c>
      <c r="H1837" t="s">
        <v>6745</v>
      </c>
      <c r="I1837" t="b">
        <f>COUNTIF(Estadísticas!I:I,'centraldecomunicacion.es'!H1837)&gt;0</f>
        <v>0</v>
      </c>
    </row>
    <row r="1838" spans="1:9">
      <c r="A1838" t="s">
        <v>6746</v>
      </c>
      <c r="B1838" t="s">
        <v>10</v>
      </c>
      <c r="C1838" t="s">
        <v>6747</v>
      </c>
      <c r="D1838" t="s">
        <v>6729</v>
      </c>
      <c r="E1838" t="s">
        <v>6533</v>
      </c>
      <c r="F1838" t="s">
        <v>28</v>
      </c>
      <c r="G1838" t="s">
        <v>6748</v>
      </c>
      <c r="H1838" t="s">
        <v>30</v>
      </c>
      <c r="I1838" t="b">
        <f>COUNTIF(Estadísticas!I:I,'centraldecomunicacion.es'!H1838)&gt;0</f>
        <v>0</v>
      </c>
    </row>
    <row r="1839" spans="1:9">
      <c r="A1839" t="s">
        <v>6749</v>
      </c>
      <c r="B1839" t="s">
        <v>10</v>
      </c>
      <c r="C1839" t="s">
        <v>6750</v>
      </c>
      <c r="D1839" t="s">
        <v>6696</v>
      </c>
      <c r="E1839" t="s">
        <v>6533</v>
      </c>
      <c r="F1839" t="s">
        <v>28</v>
      </c>
      <c r="G1839" t="s">
        <v>6751</v>
      </c>
      <c r="H1839" t="s">
        <v>30</v>
      </c>
      <c r="I1839" t="b">
        <f>COUNTIF(Estadísticas!I:I,'centraldecomunicacion.es'!H1839)&gt;0</f>
        <v>0</v>
      </c>
    </row>
    <row r="1840" spans="1:9">
      <c r="A1840" t="s">
        <v>6752</v>
      </c>
      <c r="B1840" t="s">
        <v>10</v>
      </c>
      <c r="C1840" t="s">
        <v>6753</v>
      </c>
      <c r="D1840" t="s">
        <v>6696</v>
      </c>
      <c r="E1840" t="s">
        <v>6533</v>
      </c>
      <c r="F1840" t="s">
        <v>28</v>
      </c>
      <c r="G1840" t="s">
        <v>6754</v>
      </c>
      <c r="H1840" t="s">
        <v>30</v>
      </c>
      <c r="I1840" t="b">
        <f>COUNTIF(Estadísticas!I:I,'centraldecomunicacion.es'!H1840)&gt;0</f>
        <v>0</v>
      </c>
    </row>
    <row r="1841" spans="1:9">
      <c r="A1841" t="s">
        <v>6755</v>
      </c>
      <c r="B1841" t="s">
        <v>10</v>
      </c>
      <c r="C1841" t="s">
        <v>6756</v>
      </c>
      <c r="D1841" t="s">
        <v>6705</v>
      </c>
      <c r="E1841" t="s">
        <v>6533</v>
      </c>
      <c r="F1841" t="s">
        <v>28</v>
      </c>
      <c r="G1841" t="s">
        <v>6757</v>
      </c>
      <c r="H1841" t="s">
        <v>30</v>
      </c>
      <c r="I1841" t="b">
        <f>COUNTIF(Estadísticas!I:I,'centraldecomunicacion.es'!H1841)&gt;0</f>
        <v>0</v>
      </c>
    </row>
    <row r="1842" spans="1:9">
      <c r="A1842" t="s">
        <v>6758</v>
      </c>
      <c r="B1842" t="s">
        <v>10</v>
      </c>
      <c r="C1842" t="s">
        <v>6759</v>
      </c>
      <c r="D1842" t="s">
        <v>6696</v>
      </c>
      <c r="E1842" t="s">
        <v>6533</v>
      </c>
      <c r="F1842" t="s">
        <v>6760</v>
      </c>
      <c r="G1842" t="s">
        <v>6761</v>
      </c>
      <c r="H1842" t="s">
        <v>30</v>
      </c>
      <c r="I1842" t="b">
        <f>COUNTIF(Estadísticas!I:I,'centraldecomunicacion.es'!H1842)&gt;0</f>
        <v>0</v>
      </c>
    </row>
    <row r="1843" spans="1:9">
      <c r="A1843" t="s">
        <v>6762</v>
      </c>
      <c r="B1843" t="s">
        <v>10</v>
      </c>
      <c r="C1843" t="s">
        <v>6763</v>
      </c>
      <c r="D1843" t="s">
        <v>6764</v>
      </c>
      <c r="E1843" t="s">
        <v>6533</v>
      </c>
      <c r="F1843" t="s">
        <v>6765</v>
      </c>
      <c r="G1843" t="s">
        <v>6766</v>
      </c>
      <c r="H1843" t="s">
        <v>6767</v>
      </c>
      <c r="I1843" t="b">
        <f>COUNTIF(Estadísticas!I:I,'centraldecomunicacion.es'!H1843)&gt;0</f>
        <v>0</v>
      </c>
    </row>
    <row r="1844" spans="1:9">
      <c r="A1844" t="s">
        <v>6768</v>
      </c>
      <c r="B1844" t="s">
        <v>10</v>
      </c>
      <c r="C1844" t="s">
        <v>6769</v>
      </c>
      <c r="D1844" t="s">
        <v>6770</v>
      </c>
      <c r="E1844" t="s">
        <v>6771</v>
      </c>
      <c r="F1844" t="s">
        <v>6772</v>
      </c>
      <c r="G1844" t="s">
        <v>6773</v>
      </c>
      <c r="H1844" t="s">
        <v>6774</v>
      </c>
      <c r="I1844" t="b">
        <f>COUNTIF(Estadísticas!I:I,'centraldecomunicacion.es'!H1844)&gt;0</f>
        <v>1</v>
      </c>
    </row>
    <row r="1845" spans="1:9">
      <c r="A1845" t="s">
        <v>6775</v>
      </c>
      <c r="B1845" t="s">
        <v>10</v>
      </c>
      <c r="C1845" t="s">
        <v>6776</v>
      </c>
      <c r="D1845" t="s">
        <v>6777</v>
      </c>
      <c r="E1845" t="s">
        <v>6771</v>
      </c>
      <c r="F1845" t="s">
        <v>6778</v>
      </c>
      <c r="G1845" t="s">
        <v>6779</v>
      </c>
      <c r="H1845" t="s">
        <v>30</v>
      </c>
      <c r="I1845" t="b">
        <f>COUNTIF(Estadísticas!I:I,'centraldecomunicacion.es'!H1845)&gt;0</f>
        <v>0</v>
      </c>
    </row>
    <row r="1846" spans="1:9">
      <c r="A1846" t="s">
        <v>6780</v>
      </c>
      <c r="B1846" t="s">
        <v>10</v>
      </c>
      <c r="C1846" t="s">
        <v>6781</v>
      </c>
      <c r="D1846" t="s">
        <v>1879</v>
      </c>
      <c r="E1846" t="s">
        <v>1879</v>
      </c>
      <c r="F1846" t="s">
        <v>28</v>
      </c>
      <c r="G1846" t="s">
        <v>6782</v>
      </c>
      <c r="H1846" t="s">
        <v>30</v>
      </c>
      <c r="I1846" t="b">
        <f>COUNTIF(Estadísticas!I:I,'centraldecomunicacion.es'!H1846)&gt;0</f>
        <v>0</v>
      </c>
    </row>
    <row r="1847" spans="1:9">
      <c r="A1847" t="s">
        <v>6783</v>
      </c>
      <c r="B1847" t="s">
        <v>10</v>
      </c>
      <c r="C1847" t="s">
        <v>6784</v>
      </c>
      <c r="D1847" t="s">
        <v>6785</v>
      </c>
      <c r="E1847" t="s">
        <v>6786</v>
      </c>
      <c r="F1847" t="s">
        <v>6787</v>
      </c>
      <c r="G1847" t="s">
        <v>6788</v>
      </c>
      <c r="H1847" t="s">
        <v>6789</v>
      </c>
      <c r="I1847" t="b">
        <f>COUNTIF(Estadísticas!I:I,'centraldecomunicacion.es'!H1847)&gt;0</f>
        <v>0</v>
      </c>
    </row>
    <row r="1848" spans="1:9">
      <c r="A1848" t="s">
        <v>6790</v>
      </c>
      <c r="B1848" t="s">
        <v>10</v>
      </c>
      <c r="C1848" t="s">
        <v>28</v>
      </c>
      <c r="D1848" t="s">
        <v>6791</v>
      </c>
      <c r="E1848" t="s">
        <v>28</v>
      </c>
      <c r="F1848" t="s">
        <v>28</v>
      </c>
      <c r="G1848" t="s">
        <v>6792</v>
      </c>
      <c r="H1848" t="s">
        <v>30</v>
      </c>
      <c r="I1848" t="b">
        <f>COUNTIF(Estadísticas!I:I,'centraldecomunicacion.es'!H1848)&gt;0</f>
        <v>0</v>
      </c>
    </row>
    <row r="1849" spans="1:9">
      <c r="A1849" t="s">
        <v>6793</v>
      </c>
      <c r="B1849" t="s">
        <v>10</v>
      </c>
      <c r="C1849" t="s">
        <v>28</v>
      </c>
      <c r="D1849" t="s">
        <v>6791</v>
      </c>
      <c r="E1849" t="s">
        <v>28</v>
      </c>
      <c r="F1849" t="s">
        <v>28</v>
      </c>
      <c r="G1849" t="s">
        <v>6794</v>
      </c>
      <c r="H1849" t="s">
        <v>30</v>
      </c>
      <c r="I1849" t="b">
        <f>COUNTIF(Estadísticas!I:I,'centraldecomunicacion.es'!H1849)&gt;0</f>
        <v>0</v>
      </c>
    </row>
    <row r="1850" spans="1:9">
      <c r="A1850" t="s">
        <v>6795</v>
      </c>
      <c r="B1850" t="s">
        <v>10</v>
      </c>
      <c r="C1850" t="s">
        <v>6796</v>
      </c>
      <c r="D1850" t="s">
        <v>6797</v>
      </c>
      <c r="E1850" t="s">
        <v>6798</v>
      </c>
      <c r="F1850" t="s">
        <v>6799</v>
      </c>
      <c r="G1850" t="s">
        <v>6800</v>
      </c>
      <c r="H1850" t="s">
        <v>30</v>
      </c>
      <c r="I1850" t="b">
        <f>COUNTIF(Estadísticas!I:I,'centraldecomunicacion.es'!H1850)&gt;0</f>
        <v>0</v>
      </c>
    </row>
    <row r="1851" spans="1:9">
      <c r="A1851" t="s">
        <v>6801</v>
      </c>
      <c r="B1851" t="s">
        <v>10</v>
      </c>
      <c r="C1851" t="s">
        <v>6802</v>
      </c>
      <c r="D1851" t="s">
        <v>6803</v>
      </c>
      <c r="E1851" t="s">
        <v>6680</v>
      </c>
      <c r="F1851" t="s">
        <v>28</v>
      </c>
      <c r="G1851" t="s">
        <v>6804</v>
      </c>
      <c r="H1851" t="s">
        <v>30</v>
      </c>
      <c r="I1851" t="b">
        <f>COUNTIF(Estadísticas!I:I,'centraldecomunicacion.es'!H1851)&gt;0</f>
        <v>0</v>
      </c>
    </row>
    <row r="1852" spans="1:9">
      <c r="A1852" t="s">
        <v>6805</v>
      </c>
      <c r="B1852" t="s">
        <v>10</v>
      </c>
      <c r="C1852" t="s">
        <v>6806</v>
      </c>
      <c r="D1852" t="s">
        <v>6807</v>
      </c>
      <c r="E1852" t="s">
        <v>6771</v>
      </c>
      <c r="F1852" t="s">
        <v>6808</v>
      </c>
      <c r="G1852" t="s">
        <v>6809</v>
      </c>
      <c r="H1852" t="s">
        <v>30</v>
      </c>
      <c r="I1852" t="b">
        <f>COUNTIF(Estadísticas!I:I,'centraldecomunicacion.es'!H1852)&gt;0</f>
        <v>0</v>
      </c>
    </row>
    <row r="1853" spans="1:9">
      <c r="A1853" t="s">
        <v>52</v>
      </c>
      <c r="B1853" t="s">
        <v>10</v>
      </c>
      <c r="C1853" t="s">
        <v>6810</v>
      </c>
      <c r="D1853" t="s">
        <v>6807</v>
      </c>
      <c r="E1853" t="s">
        <v>6771</v>
      </c>
      <c r="F1853" t="s">
        <v>6811</v>
      </c>
      <c r="G1853" t="s">
        <v>28</v>
      </c>
      <c r="H1853" t="s">
        <v>30</v>
      </c>
      <c r="I1853" t="b">
        <f>COUNTIF(Estadísticas!I:I,'centraldecomunicacion.es'!H1853)&gt;0</f>
        <v>0</v>
      </c>
    </row>
    <row r="1854" spans="1:9">
      <c r="A1854" t="s">
        <v>6812</v>
      </c>
      <c r="B1854" t="s">
        <v>10</v>
      </c>
      <c r="C1854" t="s">
        <v>6813</v>
      </c>
      <c r="D1854" t="s">
        <v>6807</v>
      </c>
      <c r="E1854" t="s">
        <v>6771</v>
      </c>
      <c r="F1854" t="s">
        <v>6814</v>
      </c>
      <c r="G1854" t="s">
        <v>6815</v>
      </c>
      <c r="H1854" t="s">
        <v>6816</v>
      </c>
      <c r="I1854" t="b">
        <f>COUNTIF(Estadísticas!I:I,'centraldecomunicacion.es'!H1854)&gt;0</f>
        <v>1</v>
      </c>
    </row>
    <row r="1855" spans="1:9">
      <c r="A1855" t="s">
        <v>6817</v>
      </c>
      <c r="B1855" t="s">
        <v>10</v>
      </c>
      <c r="C1855" t="s">
        <v>6818</v>
      </c>
      <c r="D1855" t="s">
        <v>6807</v>
      </c>
      <c r="E1855" t="s">
        <v>6771</v>
      </c>
      <c r="F1855" t="s">
        <v>6819</v>
      </c>
      <c r="G1855" t="s">
        <v>6820</v>
      </c>
      <c r="H1855" t="s">
        <v>6821</v>
      </c>
      <c r="I1855" t="b">
        <f>COUNTIF(Estadísticas!I:I,'centraldecomunicacion.es'!H1855)&gt;0</f>
        <v>0</v>
      </c>
    </row>
    <row r="1856" spans="1:9">
      <c r="A1856" t="s">
        <v>568</v>
      </c>
      <c r="B1856" t="s">
        <v>10</v>
      </c>
      <c r="C1856" t="s">
        <v>6822</v>
      </c>
      <c r="D1856" t="s">
        <v>6807</v>
      </c>
      <c r="E1856" t="s">
        <v>6771</v>
      </c>
      <c r="F1856" t="s">
        <v>28</v>
      </c>
      <c r="G1856" t="s">
        <v>6823</v>
      </c>
      <c r="H1856" t="s">
        <v>30</v>
      </c>
      <c r="I1856" t="b">
        <f>COUNTIF(Estadísticas!I:I,'centraldecomunicacion.es'!H1856)&gt;0</f>
        <v>0</v>
      </c>
    </row>
    <row r="1857" spans="1:9">
      <c r="A1857" t="s">
        <v>6824</v>
      </c>
      <c r="B1857" t="s">
        <v>10</v>
      </c>
      <c r="C1857" t="s">
        <v>6825</v>
      </c>
      <c r="D1857" t="s">
        <v>6807</v>
      </c>
      <c r="E1857" t="s">
        <v>6771</v>
      </c>
      <c r="F1857" t="s">
        <v>6826</v>
      </c>
      <c r="G1857" t="s">
        <v>6827</v>
      </c>
      <c r="H1857" t="s">
        <v>30</v>
      </c>
      <c r="I1857" t="b">
        <f>COUNTIF(Estadísticas!I:I,'centraldecomunicacion.es'!H1857)&gt;0</f>
        <v>0</v>
      </c>
    </row>
    <row r="1858" spans="1:9">
      <c r="A1858" t="s">
        <v>6828</v>
      </c>
      <c r="B1858" t="s">
        <v>10</v>
      </c>
      <c r="C1858" t="s">
        <v>6829</v>
      </c>
      <c r="D1858" t="s">
        <v>6807</v>
      </c>
      <c r="E1858" t="s">
        <v>6771</v>
      </c>
      <c r="F1858" t="s">
        <v>28</v>
      </c>
      <c r="G1858" t="s">
        <v>28</v>
      </c>
      <c r="H1858" t="s">
        <v>30</v>
      </c>
      <c r="I1858" t="b">
        <f>COUNTIF(Estadísticas!I:I,'centraldecomunicacion.es'!H1858)&gt;0</f>
        <v>0</v>
      </c>
    </row>
    <row r="1859" spans="1:9">
      <c r="A1859" t="s">
        <v>1278</v>
      </c>
      <c r="B1859" t="s">
        <v>10</v>
      </c>
      <c r="C1859" t="s">
        <v>6818</v>
      </c>
      <c r="D1859" t="s">
        <v>6807</v>
      </c>
      <c r="E1859" t="s">
        <v>6771</v>
      </c>
      <c r="F1859" t="s">
        <v>6830</v>
      </c>
      <c r="G1859" t="s">
        <v>6831</v>
      </c>
      <c r="H1859" t="s">
        <v>6832</v>
      </c>
      <c r="I1859" t="b">
        <f>COUNTIF(Estadísticas!I:I,'centraldecomunicacion.es'!H1859)&gt;0</f>
        <v>1</v>
      </c>
    </row>
    <row r="1860" spans="1:9">
      <c r="A1860" t="s">
        <v>6833</v>
      </c>
      <c r="B1860" t="s">
        <v>10</v>
      </c>
      <c r="C1860" t="s">
        <v>6834</v>
      </c>
      <c r="D1860" t="s">
        <v>6807</v>
      </c>
      <c r="E1860" t="s">
        <v>6771</v>
      </c>
      <c r="F1860" t="s">
        <v>38</v>
      </c>
      <c r="G1860" t="s">
        <v>6835</v>
      </c>
      <c r="H1860" t="s">
        <v>30</v>
      </c>
      <c r="I1860" t="b">
        <f>COUNTIF(Estadísticas!I:I,'centraldecomunicacion.es'!H1860)&gt;0</f>
        <v>0</v>
      </c>
    </row>
    <row r="1861" spans="1:9">
      <c r="A1861" t="s">
        <v>557</v>
      </c>
      <c r="B1861" t="s">
        <v>10</v>
      </c>
      <c r="C1861" t="s">
        <v>6836</v>
      </c>
      <c r="D1861" t="s">
        <v>6807</v>
      </c>
      <c r="E1861" t="s">
        <v>6771</v>
      </c>
      <c r="F1861" t="s">
        <v>559</v>
      </c>
      <c r="G1861" t="s">
        <v>6837</v>
      </c>
      <c r="H1861" t="s">
        <v>561</v>
      </c>
      <c r="I1861" t="b">
        <f>COUNTIF(Estadísticas!I:I,'centraldecomunicacion.es'!H1861)&gt;0</f>
        <v>0</v>
      </c>
    </row>
    <row r="1862" spans="1:9">
      <c r="A1862" t="s">
        <v>6838</v>
      </c>
      <c r="B1862" t="s">
        <v>10</v>
      </c>
      <c r="C1862" t="s">
        <v>6839</v>
      </c>
      <c r="D1862" t="s">
        <v>6807</v>
      </c>
      <c r="E1862" t="s">
        <v>6771</v>
      </c>
      <c r="F1862" t="s">
        <v>28</v>
      </c>
      <c r="G1862" t="s">
        <v>6840</v>
      </c>
      <c r="H1862" t="s">
        <v>30</v>
      </c>
      <c r="I1862" t="b">
        <f>COUNTIF(Estadísticas!I:I,'centraldecomunicacion.es'!H1862)&gt;0</f>
        <v>0</v>
      </c>
    </row>
    <row r="1863" spans="1:9">
      <c r="A1863" t="s">
        <v>6841</v>
      </c>
      <c r="B1863" t="s">
        <v>10</v>
      </c>
      <c r="C1863" t="s">
        <v>6842</v>
      </c>
      <c r="D1863" t="s">
        <v>6807</v>
      </c>
      <c r="E1863" t="s">
        <v>6771</v>
      </c>
      <c r="F1863" t="s">
        <v>28</v>
      </c>
      <c r="G1863" t="s">
        <v>6843</v>
      </c>
      <c r="H1863" t="s">
        <v>30</v>
      </c>
      <c r="I1863" t="b">
        <f>COUNTIF(Estadísticas!I:I,'centraldecomunicacion.es'!H1863)&gt;0</f>
        <v>0</v>
      </c>
    </row>
    <row r="1864" spans="1:9">
      <c r="A1864" t="s">
        <v>6844</v>
      </c>
      <c r="B1864" t="s">
        <v>10</v>
      </c>
      <c r="C1864" t="s">
        <v>6845</v>
      </c>
      <c r="D1864" t="s">
        <v>6807</v>
      </c>
      <c r="E1864" t="s">
        <v>6771</v>
      </c>
      <c r="F1864" t="s">
        <v>28</v>
      </c>
      <c r="G1864" t="s">
        <v>28</v>
      </c>
      <c r="H1864" t="s">
        <v>30</v>
      </c>
      <c r="I1864" t="b">
        <f>COUNTIF(Estadísticas!I:I,'centraldecomunicacion.es'!H1864)&gt;0</f>
        <v>0</v>
      </c>
    </row>
    <row r="1865" spans="1:9">
      <c r="A1865" t="s">
        <v>6846</v>
      </c>
      <c r="B1865" t="s">
        <v>10</v>
      </c>
      <c r="C1865" t="s">
        <v>6847</v>
      </c>
      <c r="D1865" t="s">
        <v>6848</v>
      </c>
      <c r="E1865" t="s">
        <v>6771</v>
      </c>
      <c r="F1865" t="s">
        <v>6849</v>
      </c>
      <c r="G1865" t="s">
        <v>6850</v>
      </c>
      <c r="H1865" t="s">
        <v>6851</v>
      </c>
      <c r="I1865" t="b">
        <f>COUNTIF(Estadísticas!I:I,'centraldecomunicacion.es'!H1865)&gt;0</f>
        <v>1</v>
      </c>
    </row>
    <row r="1866" spans="1:9">
      <c r="A1866" t="s">
        <v>6852</v>
      </c>
      <c r="B1866" t="s">
        <v>10</v>
      </c>
      <c r="C1866" t="s">
        <v>6853</v>
      </c>
      <c r="D1866" t="s">
        <v>6848</v>
      </c>
      <c r="E1866" t="s">
        <v>6771</v>
      </c>
      <c r="F1866" t="s">
        <v>28</v>
      </c>
      <c r="G1866" t="s">
        <v>6854</v>
      </c>
      <c r="H1866" t="s">
        <v>30</v>
      </c>
      <c r="I1866" t="b">
        <f>COUNTIF(Estadísticas!I:I,'centraldecomunicacion.es'!H1866)&gt;0</f>
        <v>0</v>
      </c>
    </row>
    <row r="1867" spans="1:9">
      <c r="A1867" t="s">
        <v>6855</v>
      </c>
      <c r="B1867" t="s">
        <v>10</v>
      </c>
      <c r="C1867" t="s">
        <v>6856</v>
      </c>
      <c r="D1867" t="s">
        <v>6848</v>
      </c>
      <c r="E1867" t="s">
        <v>6771</v>
      </c>
      <c r="F1867" t="s">
        <v>28</v>
      </c>
      <c r="G1867" t="s">
        <v>28</v>
      </c>
      <c r="H1867" t="s">
        <v>30</v>
      </c>
      <c r="I1867" t="b">
        <f>COUNTIF(Estadísticas!I:I,'centraldecomunicacion.es'!H1867)&gt;0</f>
        <v>0</v>
      </c>
    </row>
    <row r="1868" spans="1:9">
      <c r="A1868" t="s">
        <v>6857</v>
      </c>
      <c r="B1868" t="s">
        <v>10</v>
      </c>
      <c r="C1868" t="s">
        <v>6858</v>
      </c>
      <c r="D1868" t="s">
        <v>6807</v>
      </c>
      <c r="E1868" t="s">
        <v>6771</v>
      </c>
      <c r="F1868" t="s">
        <v>6819</v>
      </c>
      <c r="G1868" t="s">
        <v>6859</v>
      </c>
      <c r="H1868" t="s">
        <v>6821</v>
      </c>
      <c r="I1868" t="b">
        <f>COUNTIF(Estadísticas!I:I,'centraldecomunicacion.es'!H1868)&gt;0</f>
        <v>0</v>
      </c>
    </row>
    <row r="1869" spans="1:9">
      <c r="A1869" t="s">
        <v>6860</v>
      </c>
      <c r="B1869" t="s">
        <v>10</v>
      </c>
      <c r="C1869" t="s">
        <v>6861</v>
      </c>
      <c r="D1869" t="s">
        <v>6807</v>
      </c>
      <c r="E1869" t="s">
        <v>6807</v>
      </c>
      <c r="F1869" t="s">
        <v>28</v>
      </c>
      <c r="G1869" t="s">
        <v>6862</v>
      </c>
      <c r="H1869" t="s">
        <v>30</v>
      </c>
      <c r="I1869" t="b">
        <f>COUNTIF(Estadísticas!I:I,'centraldecomunicacion.es'!H1869)&gt;0</f>
        <v>0</v>
      </c>
    </row>
    <row r="1870" spans="1:9">
      <c r="A1870" t="s">
        <v>6863</v>
      </c>
      <c r="B1870" t="s">
        <v>10</v>
      </c>
      <c r="C1870" t="s">
        <v>6864</v>
      </c>
      <c r="D1870" t="s">
        <v>6865</v>
      </c>
      <c r="E1870" t="s">
        <v>6771</v>
      </c>
      <c r="F1870" t="s">
        <v>50</v>
      </c>
      <c r="G1870" t="s">
        <v>6866</v>
      </c>
      <c r="H1870" t="s">
        <v>30</v>
      </c>
      <c r="I1870" t="b">
        <f>COUNTIF(Estadísticas!I:I,'centraldecomunicacion.es'!H1870)&gt;0</f>
        <v>0</v>
      </c>
    </row>
    <row r="1871" spans="1:9">
      <c r="A1871" t="s">
        <v>6867</v>
      </c>
      <c r="B1871" t="s">
        <v>10</v>
      </c>
      <c r="C1871" t="s">
        <v>6868</v>
      </c>
      <c r="D1871" t="s">
        <v>6869</v>
      </c>
      <c r="E1871" t="s">
        <v>6771</v>
      </c>
      <c r="F1871" t="s">
        <v>6870</v>
      </c>
      <c r="G1871" t="s">
        <v>6871</v>
      </c>
      <c r="H1871" t="s">
        <v>6872</v>
      </c>
      <c r="I1871" t="b">
        <f>COUNTIF(Estadísticas!I:I,'centraldecomunicacion.es'!H1871)&gt;0</f>
        <v>0</v>
      </c>
    </row>
    <row r="1872" spans="1:9">
      <c r="A1872" t="s">
        <v>6873</v>
      </c>
      <c r="B1872" t="s">
        <v>10</v>
      </c>
      <c r="C1872" t="s">
        <v>6874</v>
      </c>
      <c r="D1872" t="s">
        <v>6875</v>
      </c>
      <c r="E1872" t="s">
        <v>6771</v>
      </c>
      <c r="F1872" t="s">
        <v>6876</v>
      </c>
      <c r="G1872" t="s">
        <v>6877</v>
      </c>
      <c r="H1872" t="s">
        <v>30</v>
      </c>
      <c r="I1872" t="b">
        <f>COUNTIF(Estadísticas!I:I,'centraldecomunicacion.es'!H1872)&gt;0</f>
        <v>0</v>
      </c>
    </row>
    <row r="1873" spans="1:9">
      <c r="A1873" t="s">
        <v>6878</v>
      </c>
      <c r="B1873" t="s">
        <v>10</v>
      </c>
      <c r="C1873" t="s">
        <v>6879</v>
      </c>
      <c r="D1873" t="s">
        <v>6880</v>
      </c>
      <c r="E1873" t="s">
        <v>6771</v>
      </c>
      <c r="F1873" t="s">
        <v>28</v>
      </c>
      <c r="G1873" t="s">
        <v>6881</v>
      </c>
      <c r="H1873" t="s">
        <v>30</v>
      </c>
      <c r="I1873" t="b">
        <f>COUNTIF(Estadísticas!I:I,'centraldecomunicacion.es'!H1873)&gt;0</f>
        <v>0</v>
      </c>
    </row>
    <row r="1874" spans="1:9">
      <c r="A1874" t="s">
        <v>6882</v>
      </c>
      <c r="B1874" t="s">
        <v>10</v>
      </c>
      <c r="C1874" t="s">
        <v>6883</v>
      </c>
      <c r="D1874" t="s">
        <v>6875</v>
      </c>
      <c r="E1874" t="s">
        <v>6771</v>
      </c>
      <c r="F1874" t="s">
        <v>28</v>
      </c>
      <c r="G1874" t="s">
        <v>28</v>
      </c>
      <c r="H1874" t="s">
        <v>30</v>
      </c>
      <c r="I1874" t="b">
        <f>COUNTIF(Estadísticas!I:I,'centraldecomunicacion.es'!H1874)&gt;0</f>
        <v>0</v>
      </c>
    </row>
    <row r="1875" spans="1:9">
      <c r="A1875" t="s">
        <v>6884</v>
      </c>
      <c r="B1875" t="s">
        <v>10</v>
      </c>
      <c r="C1875" t="s">
        <v>6885</v>
      </c>
      <c r="D1875" t="s">
        <v>6886</v>
      </c>
      <c r="E1875" t="s">
        <v>6771</v>
      </c>
      <c r="F1875" t="s">
        <v>28</v>
      </c>
      <c r="G1875" t="s">
        <v>6887</v>
      </c>
      <c r="H1875" t="s">
        <v>30</v>
      </c>
      <c r="I1875" t="b">
        <f>COUNTIF(Estadísticas!I:I,'centraldecomunicacion.es'!H1875)&gt;0</f>
        <v>0</v>
      </c>
    </row>
    <row r="1876" spans="1:9">
      <c r="A1876" t="s">
        <v>6888</v>
      </c>
      <c r="B1876" t="s">
        <v>10</v>
      </c>
      <c r="C1876" t="s">
        <v>6889</v>
      </c>
      <c r="D1876" t="s">
        <v>6890</v>
      </c>
      <c r="E1876" t="s">
        <v>6771</v>
      </c>
      <c r="F1876" t="s">
        <v>28</v>
      </c>
      <c r="G1876" t="s">
        <v>6891</v>
      </c>
      <c r="H1876" t="s">
        <v>30</v>
      </c>
      <c r="I1876" t="b">
        <f>COUNTIF(Estadísticas!I:I,'centraldecomunicacion.es'!H1876)&gt;0</f>
        <v>0</v>
      </c>
    </row>
    <row r="1877" spans="1:9">
      <c r="A1877" t="s">
        <v>6892</v>
      </c>
      <c r="B1877" t="s">
        <v>10</v>
      </c>
      <c r="C1877" t="s">
        <v>6893</v>
      </c>
      <c r="D1877" t="s">
        <v>6894</v>
      </c>
      <c r="E1877" t="s">
        <v>6771</v>
      </c>
      <c r="F1877" t="s">
        <v>28</v>
      </c>
      <c r="G1877" t="s">
        <v>6895</v>
      </c>
      <c r="H1877" t="s">
        <v>30</v>
      </c>
      <c r="I1877" t="b">
        <f>COUNTIF(Estadísticas!I:I,'centraldecomunicacion.es'!H1877)&gt;0</f>
        <v>0</v>
      </c>
    </row>
    <row r="1878" spans="1:9">
      <c r="A1878" t="s">
        <v>6896</v>
      </c>
      <c r="B1878" t="s">
        <v>10</v>
      </c>
      <c r="C1878" t="s">
        <v>6897</v>
      </c>
      <c r="D1878" t="s">
        <v>6880</v>
      </c>
      <c r="E1878" t="s">
        <v>6771</v>
      </c>
      <c r="F1878" t="s">
        <v>28</v>
      </c>
      <c r="G1878" t="s">
        <v>6898</v>
      </c>
      <c r="H1878" t="s">
        <v>30</v>
      </c>
      <c r="I1878" t="b">
        <f>COUNTIF(Estadísticas!I:I,'centraldecomunicacion.es'!H1878)&gt;0</f>
        <v>0</v>
      </c>
    </row>
    <row r="1879" spans="1:9">
      <c r="A1879" t="s">
        <v>6899</v>
      </c>
      <c r="B1879" t="s">
        <v>10</v>
      </c>
      <c r="C1879" t="s">
        <v>6900</v>
      </c>
      <c r="D1879" t="s">
        <v>6886</v>
      </c>
      <c r="E1879" t="s">
        <v>6771</v>
      </c>
      <c r="F1879" t="s">
        <v>6901</v>
      </c>
      <c r="G1879" t="s">
        <v>6902</v>
      </c>
      <c r="H1879" t="s">
        <v>6903</v>
      </c>
      <c r="I1879" t="b">
        <f>COUNTIF(Estadísticas!I:I,'centraldecomunicacion.es'!H1879)&gt;0</f>
        <v>1</v>
      </c>
    </row>
    <row r="1880" spans="1:9">
      <c r="A1880" t="s">
        <v>6904</v>
      </c>
      <c r="B1880" t="s">
        <v>10</v>
      </c>
      <c r="C1880" t="s">
        <v>6905</v>
      </c>
      <c r="D1880" t="s">
        <v>6906</v>
      </c>
      <c r="E1880" t="s">
        <v>6771</v>
      </c>
      <c r="F1880" t="s">
        <v>6907</v>
      </c>
      <c r="G1880" t="s">
        <v>6908</v>
      </c>
      <c r="H1880" t="s">
        <v>30</v>
      </c>
      <c r="I1880" t="b">
        <f>COUNTIF(Estadísticas!I:I,'centraldecomunicacion.es'!H1880)&gt;0</f>
        <v>0</v>
      </c>
    </row>
    <row r="1881" spans="1:9">
      <c r="A1881" t="s">
        <v>6909</v>
      </c>
      <c r="B1881" t="s">
        <v>10</v>
      </c>
      <c r="C1881" t="s">
        <v>6910</v>
      </c>
      <c r="D1881" t="s">
        <v>6906</v>
      </c>
      <c r="E1881" t="s">
        <v>6771</v>
      </c>
      <c r="F1881" t="s">
        <v>6911</v>
      </c>
      <c r="G1881" t="s">
        <v>6912</v>
      </c>
      <c r="H1881" t="s">
        <v>6913</v>
      </c>
      <c r="I1881" t="b">
        <f>COUNTIF(Estadísticas!I:I,'centraldecomunicacion.es'!H1881)&gt;0</f>
        <v>1</v>
      </c>
    </row>
    <row r="1882" spans="1:9">
      <c r="A1882" t="s">
        <v>6914</v>
      </c>
      <c r="B1882" t="s">
        <v>10</v>
      </c>
      <c r="C1882" t="s">
        <v>6915</v>
      </c>
      <c r="D1882" t="s">
        <v>6916</v>
      </c>
      <c r="E1882" t="s">
        <v>6771</v>
      </c>
      <c r="F1882" t="s">
        <v>28</v>
      </c>
      <c r="G1882" t="s">
        <v>6917</v>
      </c>
      <c r="H1882" t="s">
        <v>30</v>
      </c>
      <c r="I1882" t="b">
        <f>COUNTIF(Estadísticas!I:I,'centraldecomunicacion.es'!H1882)&gt;0</f>
        <v>0</v>
      </c>
    </row>
    <row r="1883" spans="1:9">
      <c r="A1883" t="s">
        <v>6918</v>
      </c>
      <c r="B1883" t="s">
        <v>10</v>
      </c>
      <c r="C1883" t="s">
        <v>6919</v>
      </c>
      <c r="D1883" t="s">
        <v>6906</v>
      </c>
      <c r="E1883" t="s">
        <v>6771</v>
      </c>
      <c r="F1883" t="s">
        <v>50</v>
      </c>
      <c r="G1883" t="s">
        <v>6920</v>
      </c>
      <c r="H1883" t="s">
        <v>30</v>
      </c>
      <c r="I1883" t="b">
        <f>COUNTIF(Estadísticas!I:I,'centraldecomunicacion.es'!H1883)&gt;0</f>
        <v>0</v>
      </c>
    </row>
    <row r="1884" spans="1:9">
      <c r="A1884" t="s">
        <v>26</v>
      </c>
      <c r="B1884" t="s">
        <v>10</v>
      </c>
      <c r="C1884" t="s">
        <v>6921</v>
      </c>
      <c r="D1884" t="s">
        <v>6890</v>
      </c>
      <c r="E1884" t="s">
        <v>6771</v>
      </c>
      <c r="F1884" t="s">
        <v>28</v>
      </c>
      <c r="G1884" t="s">
        <v>6922</v>
      </c>
      <c r="H1884" t="s">
        <v>30</v>
      </c>
      <c r="I1884" t="b">
        <f>COUNTIF(Estadísticas!I:I,'centraldecomunicacion.es'!H1884)&gt;0</f>
        <v>0</v>
      </c>
    </row>
    <row r="1885" spans="1:9">
      <c r="A1885" t="s">
        <v>6923</v>
      </c>
      <c r="B1885" t="s">
        <v>10</v>
      </c>
      <c r="C1885" t="s">
        <v>6924</v>
      </c>
      <c r="D1885" t="s">
        <v>6925</v>
      </c>
      <c r="E1885" t="s">
        <v>6771</v>
      </c>
      <c r="F1885" t="s">
        <v>28</v>
      </c>
      <c r="G1885" t="s">
        <v>6926</v>
      </c>
      <c r="H1885" t="s">
        <v>30</v>
      </c>
      <c r="I1885" t="b">
        <f>COUNTIF(Estadísticas!I:I,'centraldecomunicacion.es'!H1885)&gt;0</f>
        <v>0</v>
      </c>
    </row>
    <row r="1886" spans="1:9">
      <c r="A1886" t="s">
        <v>6927</v>
      </c>
      <c r="B1886" t="s">
        <v>10</v>
      </c>
      <c r="C1886" t="s">
        <v>6928</v>
      </c>
      <c r="D1886" t="s">
        <v>6929</v>
      </c>
      <c r="E1886" t="s">
        <v>6771</v>
      </c>
      <c r="F1886" t="s">
        <v>6930</v>
      </c>
      <c r="G1886" t="s">
        <v>6931</v>
      </c>
      <c r="H1886" t="s">
        <v>30</v>
      </c>
      <c r="I1886" t="b">
        <f>COUNTIF(Estadísticas!I:I,'centraldecomunicacion.es'!H1886)&gt;0</f>
        <v>0</v>
      </c>
    </row>
    <row r="1887" spans="1:9">
      <c r="A1887" t="s">
        <v>6932</v>
      </c>
      <c r="B1887" t="s">
        <v>10</v>
      </c>
      <c r="C1887" t="s">
        <v>6921</v>
      </c>
      <c r="D1887" t="s">
        <v>6890</v>
      </c>
      <c r="E1887" t="s">
        <v>6771</v>
      </c>
      <c r="F1887" t="s">
        <v>28</v>
      </c>
      <c r="G1887" t="s">
        <v>6933</v>
      </c>
      <c r="H1887" t="s">
        <v>30</v>
      </c>
      <c r="I1887" t="b">
        <f>COUNTIF(Estadísticas!I:I,'centraldecomunicacion.es'!H1887)&gt;0</f>
        <v>0</v>
      </c>
    </row>
    <row r="1888" spans="1:9">
      <c r="A1888" t="s">
        <v>6934</v>
      </c>
      <c r="B1888" t="s">
        <v>10</v>
      </c>
      <c r="C1888" t="s">
        <v>6935</v>
      </c>
      <c r="D1888" t="s">
        <v>6886</v>
      </c>
      <c r="E1888" t="s">
        <v>6771</v>
      </c>
      <c r="F1888" t="s">
        <v>28</v>
      </c>
      <c r="G1888" t="s">
        <v>28</v>
      </c>
      <c r="H1888" t="s">
        <v>30</v>
      </c>
      <c r="I1888" t="b">
        <f>COUNTIF(Estadísticas!I:I,'centraldecomunicacion.es'!H1888)&gt;0</f>
        <v>0</v>
      </c>
    </row>
    <row r="1889" spans="1:9">
      <c r="A1889" t="s">
        <v>6936</v>
      </c>
      <c r="B1889" t="s">
        <v>10</v>
      </c>
      <c r="C1889" t="s">
        <v>6937</v>
      </c>
      <c r="D1889" t="s">
        <v>6938</v>
      </c>
      <c r="E1889" t="s">
        <v>6771</v>
      </c>
      <c r="F1889" t="s">
        <v>28</v>
      </c>
      <c r="G1889" t="s">
        <v>6939</v>
      </c>
      <c r="H1889" t="s">
        <v>30</v>
      </c>
      <c r="I1889" t="b">
        <f>COUNTIF(Estadísticas!I:I,'centraldecomunicacion.es'!H1889)&gt;0</f>
        <v>0</v>
      </c>
    </row>
    <row r="1890" spans="1:9">
      <c r="A1890" t="s">
        <v>6940</v>
      </c>
      <c r="B1890" t="s">
        <v>10</v>
      </c>
      <c r="C1890" t="s">
        <v>6941</v>
      </c>
      <c r="D1890" t="s">
        <v>6938</v>
      </c>
      <c r="E1890" t="s">
        <v>6771</v>
      </c>
      <c r="F1890" t="s">
        <v>28</v>
      </c>
      <c r="G1890" t="s">
        <v>6942</v>
      </c>
      <c r="H1890" t="s">
        <v>30</v>
      </c>
      <c r="I1890" t="b">
        <f>COUNTIF(Estadísticas!I:I,'centraldecomunicacion.es'!H1890)&gt;0</f>
        <v>0</v>
      </c>
    </row>
    <row r="1891" spans="1:9">
      <c r="A1891" t="s">
        <v>6943</v>
      </c>
      <c r="B1891" t="s">
        <v>10</v>
      </c>
      <c r="C1891" t="s">
        <v>6944</v>
      </c>
      <c r="D1891" t="s">
        <v>6945</v>
      </c>
      <c r="E1891" t="s">
        <v>6771</v>
      </c>
      <c r="F1891" t="s">
        <v>28</v>
      </c>
      <c r="G1891" t="s">
        <v>6946</v>
      </c>
      <c r="H1891" t="s">
        <v>30</v>
      </c>
      <c r="I1891" t="b">
        <f>COUNTIF(Estadísticas!I:I,'centraldecomunicacion.es'!H1891)&gt;0</f>
        <v>0</v>
      </c>
    </row>
    <row r="1892" spans="1:9">
      <c r="A1892" t="s">
        <v>2441</v>
      </c>
      <c r="B1892" t="s">
        <v>10</v>
      </c>
      <c r="C1892" t="s">
        <v>6947</v>
      </c>
      <c r="D1892" t="s">
        <v>6906</v>
      </c>
      <c r="E1892" t="s">
        <v>6771</v>
      </c>
      <c r="F1892" t="s">
        <v>28</v>
      </c>
      <c r="G1892" t="s">
        <v>6948</v>
      </c>
      <c r="H1892" t="s">
        <v>30</v>
      </c>
      <c r="I1892" t="b">
        <f>COUNTIF(Estadísticas!I:I,'centraldecomunicacion.es'!H1892)&gt;0</f>
        <v>0</v>
      </c>
    </row>
    <row r="1893" spans="1:9">
      <c r="A1893" t="s">
        <v>6949</v>
      </c>
      <c r="B1893" t="s">
        <v>10</v>
      </c>
      <c r="C1893" t="s">
        <v>6950</v>
      </c>
      <c r="D1893" t="s">
        <v>6945</v>
      </c>
      <c r="E1893" t="s">
        <v>6771</v>
      </c>
      <c r="F1893" t="s">
        <v>28</v>
      </c>
      <c r="G1893" t="s">
        <v>6951</v>
      </c>
      <c r="H1893" t="s">
        <v>30</v>
      </c>
      <c r="I1893" t="b">
        <f>COUNTIF(Estadísticas!I:I,'centraldecomunicacion.es'!H1893)&gt;0</f>
        <v>0</v>
      </c>
    </row>
    <row r="1894" spans="1:9">
      <c r="A1894" t="s">
        <v>932</v>
      </c>
      <c r="B1894" t="s">
        <v>10</v>
      </c>
      <c r="C1894" t="s">
        <v>6952</v>
      </c>
      <c r="D1894" t="s">
        <v>6890</v>
      </c>
      <c r="E1894" t="s">
        <v>6771</v>
      </c>
      <c r="F1894" t="s">
        <v>28</v>
      </c>
      <c r="G1894" t="s">
        <v>6933</v>
      </c>
      <c r="H1894" t="s">
        <v>30</v>
      </c>
      <c r="I1894" t="b">
        <f>COUNTIF(Estadísticas!I:I,'centraldecomunicacion.es'!H1894)&gt;0</f>
        <v>0</v>
      </c>
    </row>
    <row r="1895" spans="1:9">
      <c r="A1895" t="s">
        <v>6953</v>
      </c>
      <c r="B1895" t="s">
        <v>10</v>
      </c>
      <c r="C1895" t="s">
        <v>6954</v>
      </c>
      <c r="D1895" t="s">
        <v>6945</v>
      </c>
      <c r="E1895" t="s">
        <v>6771</v>
      </c>
      <c r="F1895" t="s">
        <v>28</v>
      </c>
      <c r="G1895" t="s">
        <v>28</v>
      </c>
      <c r="H1895" t="s">
        <v>30</v>
      </c>
      <c r="I1895" t="b">
        <f>COUNTIF(Estadísticas!I:I,'centraldecomunicacion.es'!H1895)&gt;0</f>
        <v>0</v>
      </c>
    </row>
    <row r="1896" spans="1:9">
      <c r="A1896" t="s">
        <v>6955</v>
      </c>
      <c r="B1896" t="s">
        <v>10</v>
      </c>
      <c r="C1896" t="s">
        <v>6956</v>
      </c>
      <c r="D1896" t="s">
        <v>6929</v>
      </c>
      <c r="E1896" t="s">
        <v>6771</v>
      </c>
      <c r="F1896" t="s">
        <v>28</v>
      </c>
      <c r="G1896" t="s">
        <v>6957</v>
      </c>
      <c r="H1896" t="s">
        <v>30</v>
      </c>
      <c r="I1896" t="b">
        <f>COUNTIF(Estadísticas!I:I,'centraldecomunicacion.es'!H1896)&gt;0</f>
        <v>0</v>
      </c>
    </row>
    <row r="1897" spans="1:9">
      <c r="A1897" t="s">
        <v>6958</v>
      </c>
      <c r="B1897" t="s">
        <v>10</v>
      </c>
      <c r="C1897" t="s">
        <v>6959</v>
      </c>
      <c r="D1897" t="s">
        <v>6960</v>
      </c>
      <c r="E1897" t="s">
        <v>6771</v>
      </c>
      <c r="F1897" t="s">
        <v>28</v>
      </c>
      <c r="G1897" t="s">
        <v>6961</v>
      </c>
      <c r="H1897" t="s">
        <v>30</v>
      </c>
      <c r="I1897" t="b">
        <f>COUNTIF(Estadísticas!I:I,'centraldecomunicacion.es'!H1897)&gt;0</f>
        <v>0</v>
      </c>
    </row>
    <row r="1898" spans="1:9">
      <c r="A1898" t="s">
        <v>6962</v>
      </c>
      <c r="B1898" t="s">
        <v>10</v>
      </c>
      <c r="C1898" t="s">
        <v>6963</v>
      </c>
      <c r="D1898" t="s">
        <v>6964</v>
      </c>
      <c r="E1898" t="s">
        <v>6771</v>
      </c>
      <c r="F1898" t="s">
        <v>6965</v>
      </c>
      <c r="G1898" t="s">
        <v>6966</v>
      </c>
      <c r="H1898" t="s">
        <v>30</v>
      </c>
      <c r="I1898" t="b">
        <f>COUNTIF(Estadísticas!I:I,'centraldecomunicacion.es'!H1898)&gt;0</f>
        <v>0</v>
      </c>
    </row>
    <row r="1899" spans="1:9">
      <c r="A1899" t="s">
        <v>6967</v>
      </c>
      <c r="B1899" t="s">
        <v>10</v>
      </c>
      <c r="C1899" t="s">
        <v>6968</v>
      </c>
      <c r="D1899" t="s">
        <v>6969</v>
      </c>
      <c r="E1899" t="s">
        <v>6771</v>
      </c>
      <c r="F1899" t="s">
        <v>6970</v>
      </c>
      <c r="G1899" t="s">
        <v>6971</v>
      </c>
      <c r="H1899" t="s">
        <v>6972</v>
      </c>
      <c r="I1899" t="b">
        <f>COUNTIF(Estadísticas!I:I,'centraldecomunicacion.es'!H1899)&gt;0</f>
        <v>1</v>
      </c>
    </row>
    <row r="1900" spans="1:9">
      <c r="A1900" t="s">
        <v>6973</v>
      </c>
      <c r="B1900" t="s">
        <v>10</v>
      </c>
      <c r="C1900" t="s">
        <v>6974</v>
      </c>
      <c r="D1900" t="s">
        <v>6975</v>
      </c>
      <c r="E1900" t="s">
        <v>6771</v>
      </c>
      <c r="F1900" t="s">
        <v>28</v>
      </c>
      <c r="G1900" t="s">
        <v>6976</v>
      </c>
      <c r="H1900" t="s">
        <v>30</v>
      </c>
      <c r="I1900" t="b">
        <f>COUNTIF(Estadísticas!I:I,'centraldecomunicacion.es'!H1900)&gt;0</f>
        <v>0</v>
      </c>
    </row>
    <row r="1901" spans="1:9">
      <c r="A1901" t="s">
        <v>6967</v>
      </c>
      <c r="B1901" t="s">
        <v>10</v>
      </c>
      <c r="C1901" t="s">
        <v>6977</v>
      </c>
      <c r="D1901" t="s">
        <v>6978</v>
      </c>
      <c r="E1901" t="s">
        <v>6771</v>
      </c>
      <c r="F1901" t="s">
        <v>6970</v>
      </c>
      <c r="G1901" t="s">
        <v>6979</v>
      </c>
      <c r="H1901" t="s">
        <v>6972</v>
      </c>
      <c r="I1901" t="b">
        <f>COUNTIF(Estadísticas!I:I,'centraldecomunicacion.es'!H1901)&gt;0</f>
        <v>1</v>
      </c>
    </row>
    <row r="1902" spans="1:9">
      <c r="A1902" t="s">
        <v>6980</v>
      </c>
      <c r="B1902" t="s">
        <v>10</v>
      </c>
      <c r="C1902" t="s">
        <v>6981</v>
      </c>
      <c r="D1902" t="s">
        <v>6906</v>
      </c>
      <c r="E1902" t="s">
        <v>6771</v>
      </c>
      <c r="F1902" t="s">
        <v>28</v>
      </c>
      <c r="G1902" t="s">
        <v>6982</v>
      </c>
      <c r="H1902" t="s">
        <v>30</v>
      </c>
      <c r="I1902" t="b">
        <f>COUNTIF(Estadísticas!I:I,'centraldecomunicacion.es'!H1902)&gt;0</f>
        <v>0</v>
      </c>
    </row>
    <row r="1903" spans="1:9">
      <c r="A1903" t="s">
        <v>2616</v>
      </c>
      <c r="B1903" t="s">
        <v>10</v>
      </c>
      <c r="C1903" t="s">
        <v>6983</v>
      </c>
      <c r="D1903" t="s">
        <v>6978</v>
      </c>
      <c r="E1903" t="s">
        <v>6771</v>
      </c>
      <c r="F1903" t="s">
        <v>6984</v>
      </c>
      <c r="G1903" t="s">
        <v>6985</v>
      </c>
      <c r="H1903" t="s">
        <v>6986</v>
      </c>
      <c r="I1903" t="b">
        <f>COUNTIF(Estadísticas!I:I,'centraldecomunicacion.es'!H1903)&gt;0</f>
        <v>0</v>
      </c>
    </row>
    <row r="1904" spans="1:9">
      <c r="A1904" t="s">
        <v>6987</v>
      </c>
      <c r="B1904" t="s">
        <v>10</v>
      </c>
      <c r="C1904" t="s">
        <v>6988</v>
      </c>
      <c r="D1904" t="s">
        <v>6960</v>
      </c>
      <c r="E1904" t="s">
        <v>6771</v>
      </c>
      <c r="F1904" t="s">
        <v>28</v>
      </c>
      <c r="G1904" t="s">
        <v>6989</v>
      </c>
      <c r="H1904" t="s">
        <v>30</v>
      </c>
      <c r="I1904" t="b">
        <f>COUNTIF(Estadísticas!I:I,'centraldecomunicacion.es'!H1904)&gt;0</f>
        <v>0</v>
      </c>
    </row>
    <row r="1905" spans="1:9">
      <c r="A1905" t="s">
        <v>3130</v>
      </c>
      <c r="B1905" t="s">
        <v>10</v>
      </c>
      <c r="C1905" t="s">
        <v>6990</v>
      </c>
      <c r="D1905" t="s">
        <v>6991</v>
      </c>
      <c r="E1905" t="s">
        <v>6771</v>
      </c>
      <c r="F1905" t="s">
        <v>28</v>
      </c>
      <c r="G1905" t="s">
        <v>6992</v>
      </c>
      <c r="H1905" t="s">
        <v>30</v>
      </c>
      <c r="I1905" t="b">
        <f>COUNTIF(Estadísticas!I:I,'centraldecomunicacion.es'!H1905)&gt;0</f>
        <v>0</v>
      </c>
    </row>
    <row r="1906" spans="1:9">
      <c r="A1906" t="s">
        <v>6993</v>
      </c>
      <c r="B1906" t="s">
        <v>10</v>
      </c>
      <c r="C1906" t="s">
        <v>6994</v>
      </c>
      <c r="D1906" t="s">
        <v>6964</v>
      </c>
      <c r="E1906" t="s">
        <v>6771</v>
      </c>
      <c r="F1906" t="s">
        <v>28</v>
      </c>
      <c r="G1906" t="s">
        <v>6995</v>
      </c>
      <c r="H1906" t="s">
        <v>30</v>
      </c>
      <c r="I1906" t="b">
        <f>COUNTIF(Estadísticas!I:I,'centraldecomunicacion.es'!H1906)&gt;0</f>
        <v>0</v>
      </c>
    </row>
    <row r="1907" spans="1:9">
      <c r="A1907" t="s">
        <v>6996</v>
      </c>
      <c r="B1907" t="s">
        <v>10</v>
      </c>
      <c r="C1907" t="s">
        <v>6997</v>
      </c>
      <c r="D1907" t="s">
        <v>6978</v>
      </c>
      <c r="E1907" t="s">
        <v>6771</v>
      </c>
      <c r="F1907" t="s">
        <v>28</v>
      </c>
      <c r="G1907" t="s">
        <v>6998</v>
      </c>
      <c r="H1907" t="s">
        <v>30</v>
      </c>
      <c r="I1907" t="b">
        <f>COUNTIF(Estadísticas!I:I,'centraldecomunicacion.es'!H1907)&gt;0</f>
        <v>0</v>
      </c>
    </row>
    <row r="1908" spans="1:9">
      <c r="A1908" t="s">
        <v>6999</v>
      </c>
      <c r="B1908" t="s">
        <v>10</v>
      </c>
      <c r="C1908" t="s">
        <v>6983</v>
      </c>
      <c r="D1908" t="s">
        <v>6978</v>
      </c>
      <c r="E1908" t="s">
        <v>6771</v>
      </c>
      <c r="F1908" t="s">
        <v>28</v>
      </c>
      <c r="G1908" t="s">
        <v>7000</v>
      </c>
      <c r="H1908" t="s">
        <v>30</v>
      </c>
      <c r="I1908" t="b">
        <f>COUNTIF(Estadísticas!I:I,'centraldecomunicacion.es'!H1908)&gt;0</f>
        <v>0</v>
      </c>
    </row>
    <row r="1909" spans="1:9">
      <c r="A1909" t="s">
        <v>7001</v>
      </c>
      <c r="B1909" t="s">
        <v>10</v>
      </c>
      <c r="C1909" t="s">
        <v>7002</v>
      </c>
      <c r="D1909" t="s">
        <v>6991</v>
      </c>
      <c r="E1909" t="s">
        <v>6771</v>
      </c>
      <c r="F1909" t="s">
        <v>28</v>
      </c>
      <c r="G1909" t="s">
        <v>7003</v>
      </c>
      <c r="H1909" t="s">
        <v>30</v>
      </c>
      <c r="I1909" t="b">
        <f>COUNTIF(Estadísticas!I:I,'centraldecomunicacion.es'!H1909)&gt;0</f>
        <v>0</v>
      </c>
    </row>
    <row r="1910" spans="1:9">
      <c r="A1910" t="s">
        <v>7004</v>
      </c>
      <c r="B1910" t="s">
        <v>10</v>
      </c>
      <c r="C1910" t="s">
        <v>7005</v>
      </c>
      <c r="D1910" t="s">
        <v>6945</v>
      </c>
      <c r="E1910" t="s">
        <v>6771</v>
      </c>
      <c r="F1910" t="s">
        <v>28</v>
      </c>
      <c r="G1910" t="s">
        <v>28</v>
      </c>
      <c r="H1910" t="s">
        <v>30</v>
      </c>
      <c r="I1910" t="b">
        <f>COUNTIF(Estadísticas!I:I,'centraldecomunicacion.es'!H1910)&gt;0</f>
        <v>0</v>
      </c>
    </row>
    <row r="1911" spans="1:9">
      <c r="A1911" t="s">
        <v>7006</v>
      </c>
      <c r="B1911" t="s">
        <v>10</v>
      </c>
      <c r="C1911" t="s">
        <v>7007</v>
      </c>
      <c r="D1911" t="s">
        <v>6978</v>
      </c>
      <c r="E1911" t="s">
        <v>6771</v>
      </c>
      <c r="F1911" t="s">
        <v>28</v>
      </c>
      <c r="G1911" t="s">
        <v>7008</v>
      </c>
      <c r="H1911" t="s">
        <v>30</v>
      </c>
      <c r="I1911" t="b">
        <f>COUNTIF(Estadísticas!I:I,'centraldecomunicacion.es'!H1911)&gt;0</f>
        <v>0</v>
      </c>
    </row>
    <row r="1912" spans="1:9">
      <c r="A1912" t="s">
        <v>7009</v>
      </c>
      <c r="B1912" t="s">
        <v>10</v>
      </c>
      <c r="C1912" t="s">
        <v>7010</v>
      </c>
      <c r="D1912" t="s">
        <v>6960</v>
      </c>
      <c r="E1912" t="s">
        <v>6771</v>
      </c>
      <c r="F1912" t="s">
        <v>38</v>
      </c>
      <c r="G1912" t="s">
        <v>7011</v>
      </c>
      <c r="H1912" t="s">
        <v>30</v>
      </c>
      <c r="I1912" t="b">
        <f>COUNTIF(Estadísticas!I:I,'centraldecomunicacion.es'!H1912)&gt;0</f>
        <v>0</v>
      </c>
    </row>
    <row r="1913" spans="1:9">
      <c r="A1913" t="s">
        <v>7012</v>
      </c>
      <c r="B1913" t="s">
        <v>10</v>
      </c>
      <c r="C1913" t="s">
        <v>7013</v>
      </c>
      <c r="D1913" t="s">
        <v>7014</v>
      </c>
      <c r="E1913" t="s">
        <v>6771</v>
      </c>
      <c r="F1913" t="s">
        <v>28</v>
      </c>
      <c r="G1913" t="s">
        <v>7015</v>
      </c>
      <c r="H1913" t="s">
        <v>30</v>
      </c>
      <c r="I1913" t="b">
        <f>COUNTIF(Estadísticas!I:I,'centraldecomunicacion.es'!H1913)&gt;0</f>
        <v>0</v>
      </c>
    </row>
    <row r="1914" spans="1:9">
      <c r="A1914" t="s">
        <v>7016</v>
      </c>
      <c r="B1914" t="s">
        <v>10</v>
      </c>
      <c r="C1914" t="s">
        <v>7017</v>
      </c>
      <c r="D1914" t="s">
        <v>7018</v>
      </c>
      <c r="E1914" t="s">
        <v>6771</v>
      </c>
      <c r="F1914" t="s">
        <v>7019</v>
      </c>
      <c r="G1914" t="s">
        <v>7020</v>
      </c>
      <c r="H1914" t="s">
        <v>30</v>
      </c>
      <c r="I1914" t="b">
        <f>COUNTIF(Estadísticas!I:I,'centraldecomunicacion.es'!H1914)&gt;0</f>
        <v>0</v>
      </c>
    </row>
    <row r="1915" spans="1:9">
      <c r="A1915" t="s">
        <v>7021</v>
      </c>
      <c r="B1915" t="s">
        <v>10</v>
      </c>
      <c r="C1915" t="s">
        <v>7022</v>
      </c>
      <c r="D1915" t="s">
        <v>7023</v>
      </c>
      <c r="E1915" t="s">
        <v>6771</v>
      </c>
      <c r="F1915" t="s">
        <v>746</v>
      </c>
      <c r="G1915" t="s">
        <v>7024</v>
      </c>
      <c r="H1915" t="s">
        <v>30</v>
      </c>
      <c r="I1915" t="b">
        <f>COUNTIF(Estadísticas!I:I,'centraldecomunicacion.es'!H1915)&gt;0</f>
        <v>0</v>
      </c>
    </row>
    <row r="1916" spans="1:9">
      <c r="A1916" t="s">
        <v>7025</v>
      </c>
      <c r="B1916" t="s">
        <v>10</v>
      </c>
      <c r="C1916" t="s">
        <v>7026</v>
      </c>
      <c r="D1916" t="s">
        <v>6960</v>
      </c>
      <c r="E1916" t="s">
        <v>6771</v>
      </c>
      <c r="F1916" t="s">
        <v>87</v>
      </c>
      <c r="G1916" t="s">
        <v>7027</v>
      </c>
      <c r="H1916" t="s">
        <v>30</v>
      </c>
      <c r="I1916" t="b">
        <f>COUNTIF(Estadísticas!I:I,'centraldecomunicacion.es'!H1916)&gt;0</f>
        <v>0</v>
      </c>
    </row>
    <row r="1917" spans="1:9">
      <c r="A1917" t="s">
        <v>7028</v>
      </c>
      <c r="B1917" t="s">
        <v>10</v>
      </c>
      <c r="C1917" t="s">
        <v>7029</v>
      </c>
      <c r="D1917" t="s">
        <v>7018</v>
      </c>
      <c r="E1917" t="s">
        <v>6771</v>
      </c>
      <c r="F1917" t="s">
        <v>7030</v>
      </c>
      <c r="G1917" t="s">
        <v>7031</v>
      </c>
      <c r="H1917" t="s">
        <v>30</v>
      </c>
      <c r="I1917" t="b">
        <f>COUNTIF(Estadísticas!I:I,'centraldecomunicacion.es'!H1917)&gt;0</f>
        <v>0</v>
      </c>
    </row>
    <row r="1918" spans="1:9">
      <c r="A1918" t="s">
        <v>7032</v>
      </c>
      <c r="B1918" t="s">
        <v>10</v>
      </c>
      <c r="C1918" t="s">
        <v>7033</v>
      </c>
      <c r="D1918" t="s">
        <v>7014</v>
      </c>
      <c r="E1918" t="s">
        <v>6771</v>
      </c>
      <c r="F1918" t="s">
        <v>28</v>
      </c>
      <c r="G1918" t="s">
        <v>7034</v>
      </c>
      <c r="H1918" t="s">
        <v>30</v>
      </c>
      <c r="I1918" t="b">
        <f>COUNTIF(Estadísticas!I:I,'centraldecomunicacion.es'!H1918)&gt;0</f>
        <v>0</v>
      </c>
    </row>
    <row r="1919" spans="1:9">
      <c r="A1919" t="s">
        <v>7035</v>
      </c>
      <c r="B1919" t="s">
        <v>10</v>
      </c>
      <c r="C1919" t="s">
        <v>7036</v>
      </c>
      <c r="D1919" t="s">
        <v>6978</v>
      </c>
      <c r="E1919" t="s">
        <v>6771</v>
      </c>
      <c r="F1919" t="s">
        <v>7037</v>
      </c>
      <c r="G1919" t="s">
        <v>7038</v>
      </c>
      <c r="H1919" t="s">
        <v>30</v>
      </c>
      <c r="I1919" t="b">
        <f>COUNTIF(Estadísticas!I:I,'centraldecomunicacion.es'!H1919)&gt;0</f>
        <v>0</v>
      </c>
    </row>
    <row r="1920" spans="1:9">
      <c r="A1920" t="s">
        <v>7039</v>
      </c>
      <c r="B1920" t="s">
        <v>10</v>
      </c>
      <c r="C1920" t="s">
        <v>7040</v>
      </c>
      <c r="D1920" t="s">
        <v>7014</v>
      </c>
      <c r="E1920" t="s">
        <v>6771</v>
      </c>
      <c r="F1920" t="s">
        <v>7041</v>
      </c>
      <c r="G1920" t="s">
        <v>7042</v>
      </c>
      <c r="H1920" t="s">
        <v>7043</v>
      </c>
      <c r="I1920" t="b">
        <f>COUNTIF(Estadísticas!I:I,'centraldecomunicacion.es'!H1920)&gt;0</f>
        <v>0</v>
      </c>
    </row>
    <row r="1921" spans="1:9">
      <c r="A1921" t="s">
        <v>1644</v>
      </c>
      <c r="B1921" t="s">
        <v>10</v>
      </c>
      <c r="C1921" t="s">
        <v>7044</v>
      </c>
      <c r="D1921" t="s">
        <v>6991</v>
      </c>
      <c r="E1921" t="s">
        <v>6771</v>
      </c>
      <c r="F1921" t="s">
        <v>38</v>
      </c>
      <c r="G1921" t="s">
        <v>7045</v>
      </c>
      <c r="H1921" t="s">
        <v>30</v>
      </c>
      <c r="I1921" t="b">
        <f>COUNTIF(Estadísticas!I:I,'centraldecomunicacion.es'!H1921)&gt;0</f>
        <v>0</v>
      </c>
    </row>
    <row r="1922" spans="1:9">
      <c r="A1922" t="s">
        <v>7046</v>
      </c>
      <c r="B1922" t="s">
        <v>10</v>
      </c>
      <c r="C1922" t="s">
        <v>7047</v>
      </c>
      <c r="D1922" t="s">
        <v>6978</v>
      </c>
      <c r="E1922" t="s">
        <v>6771</v>
      </c>
      <c r="F1922" t="s">
        <v>6970</v>
      </c>
      <c r="G1922" t="s">
        <v>6998</v>
      </c>
      <c r="H1922" t="s">
        <v>6972</v>
      </c>
      <c r="I1922" t="b">
        <f>COUNTIF(Estadísticas!I:I,'centraldecomunicacion.es'!H1922)&gt;0</f>
        <v>1</v>
      </c>
    </row>
    <row r="1923" spans="1:9">
      <c r="A1923" t="s">
        <v>7048</v>
      </c>
      <c r="B1923" t="s">
        <v>10</v>
      </c>
      <c r="C1923" t="s">
        <v>7049</v>
      </c>
      <c r="D1923" t="s">
        <v>7018</v>
      </c>
      <c r="E1923" t="s">
        <v>6771</v>
      </c>
      <c r="F1923" t="s">
        <v>7050</v>
      </c>
      <c r="G1923" t="s">
        <v>7051</v>
      </c>
      <c r="H1923" t="s">
        <v>30</v>
      </c>
      <c r="I1923" t="b">
        <f>COUNTIF(Estadísticas!I:I,'centraldecomunicacion.es'!H1923)&gt;0</f>
        <v>0</v>
      </c>
    </row>
    <row r="1924" spans="1:9">
      <c r="A1924" t="s">
        <v>7052</v>
      </c>
      <c r="B1924" t="s">
        <v>10</v>
      </c>
      <c r="C1924" t="s">
        <v>7053</v>
      </c>
      <c r="D1924" t="s">
        <v>7018</v>
      </c>
      <c r="E1924" t="s">
        <v>6771</v>
      </c>
      <c r="F1924" t="s">
        <v>28</v>
      </c>
      <c r="G1924" t="s">
        <v>7054</v>
      </c>
      <c r="H1924" t="s">
        <v>30</v>
      </c>
      <c r="I1924" t="b">
        <f>COUNTIF(Estadísticas!I:I,'centraldecomunicacion.es'!H1924)&gt;0</f>
        <v>0</v>
      </c>
    </row>
    <row r="1925" spans="1:9">
      <c r="A1925" t="s">
        <v>2141</v>
      </c>
      <c r="B1925" t="s">
        <v>10</v>
      </c>
      <c r="C1925" t="s">
        <v>7055</v>
      </c>
      <c r="D1925" t="s">
        <v>7056</v>
      </c>
      <c r="E1925" t="s">
        <v>7057</v>
      </c>
      <c r="F1925" t="s">
        <v>7058</v>
      </c>
      <c r="G1925" t="s">
        <v>7059</v>
      </c>
      <c r="H1925" t="s">
        <v>7060</v>
      </c>
      <c r="I1925" t="b">
        <f>COUNTIF(Estadísticas!I:I,'centraldecomunicacion.es'!H1925)&gt;0</f>
        <v>1</v>
      </c>
    </row>
    <row r="1926" spans="1:9">
      <c r="A1926" t="s">
        <v>7061</v>
      </c>
      <c r="B1926" t="s">
        <v>10</v>
      </c>
      <c r="C1926" t="s">
        <v>7062</v>
      </c>
      <c r="D1926" t="s">
        <v>6975</v>
      </c>
      <c r="E1926" t="s">
        <v>6771</v>
      </c>
      <c r="F1926" t="s">
        <v>50</v>
      </c>
      <c r="G1926" t="s">
        <v>7063</v>
      </c>
      <c r="H1926" t="s">
        <v>30</v>
      </c>
      <c r="I1926" t="b">
        <f>COUNTIF(Estadísticas!I:I,'centraldecomunicacion.es'!H1926)&gt;0</f>
        <v>0</v>
      </c>
    </row>
    <row r="1927" spans="1:9">
      <c r="A1927" t="s">
        <v>7064</v>
      </c>
      <c r="B1927" t="s">
        <v>10</v>
      </c>
      <c r="C1927" t="s">
        <v>7065</v>
      </c>
      <c r="D1927" t="s">
        <v>7066</v>
      </c>
      <c r="E1927" t="s">
        <v>6771</v>
      </c>
      <c r="F1927" t="s">
        <v>28</v>
      </c>
      <c r="G1927" t="s">
        <v>7067</v>
      </c>
      <c r="H1927" t="s">
        <v>30</v>
      </c>
      <c r="I1927" t="b">
        <f>COUNTIF(Estadísticas!I:I,'centraldecomunicacion.es'!H1927)&gt;0</f>
        <v>0</v>
      </c>
    </row>
    <row r="1928" spans="1:9">
      <c r="A1928" t="s">
        <v>7068</v>
      </c>
      <c r="B1928" t="s">
        <v>10</v>
      </c>
      <c r="C1928" t="s">
        <v>7069</v>
      </c>
      <c r="D1928" t="s">
        <v>7056</v>
      </c>
      <c r="E1928" t="s">
        <v>7057</v>
      </c>
      <c r="F1928" t="s">
        <v>28</v>
      </c>
      <c r="G1928" t="s">
        <v>7070</v>
      </c>
      <c r="H1928" t="s">
        <v>30</v>
      </c>
      <c r="I1928" t="b">
        <f>COUNTIF(Estadísticas!I:I,'centraldecomunicacion.es'!H1928)&gt;0</f>
        <v>0</v>
      </c>
    </row>
    <row r="1929" spans="1:9">
      <c r="A1929" t="s">
        <v>7071</v>
      </c>
      <c r="B1929" t="s">
        <v>10</v>
      </c>
      <c r="C1929" t="s">
        <v>7072</v>
      </c>
      <c r="D1929" t="s">
        <v>6978</v>
      </c>
      <c r="E1929" t="s">
        <v>6771</v>
      </c>
      <c r="F1929" t="s">
        <v>7037</v>
      </c>
      <c r="G1929" t="s">
        <v>7073</v>
      </c>
      <c r="H1929" t="s">
        <v>30</v>
      </c>
      <c r="I1929" t="b">
        <f>COUNTIF(Estadísticas!I:I,'centraldecomunicacion.es'!H1929)&gt;0</f>
        <v>0</v>
      </c>
    </row>
    <row r="1930" spans="1:9">
      <c r="A1930" t="s">
        <v>7074</v>
      </c>
      <c r="B1930" t="s">
        <v>10</v>
      </c>
      <c r="C1930" t="s">
        <v>7075</v>
      </c>
      <c r="D1930" t="s">
        <v>7076</v>
      </c>
      <c r="E1930" t="s">
        <v>6771</v>
      </c>
      <c r="F1930" t="s">
        <v>7077</v>
      </c>
      <c r="G1930" t="s">
        <v>7078</v>
      </c>
      <c r="H1930" t="s">
        <v>30</v>
      </c>
      <c r="I1930" t="b">
        <f>COUNTIF(Estadísticas!I:I,'centraldecomunicacion.es'!H1930)&gt;0</f>
        <v>0</v>
      </c>
    </row>
    <row r="1931" spans="1:9">
      <c r="A1931" t="s">
        <v>7079</v>
      </c>
      <c r="B1931" t="s">
        <v>10</v>
      </c>
      <c r="C1931" t="s">
        <v>7080</v>
      </c>
      <c r="D1931" t="s">
        <v>7081</v>
      </c>
      <c r="E1931" t="s">
        <v>6771</v>
      </c>
      <c r="F1931" t="s">
        <v>28</v>
      </c>
      <c r="G1931" t="s">
        <v>7082</v>
      </c>
      <c r="H1931" t="s">
        <v>30</v>
      </c>
      <c r="I1931" t="b">
        <f>COUNTIF(Estadísticas!I:I,'centraldecomunicacion.es'!H1931)&gt;0</f>
        <v>0</v>
      </c>
    </row>
    <row r="1932" spans="1:9">
      <c r="A1932" t="s">
        <v>7083</v>
      </c>
      <c r="B1932" t="s">
        <v>10</v>
      </c>
      <c r="C1932" t="s">
        <v>7084</v>
      </c>
      <c r="D1932" t="s">
        <v>7076</v>
      </c>
      <c r="E1932" t="s">
        <v>6771</v>
      </c>
      <c r="F1932" t="s">
        <v>7085</v>
      </c>
      <c r="G1932" t="s">
        <v>7086</v>
      </c>
      <c r="H1932" t="s">
        <v>5561</v>
      </c>
      <c r="I1932" t="b">
        <f>COUNTIF(Estadísticas!I:I,'centraldecomunicacion.es'!H1932)&gt;0</f>
        <v>0</v>
      </c>
    </row>
    <row r="1933" spans="1:9">
      <c r="A1933" t="s">
        <v>7087</v>
      </c>
      <c r="B1933" t="s">
        <v>10</v>
      </c>
      <c r="C1933" t="s">
        <v>7088</v>
      </c>
      <c r="D1933" t="s">
        <v>7089</v>
      </c>
      <c r="E1933" t="s">
        <v>6771</v>
      </c>
      <c r="F1933" t="s">
        <v>28</v>
      </c>
      <c r="G1933" t="s">
        <v>7090</v>
      </c>
      <c r="H1933" t="s">
        <v>30</v>
      </c>
      <c r="I1933" t="b">
        <f>COUNTIF(Estadísticas!I:I,'centraldecomunicacion.es'!H1933)&gt;0</f>
        <v>0</v>
      </c>
    </row>
    <row r="1934" spans="1:9">
      <c r="A1934" t="s">
        <v>7091</v>
      </c>
      <c r="B1934" t="s">
        <v>10</v>
      </c>
      <c r="C1934" t="s">
        <v>7092</v>
      </c>
      <c r="D1934" t="s">
        <v>7014</v>
      </c>
      <c r="E1934" t="s">
        <v>6771</v>
      </c>
      <c r="F1934" t="s">
        <v>28</v>
      </c>
      <c r="G1934" t="s">
        <v>7093</v>
      </c>
      <c r="H1934" t="s">
        <v>30</v>
      </c>
      <c r="I1934" t="b">
        <f>COUNTIF(Estadísticas!I:I,'centraldecomunicacion.es'!H1934)&gt;0</f>
        <v>0</v>
      </c>
    </row>
    <row r="1935" spans="1:9">
      <c r="A1935" t="s">
        <v>7094</v>
      </c>
      <c r="B1935" t="s">
        <v>10</v>
      </c>
      <c r="C1935" t="s">
        <v>7095</v>
      </c>
      <c r="D1935" t="s">
        <v>7096</v>
      </c>
      <c r="E1935" t="s">
        <v>6771</v>
      </c>
      <c r="F1935" t="s">
        <v>28</v>
      </c>
      <c r="G1935" t="s">
        <v>7097</v>
      </c>
      <c r="H1935" t="s">
        <v>30</v>
      </c>
      <c r="I1935" t="b">
        <f>COUNTIF(Estadísticas!I:I,'centraldecomunicacion.es'!H1935)&gt;0</f>
        <v>0</v>
      </c>
    </row>
    <row r="1936" spans="1:9">
      <c r="A1936" t="s">
        <v>7098</v>
      </c>
      <c r="B1936" t="s">
        <v>10</v>
      </c>
      <c r="C1936" t="s">
        <v>7099</v>
      </c>
      <c r="D1936" t="s">
        <v>7096</v>
      </c>
      <c r="E1936" t="s">
        <v>6771</v>
      </c>
      <c r="F1936" t="s">
        <v>28</v>
      </c>
      <c r="G1936" t="s">
        <v>7100</v>
      </c>
      <c r="H1936" t="s">
        <v>30</v>
      </c>
      <c r="I1936" t="b">
        <f>COUNTIF(Estadísticas!I:I,'centraldecomunicacion.es'!H1936)&gt;0</f>
        <v>0</v>
      </c>
    </row>
    <row r="1937" spans="1:9">
      <c r="A1937" t="s">
        <v>7101</v>
      </c>
      <c r="B1937" t="s">
        <v>10</v>
      </c>
      <c r="C1937" t="s">
        <v>7102</v>
      </c>
      <c r="D1937" t="s">
        <v>7018</v>
      </c>
      <c r="E1937" t="s">
        <v>6771</v>
      </c>
      <c r="F1937" t="s">
        <v>28</v>
      </c>
      <c r="G1937" t="s">
        <v>7103</v>
      </c>
      <c r="H1937" t="s">
        <v>30</v>
      </c>
      <c r="I1937" t="b">
        <f>COUNTIF(Estadísticas!I:I,'centraldecomunicacion.es'!H1937)&gt;0</f>
        <v>0</v>
      </c>
    </row>
    <row r="1938" spans="1:9">
      <c r="A1938" t="s">
        <v>7104</v>
      </c>
      <c r="B1938" t="s">
        <v>10</v>
      </c>
      <c r="C1938" t="s">
        <v>7105</v>
      </c>
      <c r="D1938" t="s">
        <v>7018</v>
      </c>
      <c r="E1938" t="s">
        <v>6771</v>
      </c>
      <c r="F1938" t="s">
        <v>28</v>
      </c>
      <c r="G1938" t="s">
        <v>7106</v>
      </c>
      <c r="H1938" t="s">
        <v>30</v>
      </c>
      <c r="I1938" t="b">
        <f>COUNTIF(Estadísticas!I:I,'centraldecomunicacion.es'!H1938)&gt;0</f>
        <v>0</v>
      </c>
    </row>
    <row r="1939" spans="1:9">
      <c r="A1939" t="s">
        <v>7107</v>
      </c>
      <c r="B1939" t="s">
        <v>10</v>
      </c>
      <c r="C1939" t="s">
        <v>7108</v>
      </c>
      <c r="D1939" t="s">
        <v>6978</v>
      </c>
      <c r="E1939" t="s">
        <v>6771</v>
      </c>
      <c r="F1939" t="s">
        <v>7109</v>
      </c>
      <c r="G1939" t="s">
        <v>7110</v>
      </c>
      <c r="H1939" t="s">
        <v>7111</v>
      </c>
      <c r="I1939" t="b">
        <f>COUNTIF(Estadísticas!I:I,'centraldecomunicacion.es'!H1939)&gt;0</f>
        <v>0</v>
      </c>
    </row>
    <row r="1940" spans="1:9">
      <c r="A1940" t="s">
        <v>7112</v>
      </c>
      <c r="B1940" t="s">
        <v>10</v>
      </c>
      <c r="C1940" t="s">
        <v>7113</v>
      </c>
      <c r="D1940" t="s">
        <v>6680</v>
      </c>
      <c r="E1940" t="s">
        <v>6680</v>
      </c>
      <c r="F1940" t="s">
        <v>7114</v>
      </c>
      <c r="G1940" t="s">
        <v>7115</v>
      </c>
      <c r="H1940" t="s">
        <v>7116</v>
      </c>
      <c r="I1940" t="b">
        <f>COUNTIF(Estadísticas!I:I,'centraldecomunicacion.es'!H1940)&gt;0</f>
        <v>0</v>
      </c>
    </row>
    <row r="1941" spans="1:9">
      <c r="A1941" t="s">
        <v>7117</v>
      </c>
      <c r="B1941" t="s">
        <v>10</v>
      </c>
      <c r="C1941" t="s">
        <v>7118</v>
      </c>
      <c r="D1941" t="s">
        <v>6680</v>
      </c>
      <c r="E1941" t="s">
        <v>6680</v>
      </c>
      <c r="F1941" t="s">
        <v>7119</v>
      </c>
      <c r="G1941" t="s">
        <v>7120</v>
      </c>
      <c r="H1941" t="s">
        <v>7121</v>
      </c>
      <c r="I1941" t="b">
        <f>COUNTIF(Estadísticas!I:I,'centraldecomunicacion.es'!H1941)&gt;0</f>
        <v>0</v>
      </c>
    </row>
    <row r="1942" spans="1:9">
      <c r="A1942" t="s">
        <v>7122</v>
      </c>
      <c r="B1942" t="s">
        <v>10</v>
      </c>
      <c r="C1942" t="s">
        <v>7123</v>
      </c>
      <c r="D1942" t="s">
        <v>6680</v>
      </c>
      <c r="E1942" t="s">
        <v>6680</v>
      </c>
      <c r="F1942" t="s">
        <v>28</v>
      </c>
      <c r="G1942" t="s">
        <v>7124</v>
      </c>
      <c r="H1942" t="s">
        <v>30</v>
      </c>
      <c r="I1942" t="b">
        <f>COUNTIF(Estadísticas!I:I,'centraldecomunicacion.es'!H1942)&gt;0</f>
        <v>0</v>
      </c>
    </row>
    <row r="1943" spans="1:9">
      <c r="A1943" t="s">
        <v>7125</v>
      </c>
      <c r="B1943" t="s">
        <v>10</v>
      </c>
      <c r="C1943" t="s">
        <v>7126</v>
      </c>
      <c r="D1943" t="s">
        <v>6680</v>
      </c>
      <c r="E1943" t="s">
        <v>6680</v>
      </c>
      <c r="F1943" t="s">
        <v>28</v>
      </c>
      <c r="G1943" t="s">
        <v>7127</v>
      </c>
      <c r="H1943" t="s">
        <v>30</v>
      </c>
      <c r="I1943" t="b">
        <f>COUNTIF(Estadísticas!I:I,'centraldecomunicacion.es'!H1943)&gt;0</f>
        <v>0</v>
      </c>
    </row>
    <row r="1944" spans="1:9">
      <c r="A1944" t="s">
        <v>7128</v>
      </c>
      <c r="B1944" t="s">
        <v>10</v>
      </c>
      <c r="C1944" t="s">
        <v>7129</v>
      </c>
      <c r="D1944" t="s">
        <v>6680</v>
      </c>
      <c r="E1944" t="s">
        <v>6680</v>
      </c>
      <c r="F1944" t="s">
        <v>28</v>
      </c>
      <c r="G1944" t="s">
        <v>7130</v>
      </c>
      <c r="H1944" t="s">
        <v>30</v>
      </c>
      <c r="I1944" t="b">
        <f>COUNTIF(Estadísticas!I:I,'centraldecomunicacion.es'!H1944)&gt;0</f>
        <v>0</v>
      </c>
    </row>
    <row r="1945" spans="1:9">
      <c r="A1945" t="s">
        <v>7131</v>
      </c>
      <c r="B1945" t="s">
        <v>10</v>
      </c>
      <c r="C1945" t="s">
        <v>7132</v>
      </c>
      <c r="D1945" t="s">
        <v>6680</v>
      </c>
      <c r="E1945" t="s">
        <v>6680</v>
      </c>
      <c r="F1945" t="s">
        <v>28</v>
      </c>
      <c r="G1945" t="s">
        <v>7133</v>
      </c>
      <c r="H1945" t="s">
        <v>30</v>
      </c>
      <c r="I1945" t="b">
        <f>COUNTIF(Estadísticas!I:I,'centraldecomunicacion.es'!H1945)&gt;0</f>
        <v>0</v>
      </c>
    </row>
    <row r="1946" spans="1:9">
      <c r="A1946" t="s">
        <v>7134</v>
      </c>
      <c r="B1946" t="s">
        <v>10</v>
      </c>
      <c r="C1946" t="s">
        <v>7135</v>
      </c>
      <c r="D1946" t="s">
        <v>6680</v>
      </c>
      <c r="E1946" t="s">
        <v>6680</v>
      </c>
      <c r="F1946" t="s">
        <v>28</v>
      </c>
      <c r="G1946" t="s">
        <v>7136</v>
      </c>
      <c r="H1946" t="s">
        <v>30</v>
      </c>
      <c r="I1946" t="b">
        <f>COUNTIF(Estadísticas!I:I,'centraldecomunicacion.es'!H1946)&gt;0</f>
        <v>0</v>
      </c>
    </row>
    <row r="1947" spans="1:9">
      <c r="A1947" t="s">
        <v>7137</v>
      </c>
      <c r="B1947" t="s">
        <v>10</v>
      </c>
      <c r="C1947" t="s">
        <v>7138</v>
      </c>
      <c r="D1947" t="s">
        <v>6680</v>
      </c>
      <c r="E1947" t="s">
        <v>6680</v>
      </c>
      <c r="F1947" t="s">
        <v>7139</v>
      </c>
      <c r="G1947" t="s">
        <v>7140</v>
      </c>
      <c r="H1947" t="s">
        <v>7141</v>
      </c>
      <c r="I1947" t="b">
        <f>COUNTIF(Estadísticas!I:I,'centraldecomunicacion.es'!H1947)&gt;0</f>
        <v>0</v>
      </c>
    </row>
    <row r="1948" spans="1:9">
      <c r="A1948" t="s">
        <v>7142</v>
      </c>
      <c r="B1948" t="s">
        <v>10</v>
      </c>
      <c r="C1948" t="s">
        <v>7143</v>
      </c>
      <c r="D1948" t="s">
        <v>7144</v>
      </c>
      <c r="E1948" t="s">
        <v>6680</v>
      </c>
      <c r="F1948" t="s">
        <v>7145</v>
      </c>
      <c r="G1948" t="s">
        <v>7146</v>
      </c>
      <c r="H1948" t="s">
        <v>7147</v>
      </c>
      <c r="I1948" t="b">
        <f>COUNTIF(Estadísticas!I:I,'centraldecomunicacion.es'!H1948)&gt;0</f>
        <v>0</v>
      </c>
    </row>
    <row r="1949" spans="1:9">
      <c r="A1949" t="s">
        <v>7148</v>
      </c>
      <c r="B1949" t="s">
        <v>10</v>
      </c>
      <c r="C1949" t="s">
        <v>7149</v>
      </c>
      <c r="D1949" t="s">
        <v>7150</v>
      </c>
      <c r="E1949" t="s">
        <v>6680</v>
      </c>
      <c r="F1949" t="s">
        <v>28</v>
      </c>
      <c r="G1949" t="s">
        <v>28</v>
      </c>
      <c r="H1949" t="s">
        <v>30</v>
      </c>
      <c r="I1949" t="b">
        <f>COUNTIF(Estadísticas!I:I,'centraldecomunicacion.es'!H1949)&gt;0</f>
        <v>0</v>
      </c>
    </row>
    <row r="1950" spans="1:9">
      <c r="A1950" t="s">
        <v>7151</v>
      </c>
      <c r="B1950" t="s">
        <v>10</v>
      </c>
      <c r="C1950" t="s">
        <v>7152</v>
      </c>
      <c r="D1950" t="s">
        <v>7150</v>
      </c>
      <c r="E1950" t="s">
        <v>6680</v>
      </c>
      <c r="F1950" t="s">
        <v>28</v>
      </c>
      <c r="G1950" t="s">
        <v>7153</v>
      </c>
      <c r="H1950" t="s">
        <v>30</v>
      </c>
      <c r="I1950" t="b">
        <f>COUNTIF(Estadísticas!I:I,'centraldecomunicacion.es'!H1950)&gt;0</f>
        <v>0</v>
      </c>
    </row>
    <row r="1951" spans="1:9">
      <c r="A1951" t="s">
        <v>7154</v>
      </c>
      <c r="B1951" t="s">
        <v>10</v>
      </c>
      <c r="C1951" t="s">
        <v>28</v>
      </c>
      <c r="D1951" t="s">
        <v>7155</v>
      </c>
      <c r="E1951" t="s">
        <v>28</v>
      </c>
      <c r="F1951" t="s">
        <v>7156</v>
      </c>
      <c r="G1951" t="s">
        <v>7157</v>
      </c>
      <c r="H1951" t="s">
        <v>7158</v>
      </c>
      <c r="I1951" t="b">
        <f>COUNTIF(Estadísticas!I:I,'centraldecomunicacion.es'!H1951)&gt;0</f>
        <v>0</v>
      </c>
    </row>
    <row r="1952" spans="1:9">
      <c r="A1952" t="s">
        <v>7159</v>
      </c>
      <c r="B1952" t="s">
        <v>10</v>
      </c>
      <c r="C1952" t="s">
        <v>7160</v>
      </c>
      <c r="D1952" t="s">
        <v>7161</v>
      </c>
      <c r="E1952" t="s">
        <v>6680</v>
      </c>
      <c r="F1952" t="s">
        <v>28</v>
      </c>
      <c r="G1952" t="s">
        <v>7162</v>
      </c>
      <c r="H1952" t="s">
        <v>30</v>
      </c>
      <c r="I1952" t="b">
        <f>COUNTIF(Estadísticas!I:I,'centraldecomunicacion.es'!H1952)&gt;0</f>
        <v>0</v>
      </c>
    </row>
    <row r="1953" spans="1:9">
      <c r="A1953" t="s">
        <v>7163</v>
      </c>
      <c r="B1953" t="s">
        <v>10</v>
      </c>
      <c r="C1953" t="s">
        <v>7164</v>
      </c>
      <c r="D1953" t="s">
        <v>7165</v>
      </c>
      <c r="E1953" t="s">
        <v>6680</v>
      </c>
      <c r="F1953" t="s">
        <v>28</v>
      </c>
      <c r="G1953" t="s">
        <v>7166</v>
      </c>
      <c r="H1953" t="s">
        <v>30</v>
      </c>
      <c r="I1953" t="b">
        <f>COUNTIF(Estadísticas!I:I,'centraldecomunicacion.es'!H1953)&gt;0</f>
        <v>0</v>
      </c>
    </row>
    <row r="1954" spans="1:9">
      <c r="A1954" t="s">
        <v>7167</v>
      </c>
      <c r="B1954" t="s">
        <v>10</v>
      </c>
      <c r="C1954" t="s">
        <v>7168</v>
      </c>
      <c r="D1954" t="s">
        <v>7169</v>
      </c>
      <c r="E1954" t="s">
        <v>6680</v>
      </c>
      <c r="F1954" t="s">
        <v>28</v>
      </c>
      <c r="G1954" t="s">
        <v>7170</v>
      </c>
      <c r="H1954" t="s">
        <v>30</v>
      </c>
      <c r="I1954" t="b">
        <f>COUNTIF(Estadísticas!I:I,'centraldecomunicacion.es'!H1954)&gt;0</f>
        <v>0</v>
      </c>
    </row>
    <row r="1955" spans="1:9">
      <c r="A1955" t="s">
        <v>7171</v>
      </c>
      <c r="B1955" t="s">
        <v>10</v>
      </c>
      <c r="C1955" t="s">
        <v>7172</v>
      </c>
      <c r="D1955" t="s">
        <v>7161</v>
      </c>
      <c r="E1955" t="s">
        <v>6680</v>
      </c>
      <c r="F1955" t="s">
        <v>7173</v>
      </c>
      <c r="G1955" t="s">
        <v>7174</v>
      </c>
      <c r="H1955" t="s">
        <v>7175</v>
      </c>
      <c r="I1955" t="b">
        <f>COUNTIF(Estadísticas!I:I,'centraldecomunicacion.es'!H1955)&gt;0</f>
        <v>1</v>
      </c>
    </row>
    <row r="1956" spans="1:9">
      <c r="A1956" t="s">
        <v>7176</v>
      </c>
      <c r="B1956" t="s">
        <v>10</v>
      </c>
      <c r="C1956" t="s">
        <v>7177</v>
      </c>
      <c r="D1956" t="s">
        <v>7161</v>
      </c>
      <c r="E1956" t="s">
        <v>6680</v>
      </c>
      <c r="F1956" t="s">
        <v>7178</v>
      </c>
      <c r="G1956" t="s">
        <v>7179</v>
      </c>
      <c r="H1956" t="s">
        <v>7180</v>
      </c>
      <c r="I1956" t="b">
        <f>COUNTIF(Estadísticas!I:I,'centraldecomunicacion.es'!H1956)&gt;0</f>
        <v>1</v>
      </c>
    </row>
    <row r="1957" spans="1:9">
      <c r="A1957" t="s">
        <v>7181</v>
      </c>
      <c r="B1957" t="s">
        <v>10</v>
      </c>
      <c r="C1957" t="s">
        <v>7182</v>
      </c>
      <c r="D1957" t="s">
        <v>7183</v>
      </c>
      <c r="E1957" t="s">
        <v>7184</v>
      </c>
      <c r="F1957" t="s">
        <v>746</v>
      </c>
      <c r="G1957" t="s">
        <v>7185</v>
      </c>
      <c r="H1957" t="s">
        <v>30</v>
      </c>
      <c r="I1957" t="b">
        <f>COUNTIF(Estadísticas!I:I,'centraldecomunicacion.es'!H1957)&gt;0</f>
        <v>0</v>
      </c>
    </row>
    <row r="1958" spans="1:9">
      <c r="A1958" t="s">
        <v>7186</v>
      </c>
      <c r="B1958" t="s">
        <v>10</v>
      </c>
      <c r="C1958" t="s">
        <v>7187</v>
      </c>
      <c r="D1958" t="s">
        <v>7161</v>
      </c>
      <c r="E1958" t="s">
        <v>6680</v>
      </c>
      <c r="F1958" t="s">
        <v>28</v>
      </c>
      <c r="G1958" t="s">
        <v>7188</v>
      </c>
      <c r="H1958" t="s">
        <v>30</v>
      </c>
      <c r="I1958" t="b">
        <f>COUNTIF(Estadísticas!I:I,'centraldecomunicacion.es'!H1958)&gt;0</f>
        <v>0</v>
      </c>
    </row>
    <row r="1959" spans="1:9">
      <c r="A1959" t="s">
        <v>7189</v>
      </c>
      <c r="B1959" t="s">
        <v>10</v>
      </c>
      <c r="C1959" t="s">
        <v>7190</v>
      </c>
      <c r="D1959" t="s">
        <v>7191</v>
      </c>
      <c r="E1959" t="s">
        <v>6680</v>
      </c>
      <c r="F1959" t="s">
        <v>28</v>
      </c>
      <c r="G1959" t="s">
        <v>7192</v>
      </c>
      <c r="H1959" t="s">
        <v>30</v>
      </c>
      <c r="I1959" t="b">
        <f>COUNTIF(Estadísticas!I:I,'centraldecomunicacion.es'!H1959)&gt;0</f>
        <v>0</v>
      </c>
    </row>
    <row r="1960" spans="1:9">
      <c r="A1960" t="s">
        <v>7193</v>
      </c>
      <c r="B1960" t="s">
        <v>10</v>
      </c>
      <c r="C1960" t="s">
        <v>7194</v>
      </c>
      <c r="D1960" t="s">
        <v>7195</v>
      </c>
      <c r="E1960" t="s">
        <v>6680</v>
      </c>
      <c r="F1960" t="s">
        <v>28</v>
      </c>
      <c r="G1960" t="s">
        <v>28</v>
      </c>
      <c r="H1960" t="s">
        <v>30</v>
      </c>
      <c r="I1960" t="b">
        <f>COUNTIF(Estadísticas!I:I,'centraldecomunicacion.es'!H1960)&gt;0</f>
        <v>0</v>
      </c>
    </row>
    <row r="1961" spans="1:9">
      <c r="A1961" t="s">
        <v>7196</v>
      </c>
      <c r="B1961" t="s">
        <v>10</v>
      </c>
      <c r="C1961" t="s">
        <v>7197</v>
      </c>
      <c r="D1961" t="s">
        <v>7198</v>
      </c>
      <c r="E1961" t="s">
        <v>6680</v>
      </c>
      <c r="F1961" t="s">
        <v>28</v>
      </c>
      <c r="G1961" t="s">
        <v>7199</v>
      </c>
      <c r="H1961" t="s">
        <v>30</v>
      </c>
      <c r="I1961" t="b">
        <f>COUNTIF(Estadísticas!I:I,'centraldecomunicacion.es'!H1961)&gt;0</f>
        <v>0</v>
      </c>
    </row>
    <row r="1962" spans="1:9">
      <c r="A1962" t="s">
        <v>7200</v>
      </c>
      <c r="B1962" t="s">
        <v>10</v>
      </c>
      <c r="C1962" t="s">
        <v>7201</v>
      </c>
      <c r="D1962" t="s">
        <v>7202</v>
      </c>
      <c r="E1962" t="s">
        <v>6680</v>
      </c>
      <c r="F1962" t="s">
        <v>2353</v>
      </c>
      <c r="G1962" t="s">
        <v>7203</v>
      </c>
      <c r="H1962" t="s">
        <v>30</v>
      </c>
      <c r="I1962" t="b">
        <f>COUNTIF(Estadísticas!I:I,'centraldecomunicacion.es'!H1962)&gt;0</f>
        <v>0</v>
      </c>
    </row>
    <row r="1963" spans="1:9">
      <c r="A1963" t="s">
        <v>7204</v>
      </c>
      <c r="B1963" t="s">
        <v>10</v>
      </c>
      <c r="C1963" t="s">
        <v>7205</v>
      </c>
      <c r="D1963" t="s">
        <v>7206</v>
      </c>
      <c r="E1963" t="s">
        <v>6680</v>
      </c>
      <c r="F1963" t="s">
        <v>28</v>
      </c>
      <c r="G1963" t="s">
        <v>7207</v>
      </c>
      <c r="H1963" t="s">
        <v>30</v>
      </c>
      <c r="I1963" t="b">
        <f>COUNTIF(Estadísticas!I:I,'centraldecomunicacion.es'!H1963)&gt;0</f>
        <v>0</v>
      </c>
    </row>
    <row r="1964" spans="1:9">
      <c r="A1964" t="s">
        <v>7208</v>
      </c>
      <c r="B1964" t="s">
        <v>10</v>
      </c>
      <c r="C1964" t="s">
        <v>7209</v>
      </c>
      <c r="D1964" t="s">
        <v>7210</v>
      </c>
      <c r="E1964" t="s">
        <v>6680</v>
      </c>
      <c r="F1964" t="s">
        <v>28</v>
      </c>
      <c r="G1964" t="s">
        <v>7211</v>
      </c>
      <c r="H1964" t="s">
        <v>30</v>
      </c>
      <c r="I1964" t="b">
        <f>COUNTIF(Estadísticas!I:I,'centraldecomunicacion.es'!H1964)&gt;0</f>
        <v>0</v>
      </c>
    </row>
    <row r="1965" spans="1:9">
      <c r="A1965" t="s">
        <v>7212</v>
      </c>
      <c r="B1965" t="s">
        <v>10</v>
      </c>
      <c r="C1965" t="s">
        <v>7213</v>
      </c>
      <c r="D1965" t="s">
        <v>7206</v>
      </c>
      <c r="E1965" t="s">
        <v>6680</v>
      </c>
      <c r="F1965" t="s">
        <v>28</v>
      </c>
      <c r="G1965" t="s">
        <v>7214</v>
      </c>
      <c r="H1965" t="s">
        <v>30</v>
      </c>
      <c r="I1965" t="b">
        <f>COUNTIF(Estadísticas!I:I,'centraldecomunicacion.es'!H1965)&gt;0</f>
        <v>0</v>
      </c>
    </row>
    <row r="1966" spans="1:9">
      <c r="A1966" t="s">
        <v>7215</v>
      </c>
      <c r="B1966" t="s">
        <v>10</v>
      </c>
      <c r="C1966" t="s">
        <v>7216</v>
      </c>
      <c r="D1966" t="s">
        <v>7206</v>
      </c>
      <c r="E1966" t="s">
        <v>6680</v>
      </c>
      <c r="F1966" t="s">
        <v>28</v>
      </c>
      <c r="G1966" t="s">
        <v>7217</v>
      </c>
      <c r="H1966" t="s">
        <v>30</v>
      </c>
      <c r="I1966" t="b">
        <f>COUNTIF(Estadísticas!I:I,'centraldecomunicacion.es'!H1966)&gt;0</f>
        <v>0</v>
      </c>
    </row>
    <row r="1967" spans="1:9">
      <c r="A1967" t="s">
        <v>7218</v>
      </c>
      <c r="B1967" t="s">
        <v>10</v>
      </c>
      <c r="C1967" t="s">
        <v>7219</v>
      </c>
      <c r="D1967" t="s">
        <v>6679</v>
      </c>
      <c r="E1967" t="s">
        <v>6680</v>
      </c>
      <c r="F1967" t="s">
        <v>28</v>
      </c>
      <c r="G1967" t="s">
        <v>28</v>
      </c>
      <c r="H1967" t="s">
        <v>30</v>
      </c>
      <c r="I1967" t="b">
        <f>COUNTIF(Estadísticas!I:I,'centraldecomunicacion.es'!H1967)&gt;0</f>
        <v>0</v>
      </c>
    </row>
    <row r="1968" spans="1:9">
      <c r="A1968" t="s">
        <v>7220</v>
      </c>
      <c r="B1968" t="s">
        <v>10</v>
      </c>
      <c r="C1968" t="s">
        <v>7221</v>
      </c>
      <c r="D1968" t="s">
        <v>7161</v>
      </c>
      <c r="E1968" t="s">
        <v>6680</v>
      </c>
      <c r="F1968" t="s">
        <v>28</v>
      </c>
      <c r="G1968" t="s">
        <v>7222</v>
      </c>
      <c r="H1968" t="s">
        <v>30</v>
      </c>
      <c r="I1968" t="b">
        <f>COUNTIF(Estadísticas!I:I,'centraldecomunicacion.es'!H1968)&gt;0</f>
        <v>0</v>
      </c>
    </row>
    <row r="1969" spans="1:9">
      <c r="A1969" t="s">
        <v>7223</v>
      </c>
      <c r="B1969" t="s">
        <v>10</v>
      </c>
      <c r="C1969" t="s">
        <v>7224</v>
      </c>
      <c r="D1969" t="s">
        <v>7225</v>
      </c>
      <c r="E1969" t="s">
        <v>6680</v>
      </c>
      <c r="F1969" t="s">
        <v>28</v>
      </c>
      <c r="G1969" t="s">
        <v>7226</v>
      </c>
      <c r="H1969" t="s">
        <v>30</v>
      </c>
      <c r="I1969" t="b">
        <f>COUNTIF(Estadísticas!I:I,'centraldecomunicacion.es'!H1969)&gt;0</f>
        <v>0</v>
      </c>
    </row>
    <row r="1970" spans="1:9">
      <c r="A1970" t="s">
        <v>7227</v>
      </c>
      <c r="B1970" t="s">
        <v>10</v>
      </c>
      <c r="C1970" t="s">
        <v>7228</v>
      </c>
      <c r="D1970" t="s">
        <v>7202</v>
      </c>
      <c r="E1970" t="s">
        <v>6680</v>
      </c>
      <c r="F1970" t="s">
        <v>28</v>
      </c>
      <c r="G1970" t="s">
        <v>7229</v>
      </c>
      <c r="H1970" t="s">
        <v>30</v>
      </c>
      <c r="I1970" t="b">
        <f>COUNTIF(Estadísticas!I:I,'centraldecomunicacion.es'!H1970)&gt;0</f>
        <v>0</v>
      </c>
    </row>
    <row r="1971" spans="1:9">
      <c r="A1971" t="s">
        <v>7230</v>
      </c>
      <c r="B1971" t="s">
        <v>10</v>
      </c>
      <c r="C1971" t="s">
        <v>7231</v>
      </c>
      <c r="D1971" t="s">
        <v>7232</v>
      </c>
      <c r="E1971" t="s">
        <v>6680</v>
      </c>
      <c r="F1971" t="s">
        <v>28</v>
      </c>
      <c r="G1971" t="s">
        <v>28</v>
      </c>
      <c r="H1971" t="s">
        <v>30</v>
      </c>
      <c r="I1971" t="b">
        <f>COUNTIF(Estadísticas!I:I,'centraldecomunicacion.es'!H1971)&gt;0</f>
        <v>0</v>
      </c>
    </row>
    <row r="1972" spans="1:9">
      <c r="A1972" t="s">
        <v>7233</v>
      </c>
      <c r="B1972" t="s">
        <v>10</v>
      </c>
      <c r="C1972" t="s">
        <v>7234</v>
      </c>
      <c r="D1972" t="s">
        <v>7235</v>
      </c>
      <c r="E1972" t="s">
        <v>6680</v>
      </c>
      <c r="F1972" t="s">
        <v>28</v>
      </c>
      <c r="G1972" t="s">
        <v>7236</v>
      </c>
      <c r="H1972" t="s">
        <v>30</v>
      </c>
      <c r="I1972" t="b">
        <f>COUNTIF(Estadísticas!I:I,'centraldecomunicacion.es'!H1972)&gt;0</f>
        <v>0</v>
      </c>
    </row>
    <row r="1973" spans="1:9">
      <c r="A1973" t="s">
        <v>7237</v>
      </c>
      <c r="B1973" t="s">
        <v>10</v>
      </c>
      <c r="C1973" t="s">
        <v>7238</v>
      </c>
      <c r="D1973" t="s">
        <v>7210</v>
      </c>
      <c r="E1973" t="s">
        <v>6680</v>
      </c>
      <c r="F1973" t="s">
        <v>28</v>
      </c>
      <c r="G1973" t="s">
        <v>7239</v>
      </c>
      <c r="H1973" t="s">
        <v>30</v>
      </c>
      <c r="I1973" t="b">
        <f>COUNTIF(Estadísticas!I:I,'centraldecomunicacion.es'!H1973)&gt;0</f>
        <v>0</v>
      </c>
    </row>
    <row r="1974" spans="1:9">
      <c r="A1974" t="s">
        <v>7240</v>
      </c>
      <c r="B1974" t="s">
        <v>10</v>
      </c>
      <c r="C1974" t="s">
        <v>7241</v>
      </c>
      <c r="D1974" t="s">
        <v>6679</v>
      </c>
      <c r="E1974" t="s">
        <v>6680</v>
      </c>
      <c r="F1974" t="s">
        <v>28</v>
      </c>
      <c r="G1974" t="s">
        <v>7242</v>
      </c>
      <c r="H1974" t="s">
        <v>30</v>
      </c>
      <c r="I1974" t="b">
        <f>COUNTIF(Estadísticas!I:I,'centraldecomunicacion.es'!H1974)&gt;0</f>
        <v>0</v>
      </c>
    </row>
    <row r="1975" spans="1:9">
      <c r="A1975" t="s">
        <v>7243</v>
      </c>
      <c r="B1975" t="s">
        <v>10</v>
      </c>
      <c r="C1975" t="s">
        <v>7244</v>
      </c>
      <c r="D1975" t="s">
        <v>7161</v>
      </c>
      <c r="E1975" t="s">
        <v>6680</v>
      </c>
      <c r="F1975" t="s">
        <v>7245</v>
      </c>
      <c r="G1975" t="s">
        <v>7246</v>
      </c>
      <c r="H1975" t="s">
        <v>7247</v>
      </c>
      <c r="I1975" t="b">
        <f>COUNTIF(Estadísticas!I:I,'centraldecomunicacion.es'!H1975)&gt;0</f>
        <v>0</v>
      </c>
    </row>
    <row r="1976" spans="1:9">
      <c r="A1976" t="s">
        <v>7248</v>
      </c>
      <c r="B1976" t="s">
        <v>10</v>
      </c>
      <c r="C1976" t="s">
        <v>7249</v>
      </c>
      <c r="D1976" t="s">
        <v>6689</v>
      </c>
      <c r="E1976" t="s">
        <v>6680</v>
      </c>
      <c r="F1976" t="s">
        <v>28</v>
      </c>
      <c r="G1976" t="s">
        <v>7250</v>
      </c>
      <c r="H1976" t="s">
        <v>30</v>
      </c>
      <c r="I1976" t="b">
        <f>COUNTIF(Estadísticas!I:I,'centraldecomunicacion.es'!H1976)&gt;0</f>
        <v>0</v>
      </c>
    </row>
    <row r="1977" spans="1:9">
      <c r="A1977" t="s">
        <v>7251</v>
      </c>
      <c r="B1977" t="s">
        <v>10</v>
      </c>
      <c r="C1977" t="s">
        <v>28</v>
      </c>
      <c r="D1977" t="s">
        <v>7155</v>
      </c>
      <c r="E1977" t="s">
        <v>28</v>
      </c>
      <c r="F1977" t="s">
        <v>28</v>
      </c>
      <c r="G1977" t="s">
        <v>7252</v>
      </c>
      <c r="H1977" t="s">
        <v>30</v>
      </c>
      <c r="I1977" t="b">
        <f>COUNTIF(Estadísticas!I:I,'centraldecomunicacion.es'!H1977)&gt;0</f>
        <v>0</v>
      </c>
    </row>
    <row r="1978" spans="1:9">
      <c r="A1978" t="s">
        <v>7253</v>
      </c>
      <c r="B1978" t="s">
        <v>10</v>
      </c>
      <c r="C1978" t="s">
        <v>7254</v>
      </c>
      <c r="D1978" t="s">
        <v>7255</v>
      </c>
      <c r="E1978" t="s">
        <v>7057</v>
      </c>
      <c r="F1978" t="s">
        <v>28</v>
      </c>
      <c r="G1978" t="s">
        <v>7256</v>
      </c>
      <c r="H1978" t="s">
        <v>30</v>
      </c>
      <c r="I1978" t="b">
        <f>COUNTIF(Estadísticas!I:I,'centraldecomunicacion.es'!H1978)&gt;0</f>
        <v>0</v>
      </c>
    </row>
    <row r="1979" spans="1:9">
      <c r="A1979" t="s">
        <v>7257</v>
      </c>
      <c r="B1979" t="s">
        <v>10</v>
      </c>
      <c r="C1979" t="s">
        <v>7258</v>
      </c>
      <c r="D1979" t="s">
        <v>7225</v>
      </c>
      <c r="E1979" t="s">
        <v>6680</v>
      </c>
      <c r="F1979" t="s">
        <v>7259</v>
      </c>
      <c r="G1979" t="s">
        <v>7260</v>
      </c>
      <c r="H1979" t="s">
        <v>7261</v>
      </c>
      <c r="I1979" t="b">
        <f>COUNTIF(Estadísticas!I:I,'centraldecomunicacion.es'!H1979)&gt;0</f>
        <v>0</v>
      </c>
    </row>
    <row r="1980" spans="1:9">
      <c r="A1980" t="s">
        <v>7262</v>
      </c>
      <c r="B1980" t="s">
        <v>10</v>
      </c>
      <c r="C1980" t="s">
        <v>28</v>
      </c>
      <c r="D1980" t="s">
        <v>7155</v>
      </c>
      <c r="E1980" t="s">
        <v>28</v>
      </c>
      <c r="F1980" t="s">
        <v>7263</v>
      </c>
      <c r="G1980" t="s">
        <v>7264</v>
      </c>
      <c r="H1980" t="s">
        <v>30</v>
      </c>
      <c r="I1980" t="b">
        <f>COUNTIF(Estadísticas!I:I,'centraldecomunicacion.es'!H1980)&gt;0</f>
        <v>0</v>
      </c>
    </row>
    <row r="1981" spans="1:9">
      <c r="A1981" t="s">
        <v>7265</v>
      </c>
      <c r="B1981" t="s">
        <v>10</v>
      </c>
      <c r="C1981" t="s">
        <v>28</v>
      </c>
      <c r="D1981" t="s">
        <v>7155</v>
      </c>
      <c r="E1981" t="s">
        <v>28</v>
      </c>
      <c r="F1981" t="s">
        <v>7266</v>
      </c>
      <c r="G1981" t="s">
        <v>7267</v>
      </c>
      <c r="H1981" t="s">
        <v>7268</v>
      </c>
      <c r="I1981" t="b">
        <f>COUNTIF(Estadísticas!I:I,'centraldecomunicacion.es'!H1981)&gt;0</f>
        <v>0</v>
      </c>
    </row>
    <row r="1982" spans="1:9">
      <c r="A1982" t="s">
        <v>7269</v>
      </c>
      <c r="B1982" t="s">
        <v>10</v>
      </c>
      <c r="C1982" t="s">
        <v>28</v>
      </c>
      <c r="D1982" t="s">
        <v>7155</v>
      </c>
      <c r="E1982" t="s">
        <v>28</v>
      </c>
      <c r="F1982" t="s">
        <v>7270</v>
      </c>
      <c r="G1982" t="s">
        <v>7271</v>
      </c>
      <c r="H1982" t="s">
        <v>30</v>
      </c>
      <c r="I1982" t="b">
        <f>COUNTIF(Estadísticas!I:I,'centraldecomunicacion.es'!H1982)&gt;0</f>
        <v>0</v>
      </c>
    </row>
    <row r="1983" spans="1:9">
      <c r="A1983" t="s">
        <v>7272</v>
      </c>
      <c r="B1983" t="s">
        <v>10</v>
      </c>
      <c r="C1983" t="s">
        <v>28</v>
      </c>
      <c r="D1983" t="s">
        <v>7155</v>
      </c>
      <c r="E1983" t="s">
        <v>28</v>
      </c>
      <c r="F1983" t="s">
        <v>7273</v>
      </c>
      <c r="G1983" t="s">
        <v>7274</v>
      </c>
      <c r="H1983" t="s">
        <v>30</v>
      </c>
      <c r="I1983" t="b">
        <f>COUNTIF(Estadísticas!I:I,'centraldecomunicacion.es'!H1983)&gt;0</f>
        <v>0</v>
      </c>
    </row>
    <row r="1984" spans="1:9">
      <c r="A1984" t="s">
        <v>7275</v>
      </c>
      <c r="B1984" t="s">
        <v>10</v>
      </c>
      <c r="C1984" t="s">
        <v>28</v>
      </c>
      <c r="D1984" t="s">
        <v>7155</v>
      </c>
      <c r="E1984" t="s">
        <v>28</v>
      </c>
      <c r="F1984" t="s">
        <v>7276</v>
      </c>
      <c r="G1984" t="s">
        <v>7277</v>
      </c>
      <c r="H1984" t="s">
        <v>30</v>
      </c>
      <c r="I1984" t="b">
        <f>COUNTIF(Estadísticas!I:I,'centraldecomunicacion.es'!H1984)&gt;0</f>
        <v>0</v>
      </c>
    </row>
    <row r="1985" spans="1:9">
      <c r="A1985" t="s">
        <v>7278</v>
      </c>
      <c r="B1985" t="s">
        <v>219</v>
      </c>
      <c r="C1985" t="s">
        <v>28</v>
      </c>
      <c r="D1985" t="s">
        <v>7155</v>
      </c>
      <c r="E1985" t="s">
        <v>28</v>
      </c>
      <c r="F1985" t="s">
        <v>7279</v>
      </c>
      <c r="G1985" t="s">
        <v>7280</v>
      </c>
      <c r="H1985" t="s">
        <v>7281</v>
      </c>
      <c r="I1985" t="b">
        <f>COUNTIF(Estadísticas!I:I,'centraldecomunicacion.es'!H1985)&gt;0</f>
        <v>0</v>
      </c>
    </row>
    <row r="1986" spans="1:9">
      <c r="A1986" t="s">
        <v>7282</v>
      </c>
      <c r="B1986" t="s">
        <v>10</v>
      </c>
      <c r="C1986" t="s">
        <v>28</v>
      </c>
      <c r="D1986" t="s">
        <v>7155</v>
      </c>
      <c r="E1986" t="s">
        <v>28</v>
      </c>
      <c r="F1986" t="s">
        <v>7273</v>
      </c>
      <c r="G1986" t="s">
        <v>7283</v>
      </c>
      <c r="H1986" t="s">
        <v>30</v>
      </c>
      <c r="I1986" t="b">
        <f>COUNTIF(Estadísticas!I:I,'centraldecomunicacion.es'!H1986)&gt;0</f>
        <v>0</v>
      </c>
    </row>
    <row r="1987" spans="1:9">
      <c r="A1987" t="s">
        <v>7284</v>
      </c>
      <c r="B1987" t="s">
        <v>10</v>
      </c>
      <c r="C1987" t="s">
        <v>28</v>
      </c>
      <c r="D1987" t="s">
        <v>7155</v>
      </c>
      <c r="E1987" t="s">
        <v>28</v>
      </c>
      <c r="F1987" t="s">
        <v>7285</v>
      </c>
      <c r="G1987" t="s">
        <v>7286</v>
      </c>
      <c r="H1987" t="s">
        <v>30</v>
      </c>
      <c r="I1987" t="b">
        <f>COUNTIF(Estadísticas!I:I,'centraldecomunicacion.es'!H1987)&gt;0</f>
        <v>0</v>
      </c>
    </row>
    <row r="1988" spans="1:9">
      <c r="A1988" t="s">
        <v>7287</v>
      </c>
      <c r="B1988" t="s">
        <v>10</v>
      </c>
      <c r="C1988" t="s">
        <v>28</v>
      </c>
      <c r="D1988" t="s">
        <v>7155</v>
      </c>
      <c r="E1988" t="s">
        <v>28</v>
      </c>
      <c r="F1988" t="s">
        <v>7288</v>
      </c>
      <c r="G1988" t="s">
        <v>7289</v>
      </c>
      <c r="H1988" t="s">
        <v>7290</v>
      </c>
      <c r="I1988" t="b">
        <f>COUNTIF(Estadísticas!I:I,'centraldecomunicacion.es'!H1988)&gt;0</f>
        <v>0</v>
      </c>
    </row>
    <row r="1989" spans="1:9">
      <c r="A1989" t="s">
        <v>7291</v>
      </c>
      <c r="B1989" t="s">
        <v>10</v>
      </c>
      <c r="C1989" t="s">
        <v>28</v>
      </c>
      <c r="D1989" t="s">
        <v>7155</v>
      </c>
      <c r="E1989" t="s">
        <v>28</v>
      </c>
      <c r="F1989" t="s">
        <v>7273</v>
      </c>
      <c r="G1989" t="s">
        <v>7292</v>
      </c>
      <c r="H1989" t="s">
        <v>30</v>
      </c>
      <c r="I1989" t="b">
        <f>COUNTIF(Estadísticas!I:I,'centraldecomunicacion.es'!H1989)&gt;0</f>
        <v>0</v>
      </c>
    </row>
    <row r="1990" spans="1:9">
      <c r="A1990" t="s">
        <v>7293</v>
      </c>
      <c r="B1990" t="s">
        <v>10</v>
      </c>
      <c r="C1990" t="s">
        <v>7294</v>
      </c>
      <c r="D1990" t="s">
        <v>7161</v>
      </c>
      <c r="E1990" t="s">
        <v>6680</v>
      </c>
      <c r="F1990" t="s">
        <v>7295</v>
      </c>
      <c r="G1990" t="s">
        <v>7296</v>
      </c>
      <c r="H1990" t="s">
        <v>30</v>
      </c>
      <c r="I1990" t="b">
        <f>COUNTIF(Estadísticas!I:I,'centraldecomunicacion.es'!H1990)&gt;0</f>
        <v>0</v>
      </c>
    </row>
    <row r="1991" spans="1:9">
      <c r="A1991" t="s">
        <v>7297</v>
      </c>
      <c r="B1991" t="s">
        <v>10</v>
      </c>
      <c r="C1991" t="s">
        <v>28</v>
      </c>
      <c r="D1991" t="s">
        <v>7155</v>
      </c>
      <c r="E1991" t="s">
        <v>28</v>
      </c>
      <c r="F1991" t="s">
        <v>7298</v>
      </c>
      <c r="G1991" t="s">
        <v>28</v>
      </c>
      <c r="H1991" t="s">
        <v>7299</v>
      </c>
      <c r="I1991" t="b">
        <f>COUNTIF(Estadísticas!I:I,'centraldecomunicacion.es'!H1991)&gt;0</f>
        <v>0</v>
      </c>
    </row>
    <row r="1992" spans="1:9">
      <c r="A1992" t="s">
        <v>7300</v>
      </c>
      <c r="B1992" t="s">
        <v>10</v>
      </c>
      <c r="C1992" t="s">
        <v>28</v>
      </c>
      <c r="D1992" t="s">
        <v>7155</v>
      </c>
      <c r="E1992" t="s">
        <v>28</v>
      </c>
      <c r="F1992" t="s">
        <v>7301</v>
      </c>
      <c r="G1992" t="s">
        <v>7302</v>
      </c>
      <c r="H1992" t="s">
        <v>7303</v>
      </c>
      <c r="I1992" t="b">
        <f>COUNTIF(Estadísticas!I:I,'centraldecomunicacion.es'!H1992)&gt;0</f>
        <v>0</v>
      </c>
    </row>
    <row r="1993" spans="1:9">
      <c r="A1993" t="s">
        <v>7304</v>
      </c>
      <c r="B1993" t="s">
        <v>10</v>
      </c>
      <c r="C1993" t="s">
        <v>28</v>
      </c>
      <c r="D1993" t="s">
        <v>7155</v>
      </c>
      <c r="E1993" t="s">
        <v>28</v>
      </c>
      <c r="F1993" t="s">
        <v>28</v>
      </c>
      <c r="G1993" t="s">
        <v>7305</v>
      </c>
      <c r="H1993" t="s">
        <v>30</v>
      </c>
      <c r="I1993" t="b">
        <f>COUNTIF(Estadísticas!I:I,'centraldecomunicacion.es'!H1993)&gt;0</f>
        <v>0</v>
      </c>
    </row>
    <row r="1994" spans="1:9">
      <c r="A1994" t="s">
        <v>7306</v>
      </c>
      <c r="B1994" t="s">
        <v>10</v>
      </c>
      <c r="C1994" t="s">
        <v>28</v>
      </c>
      <c r="D1994" t="s">
        <v>7155</v>
      </c>
      <c r="E1994" t="s">
        <v>28</v>
      </c>
      <c r="F1994" t="s">
        <v>7273</v>
      </c>
      <c r="G1994" t="s">
        <v>7307</v>
      </c>
      <c r="H1994" t="s">
        <v>30</v>
      </c>
      <c r="I1994" t="b">
        <f>COUNTIF(Estadísticas!I:I,'centraldecomunicacion.es'!H1994)&gt;0</f>
        <v>0</v>
      </c>
    </row>
    <row r="1995" spans="1:9">
      <c r="A1995" t="s">
        <v>7308</v>
      </c>
      <c r="B1995" t="s">
        <v>10</v>
      </c>
      <c r="C1995" t="s">
        <v>28</v>
      </c>
      <c r="D1995" t="s">
        <v>7155</v>
      </c>
      <c r="E1995" t="s">
        <v>28</v>
      </c>
      <c r="F1995" t="s">
        <v>28</v>
      </c>
      <c r="G1995" t="s">
        <v>7309</v>
      </c>
      <c r="H1995" t="s">
        <v>30</v>
      </c>
      <c r="I1995" t="b">
        <f>COUNTIF(Estadísticas!I:I,'centraldecomunicacion.es'!H1995)&gt;0</f>
        <v>0</v>
      </c>
    </row>
    <row r="1996" spans="1:9">
      <c r="A1996" t="s">
        <v>7310</v>
      </c>
      <c r="B1996" t="s">
        <v>10</v>
      </c>
      <c r="C1996" t="s">
        <v>7311</v>
      </c>
      <c r="D1996" t="s">
        <v>7255</v>
      </c>
      <c r="E1996" t="s">
        <v>7057</v>
      </c>
      <c r="F1996" t="s">
        <v>7312</v>
      </c>
      <c r="G1996" t="s">
        <v>7313</v>
      </c>
      <c r="H1996" t="s">
        <v>7314</v>
      </c>
      <c r="I1996" t="b">
        <f>COUNTIF(Estadísticas!I:I,'centraldecomunicacion.es'!H1996)&gt;0</f>
        <v>0</v>
      </c>
    </row>
    <row r="1997" spans="1:9">
      <c r="A1997" t="s">
        <v>7315</v>
      </c>
      <c r="B1997" t="s">
        <v>10</v>
      </c>
      <c r="C1997" t="s">
        <v>28</v>
      </c>
      <c r="D1997" t="s">
        <v>7155</v>
      </c>
      <c r="E1997" t="s">
        <v>28</v>
      </c>
      <c r="F1997" t="s">
        <v>7270</v>
      </c>
      <c r="G1997" t="s">
        <v>7316</v>
      </c>
      <c r="H1997" t="s">
        <v>30</v>
      </c>
      <c r="I1997" t="b">
        <f>COUNTIF(Estadísticas!I:I,'centraldecomunicacion.es'!H1997)&gt;0</f>
        <v>0</v>
      </c>
    </row>
    <row r="1998" spans="1:9">
      <c r="A1998" t="s">
        <v>7317</v>
      </c>
      <c r="B1998" t="s">
        <v>10</v>
      </c>
      <c r="C1998" t="s">
        <v>28</v>
      </c>
      <c r="D1998" t="s">
        <v>7155</v>
      </c>
      <c r="E1998" t="s">
        <v>28</v>
      </c>
      <c r="F1998" t="s">
        <v>7273</v>
      </c>
      <c r="G1998" t="s">
        <v>7307</v>
      </c>
      <c r="H1998" t="s">
        <v>7318</v>
      </c>
      <c r="I1998" t="b">
        <f>COUNTIF(Estadísticas!I:I,'centraldecomunicacion.es'!H1998)&gt;0</f>
        <v>0</v>
      </c>
    </row>
    <row r="1999" spans="1:9">
      <c r="A1999" t="s">
        <v>7319</v>
      </c>
      <c r="B1999" t="s">
        <v>10</v>
      </c>
      <c r="C1999" t="s">
        <v>28</v>
      </c>
      <c r="D1999" t="s">
        <v>7155</v>
      </c>
      <c r="E1999" t="s">
        <v>28</v>
      </c>
      <c r="F1999" t="s">
        <v>7320</v>
      </c>
      <c r="G1999" t="s">
        <v>7321</v>
      </c>
      <c r="H1999" t="s">
        <v>7322</v>
      </c>
      <c r="I1999" t="b">
        <f>COUNTIF(Estadísticas!I:I,'centraldecomunicacion.es'!H1999)&gt;0</f>
        <v>0</v>
      </c>
    </row>
    <row r="2000" spans="1:9">
      <c r="A2000" t="s">
        <v>7323</v>
      </c>
      <c r="B2000" t="s">
        <v>10</v>
      </c>
      <c r="C2000" t="s">
        <v>28</v>
      </c>
      <c r="D2000" t="s">
        <v>7155</v>
      </c>
      <c r="E2000" t="s">
        <v>28</v>
      </c>
      <c r="F2000" t="s">
        <v>7270</v>
      </c>
      <c r="G2000" t="s">
        <v>7271</v>
      </c>
      <c r="H2000" t="s">
        <v>30</v>
      </c>
      <c r="I2000" t="b">
        <f>COUNTIF(Estadísticas!I:I,'centraldecomunicacion.es'!H2000)&gt;0</f>
        <v>0</v>
      </c>
    </row>
    <row r="2001" spans="1:9">
      <c r="A2001" t="s">
        <v>7324</v>
      </c>
      <c r="B2001" t="s">
        <v>10</v>
      </c>
      <c r="C2001" t="s">
        <v>28</v>
      </c>
      <c r="D2001" t="s">
        <v>7155</v>
      </c>
      <c r="E2001" t="s">
        <v>28</v>
      </c>
      <c r="F2001" t="s">
        <v>7270</v>
      </c>
      <c r="G2001" t="s">
        <v>7283</v>
      </c>
      <c r="H2001" t="s">
        <v>30</v>
      </c>
      <c r="I2001" t="b">
        <f>COUNTIF(Estadísticas!I:I,'centraldecomunicacion.es'!H2001)&gt;0</f>
        <v>0</v>
      </c>
    </row>
    <row r="2002" spans="1:9">
      <c r="A2002" t="s">
        <v>7325</v>
      </c>
      <c r="B2002" t="s">
        <v>10</v>
      </c>
      <c r="C2002" t="s">
        <v>28</v>
      </c>
      <c r="D2002" t="s">
        <v>7155</v>
      </c>
      <c r="E2002" t="s">
        <v>28</v>
      </c>
      <c r="F2002" t="s">
        <v>993</v>
      </c>
      <c r="G2002" t="s">
        <v>7326</v>
      </c>
      <c r="H2002" t="s">
        <v>995</v>
      </c>
      <c r="I2002" t="b">
        <f>COUNTIF(Estadísticas!I:I,'centraldecomunicacion.es'!H2002)&gt;0</f>
        <v>0</v>
      </c>
    </row>
    <row r="2003" spans="1:9">
      <c r="A2003" t="s">
        <v>7327</v>
      </c>
      <c r="B2003" t="s">
        <v>10</v>
      </c>
      <c r="C2003" t="s">
        <v>28</v>
      </c>
      <c r="D2003" t="s">
        <v>7155</v>
      </c>
      <c r="E2003" t="s">
        <v>28</v>
      </c>
      <c r="F2003" t="s">
        <v>7273</v>
      </c>
      <c r="G2003" t="s">
        <v>7328</v>
      </c>
      <c r="H2003" t="s">
        <v>30</v>
      </c>
      <c r="I2003" t="b">
        <f>COUNTIF(Estadísticas!I:I,'centraldecomunicacion.es'!H2003)&gt;0</f>
        <v>0</v>
      </c>
    </row>
    <row r="2004" spans="1:9">
      <c r="A2004" t="s">
        <v>7329</v>
      </c>
      <c r="B2004" t="s">
        <v>10</v>
      </c>
      <c r="C2004" t="s">
        <v>28</v>
      </c>
      <c r="D2004" t="s">
        <v>7155</v>
      </c>
      <c r="E2004" t="s">
        <v>28</v>
      </c>
      <c r="F2004" t="s">
        <v>7156</v>
      </c>
      <c r="G2004" t="s">
        <v>7330</v>
      </c>
      <c r="H2004" t="s">
        <v>7158</v>
      </c>
      <c r="I2004" t="b">
        <f>COUNTIF(Estadísticas!I:I,'centraldecomunicacion.es'!H2004)&gt;0</f>
        <v>0</v>
      </c>
    </row>
    <row r="2005" spans="1:9">
      <c r="A2005" t="s">
        <v>7331</v>
      </c>
      <c r="B2005" t="s">
        <v>10</v>
      </c>
      <c r="C2005" t="s">
        <v>7332</v>
      </c>
      <c r="D2005" t="s">
        <v>7333</v>
      </c>
      <c r="E2005" t="s">
        <v>7057</v>
      </c>
      <c r="F2005" t="s">
        <v>28</v>
      </c>
      <c r="G2005" t="s">
        <v>7334</v>
      </c>
      <c r="H2005" t="s">
        <v>30</v>
      </c>
      <c r="I2005" t="b">
        <f>COUNTIF(Estadísticas!I:I,'centraldecomunicacion.es'!H2005)&gt;0</f>
        <v>0</v>
      </c>
    </row>
    <row r="2006" spans="1:9">
      <c r="A2006" t="s">
        <v>7335</v>
      </c>
      <c r="B2006" t="s">
        <v>10</v>
      </c>
      <c r="C2006" t="s">
        <v>28</v>
      </c>
      <c r="D2006" t="s">
        <v>7155</v>
      </c>
      <c r="E2006" t="s">
        <v>28</v>
      </c>
      <c r="F2006" t="s">
        <v>28</v>
      </c>
      <c r="G2006" t="s">
        <v>7336</v>
      </c>
      <c r="H2006" t="s">
        <v>30</v>
      </c>
      <c r="I2006" t="b">
        <f>COUNTIF(Estadísticas!I:I,'centraldecomunicacion.es'!H2006)&gt;0</f>
        <v>0</v>
      </c>
    </row>
    <row r="2007" spans="1:9">
      <c r="A2007" t="s">
        <v>7337</v>
      </c>
      <c r="B2007" t="s">
        <v>10</v>
      </c>
      <c r="C2007" t="s">
        <v>28</v>
      </c>
      <c r="D2007" t="s">
        <v>7155</v>
      </c>
      <c r="E2007" t="s">
        <v>28</v>
      </c>
      <c r="F2007" t="s">
        <v>7338</v>
      </c>
      <c r="G2007" t="s">
        <v>28</v>
      </c>
      <c r="H2007" t="s">
        <v>30</v>
      </c>
      <c r="I2007" t="b">
        <f>COUNTIF(Estadísticas!I:I,'centraldecomunicacion.es'!H2007)&gt;0</f>
        <v>0</v>
      </c>
    </row>
    <row r="2008" spans="1:9">
      <c r="A2008" t="s">
        <v>3917</v>
      </c>
      <c r="B2008" t="s">
        <v>10</v>
      </c>
      <c r="C2008" t="s">
        <v>28</v>
      </c>
      <c r="D2008" t="s">
        <v>7155</v>
      </c>
      <c r="E2008" t="s">
        <v>28</v>
      </c>
      <c r="F2008" t="s">
        <v>7339</v>
      </c>
      <c r="G2008" t="s">
        <v>7340</v>
      </c>
      <c r="H2008" t="s">
        <v>7341</v>
      </c>
      <c r="I2008" t="b">
        <f>COUNTIF(Estadísticas!I:I,'centraldecomunicacion.es'!H2008)&gt;0</f>
        <v>0</v>
      </c>
    </row>
    <row r="2009" spans="1:9">
      <c r="A2009" t="s">
        <v>7342</v>
      </c>
      <c r="B2009" t="s">
        <v>10</v>
      </c>
      <c r="C2009" t="s">
        <v>28</v>
      </c>
      <c r="D2009" t="s">
        <v>7155</v>
      </c>
      <c r="E2009" t="s">
        <v>28</v>
      </c>
      <c r="F2009" t="s">
        <v>28</v>
      </c>
      <c r="G2009" t="s">
        <v>7343</v>
      </c>
      <c r="H2009" t="s">
        <v>30</v>
      </c>
      <c r="I2009" t="b">
        <f>COUNTIF(Estadísticas!I:I,'centraldecomunicacion.es'!H2009)&gt;0</f>
        <v>0</v>
      </c>
    </row>
    <row r="2010" spans="1:9">
      <c r="A2010" t="s">
        <v>7344</v>
      </c>
      <c r="B2010" t="s">
        <v>10</v>
      </c>
      <c r="C2010" t="s">
        <v>7345</v>
      </c>
      <c r="D2010" t="s">
        <v>7346</v>
      </c>
      <c r="E2010" t="s">
        <v>6771</v>
      </c>
      <c r="F2010" t="s">
        <v>7347</v>
      </c>
      <c r="G2010" t="s">
        <v>7348</v>
      </c>
      <c r="H2010" t="s">
        <v>7349</v>
      </c>
      <c r="I2010" t="b">
        <f>COUNTIF(Estadísticas!I:I,'centraldecomunicacion.es'!H2010)&gt;0</f>
        <v>1</v>
      </c>
    </row>
    <row r="2011" spans="1:9">
      <c r="A2011" t="s">
        <v>7350</v>
      </c>
      <c r="B2011" t="s">
        <v>10</v>
      </c>
      <c r="C2011" t="s">
        <v>28</v>
      </c>
      <c r="D2011" t="s">
        <v>7155</v>
      </c>
      <c r="E2011" t="s">
        <v>28</v>
      </c>
      <c r="F2011" t="s">
        <v>7351</v>
      </c>
      <c r="G2011" t="s">
        <v>3584</v>
      </c>
      <c r="H2011" t="s">
        <v>7352</v>
      </c>
      <c r="I2011" t="b">
        <f>COUNTIF(Estadísticas!I:I,'centraldecomunicacion.es'!H2011)&gt;0</f>
        <v>0</v>
      </c>
    </row>
    <row r="2012" spans="1:9">
      <c r="A2012" t="s">
        <v>7353</v>
      </c>
      <c r="B2012" t="s">
        <v>10</v>
      </c>
      <c r="C2012" t="s">
        <v>7258</v>
      </c>
      <c r="D2012" t="s">
        <v>7225</v>
      </c>
      <c r="E2012" t="s">
        <v>6680</v>
      </c>
      <c r="F2012" t="s">
        <v>7259</v>
      </c>
      <c r="G2012" t="s">
        <v>7354</v>
      </c>
      <c r="H2012" t="s">
        <v>7261</v>
      </c>
      <c r="I2012" t="b">
        <f>COUNTIF(Estadísticas!I:I,'centraldecomunicacion.es'!H2012)&gt;0</f>
        <v>0</v>
      </c>
    </row>
    <row r="2013" spans="1:9">
      <c r="A2013" t="s">
        <v>7355</v>
      </c>
      <c r="B2013" t="s">
        <v>10</v>
      </c>
      <c r="C2013" t="s">
        <v>7356</v>
      </c>
      <c r="D2013" t="s">
        <v>1879</v>
      </c>
      <c r="E2013" t="s">
        <v>1879</v>
      </c>
      <c r="F2013" t="s">
        <v>7357</v>
      </c>
      <c r="G2013" t="s">
        <v>7358</v>
      </c>
      <c r="H2013" t="s">
        <v>7359</v>
      </c>
      <c r="I2013" t="b">
        <f>COUNTIF(Estadísticas!I:I,'centraldecomunicacion.es'!H2013)&gt;0</f>
        <v>1</v>
      </c>
    </row>
    <row r="2014" spans="1:9">
      <c r="A2014" t="s">
        <v>7360</v>
      </c>
      <c r="B2014" t="s">
        <v>10</v>
      </c>
      <c r="C2014" t="s">
        <v>7361</v>
      </c>
      <c r="D2014" t="s">
        <v>1868</v>
      </c>
      <c r="E2014" t="s">
        <v>1868</v>
      </c>
      <c r="F2014" t="s">
        <v>7273</v>
      </c>
      <c r="G2014" t="s">
        <v>7328</v>
      </c>
      <c r="H2014" t="s">
        <v>30</v>
      </c>
      <c r="I2014" t="b">
        <f>COUNTIF(Estadísticas!I:I,'centraldecomunicacion.es'!H2014)&gt;0</f>
        <v>0</v>
      </c>
    </row>
    <row r="2015" spans="1:9">
      <c r="A2015" t="s">
        <v>7362</v>
      </c>
      <c r="B2015" t="s">
        <v>10</v>
      </c>
      <c r="C2015" t="s">
        <v>7363</v>
      </c>
      <c r="D2015" t="s">
        <v>7364</v>
      </c>
      <c r="E2015" t="s">
        <v>7364</v>
      </c>
      <c r="F2015" t="s">
        <v>38</v>
      </c>
      <c r="G2015" t="s">
        <v>7365</v>
      </c>
      <c r="H2015" t="s">
        <v>30</v>
      </c>
      <c r="I2015" t="b">
        <f>COUNTIF(Estadísticas!I:I,'centraldecomunicacion.es'!H2015)&gt;0</f>
        <v>0</v>
      </c>
    </row>
    <row r="2016" spans="1:9">
      <c r="A2016" t="s">
        <v>7366</v>
      </c>
      <c r="B2016" t="s">
        <v>10</v>
      </c>
      <c r="C2016" t="s">
        <v>1867</v>
      </c>
      <c r="D2016" t="s">
        <v>1868</v>
      </c>
      <c r="E2016" t="s">
        <v>1868</v>
      </c>
      <c r="F2016" t="s">
        <v>28</v>
      </c>
      <c r="G2016" t="s">
        <v>7367</v>
      </c>
      <c r="H2016" t="s">
        <v>30</v>
      </c>
      <c r="I2016" t="b">
        <f>COUNTIF(Estadísticas!I:I,'centraldecomunicacion.es'!H2016)&gt;0</f>
        <v>0</v>
      </c>
    </row>
    <row r="2017" spans="1:9">
      <c r="A2017" t="s">
        <v>7368</v>
      </c>
      <c r="B2017" t="s">
        <v>10</v>
      </c>
      <c r="C2017" t="s">
        <v>7369</v>
      </c>
      <c r="D2017" t="s">
        <v>1879</v>
      </c>
      <c r="E2017" t="s">
        <v>1879</v>
      </c>
      <c r="F2017" t="s">
        <v>7370</v>
      </c>
      <c r="G2017" t="s">
        <v>7371</v>
      </c>
      <c r="H2017" t="s">
        <v>30</v>
      </c>
      <c r="I2017" t="b">
        <f>COUNTIF(Estadísticas!I:I,'centraldecomunicacion.es'!H2017)&gt;0</f>
        <v>0</v>
      </c>
    </row>
    <row r="2018" spans="1:9">
      <c r="A2018" t="s">
        <v>7372</v>
      </c>
      <c r="B2018" t="s">
        <v>10</v>
      </c>
      <c r="C2018" t="s">
        <v>7373</v>
      </c>
      <c r="D2018" t="s">
        <v>1879</v>
      </c>
      <c r="E2018" t="s">
        <v>1879</v>
      </c>
      <c r="F2018" t="s">
        <v>7374</v>
      </c>
      <c r="G2018" t="s">
        <v>7375</v>
      </c>
      <c r="H2018" t="s">
        <v>30</v>
      </c>
      <c r="I2018" t="b">
        <f>COUNTIF(Estadísticas!I:I,'centraldecomunicacion.es'!H2018)&gt;0</f>
        <v>0</v>
      </c>
    </row>
    <row r="2019" spans="1:9">
      <c r="A2019" t="s">
        <v>7376</v>
      </c>
      <c r="B2019" t="s">
        <v>10</v>
      </c>
      <c r="C2019" t="s">
        <v>7377</v>
      </c>
      <c r="D2019" t="s">
        <v>7378</v>
      </c>
      <c r="E2019" t="s">
        <v>6786</v>
      </c>
      <c r="F2019" t="s">
        <v>7379</v>
      </c>
      <c r="G2019" t="s">
        <v>7380</v>
      </c>
      <c r="H2019" t="s">
        <v>30</v>
      </c>
      <c r="I2019" t="b">
        <f>COUNTIF(Estadísticas!I:I,'centraldecomunicacion.es'!H2019)&gt;0</f>
        <v>0</v>
      </c>
    </row>
    <row r="2020" spans="1:9">
      <c r="A2020" t="s">
        <v>7381</v>
      </c>
      <c r="B2020" t="s">
        <v>10</v>
      </c>
      <c r="C2020" t="s">
        <v>7382</v>
      </c>
      <c r="D2020" t="s">
        <v>1879</v>
      </c>
      <c r="E2020" t="s">
        <v>1879</v>
      </c>
      <c r="F2020" t="s">
        <v>7383</v>
      </c>
      <c r="G2020" t="s">
        <v>7384</v>
      </c>
      <c r="H2020" t="s">
        <v>30</v>
      </c>
      <c r="I2020" t="b">
        <f>COUNTIF(Estadísticas!I:I,'centraldecomunicacion.es'!H2020)&gt;0</f>
        <v>0</v>
      </c>
    </row>
    <row r="2021" spans="1:9">
      <c r="A2021" t="s">
        <v>7385</v>
      </c>
      <c r="B2021" t="s">
        <v>10</v>
      </c>
      <c r="C2021" t="s">
        <v>7386</v>
      </c>
      <c r="D2021" t="s">
        <v>7184</v>
      </c>
      <c r="E2021" t="s">
        <v>7184</v>
      </c>
      <c r="F2021" t="s">
        <v>50</v>
      </c>
      <c r="G2021" t="s">
        <v>7387</v>
      </c>
      <c r="H2021" t="s">
        <v>30</v>
      </c>
      <c r="I2021" t="b">
        <f>COUNTIF(Estadísticas!I:I,'centraldecomunicacion.es'!H2021)&gt;0</f>
        <v>0</v>
      </c>
    </row>
    <row r="2022" spans="1:9">
      <c r="A2022" t="s">
        <v>7388</v>
      </c>
      <c r="B2022" t="s">
        <v>10</v>
      </c>
      <c r="C2022" t="s">
        <v>7389</v>
      </c>
      <c r="D2022" t="s">
        <v>7184</v>
      </c>
      <c r="E2022" t="s">
        <v>7184</v>
      </c>
      <c r="F2022" t="s">
        <v>7390</v>
      </c>
      <c r="G2022" t="s">
        <v>7391</v>
      </c>
      <c r="H2022" t="s">
        <v>7392</v>
      </c>
      <c r="I2022" t="b">
        <f>COUNTIF(Estadísticas!I:I,'centraldecomunicacion.es'!H2022)&gt;0</f>
        <v>0</v>
      </c>
    </row>
    <row r="2023" spans="1:9">
      <c r="A2023" t="s">
        <v>7393</v>
      </c>
      <c r="B2023" t="s">
        <v>10</v>
      </c>
      <c r="C2023" t="s">
        <v>7394</v>
      </c>
      <c r="D2023" t="s">
        <v>7184</v>
      </c>
      <c r="E2023" t="s">
        <v>7184</v>
      </c>
      <c r="F2023" t="s">
        <v>7395</v>
      </c>
      <c r="G2023" t="s">
        <v>7396</v>
      </c>
      <c r="H2023" t="s">
        <v>5396</v>
      </c>
      <c r="I2023" t="b">
        <f>COUNTIF(Estadísticas!I:I,'centraldecomunicacion.es'!H2023)&gt;0</f>
        <v>0</v>
      </c>
    </row>
    <row r="2024" spans="1:9">
      <c r="A2024" t="s">
        <v>7397</v>
      </c>
      <c r="B2024" t="s">
        <v>10</v>
      </c>
      <c r="C2024" t="s">
        <v>7398</v>
      </c>
      <c r="D2024" t="s">
        <v>7184</v>
      </c>
      <c r="E2024" t="s">
        <v>7184</v>
      </c>
      <c r="F2024" t="s">
        <v>28</v>
      </c>
      <c r="G2024" t="s">
        <v>7399</v>
      </c>
      <c r="H2024" t="s">
        <v>30</v>
      </c>
      <c r="I2024" t="b">
        <f>COUNTIF(Estadísticas!I:I,'centraldecomunicacion.es'!H2024)&gt;0</f>
        <v>0</v>
      </c>
    </row>
    <row r="2025" spans="1:9">
      <c r="A2025" t="s">
        <v>7400</v>
      </c>
      <c r="B2025" t="s">
        <v>10</v>
      </c>
      <c r="C2025" t="s">
        <v>7401</v>
      </c>
      <c r="D2025" t="s">
        <v>7184</v>
      </c>
      <c r="E2025" t="s">
        <v>7184</v>
      </c>
      <c r="F2025" t="s">
        <v>7402</v>
      </c>
      <c r="G2025" t="s">
        <v>7403</v>
      </c>
      <c r="H2025" t="s">
        <v>30</v>
      </c>
      <c r="I2025" t="b">
        <f>COUNTIF(Estadísticas!I:I,'centraldecomunicacion.es'!H2025)&gt;0</f>
        <v>0</v>
      </c>
    </row>
    <row r="2026" spans="1:9">
      <c r="A2026" t="s">
        <v>7404</v>
      </c>
      <c r="B2026" t="s">
        <v>10</v>
      </c>
      <c r="C2026" t="s">
        <v>7405</v>
      </c>
      <c r="D2026" t="s">
        <v>7184</v>
      </c>
      <c r="E2026" t="s">
        <v>7184</v>
      </c>
      <c r="F2026" t="s">
        <v>28</v>
      </c>
      <c r="G2026" t="s">
        <v>7406</v>
      </c>
      <c r="H2026" t="s">
        <v>30</v>
      </c>
      <c r="I2026" t="b">
        <f>COUNTIF(Estadísticas!I:I,'centraldecomunicacion.es'!H2026)&gt;0</f>
        <v>0</v>
      </c>
    </row>
    <row r="2027" spans="1:9">
      <c r="A2027" t="s">
        <v>7407</v>
      </c>
      <c r="B2027" t="s">
        <v>10</v>
      </c>
      <c r="C2027" t="s">
        <v>7408</v>
      </c>
      <c r="D2027" t="s">
        <v>7184</v>
      </c>
      <c r="E2027" t="s">
        <v>7184</v>
      </c>
      <c r="F2027" t="s">
        <v>7409</v>
      </c>
      <c r="G2027" t="s">
        <v>7410</v>
      </c>
      <c r="H2027" t="s">
        <v>30</v>
      </c>
      <c r="I2027" t="b">
        <f>COUNTIF(Estadísticas!I:I,'centraldecomunicacion.es'!H2027)&gt;0</f>
        <v>0</v>
      </c>
    </row>
    <row r="2028" spans="1:9">
      <c r="A2028" t="s">
        <v>7411</v>
      </c>
      <c r="B2028" t="s">
        <v>10</v>
      </c>
      <c r="C2028" t="s">
        <v>7412</v>
      </c>
      <c r="D2028" t="s">
        <v>7184</v>
      </c>
      <c r="E2028" t="s">
        <v>7184</v>
      </c>
      <c r="F2028" t="s">
        <v>28</v>
      </c>
      <c r="G2028" t="s">
        <v>7413</v>
      </c>
      <c r="H2028" t="s">
        <v>30</v>
      </c>
      <c r="I2028" t="b">
        <f>COUNTIF(Estadísticas!I:I,'centraldecomunicacion.es'!H2028)&gt;0</f>
        <v>0</v>
      </c>
    </row>
    <row r="2029" spans="1:9">
      <c r="A2029" t="s">
        <v>7414</v>
      </c>
      <c r="B2029" t="s">
        <v>10</v>
      </c>
      <c r="C2029" t="s">
        <v>7415</v>
      </c>
      <c r="D2029" t="s">
        <v>7184</v>
      </c>
      <c r="E2029" t="s">
        <v>7184</v>
      </c>
      <c r="F2029" t="s">
        <v>28</v>
      </c>
      <c r="G2029" t="s">
        <v>7416</v>
      </c>
      <c r="H2029" t="s">
        <v>30</v>
      </c>
      <c r="I2029" t="b">
        <f>COUNTIF(Estadísticas!I:I,'centraldecomunicacion.es'!H2029)&gt;0</f>
        <v>0</v>
      </c>
    </row>
    <row r="2030" spans="1:9">
      <c r="A2030" t="s">
        <v>7417</v>
      </c>
      <c r="B2030" t="s">
        <v>10</v>
      </c>
      <c r="C2030" t="s">
        <v>7418</v>
      </c>
      <c r="D2030" t="s">
        <v>7184</v>
      </c>
      <c r="E2030" t="s">
        <v>7184</v>
      </c>
      <c r="F2030" t="s">
        <v>7419</v>
      </c>
      <c r="G2030" t="s">
        <v>7420</v>
      </c>
      <c r="H2030" t="s">
        <v>30</v>
      </c>
      <c r="I2030" t="b">
        <f>COUNTIF(Estadísticas!I:I,'centraldecomunicacion.es'!H2030)&gt;0</f>
        <v>0</v>
      </c>
    </row>
    <row r="2031" spans="1:9">
      <c r="A2031" t="s">
        <v>7421</v>
      </c>
      <c r="B2031" t="s">
        <v>10</v>
      </c>
      <c r="C2031" t="s">
        <v>7422</v>
      </c>
      <c r="D2031" t="s">
        <v>7184</v>
      </c>
      <c r="E2031" t="s">
        <v>7184</v>
      </c>
      <c r="F2031" t="s">
        <v>28</v>
      </c>
      <c r="G2031" t="s">
        <v>7423</v>
      </c>
      <c r="H2031" t="s">
        <v>30</v>
      </c>
      <c r="I2031" t="b">
        <f>COUNTIF(Estadísticas!I:I,'centraldecomunicacion.es'!H2031)&gt;0</f>
        <v>0</v>
      </c>
    </row>
    <row r="2032" spans="1:9">
      <c r="A2032" t="s">
        <v>7424</v>
      </c>
      <c r="B2032" t="s">
        <v>10</v>
      </c>
      <c r="C2032" t="s">
        <v>7425</v>
      </c>
      <c r="D2032" t="s">
        <v>7184</v>
      </c>
      <c r="E2032" t="s">
        <v>7184</v>
      </c>
      <c r="F2032" t="s">
        <v>28</v>
      </c>
      <c r="G2032" t="s">
        <v>7426</v>
      </c>
      <c r="H2032" t="s">
        <v>30</v>
      </c>
      <c r="I2032" t="b">
        <f>COUNTIF(Estadísticas!I:I,'centraldecomunicacion.es'!H2032)&gt;0</f>
        <v>0</v>
      </c>
    </row>
    <row r="2033" spans="1:9">
      <c r="A2033" t="s">
        <v>7427</v>
      </c>
      <c r="B2033" t="s">
        <v>10</v>
      </c>
      <c r="C2033" t="s">
        <v>7428</v>
      </c>
      <c r="D2033" t="s">
        <v>7429</v>
      </c>
      <c r="E2033" t="s">
        <v>7184</v>
      </c>
      <c r="F2033" t="s">
        <v>50</v>
      </c>
      <c r="G2033" t="s">
        <v>7430</v>
      </c>
      <c r="H2033" t="s">
        <v>30</v>
      </c>
      <c r="I2033" t="b">
        <f>COUNTIF(Estadísticas!I:I,'centraldecomunicacion.es'!H2033)&gt;0</f>
        <v>0</v>
      </c>
    </row>
    <row r="2034" spans="1:9">
      <c r="A2034" t="s">
        <v>7431</v>
      </c>
      <c r="B2034" t="s">
        <v>10</v>
      </c>
      <c r="C2034" t="s">
        <v>7432</v>
      </c>
      <c r="D2034" t="s">
        <v>7433</v>
      </c>
      <c r="E2034" t="s">
        <v>7184</v>
      </c>
      <c r="F2034" t="s">
        <v>7434</v>
      </c>
      <c r="G2034" t="s">
        <v>7435</v>
      </c>
      <c r="H2034" t="s">
        <v>691</v>
      </c>
      <c r="I2034" t="b">
        <f>COUNTIF(Estadísticas!I:I,'centraldecomunicacion.es'!H2034)&gt;0</f>
        <v>0</v>
      </c>
    </row>
    <row r="2035" spans="1:9">
      <c r="A2035" t="s">
        <v>7436</v>
      </c>
      <c r="B2035" t="s">
        <v>10</v>
      </c>
      <c r="C2035" t="s">
        <v>7437</v>
      </c>
      <c r="D2035" t="s">
        <v>7433</v>
      </c>
      <c r="E2035" t="s">
        <v>7184</v>
      </c>
      <c r="F2035" t="s">
        <v>38</v>
      </c>
      <c r="G2035" t="s">
        <v>7438</v>
      </c>
      <c r="H2035" t="s">
        <v>30</v>
      </c>
      <c r="I2035" t="b">
        <f>COUNTIF(Estadísticas!I:I,'centraldecomunicacion.es'!H2035)&gt;0</f>
        <v>0</v>
      </c>
    </row>
    <row r="2036" spans="1:9">
      <c r="A2036" t="s">
        <v>7439</v>
      </c>
      <c r="B2036" t="s">
        <v>10</v>
      </c>
      <c r="C2036" t="s">
        <v>7440</v>
      </c>
      <c r="D2036" t="s">
        <v>7441</v>
      </c>
      <c r="E2036" t="s">
        <v>7184</v>
      </c>
      <c r="F2036" t="s">
        <v>38</v>
      </c>
      <c r="G2036" t="s">
        <v>7442</v>
      </c>
      <c r="H2036" t="s">
        <v>30</v>
      </c>
      <c r="I2036" t="b">
        <f>COUNTIF(Estadísticas!I:I,'centraldecomunicacion.es'!H2036)&gt;0</f>
        <v>0</v>
      </c>
    </row>
    <row r="2037" spans="1:9">
      <c r="A2037" t="s">
        <v>7443</v>
      </c>
      <c r="B2037" t="s">
        <v>10</v>
      </c>
      <c r="C2037" t="s">
        <v>7444</v>
      </c>
      <c r="D2037" t="s">
        <v>7445</v>
      </c>
      <c r="E2037" t="s">
        <v>7184</v>
      </c>
      <c r="F2037" t="s">
        <v>50</v>
      </c>
      <c r="G2037" t="s">
        <v>7446</v>
      </c>
      <c r="H2037" t="s">
        <v>30</v>
      </c>
      <c r="I2037" t="b">
        <f>COUNTIF(Estadísticas!I:I,'centraldecomunicacion.es'!H2037)&gt;0</f>
        <v>0</v>
      </c>
    </row>
    <row r="2038" spans="1:9">
      <c r="A2038" t="s">
        <v>7447</v>
      </c>
      <c r="B2038" t="s">
        <v>10</v>
      </c>
      <c r="C2038" t="s">
        <v>7448</v>
      </c>
      <c r="D2038" t="s">
        <v>7449</v>
      </c>
      <c r="E2038" t="s">
        <v>7184</v>
      </c>
      <c r="F2038" t="s">
        <v>7450</v>
      </c>
      <c r="G2038" t="s">
        <v>7451</v>
      </c>
      <c r="H2038" t="s">
        <v>7452</v>
      </c>
      <c r="I2038" t="b">
        <f>COUNTIF(Estadísticas!I:I,'centraldecomunicacion.es'!H2038)&gt;0</f>
        <v>0</v>
      </c>
    </row>
    <row r="2039" spans="1:9">
      <c r="A2039" t="s">
        <v>7453</v>
      </c>
      <c r="B2039" t="s">
        <v>10</v>
      </c>
      <c r="C2039" t="s">
        <v>7454</v>
      </c>
      <c r="D2039" t="s">
        <v>7455</v>
      </c>
      <c r="E2039" t="s">
        <v>7184</v>
      </c>
      <c r="F2039" t="s">
        <v>28</v>
      </c>
      <c r="G2039" t="s">
        <v>7456</v>
      </c>
      <c r="H2039" t="s">
        <v>30</v>
      </c>
      <c r="I2039" t="b">
        <f>COUNTIF(Estadísticas!I:I,'centraldecomunicacion.es'!H2039)&gt;0</f>
        <v>0</v>
      </c>
    </row>
    <row r="2040" spans="1:9">
      <c r="A2040" t="s">
        <v>7457</v>
      </c>
      <c r="B2040" t="s">
        <v>10</v>
      </c>
      <c r="C2040" t="s">
        <v>7458</v>
      </c>
      <c r="D2040" t="s">
        <v>7459</v>
      </c>
      <c r="E2040" t="s">
        <v>1868</v>
      </c>
      <c r="F2040" t="s">
        <v>7460</v>
      </c>
      <c r="G2040" t="s">
        <v>7461</v>
      </c>
      <c r="H2040" t="s">
        <v>7462</v>
      </c>
      <c r="I2040" t="b">
        <f>COUNTIF(Estadísticas!I:I,'centraldecomunicacion.es'!H2040)&gt;0</f>
        <v>0</v>
      </c>
    </row>
    <row r="2041" spans="1:9">
      <c r="A2041" t="s">
        <v>7463</v>
      </c>
      <c r="B2041" t="s">
        <v>10</v>
      </c>
      <c r="C2041" t="s">
        <v>7464</v>
      </c>
      <c r="D2041" t="s">
        <v>7459</v>
      </c>
      <c r="E2041" t="s">
        <v>1868</v>
      </c>
      <c r="F2041" t="s">
        <v>7465</v>
      </c>
      <c r="G2041" t="s">
        <v>7466</v>
      </c>
      <c r="H2041" t="s">
        <v>7467</v>
      </c>
      <c r="I2041" t="b">
        <f>COUNTIF(Estadísticas!I:I,'centraldecomunicacion.es'!H2041)&gt;0</f>
        <v>0</v>
      </c>
    </row>
    <row r="2042" spans="1:9">
      <c r="A2042" t="s">
        <v>7468</v>
      </c>
      <c r="B2042" t="s">
        <v>10</v>
      </c>
      <c r="C2042" t="s">
        <v>28</v>
      </c>
      <c r="D2042" t="s">
        <v>7469</v>
      </c>
      <c r="E2042" t="s">
        <v>28</v>
      </c>
      <c r="F2042" t="s">
        <v>28</v>
      </c>
      <c r="G2042" t="s">
        <v>7252</v>
      </c>
      <c r="H2042" t="s">
        <v>30</v>
      </c>
      <c r="I2042" t="b">
        <f>COUNTIF(Estadísticas!I:I,'centraldecomunicacion.es'!H2042)&gt;0</f>
        <v>0</v>
      </c>
    </row>
    <row r="2043" spans="1:9">
      <c r="A2043" t="s">
        <v>7470</v>
      </c>
      <c r="B2043" t="s">
        <v>10</v>
      </c>
      <c r="C2043" t="s">
        <v>7471</v>
      </c>
      <c r="D2043" t="s">
        <v>7472</v>
      </c>
      <c r="E2043" t="s">
        <v>1868</v>
      </c>
      <c r="F2043" t="s">
        <v>7473</v>
      </c>
      <c r="G2043" t="s">
        <v>7474</v>
      </c>
      <c r="H2043" t="s">
        <v>7475</v>
      </c>
      <c r="I2043" t="b">
        <f>COUNTIF(Estadísticas!I:I,'centraldecomunicacion.es'!H2043)&gt;0</f>
        <v>0</v>
      </c>
    </row>
    <row r="2044" spans="1:9">
      <c r="A2044" t="s">
        <v>7476</v>
      </c>
      <c r="B2044" t="s">
        <v>10</v>
      </c>
      <c r="C2044" t="s">
        <v>7477</v>
      </c>
      <c r="D2044" t="s">
        <v>7478</v>
      </c>
      <c r="E2044" t="s">
        <v>7184</v>
      </c>
      <c r="F2044" t="s">
        <v>28</v>
      </c>
      <c r="G2044" t="s">
        <v>7479</v>
      </c>
      <c r="H2044" t="s">
        <v>30</v>
      </c>
      <c r="I2044" t="b">
        <f>COUNTIF(Estadísticas!I:I,'centraldecomunicacion.es'!H2044)&gt;0</f>
        <v>0</v>
      </c>
    </row>
    <row r="2045" spans="1:9">
      <c r="A2045" t="s">
        <v>7480</v>
      </c>
      <c r="B2045" t="s">
        <v>10</v>
      </c>
      <c r="C2045" t="s">
        <v>7481</v>
      </c>
      <c r="D2045" t="s">
        <v>1868</v>
      </c>
      <c r="E2045" t="s">
        <v>1868</v>
      </c>
      <c r="F2045" t="s">
        <v>28</v>
      </c>
      <c r="G2045" t="s">
        <v>7482</v>
      </c>
      <c r="H2045" t="s">
        <v>30</v>
      </c>
      <c r="I2045" t="b">
        <f>COUNTIF(Estadísticas!I:I,'centraldecomunicacion.es'!H2045)&gt;0</f>
        <v>0</v>
      </c>
    </row>
    <row r="2046" spans="1:9">
      <c r="A2046" t="s">
        <v>4587</v>
      </c>
      <c r="B2046" t="s">
        <v>10</v>
      </c>
      <c r="C2046" t="s">
        <v>7483</v>
      </c>
      <c r="D2046" t="s">
        <v>7459</v>
      </c>
      <c r="E2046" t="s">
        <v>1868</v>
      </c>
      <c r="F2046" t="s">
        <v>7484</v>
      </c>
      <c r="G2046" t="s">
        <v>7485</v>
      </c>
      <c r="H2046" t="s">
        <v>7486</v>
      </c>
      <c r="I2046" t="b">
        <f>COUNTIF(Estadísticas!I:I,'centraldecomunicacion.es'!H2046)&gt;0</f>
        <v>0</v>
      </c>
    </row>
    <row r="2047" spans="1:9">
      <c r="A2047" t="s">
        <v>7487</v>
      </c>
      <c r="B2047" t="s">
        <v>10</v>
      </c>
      <c r="C2047" t="s">
        <v>28</v>
      </c>
      <c r="D2047" t="s">
        <v>7469</v>
      </c>
      <c r="E2047" t="s">
        <v>28</v>
      </c>
      <c r="F2047" t="s">
        <v>28</v>
      </c>
      <c r="G2047" t="s">
        <v>7252</v>
      </c>
      <c r="H2047" t="s">
        <v>30</v>
      </c>
      <c r="I2047" t="b">
        <f>COUNTIF(Estadísticas!I:I,'centraldecomunicacion.es'!H2047)&gt;0</f>
        <v>0</v>
      </c>
    </row>
    <row r="2048" spans="1:9">
      <c r="A2048" t="s">
        <v>7488</v>
      </c>
      <c r="B2048" t="s">
        <v>10</v>
      </c>
      <c r="C2048" t="s">
        <v>7489</v>
      </c>
      <c r="D2048" t="s">
        <v>7459</v>
      </c>
      <c r="E2048" t="s">
        <v>1868</v>
      </c>
      <c r="F2048" t="s">
        <v>7490</v>
      </c>
      <c r="G2048" t="s">
        <v>7491</v>
      </c>
      <c r="H2048" t="s">
        <v>7492</v>
      </c>
      <c r="I2048" t="b">
        <f>COUNTIF(Estadísticas!I:I,'centraldecomunicacion.es'!H2048)&gt;0</f>
        <v>0</v>
      </c>
    </row>
    <row r="2049" spans="1:9">
      <c r="A2049" t="s">
        <v>7493</v>
      </c>
      <c r="B2049" t="s">
        <v>10</v>
      </c>
      <c r="C2049" t="s">
        <v>7494</v>
      </c>
      <c r="D2049" t="s">
        <v>7495</v>
      </c>
      <c r="E2049" t="s">
        <v>1868</v>
      </c>
      <c r="F2049" t="s">
        <v>28</v>
      </c>
      <c r="G2049" t="s">
        <v>7496</v>
      </c>
      <c r="H2049" t="s">
        <v>30</v>
      </c>
      <c r="I2049" t="b">
        <f>COUNTIF(Estadísticas!I:I,'centraldecomunicacion.es'!H2049)&gt;0</f>
        <v>0</v>
      </c>
    </row>
    <row r="2050" spans="1:9">
      <c r="A2050" t="s">
        <v>7497</v>
      </c>
      <c r="B2050" t="s">
        <v>10</v>
      </c>
      <c r="C2050" t="s">
        <v>7498</v>
      </c>
      <c r="D2050" t="s">
        <v>7499</v>
      </c>
      <c r="E2050" t="s">
        <v>1868</v>
      </c>
      <c r="F2050" t="s">
        <v>7500</v>
      </c>
      <c r="G2050" t="s">
        <v>7501</v>
      </c>
      <c r="H2050" t="s">
        <v>30</v>
      </c>
      <c r="I2050" t="b">
        <f>COUNTIF(Estadísticas!I:I,'centraldecomunicacion.es'!H2050)&gt;0</f>
        <v>0</v>
      </c>
    </row>
    <row r="2051" spans="1:9">
      <c r="A2051" t="s">
        <v>7502</v>
      </c>
      <c r="B2051" t="s">
        <v>10</v>
      </c>
      <c r="C2051" t="s">
        <v>7503</v>
      </c>
      <c r="D2051" t="s">
        <v>7057</v>
      </c>
      <c r="E2051" t="s">
        <v>7057</v>
      </c>
      <c r="F2051" t="s">
        <v>7504</v>
      </c>
      <c r="G2051" t="s">
        <v>7505</v>
      </c>
      <c r="H2051" t="s">
        <v>7506</v>
      </c>
      <c r="I2051" t="b">
        <f>COUNTIF(Estadísticas!I:I,'centraldecomunicacion.es'!H2051)&gt;0</f>
        <v>0</v>
      </c>
    </row>
    <row r="2052" spans="1:9">
      <c r="A2052" t="s">
        <v>7507</v>
      </c>
      <c r="B2052" t="s">
        <v>10</v>
      </c>
      <c r="C2052" t="s">
        <v>7508</v>
      </c>
      <c r="D2052" t="s">
        <v>7057</v>
      </c>
      <c r="E2052" t="s">
        <v>7057</v>
      </c>
      <c r="F2052" t="s">
        <v>7509</v>
      </c>
      <c r="G2052" t="s">
        <v>7510</v>
      </c>
      <c r="H2052" t="s">
        <v>30</v>
      </c>
      <c r="I2052" t="b">
        <f>COUNTIF(Estadísticas!I:I,'centraldecomunicacion.es'!H2052)&gt;0</f>
        <v>0</v>
      </c>
    </row>
    <row r="2053" spans="1:9">
      <c r="A2053" t="s">
        <v>7511</v>
      </c>
      <c r="B2053" t="s">
        <v>10</v>
      </c>
      <c r="C2053" t="s">
        <v>7512</v>
      </c>
      <c r="D2053" t="s">
        <v>7057</v>
      </c>
      <c r="E2053" t="s">
        <v>7057</v>
      </c>
      <c r="F2053" t="s">
        <v>28</v>
      </c>
      <c r="G2053" t="s">
        <v>7513</v>
      </c>
      <c r="H2053" t="s">
        <v>30</v>
      </c>
      <c r="I2053" t="b">
        <f>COUNTIF(Estadísticas!I:I,'centraldecomunicacion.es'!H2053)&gt;0</f>
        <v>0</v>
      </c>
    </row>
    <row r="2054" spans="1:9">
      <c r="A2054" t="s">
        <v>6768</v>
      </c>
      <c r="B2054" t="s">
        <v>10</v>
      </c>
      <c r="C2054" t="s">
        <v>7514</v>
      </c>
      <c r="D2054" t="s">
        <v>7057</v>
      </c>
      <c r="E2054" t="s">
        <v>7057</v>
      </c>
      <c r="F2054" t="s">
        <v>7515</v>
      </c>
      <c r="G2054" t="s">
        <v>7516</v>
      </c>
      <c r="H2054" t="s">
        <v>1643</v>
      </c>
      <c r="I2054" t="b">
        <f>COUNTIF(Estadísticas!I:I,'centraldecomunicacion.es'!H2054)&gt;0</f>
        <v>0</v>
      </c>
    </row>
    <row r="2055" spans="1:9">
      <c r="A2055" t="s">
        <v>7517</v>
      </c>
      <c r="B2055" t="s">
        <v>10</v>
      </c>
      <c r="C2055" t="s">
        <v>7518</v>
      </c>
      <c r="D2055" t="s">
        <v>7057</v>
      </c>
      <c r="E2055" t="s">
        <v>7057</v>
      </c>
      <c r="F2055" t="s">
        <v>7519</v>
      </c>
      <c r="G2055" t="s">
        <v>7520</v>
      </c>
      <c r="H2055" t="s">
        <v>7521</v>
      </c>
      <c r="I2055" t="b">
        <f>COUNTIF(Estadísticas!I:I,'centraldecomunicacion.es'!H2055)&gt;0</f>
        <v>1</v>
      </c>
    </row>
    <row r="2056" spans="1:9">
      <c r="A2056" t="s">
        <v>7522</v>
      </c>
      <c r="B2056" t="s">
        <v>10</v>
      </c>
      <c r="C2056" t="s">
        <v>7523</v>
      </c>
      <c r="D2056" t="s">
        <v>7057</v>
      </c>
      <c r="E2056" t="s">
        <v>7057</v>
      </c>
      <c r="F2056" t="s">
        <v>28</v>
      </c>
      <c r="G2056" t="s">
        <v>7524</v>
      </c>
      <c r="H2056" t="s">
        <v>30</v>
      </c>
      <c r="I2056" t="b">
        <f>COUNTIF(Estadísticas!I:I,'centraldecomunicacion.es'!H2056)&gt;0</f>
        <v>0</v>
      </c>
    </row>
    <row r="2057" spans="1:9">
      <c r="A2057" t="s">
        <v>7525</v>
      </c>
      <c r="B2057" t="s">
        <v>10</v>
      </c>
      <c r="C2057" t="s">
        <v>7526</v>
      </c>
      <c r="D2057" t="s">
        <v>7057</v>
      </c>
      <c r="E2057" t="s">
        <v>7057</v>
      </c>
      <c r="F2057" t="s">
        <v>28</v>
      </c>
      <c r="G2057" t="s">
        <v>28</v>
      </c>
      <c r="H2057" t="s">
        <v>30</v>
      </c>
      <c r="I2057" t="b">
        <f>COUNTIF(Estadísticas!I:I,'centraldecomunicacion.es'!H2057)&gt;0</f>
        <v>0</v>
      </c>
    </row>
    <row r="2058" spans="1:9">
      <c r="A2058" t="s">
        <v>7527</v>
      </c>
      <c r="B2058" t="s">
        <v>10</v>
      </c>
      <c r="C2058" t="s">
        <v>7528</v>
      </c>
      <c r="D2058" t="s">
        <v>7057</v>
      </c>
      <c r="E2058" t="s">
        <v>7057</v>
      </c>
      <c r="F2058" t="s">
        <v>7529</v>
      </c>
      <c r="G2058" t="s">
        <v>7530</v>
      </c>
      <c r="H2058" t="s">
        <v>7531</v>
      </c>
      <c r="I2058" t="b">
        <f>COUNTIF(Estadísticas!I:I,'centraldecomunicacion.es'!H2058)&gt;0</f>
        <v>1</v>
      </c>
    </row>
    <row r="2059" spans="1:9">
      <c r="A2059" t="s">
        <v>7517</v>
      </c>
      <c r="B2059" t="s">
        <v>10</v>
      </c>
      <c r="C2059" t="s">
        <v>7532</v>
      </c>
      <c r="D2059" t="s">
        <v>7057</v>
      </c>
      <c r="E2059" t="s">
        <v>7057</v>
      </c>
      <c r="F2059" t="s">
        <v>7519</v>
      </c>
      <c r="G2059" t="s">
        <v>7533</v>
      </c>
      <c r="H2059" t="s">
        <v>7521</v>
      </c>
      <c r="I2059" t="b">
        <f>COUNTIF(Estadísticas!I:I,'centraldecomunicacion.es'!H2059)&gt;0</f>
        <v>1</v>
      </c>
    </row>
    <row r="2060" spans="1:9">
      <c r="A2060" t="s">
        <v>7534</v>
      </c>
      <c r="B2060" t="s">
        <v>10</v>
      </c>
      <c r="C2060" t="s">
        <v>7535</v>
      </c>
      <c r="D2060" t="s">
        <v>7057</v>
      </c>
      <c r="E2060" t="s">
        <v>7057</v>
      </c>
      <c r="F2060" t="s">
        <v>28</v>
      </c>
      <c r="G2060" t="s">
        <v>7536</v>
      </c>
      <c r="H2060" t="s">
        <v>30</v>
      </c>
      <c r="I2060" t="b">
        <f>COUNTIF(Estadísticas!I:I,'centraldecomunicacion.es'!H2060)&gt;0</f>
        <v>0</v>
      </c>
    </row>
    <row r="2061" spans="1:9">
      <c r="A2061" t="s">
        <v>7537</v>
      </c>
      <c r="B2061" t="s">
        <v>10</v>
      </c>
      <c r="C2061" t="s">
        <v>7538</v>
      </c>
      <c r="D2061" t="s">
        <v>7057</v>
      </c>
      <c r="E2061" t="s">
        <v>7057</v>
      </c>
      <c r="F2061" t="s">
        <v>28</v>
      </c>
      <c r="G2061" t="s">
        <v>7539</v>
      </c>
      <c r="H2061" t="s">
        <v>30</v>
      </c>
      <c r="I2061" t="b">
        <f>COUNTIF(Estadísticas!I:I,'centraldecomunicacion.es'!H2061)&gt;0</f>
        <v>0</v>
      </c>
    </row>
    <row r="2062" spans="1:9">
      <c r="A2062" t="s">
        <v>7540</v>
      </c>
      <c r="B2062" t="s">
        <v>10</v>
      </c>
      <c r="C2062" t="s">
        <v>7541</v>
      </c>
      <c r="D2062" t="s">
        <v>7057</v>
      </c>
      <c r="E2062" t="s">
        <v>7057</v>
      </c>
      <c r="F2062" t="s">
        <v>7542</v>
      </c>
      <c r="G2062" t="s">
        <v>7543</v>
      </c>
      <c r="H2062" t="s">
        <v>7544</v>
      </c>
      <c r="I2062" t="b">
        <f>COUNTIF(Estadísticas!I:I,'centraldecomunicacion.es'!H2062)&gt;0</f>
        <v>1</v>
      </c>
    </row>
    <row r="2063" spans="1:9">
      <c r="A2063" t="s">
        <v>7545</v>
      </c>
      <c r="B2063" t="s">
        <v>10</v>
      </c>
      <c r="C2063" t="s">
        <v>7546</v>
      </c>
      <c r="D2063" t="s">
        <v>7057</v>
      </c>
      <c r="E2063" t="s">
        <v>7057</v>
      </c>
      <c r="F2063" t="s">
        <v>28</v>
      </c>
      <c r="G2063" t="s">
        <v>7547</v>
      </c>
      <c r="H2063" t="s">
        <v>30</v>
      </c>
      <c r="I2063" t="b">
        <f>COUNTIF(Estadísticas!I:I,'centraldecomunicacion.es'!H2063)&gt;0</f>
        <v>0</v>
      </c>
    </row>
    <row r="2064" spans="1:9">
      <c r="A2064" t="s">
        <v>7548</v>
      </c>
      <c r="B2064" t="s">
        <v>10</v>
      </c>
      <c r="C2064" t="s">
        <v>7549</v>
      </c>
      <c r="D2064" t="s">
        <v>7057</v>
      </c>
      <c r="E2064" t="s">
        <v>7057</v>
      </c>
      <c r="F2064" t="s">
        <v>28</v>
      </c>
      <c r="G2064" t="s">
        <v>28</v>
      </c>
      <c r="H2064" t="s">
        <v>30</v>
      </c>
      <c r="I2064" t="b">
        <f>COUNTIF(Estadísticas!I:I,'centraldecomunicacion.es'!H2064)&gt;0</f>
        <v>0</v>
      </c>
    </row>
    <row r="2065" spans="1:9">
      <c r="A2065" t="s">
        <v>7550</v>
      </c>
      <c r="B2065" t="s">
        <v>10</v>
      </c>
      <c r="C2065" t="s">
        <v>7551</v>
      </c>
      <c r="D2065" t="s">
        <v>7057</v>
      </c>
      <c r="E2065" t="s">
        <v>7057</v>
      </c>
      <c r="F2065" t="s">
        <v>28</v>
      </c>
      <c r="G2065" t="s">
        <v>7552</v>
      </c>
      <c r="H2065" t="s">
        <v>30</v>
      </c>
      <c r="I2065" t="b">
        <f>COUNTIF(Estadísticas!I:I,'centraldecomunicacion.es'!H2065)&gt;0</f>
        <v>0</v>
      </c>
    </row>
    <row r="2066" spans="1:9">
      <c r="A2066" t="s">
        <v>7553</v>
      </c>
      <c r="B2066" t="s">
        <v>10</v>
      </c>
      <c r="C2066" t="s">
        <v>7554</v>
      </c>
      <c r="D2066" t="s">
        <v>7555</v>
      </c>
      <c r="E2066" t="s">
        <v>7057</v>
      </c>
      <c r="F2066" t="s">
        <v>28</v>
      </c>
      <c r="G2066" t="s">
        <v>7556</v>
      </c>
      <c r="H2066" t="s">
        <v>30</v>
      </c>
      <c r="I2066" t="b">
        <f>COUNTIF(Estadísticas!I:I,'centraldecomunicacion.es'!H2066)&gt;0</f>
        <v>0</v>
      </c>
    </row>
    <row r="2067" spans="1:9">
      <c r="A2067" t="s">
        <v>7557</v>
      </c>
      <c r="B2067" t="s">
        <v>10</v>
      </c>
      <c r="C2067" t="s">
        <v>7558</v>
      </c>
      <c r="D2067" t="s">
        <v>7559</v>
      </c>
      <c r="E2067" t="s">
        <v>7057</v>
      </c>
      <c r="F2067" t="s">
        <v>7560</v>
      </c>
      <c r="G2067" t="s">
        <v>7561</v>
      </c>
      <c r="H2067" t="s">
        <v>30</v>
      </c>
      <c r="I2067" t="b">
        <f>COUNTIF(Estadísticas!I:I,'centraldecomunicacion.es'!H2067)&gt;0</f>
        <v>0</v>
      </c>
    </row>
    <row r="2068" spans="1:9">
      <c r="A2068" t="s">
        <v>7562</v>
      </c>
      <c r="B2068" t="s">
        <v>10</v>
      </c>
      <c r="C2068" t="s">
        <v>7563</v>
      </c>
      <c r="D2068" t="s">
        <v>7559</v>
      </c>
      <c r="E2068" t="s">
        <v>7057</v>
      </c>
      <c r="F2068" t="s">
        <v>746</v>
      </c>
      <c r="G2068" t="s">
        <v>7564</v>
      </c>
      <c r="H2068" t="s">
        <v>30</v>
      </c>
      <c r="I2068" t="b">
        <f>COUNTIF(Estadísticas!I:I,'centraldecomunicacion.es'!H2068)&gt;0</f>
        <v>0</v>
      </c>
    </row>
    <row r="2069" spans="1:9">
      <c r="A2069" t="s">
        <v>7565</v>
      </c>
      <c r="B2069" t="s">
        <v>10</v>
      </c>
      <c r="C2069" t="s">
        <v>7566</v>
      </c>
      <c r="D2069" t="s">
        <v>7567</v>
      </c>
      <c r="E2069" t="s">
        <v>7057</v>
      </c>
      <c r="F2069" t="s">
        <v>7568</v>
      </c>
      <c r="G2069" t="s">
        <v>7569</v>
      </c>
      <c r="H2069" t="s">
        <v>7570</v>
      </c>
      <c r="I2069" t="b">
        <f>COUNTIF(Estadísticas!I:I,'centraldecomunicacion.es'!H2069)&gt;0</f>
        <v>0</v>
      </c>
    </row>
    <row r="2070" spans="1:9">
      <c r="A2070" t="s">
        <v>7571</v>
      </c>
      <c r="B2070" t="s">
        <v>10</v>
      </c>
      <c r="C2070" t="s">
        <v>7572</v>
      </c>
      <c r="D2070" t="s">
        <v>7573</v>
      </c>
      <c r="E2070" t="s">
        <v>7057</v>
      </c>
      <c r="F2070" t="s">
        <v>28</v>
      </c>
      <c r="G2070" t="s">
        <v>7574</v>
      </c>
      <c r="H2070" t="s">
        <v>30</v>
      </c>
      <c r="I2070" t="b">
        <f>COUNTIF(Estadísticas!I:I,'centraldecomunicacion.es'!H2070)&gt;0</f>
        <v>0</v>
      </c>
    </row>
    <row r="2071" spans="1:9">
      <c r="A2071" t="s">
        <v>7575</v>
      </c>
      <c r="B2071" t="s">
        <v>10</v>
      </c>
      <c r="C2071" t="s">
        <v>7576</v>
      </c>
      <c r="D2071" t="s">
        <v>7573</v>
      </c>
      <c r="E2071" t="s">
        <v>7057</v>
      </c>
      <c r="F2071" t="s">
        <v>28</v>
      </c>
      <c r="G2071" t="s">
        <v>28</v>
      </c>
      <c r="H2071" t="s">
        <v>30</v>
      </c>
      <c r="I2071" t="b">
        <f>COUNTIF(Estadísticas!I:I,'centraldecomunicacion.es'!H2071)&gt;0</f>
        <v>0</v>
      </c>
    </row>
    <row r="2072" spans="1:9">
      <c r="A2072" t="s">
        <v>7577</v>
      </c>
      <c r="B2072" t="s">
        <v>10</v>
      </c>
      <c r="C2072" t="s">
        <v>7578</v>
      </c>
      <c r="D2072" t="s">
        <v>7579</v>
      </c>
      <c r="E2072" t="s">
        <v>7057</v>
      </c>
      <c r="F2072" t="s">
        <v>28</v>
      </c>
      <c r="G2072" t="s">
        <v>7580</v>
      </c>
      <c r="H2072" t="s">
        <v>30</v>
      </c>
      <c r="I2072" t="b">
        <f>COUNTIF(Estadísticas!I:I,'centraldecomunicacion.es'!H2072)&gt;0</f>
        <v>0</v>
      </c>
    </row>
    <row r="2073" spans="1:9">
      <c r="A2073" t="s">
        <v>7581</v>
      </c>
      <c r="B2073" t="s">
        <v>10</v>
      </c>
      <c r="C2073" t="s">
        <v>7582</v>
      </c>
      <c r="D2073" t="s">
        <v>7583</v>
      </c>
      <c r="E2073" t="s">
        <v>7057</v>
      </c>
      <c r="F2073" t="s">
        <v>28</v>
      </c>
      <c r="G2073" t="s">
        <v>7584</v>
      </c>
      <c r="H2073" t="s">
        <v>30</v>
      </c>
      <c r="I2073" t="b">
        <f>COUNTIF(Estadísticas!I:I,'centraldecomunicacion.es'!H2073)&gt;0</f>
        <v>0</v>
      </c>
    </row>
    <row r="2074" spans="1:9">
      <c r="A2074" t="s">
        <v>7585</v>
      </c>
      <c r="B2074" t="s">
        <v>10</v>
      </c>
      <c r="C2074" t="s">
        <v>7586</v>
      </c>
      <c r="D2074" t="s">
        <v>7573</v>
      </c>
      <c r="E2074" t="s">
        <v>7057</v>
      </c>
      <c r="F2074" t="s">
        <v>28</v>
      </c>
      <c r="G2074" t="s">
        <v>28</v>
      </c>
      <c r="H2074" t="s">
        <v>30</v>
      </c>
      <c r="I2074" t="b">
        <f>COUNTIF(Estadísticas!I:I,'centraldecomunicacion.es'!H2074)&gt;0</f>
        <v>0</v>
      </c>
    </row>
    <row r="2075" spans="1:9">
      <c r="A2075" t="s">
        <v>7587</v>
      </c>
      <c r="B2075" t="s">
        <v>10</v>
      </c>
      <c r="C2075" t="s">
        <v>7588</v>
      </c>
      <c r="D2075" t="s">
        <v>7589</v>
      </c>
      <c r="E2075" t="s">
        <v>7057</v>
      </c>
      <c r="F2075" t="s">
        <v>28</v>
      </c>
      <c r="G2075" t="s">
        <v>28</v>
      </c>
      <c r="H2075" t="s">
        <v>30</v>
      </c>
      <c r="I2075" t="b">
        <f>COUNTIF(Estadísticas!I:I,'centraldecomunicacion.es'!H2075)&gt;0</f>
        <v>0</v>
      </c>
    </row>
    <row r="2076" spans="1:9">
      <c r="A2076" t="s">
        <v>7590</v>
      </c>
      <c r="B2076" t="s">
        <v>10</v>
      </c>
      <c r="C2076" t="s">
        <v>7591</v>
      </c>
      <c r="D2076" t="s">
        <v>7592</v>
      </c>
      <c r="E2076" t="s">
        <v>7057</v>
      </c>
      <c r="F2076" t="s">
        <v>28</v>
      </c>
      <c r="G2076" t="s">
        <v>7593</v>
      </c>
      <c r="H2076" t="s">
        <v>30</v>
      </c>
      <c r="I2076" t="b">
        <f>COUNTIF(Estadísticas!I:I,'centraldecomunicacion.es'!H2076)&gt;0</f>
        <v>0</v>
      </c>
    </row>
    <row r="2077" spans="1:9">
      <c r="A2077" t="s">
        <v>7594</v>
      </c>
      <c r="B2077" t="s">
        <v>10</v>
      </c>
      <c r="C2077" t="s">
        <v>7595</v>
      </c>
      <c r="D2077" t="s">
        <v>7596</v>
      </c>
      <c r="E2077" t="s">
        <v>7596</v>
      </c>
      <c r="F2077" t="s">
        <v>7597</v>
      </c>
      <c r="G2077" t="s">
        <v>7598</v>
      </c>
      <c r="H2077" t="s">
        <v>7180</v>
      </c>
      <c r="I2077" t="b">
        <f>COUNTIF(Estadísticas!I:I,'centraldecomunicacion.es'!H2077)&gt;0</f>
        <v>1</v>
      </c>
    </row>
    <row r="2078" spans="1:9">
      <c r="A2078" t="s">
        <v>7599</v>
      </c>
      <c r="B2078" t="s">
        <v>10</v>
      </c>
      <c r="C2078" t="s">
        <v>7600</v>
      </c>
      <c r="D2078" t="s">
        <v>7596</v>
      </c>
      <c r="E2078" t="s">
        <v>7596</v>
      </c>
      <c r="F2078" t="s">
        <v>7601</v>
      </c>
      <c r="G2078" t="s">
        <v>7602</v>
      </c>
      <c r="H2078" t="s">
        <v>7603</v>
      </c>
      <c r="I2078" t="b">
        <f>COUNTIF(Estadísticas!I:I,'centraldecomunicacion.es'!H2078)&gt;0</f>
        <v>1</v>
      </c>
    </row>
    <row r="2079" spans="1:9">
      <c r="A2079" t="s">
        <v>7604</v>
      </c>
      <c r="B2079" t="s">
        <v>10</v>
      </c>
      <c r="C2079" t="s">
        <v>7605</v>
      </c>
      <c r="D2079" t="s">
        <v>7596</v>
      </c>
      <c r="E2079" t="s">
        <v>7596</v>
      </c>
      <c r="F2079" t="s">
        <v>7606</v>
      </c>
      <c r="G2079" t="s">
        <v>7607</v>
      </c>
      <c r="H2079" t="s">
        <v>691</v>
      </c>
      <c r="I2079" t="b">
        <f>COUNTIF(Estadísticas!I:I,'centraldecomunicacion.es'!H2079)&gt;0</f>
        <v>0</v>
      </c>
    </row>
    <row r="2080" spans="1:9">
      <c r="A2080" t="s">
        <v>7608</v>
      </c>
      <c r="B2080" t="s">
        <v>10</v>
      </c>
      <c r="C2080" t="s">
        <v>7609</v>
      </c>
      <c r="D2080" t="s">
        <v>7596</v>
      </c>
      <c r="E2080" t="s">
        <v>7596</v>
      </c>
      <c r="F2080" t="s">
        <v>7610</v>
      </c>
      <c r="G2080" t="s">
        <v>7611</v>
      </c>
      <c r="H2080" t="s">
        <v>30</v>
      </c>
      <c r="I2080" t="b">
        <f>COUNTIF(Estadísticas!I:I,'centraldecomunicacion.es'!H2080)&gt;0</f>
        <v>0</v>
      </c>
    </row>
    <row r="2081" spans="1:9">
      <c r="A2081" t="s">
        <v>7612</v>
      </c>
      <c r="B2081" t="s">
        <v>10</v>
      </c>
      <c r="C2081" t="s">
        <v>7613</v>
      </c>
      <c r="D2081" t="s">
        <v>7596</v>
      </c>
      <c r="E2081" t="s">
        <v>7596</v>
      </c>
      <c r="F2081" t="s">
        <v>7614</v>
      </c>
      <c r="G2081" t="s">
        <v>7615</v>
      </c>
      <c r="H2081" t="s">
        <v>7616</v>
      </c>
      <c r="I2081" t="b">
        <f>COUNTIF(Estadísticas!I:I,'centraldecomunicacion.es'!H2081)&gt;0</f>
        <v>0</v>
      </c>
    </row>
    <row r="2082" spans="1:9">
      <c r="A2082" t="s">
        <v>7617</v>
      </c>
      <c r="B2082" t="s">
        <v>10</v>
      </c>
      <c r="C2082" t="s">
        <v>7618</v>
      </c>
      <c r="D2082" t="s">
        <v>7596</v>
      </c>
      <c r="E2082" t="s">
        <v>7596</v>
      </c>
      <c r="F2082" t="s">
        <v>7619</v>
      </c>
      <c r="G2082" t="s">
        <v>7620</v>
      </c>
      <c r="H2082" t="s">
        <v>7621</v>
      </c>
      <c r="I2082" t="b">
        <f>COUNTIF(Estadísticas!I:I,'centraldecomunicacion.es'!H2082)&gt;0</f>
        <v>0</v>
      </c>
    </row>
    <row r="2083" spans="1:9">
      <c r="A2083" t="s">
        <v>7622</v>
      </c>
      <c r="B2083" t="s">
        <v>10</v>
      </c>
      <c r="C2083" t="s">
        <v>7623</v>
      </c>
      <c r="D2083" t="s">
        <v>7596</v>
      </c>
      <c r="E2083" t="s">
        <v>7596</v>
      </c>
      <c r="F2083" t="s">
        <v>7624</v>
      </c>
      <c r="G2083" t="s">
        <v>7625</v>
      </c>
      <c r="H2083" t="s">
        <v>7626</v>
      </c>
      <c r="I2083" t="b">
        <f>COUNTIF(Estadísticas!I:I,'centraldecomunicacion.es'!H2083)&gt;0</f>
        <v>0</v>
      </c>
    </row>
    <row r="2084" spans="1:9">
      <c r="A2084" t="s">
        <v>7627</v>
      </c>
      <c r="B2084" t="s">
        <v>10</v>
      </c>
      <c r="C2084" t="s">
        <v>7628</v>
      </c>
      <c r="D2084" t="s">
        <v>7596</v>
      </c>
      <c r="E2084" t="s">
        <v>7596</v>
      </c>
      <c r="F2084" t="s">
        <v>28</v>
      </c>
      <c r="G2084" t="s">
        <v>7629</v>
      </c>
      <c r="H2084" t="s">
        <v>30</v>
      </c>
      <c r="I2084" t="b">
        <f>COUNTIF(Estadísticas!I:I,'centraldecomunicacion.es'!H2084)&gt;0</f>
        <v>0</v>
      </c>
    </row>
    <row r="2085" spans="1:9">
      <c r="A2085" t="s">
        <v>7630</v>
      </c>
      <c r="B2085" t="s">
        <v>10</v>
      </c>
      <c r="C2085" t="s">
        <v>7631</v>
      </c>
      <c r="D2085" t="s">
        <v>7596</v>
      </c>
      <c r="E2085" t="s">
        <v>7596</v>
      </c>
      <c r="F2085" t="s">
        <v>28</v>
      </c>
      <c r="G2085" t="s">
        <v>28</v>
      </c>
      <c r="H2085" t="s">
        <v>30</v>
      </c>
      <c r="I2085" t="b">
        <f>COUNTIF(Estadísticas!I:I,'centraldecomunicacion.es'!H2085)&gt;0</f>
        <v>0</v>
      </c>
    </row>
    <row r="2086" spans="1:9">
      <c r="A2086" t="s">
        <v>7632</v>
      </c>
      <c r="B2086" t="s">
        <v>10</v>
      </c>
      <c r="C2086" t="s">
        <v>7633</v>
      </c>
      <c r="D2086" t="s">
        <v>7596</v>
      </c>
      <c r="E2086" t="s">
        <v>7596</v>
      </c>
      <c r="F2086" t="s">
        <v>28</v>
      </c>
      <c r="G2086" t="s">
        <v>28</v>
      </c>
      <c r="H2086" t="s">
        <v>30</v>
      </c>
      <c r="I2086" t="b">
        <f>COUNTIF(Estadísticas!I:I,'centraldecomunicacion.es'!H2086)&gt;0</f>
        <v>0</v>
      </c>
    </row>
    <row r="2087" spans="1:9">
      <c r="A2087" t="s">
        <v>7634</v>
      </c>
      <c r="B2087" t="s">
        <v>10</v>
      </c>
      <c r="C2087" t="s">
        <v>7635</v>
      </c>
      <c r="D2087" t="s">
        <v>7636</v>
      </c>
      <c r="E2087" t="s">
        <v>7596</v>
      </c>
      <c r="F2087" t="s">
        <v>28</v>
      </c>
      <c r="G2087" t="s">
        <v>7637</v>
      </c>
      <c r="H2087" t="s">
        <v>30</v>
      </c>
      <c r="I2087" t="b">
        <f>COUNTIF(Estadísticas!I:I,'centraldecomunicacion.es'!H2087)&gt;0</f>
        <v>0</v>
      </c>
    </row>
    <row r="2088" spans="1:9">
      <c r="A2088" t="s">
        <v>7638</v>
      </c>
      <c r="B2088" t="s">
        <v>10</v>
      </c>
      <c r="C2088" t="s">
        <v>7639</v>
      </c>
      <c r="D2088" t="s">
        <v>7640</v>
      </c>
      <c r="E2088" t="s">
        <v>7596</v>
      </c>
      <c r="F2088" t="s">
        <v>7601</v>
      </c>
      <c r="G2088" t="s">
        <v>7641</v>
      </c>
      <c r="H2088" t="s">
        <v>7603</v>
      </c>
      <c r="I2088" t="b">
        <f>COUNTIF(Estadísticas!I:I,'centraldecomunicacion.es'!H2088)&gt;0</f>
        <v>1</v>
      </c>
    </row>
    <row r="2089" spans="1:9">
      <c r="A2089" t="s">
        <v>7642</v>
      </c>
      <c r="B2089" t="s">
        <v>10</v>
      </c>
      <c r="C2089" t="s">
        <v>7643</v>
      </c>
      <c r="D2089" t="s">
        <v>7644</v>
      </c>
      <c r="E2089" t="s">
        <v>7596</v>
      </c>
      <c r="F2089" t="s">
        <v>28</v>
      </c>
      <c r="G2089" t="s">
        <v>7645</v>
      </c>
      <c r="H2089" t="s">
        <v>30</v>
      </c>
      <c r="I2089" t="b">
        <f>COUNTIF(Estadísticas!I:I,'centraldecomunicacion.es'!H2089)&gt;0</f>
        <v>0</v>
      </c>
    </row>
    <row r="2090" spans="1:9">
      <c r="A2090" t="s">
        <v>7646</v>
      </c>
      <c r="B2090" t="s">
        <v>10</v>
      </c>
      <c r="C2090" t="s">
        <v>7647</v>
      </c>
      <c r="D2090" t="s">
        <v>7648</v>
      </c>
      <c r="E2090" t="s">
        <v>1868</v>
      </c>
      <c r="F2090" t="s">
        <v>28</v>
      </c>
      <c r="G2090" t="s">
        <v>7649</v>
      </c>
      <c r="H2090" t="s">
        <v>30</v>
      </c>
      <c r="I2090" t="b">
        <f>COUNTIF(Estadísticas!I:I,'centraldecomunicacion.es'!H2090)&gt;0</f>
        <v>0</v>
      </c>
    </row>
    <row r="2091" spans="1:9">
      <c r="A2091" t="s">
        <v>1925</v>
      </c>
      <c r="B2091" t="s">
        <v>10</v>
      </c>
      <c r="C2091" t="s">
        <v>7650</v>
      </c>
      <c r="D2091" t="s">
        <v>7651</v>
      </c>
      <c r="E2091" t="s">
        <v>7596</v>
      </c>
      <c r="F2091" t="s">
        <v>7652</v>
      </c>
      <c r="G2091" t="s">
        <v>7653</v>
      </c>
      <c r="H2091" t="s">
        <v>7654</v>
      </c>
      <c r="I2091" t="b">
        <f>COUNTIF(Estadísticas!I:I,'centraldecomunicacion.es'!H2091)&gt;0</f>
        <v>1</v>
      </c>
    </row>
    <row r="2092" spans="1:9">
      <c r="A2092" t="s">
        <v>7655</v>
      </c>
      <c r="B2092" t="s">
        <v>10</v>
      </c>
      <c r="C2092" t="s">
        <v>7656</v>
      </c>
      <c r="D2092" t="s">
        <v>7657</v>
      </c>
      <c r="E2092" t="s">
        <v>7596</v>
      </c>
      <c r="F2092" t="s">
        <v>28</v>
      </c>
      <c r="G2092" t="s">
        <v>7658</v>
      </c>
      <c r="H2092" t="s">
        <v>30</v>
      </c>
      <c r="I2092" t="b">
        <f>COUNTIF(Estadísticas!I:I,'centraldecomunicacion.es'!H2092)&gt;0</f>
        <v>0</v>
      </c>
    </row>
    <row r="2093" spans="1:9">
      <c r="A2093" t="s">
        <v>4654</v>
      </c>
      <c r="B2093" t="s">
        <v>10</v>
      </c>
      <c r="C2093" t="s">
        <v>7659</v>
      </c>
      <c r="D2093" t="s">
        <v>7660</v>
      </c>
      <c r="E2093" t="s">
        <v>7596</v>
      </c>
      <c r="F2093" t="s">
        <v>7661</v>
      </c>
      <c r="G2093" t="s">
        <v>7662</v>
      </c>
      <c r="H2093" t="s">
        <v>30</v>
      </c>
      <c r="I2093" t="b">
        <f>COUNTIF(Estadísticas!I:I,'centraldecomunicacion.es'!H2093)&gt;0</f>
        <v>0</v>
      </c>
    </row>
    <row r="2094" spans="1:9">
      <c r="A2094" t="s">
        <v>7663</v>
      </c>
      <c r="B2094" t="s">
        <v>10</v>
      </c>
      <c r="C2094" t="s">
        <v>7664</v>
      </c>
      <c r="D2094" t="s">
        <v>7660</v>
      </c>
      <c r="E2094" t="s">
        <v>7596</v>
      </c>
      <c r="F2094" t="s">
        <v>38</v>
      </c>
      <c r="G2094" t="s">
        <v>7665</v>
      </c>
      <c r="H2094" t="s">
        <v>30</v>
      </c>
      <c r="I2094" t="b">
        <f>COUNTIF(Estadísticas!I:I,'centraldecomunicacion.es'!H2094)&gt;0</f>
        <v>0</v>
      </c>
    </row>
    <row r="2095" spans="1:9">
      <c r="A2095" t="s">
        <v>7666</v>
      </c>
      <c r="B2095" t="s">
        <v>10</v>
      </c>
      <c r="C2095" t="s">
        <v>7667</v>
      </c>
      <c r="D2095" t="s">
        <v>7660</v>
      </c>
      <c r="E2095" t="s">
        <v>7596</v>
      </c>
      <c r="F2095" t="s">
        <v>28</v>
      </c>
      <c r="G2095" t="s">
        <v>7668</v>
      </c>
      <c r="H2095" t="s">
        <v>30</v>
      </c>
      <c r="I2095" t="b">
        <f>COUNTIF(Estadísticas!I:I,'centraldecomunicacion.es'!H2095)&gt;0</f>
        <v>0</v>
      </c>
    </row>
    <row r="2096" spans="1:9">
      <c r="A2096" t="s">
        <v>7669</v>
      </c>
      <c r="B2096" t="s">
        <v>10</v>
      </c>
      <c r="C2096" t="s">
        <v>7670</v>
      </c>
      <c r="D2096" t="s">
        <v>7671</v>
      </c>
      <c r="E2096" t="s">
        <v>7596</v>
      </c>
      <c r="F2096" t="s">
        <v>7672</v>
      </c>
      <c r="G2096" t="s">
        <v>7673</v>
      </c>
      <c r="H2096" t="s">
        <v>7674</v>
      </c>
      <c r="I2096" t="b">
        <f>COUNTIF(Estadísticas!I:I,'centraldecomunicacion.es'!H2096)&gt;0</f>
        <v>0</v>
      </c>
    </row>
    <row r="2097" spans="1:9">
      <c r="A2097" t="s">
        <v>7675</v>
      </c>
      <c r="B2097" t="s">
        <v>10</v>
      </c>
      <c r="C2097" t="s">
        <v>7676</v>
      </c>
      <c r="D2097" t="s">
        <v>7677</v>
      </c>
      <c r="E2097" t="s">
        <v>7596</v>
      </c>
      <c r="F2097" t="s">
        <v>7678</v>
      </c>
      <c r="G2097" t="s">
        <v>7679</v>
      </c>
      <c r="H2097" t="s">
        <v>30</v>
      </c>
      <c r="I2097" t="b">
        <f>COUNTIF(Estadísticas!I:I,'centraldecomunicacion.es'!H2097)&gt;0</f>
        <v>0</v>
      </c>
    </row>
    <row r="2098" spans="1:9">
      <c r="A2098" t="s">
        <v>7680</v>
      </c>
      <c r="B2098" t="s">
        <v>10</v>
      </c>
      <c r="C2098" t="s">
        <v>7681</v>
      </c>
      <c r="D2098" t="s">
        <v>7682</v>
      </c>
      <c r="E2098" t="s">
        <v>7596</v>
      </c>
      <c r="F2098" t="s">
        <v>28</v>
      </c>
      <c r="G2098" t="s">
        <v>7683</v>
      </c>
      <c r="H2098" t="s">
        <v>30</v>
      </c>
      <c r="I2098" t="b">
        <f>COUNTIF(Estadísticas!I:I,'centraldecomunicacion.es'!H2098)&gt;0</f>
        <v>0</v>
      </c>
    </row>
    <row r="2099" spans="1:9">
      <c r="A2099" t="s">
        <v>7684</v>
      </c>
      <c r="B2099" t="s">
        <v>10</v>
      </c>
      <c r="C2099" t="s">
        <v>7685</v>
      </c>
      <c r="D2099" t="s">
        <v>7686</v>
      </c>
      <c r="E2099" t="s">
        <v>7596</v>
      </c>
      <c r="F2099" t="s">
        <v>28</v>
      </c>
      <c r="G2099" t="s">
        <v>7687</v>
      </c>
      <c r="H2099" t="s">
        <v>30</v>
      </c>
      <c r="I2099" t="b">
        <f>COUNTIF(Estadísticas!I:I,'centraldecomunicacion.es'!H2099)&gt;0</f>
        <v>0</v>
      </c>
    </row>
    <row r="2100" spans="1:9">
      <c r="A2100" t="s">
        <v>7688</v>
      </c>
      <c r="B2100" t="s">
        <v>10</v>
      </c>
      <c r="C2100" t="s">
        <v>7689</v>
      </c>
      <c r="D2100" t="s">
        <v>7677</v>
      </c>
      <c r="E2100" t="s">
        <v>7596</v>
      </c>
      <c r="F2100" t="s">
        <v>7690</v>
      </c>
      <c r="G2100" t="s">
        <v>7691</v>
      </c>
      <c r="H2100" t="s">
        <v>7692</v>
      </c>
      <c r="I2100" t="b">
        <f>COUNTIF(Estadísticas!I:I,'centraldecomunicacion.es'!H2100)&gt;0</f>
        <v>0</v>
      </c>
    </row>
    <row r="2101" spans="1:9">
      <c r="A2101" t="s">
        <v>7693</v>
      </c>
      <c r="B2101" t="s">
        <v>10</v>
      </c>
      <c r="C2101" t="s">
        <v>7694</v>
      </c>
      <c r="D2101" t="s">
        <v>7695</v>
      </c>
      <c r="E2101" t="s">
        <v>7596</v>
      </c>
      <c r="F2101" t="s">
        <v>28</v>
      </c>
      <c r="G2101" t="s">
        <v>7696</v>
      </c>
      <c r="H2101" t="s">
        <v>30</v>
      </c>
      <c r="I2101" t="b">
        <f>COUNTIF(Estadísticas!I:I,'centraldecomunicacion.es'!H2101)&gt;0</f>
        <v>0</v>
      </c>
    </row>
    <row r="2102" spans="1:9">
      <c r="A2102" t="s">
        <v>2000</v>
      </c>
      <c r="B2102" t="s">
        <v>10</v>
      </c>
      <c r="C2102" t="s">
        <v>7697</v>
      </c>
      <c r="D2102" t="s">
        <v>7660</v>
      </c>
      <c r="E2102" t="s">
        <v>7596</v>
      </c>
      <c r="F2102" t="s">
        <v>7698</v>
      </c>
      <c r="G2102" t="s">
        <v>7699</v>
      </c>
      <c r="H2102" t="s">
        <v>5396</v>
      </c>
      <c r="I2102" t="b">
        <f>COUNTIF(Estadísticas!I:I,'centraldecomunicacion.es'!H2102)&gt;0</f>
        <v>0</v>
      </c>
    </row>
    <row r="2103" spans="1:9">
      <c r="A2103" t="s">
        <v>7700</v>
      </c>
      <c r="B2103" t="s">
        <v>10</v>
      </c>
      <c r="C2103" t="s">
        <v>28</v>
      </c>
      <c r="D2103" t="s">
        <v>7701</v>
      </c>
      <c r="E2103" t="s">
        <v>28</v>
      </c>
      <c r="F2103" t="s">
        <v>7702</v>
      </c>
      <c r="G2103" t="s">
        <v>7703</v>
      </c>
      <c r="H2103" t="s">
        <v>30</v>
      </c>
      <c r="I2103" t="b">
        <f>COUNTIF(Estadísticas!I:I,'centraldecomunicacion.es'!H2103)&gt;0</f>
        <v>0</v>
      </c>
    </row>
    <row r="2104" spans="1:9">
      <c r="A2104" t="s">
        <v>7704</v>
      </c>
      <c r="B2104" t="s">
        <v>10</v>
      </c>
      <c r="C2104" t="s">
        <v>7705</v>
      </c>
      <c r="D2104" t="s">
        <v>7695</v>
      </c>
      <c r="E2104" t="s">
        <v>7596</v>
      </c>
      <c r="F2104" t="s">
        <v>28</v>
      </c>
      <c r="G2104" t="s">
        <v>7706</v>
      </c>
      <c r="H2104" t="s">
        <v>30</v>
      </c>
      <c r="I2104" t="b">
        <f>COUNTIF(Estadísticas!I:I,'centraldecomunicacion.es'!H2104)&gt;0</f>
        <v>0</v>
      </c>
    </row>
    <row r="2105" spans="1:9">
      <c r="A2105" t="s">
        <v>7707</v>
      </c>
      <c r="B2105" t="s">
        <v>10</v>
      </c>
      <c r="C2105" t="s">
        <v>7708</v>
      </c>
      <c r="D2105" t="s">
        <v>7709</v>
      </c>
      <c r="E2105" t="s">
        <v>7596</v>
      </c>
      <c r="F2105" t="s">
        <v>38</v>
      </c>
      <c r="G2105" t="s">
        <v>7710</v>
      </c>
      <c r="H2105" t="s">
        <v>30</v>
      </c>
      <c r="I2105" t="b">
        <f>COUNTIF(Estadísticas!I:I,'centraldecomunicacion.es'!H2105)&gt;0</f>
        <v>0</v>
      </c>
    </row>
    <row r="2106" spans="1:9">
      <c r="A2106" t="s">
        <v>7711</v>
      </c>
      <c r="B2106" t="s">
        <v>10</v>
      </c>
      <c r="C2106" t="s">
        <v>28</v>
      </c>
      <c r="D2106" t="s">
        <v>7701</v>
      </c>
      <c r="E2106" t="s">
        <v>28</v>
      </c>
      <c r="F2106" t="s">
        <v>7712</v>
      </c>
      <c r="G2106" t="s">
        <v>7713</v>
      </c>
      <c r="H2106" t="s">
        <v>30</v>
      </c>
      <c r="I2106" t="b">
        <f>COUNTIF(Estadísticas!I:I,'centraldecomunicacion.es'!H2106)&gt;0</f>
        <v>0</v>
      </c>
    </row>
    <row r="2107" spans="1:9">
      <c r="A2107" t="s">
        <v>7714</v>
      </c>
      <c r="B2107" t="s">
        <v>10</v>
      </c>
      <c r="C2107" t="s">
        <v>7715</v>
      </c>
      <c r="D2107" t="s">
        <v>7716</v>
      </c>
      <c r="E2107" t="s">
        <v>7596</v>
      </c>
      <c r="F2107" t="s">
        <v>28</v>
      </c>
      <c r="G2107" t="s">
        <v>7717</v>
      </c>
      <c r="H2107" t="s">
        <v>30</v>
      </c>
      <c r="I2107" t="b">
        <f>COUNTIF(Estadísticas!I:I,'centraldecomunicacion.es'!H2107)&gt;0</f>
        <v>0</v>
      </c>
    </row>
    <row r="2108" spans="1:9">
      <c r="A2108" t="s">
        <v>7718</v>
      </c>
      <c r="B2108" t="s">
        <v>10</v>
      </c>
      <c r="C2108" t="s">
        <v>7719</v>
      </c>
      <c r="D2108" t="s">
        <v>7720</v>
      </c>
      <c r="E2108" t="s">
        <v>7721</v>
      </c>
      <c r="F2108" t="s">
        <v>7722</v>
      </c>
      <c r="G2108" t="s">
        <v>7723</v>
      </c>
      <c r="H2108" t="s">
        <v>7724</v>
      </c>
      <c r="I2108" t="b">
        <f>COUNTIF(Estadísticas!I:I,'centraldecomunicacion.es'!H2108)&gt;0</f>
        <v>0</v>
      </c>
    </row>
    <row r="2109" spans="1:9">
      <c r="A2109" t="s">
        <v>7725</v>
      </c>
      <c r="B2109" t="s">
        <v>10</v>
      </c>
      <c r="C2109" t="s">
        <v>7726</v>
      </c>
      <c r="D2109" t="s">
        <v>1868</v>
      </c>
      <c r="E2109" t="s">
        <v>1868</v>
      </c>
      <c r="F2109" t="s">
        <v>7727</v>
      </c>
      <c r="G2109" t="s">
        <v>7728</v>
      </c>
      <c r="H2109" t="s">
        <v>30</v>
      </c>
      <c r="I2109" t="b">
        <f>COUNTIF(Estadísticas!I:I,'centraldecomunicacion.es'!H2109)&gt;0</f>
        <v>0</v>
      </c>
    </row>
    <row r="2110" spans="1:9">
      <c r="A2110" t="s">
        <v>4587</v>
      </c>
      <c r="B2110" t="s">
        <v>10</v>
      </c>
      <c r="C2110" t="s">
        <v>7729</v>
      </c>
      <c r="D2110" t="s">
        <v>7730</v>
      </c>
      <c r="E2110" t="s">
        <v>7731</v>
      </c>
      <c r="F2110" t="s">
        <v>7732</v>
      </c>
      <c r="G2110" t="s">
        <v>7733</v>
      </c>
      <c r="H2110" t="s">
        <v>7734</v>
      </c>
      <c r="I2110" t="b">
        <f>COUNTIF(Estadísticas!I:I,'centraldecomunicacion.es'!H2110)&gt;0</f>
        <v>1</v>
      </c>
    </row>
    <row r="2111" spans="1:9">
      <c r="A2111" t="s">
        <v>7735</v>
      </c>
      <c r="B2111" t="s">
        <v>10</v>
      </c>
      <c r="C2111" t="s">
        <v>7736</v>
      </c>
      <c r="D2111" t="s">
        <v>7737</v>
      </c>
      <c r="E2111" t="s">
        <v>7596</v>
      </c>
      <c r="F2111" t="s">
        <v>7652</v>
      </c>
      <c r="G2111" t="s">
        <v>7738</v>
      </c>
      <c r="H2111" t="s">
        <v>7654</v>
      </c>
      <c r="I2111" t="b">
        <f>COUNTIF(Estadísticas!I:I,'centraldecomunicacion.es'!H2111)&gt;0</f>
        <v>1</v>
      </c>
    </row>
    <row r="2112" spans="1:9">
      <c r="A2112" t="s">
        <v>7739</v>
      </c>
      <c r="B2112" t="s">
        <v>10</v>
      </c>
      <c r="C2112" t="s">
        <v>7740</v>
      </c>
      <c r="D2112" t="s">
        <v>7730</v>
      </c>
      <c r="E2112" t="s">
        <v>7731</v>
      </c>
      <c r="F2112" t="s">
        <v>7741</v>
      </c>
      <c r="G2112" t="s">
        <v>7742</v>
      </c>
      <c r="H2112" t="s">
        <v>6306</v>
      </c>
      <c r="I2112" t="b">
        <f>COUNTIF(Estadísticas!I:I,'centraldecomunicacion.es'!H2112)&gt;0</f>
        <v>0</v>
      </c>
    </row>
    <row r="2113" spans="1:9">
      <c r="A2113" t="s">
        <v>7743</v>
      </c>
      <c r="B2113" t="s">
        <v>10</v>
      </c>
      <c r="C2113" t="s">
        <v>7744</v>
      </c>
      <c r="D2113" t="s">
        <v>1868</v>
      </c>
      <c r="E2113" t="s">
        <v>1868</v>
      </c>
      <c r="F2113" t="s">
        <v>7745</v>
      </c>
      <c r="G2113" t="s">
        <v>7611</v>
      </c>
      <c r="H2113" t="s">
        <v>7746</v>
      </c>
      <c r="I2113" t="b">
        <f>COUNTIF(Estadísticas!I:I,'centraldecomunicacion.es'!H2113)&gt;0</f>
        <v>0</v>
      </c>
    </row>
    <row r="2114" spans="1:9">
      <c r="A2114" t="s">
        <v>7747</v>
      </c>
      <c r="B2114" t="s">
        <v>10</v>
      </c>
      <c r="C2114" t="s">
        <v>7748</v>
      </c>
      <c r="D2114" t="s">
        <v>7730</v>
      </c>
      <c r="E2114" t="s">
        <v>7731</v>
      </c>
      <c r="F2114" t="s">
        <v>7749</v>
      </c>
      <c r="G2114" t="s">
        <v>7750</v>
      </c>
      <c r="H2114" t="s">
        <v>7751</v>
      </c>
      <c r="I2114" t="b">
        <f>COUNTIF(Estadísticas!I:I,'centraldecomunicacion.es'!H2114)&gt;0</f>
        <v>0</v>
      </c>
    </row>
    <row r="2115" spans="1:9">
      <c r="A2115" t="s">
        <v>7752</v>
      </c>
      <c r="B2115" t="s">
        <v>10</v>
      </c>
      <c r="C2115" t="s">
        <v>7753</v>
      </c>
      <c r="D2115" t="s">
        <v>1868</v>
      </c>
      <c r="E2115" t="s">
        <v>1868</v>
      </c>
      <c r="F2115" t="s">
        <v>7754</v>
      </c>
      <c r="G2115" t="s">
        <v>7755</v>
      </c>
      <c r="H2115" t="s">
        <v>7756</v>
      </c>
      <c r="I2115" t="b">
        <f>COUNTIF(Estadísticas!I:I,'centraldecomunicacion.es'!H2115)&gt;0</f>
        <v>0</v>
      </c>
    </row>
    <row r="2116" spans="1:9">
      <c r="A2116" t="s">
        <v>7757</v>
      </c>
      <c r="B2116" t="s">
        <v>10</v>
      </c>
      <c r="C2116" t="s">
        <v>7758</v>
      </c>
      <c r="D2116" t="s">
        <v>7660</v>
      </c>
      <c r="E2116" t="s">
        <v>7596</v>
      </c>
      <c r="F2116" t="s">
        <v>28</v>
      </c>
      <c r="G2116" t="s">
        <v>7759</v>
      </c>
      <c r="H2116" t="s">
        <v>30</v>
      </c>
      <c r="I2116" t="b">
        <f>COUNTIF(Estadísticas!I:I,'centraldecomunicacion.es'!H2116)&gt;0</f>
        <v>0</v>
      </c>
    </row>
    <row r="2117" spans="1:9">
      <c r="A2117" t="s">
        <v>7760</v>
      </c>
      <c r="B2117" t="s">
        <v>10</v>
      </c>
      <c r="C2117" t="s">
        <v>7761</v>
      </c>
      <c r="D2117" t="s">
        <v>7762</v>
      </c>
      <c r="E2117" t="s">
        <v>7763</v>
      </c>
      <c r="F2117" t="s">
        <v>7764</v>
      </c>
      <c r="G2117" t="s">
        <v>7765</v>
      </c>
      <c r="H2117" t="s">
        <v>30</v>
      </c>
      <c r="I2117" t="b">
        <f>COUNTIF(Estadísticas!I:I,'centraldecomunicacion.es'!H2117)&gt;0</f>
        <v>0</v>
      </c>
    </row>
    <row r="2118" spans="1:9">
      <c r="A2118" t="s">
        <v>1221</v>
      </c>
      <c r="B2118" t="s">
        <v>10</v>
      </c>
      <c r="C2118" t="s">
        <v>7766</v>
      </c>
      <c r="D2118" t="s">
        <v>7767</v>
      </c>
      <c r="E2118" t="s">
        <v>7768</v>
      </c>
      <c r="F2118" t="s">
        <v>28</v>
      </c>
      <c r="G2118" t="s">
        <v>7769</v>
      </c>
      <c r="H2118" t="s">
        <v>30</v>
      </c>
      <c r="I2118" t="b">
        <f>COUNTIF(Estadísticas!I:I,'centraldecomunicacion.es'!H2118)&gt;0</f>
        <v>0</v>
      </c>
    </row>
    <row r="2119" spans="1:9">
      <c r="A2119" t="s">
        <v>7770</v>
      </c>
      <c r="B2119" t="s">
        <v>10</v>
      </c>
      <c r="C2119" t="s">
        <v>7771</v>
      </c>
      <c r="D2119" t="s">
        <v>7772</v>
      </c>
      <c r="E2119" t="s">
        <v>7768</v>
      </c>
      <c r="F2119" t="s">
        <v>50</v>
      </c>
      <c r="G2119" t="s">
        <v>7773</v>
      </c>
      <c r="H2119" t="s">
        <v>30</v>
      </c>
      <c r="I2119" t="b">
        <f>COUNTIF(Estadísticas!I:I,'centraldecomunicacion.es'!H2119)&gt;0</f>
        <v>0</v>
      </c>
    </row>
    <row r="2120" spans="1:9">
      <c r="A2120" t="s">
        <v>4587</v>
      </c>
      <c r="B2120" t="s">
        <v>10</v>
      </c>
      <c r="C2120" t="s">
        <v>7774</v>
      </c>
      <c r="D2120" t="s">
        <v>7775</v>
      </c>
      <c r="E2120" t="s">
        <v>7731</v>
      </c>
      <c r="F2120" t="s">
        <v>7732</v>
      </c>
      <c r="G2120" t="s">
        <v>7776</v>
      </c>
      <c r="H2120" t="s">
        <v>7734</v>
      </c>
      <c r="I2120" t="b">
        <f>COUNTIF(Estadísticas!I:I,'centraldecomunicacion.es'!H2120)&gt;0</f>
        <v>1</v>
      </c>
    </row>
    <row r="2121" spans="1:9">
      <c r="A2121" t="s">
        <v>7777</v>
      </c>
      <c r="B2121" t="s">
        <v>10</v>
      </c>
      <c r="C2121" t="s">
        <v>7778</v>
      </c>
      <c r="D2121" t="s">
        <v>7779</v>
      </c>
      <c r="E2121" t="s">
        <v>1868</v>
      </c>
      <c r="F2121" t="s">
        <v>7301</v>
      </c>
      <c r="G2121" t="s">
        <v>7780</v>
      </c>
      <c r="H2121" t="s">
        <v>7303</v>
      </c>
      <c r="I2121" t="b">
        <f>COUNTIF(Estadísticas!I:I,'centraldecomunicacion.es'!H2121)&gt;0</f>
        <v>0</v>
      </c>
    </row>
    <row r="2122" spans="1:9">
      <c r="A2122" t="s">
        <v>7781</v>
      </c>
      <c r="B2122" t="s">
        <v>10</v>
      </c>
      <c r="C2122" t="s">
        <v>7782</v>
      </c>
      <c r="D2122" t="s">
        <v>7783</v>
      </c>
      <c r="E2122" t="s">
        <v>7783</v>
      </c>
      <c r="F2122" t="s">
        <v>7784</v>
      </c>
      <c r="G2122" t="s">
        <v>7785</v>
      </c>
      <c r="H2122" t="s">
        <v>7786</v>
      </c>
      <c r="I2122" t="b">
        <f>COUNTIF(Estadísticas!I:I,'centraldecomunicacion.es'!H2122)&gt;0</f>
        <v>1</v>
      </c>
    </row>
    <row r="2123" spans="1:9">
      <c r="A2123" t="s">
        <v>7787</v>
      </c>
      <c r="B2123" t="s">
        <v>10</v>
      </c>
      <c r="C2123" t="s">
        <v>7788</v>
      </c>
      <c r="D2123" t="s">
        <v>7783</v>
      </c>
      <c r="E2123" t="s">
        <v>7783</v>
      </c>
      <c r="F2123" t="s">
        <v>7789</v>
      </c>
      <c r="G2123" t="s">
        <v>7790</v>
      </c>
      <c r="H2123" t="s">
        <v>7791</v>
      </c>
      <c r="I2123" t="b">
        <f>COUNTIF(Estadísticas!I:I,'centraldecomunicacion.es'!H2123)&gt;0</f>
        <v>1</v>
      </c>
    </row>
    <row r="2124" spans="1:9">
      <c r="A2124" t="s">
        <v>7792</v>
      </c>
      <c r="B2124" t="s">
        <v>10</v>
      </c>
      <c r="C2124" t="s">
        <v>7793</v>
      </c>
      <c r="D2124" t="s">
        <v>7783</v>
      </c>
      <c r="E2124" t="s">
        <v>7783</v>
      </c>
      <c r="F2124" t="s">
        <v>7784</v>
      </c>
      <c r="G2124" t="s">
        <v>7794</v>
      </c>
      <c r="H2124" t="s">
        <v>7786</v>
      </c>
      <c r="I2124" t="b">
        <f>COUNTIF(Estadísticas!I:I,'centraldecomunicacion.es'!H2124)&gt;0</f>
        <v>1</v>
      </c>
    </row>
    <row r="2125" spans="1:9">
      <c r="A2125" t="s">
        <v>7795</v>
      </c>
      <c r="B2125" t="s">
        <v>10</v>
      </c>
      <c r="C2125" t="s">
        <v>7796</v>
      </c>
      <c r="D2125" t="s">
        <v>7783</v>
      </c>
      <c r="E2125" t="s">
        <v>7783</v>
      </c>
      <c r="F2125" t="s">
        <v>7797</v>
      </c>
      <c r="G2125" t="s">
        <v>7798</v>
      </c>
      <c r="H2125" t="s">
        <v>30</v>
      </c>
      <c r="I2125" t="b">
        <f>COUNTIF(Estadísticas!I:I,'centraldecomunicacion.es'!H2125)&gt;0</f>
        <v>0</v>
      </c>
    </row>
    <row r="2126" spans="1:9">
      <c r="A2126" t="s">
        <v>7781</v>
      </c>
      <c r="B2126" t="s">
        <v>10</v>
      </c>
      <c r="C2126" t="s">
        <v>7799</v>
      </c>
      <c r="D2126" t="s">
        <v>7783</v>
      </c>
      <c r="E2126" t="s">
        <v>7783</v>
      </c>
      <c r="F2126" t="s">
        <v>7784</v>
      </c>
      <c r="G2126" t="s">
        <v>7800</v>
      </c>
      <c r="H2126" t="s">
        <v>7786</v>
      </c>
      <c r="I2126" t="b">
        <f>COUNTIF(Estadísticas!I:I,'centraldecomunicacion.es'!H2126)&gt;0</f>
        <v>1</v>
      </c>
    </row>
    <row r="2127" spans="1:9">
      <c r="A2127" t="s">
        <v>7801</v>
      </c>
      <c r="B2127" t="s">
        <v>10</v>
      </c>
      <c r="C2127" t="s">
        <v>7802</v>
      </c>
      <c r="D2127" t="s">
        <v>7783</v>
      </c>
      <c r="E2127" t="s">
        <v>7783</v>
      </c>
      <c r="F2127" t="s">
        <v>28</v>
      </c>
      <c r="G2127" t="s">
        <v>7803</v>
      </c>
      <c r="H2127" t="s">
        <v>30</v>
      </c>
      <c r="I2127" t="b">
        <f>COUNTIF(Estadísticas!I:I,'centraldecomunicacion.es'!H2127)&gt;0</f>
        <v>0</v>
      </c>
    </row>
    <row r="2128" spans="1:9">
      <c r="A2128" t="s">
        <v>7804</v>
      </c>
      <c r="B2128" t="s">
        <v>10</v>
      </c>
      <c r="C2128" t="s">
        <v>7805</v>
      </c>
      <c r="D2128" t="s">
        <v>7783</v>
      </c>
      <c r="E2128" t="s">
        <v>7783</v>
      </c>
      <c r="F2128" t="s">
        <v>7806</v>
      </c>
      <c r="G2128" t="s">
        <v>7807</v>
      </c>
      <c r="H2128" t="s">
        <v>30</v>
      </c>
      <c r="I2128" t="b">
        <f>COUNTIF(Estadísticas!I:I,'centraldecomunicacion.es'!H2128)&gt;0</f>
        <v>0</v>
      </c>
    </row>
    <row r="2129" spans="1:9">
      <c r="A2129" t="s">
        <v>7808</v>
      </c>
      <c r="B2129" t="s">
        <v>10</v>
      </c>
      <c r="C2129" t="s">
        <v>7782</v>
      </c>
      <c r="D2129" t="s">
        <v>7783</v>
      </c>
      <c r="E2129" t="s">
        <v>7783</v>
      </c>
      <c r="F2129" t="s">
        <v>7784</v>
      </c>
      <c r="G2129" t="s">
        <v>7785</v>
      </c>
      <c r="H2129" t="s">
        <v>7786</v>
      </c>
      <c r="I2129" t="b">
        <f>COUNTIF(Estadísticas!I:I,'centraldecomunicacion.es'!H2129)&gt;0</f>
        <v>1</v>
      </c>
    </row>
    <row r="2130" spans="1:9">
      <c r="A2130" t="s">
        <v>7809</v>
      </c>
      <c r="B2130" t="s">
        <v>10</v>
      </c>
      <c r="C2130" t="s">
        <v>7810</v>
      </c>
      <c r="D2130" t="s">
        <v>7783</v>
      </c>
      <c r="E2130" t="s">
        <v>7783</v>
      </c>
      <c r="F2130" t="s">
        <v>7811</v>
      </c>
      <c r="G2130" t="s">
        <v>7812</v>
      </c>
      <c r="H2130" t="s">
        <v>7813</v>
      </c>
      <c r="I2130" t="b">
        <f>COUNTIF(Estadísticas!I:I,'centraldecomunicacion.es'!H2130)&gt;0</f>
        <v>0</v>
      </c>
    </row>
    <row r="2131" spans="1:9">
      <c r="A2131" t="s">
        <v>7814</v>
      </c>
      <c r="B2131" t="s">
        <v>10</v>
      </c>
      <c r="C2131" t="s">
        <v>7815</v>
      </c>
      <c r="D2131" t="s">
        <v>7783</v>
      </c>
      <c r="E2131" t="s">
        <v>7783</v>
      </c>
      <c r="F2131" t="s">
        <v>28</v>
      </c>
      <c r="G2131" t="s">
        <v>7816</v>
      </c>
      <c r="H2131" t="s">
        <v>30</v>
      </c>
      <c r="I2131" t="b">
        <f>COUNTIF(Estadísticas!I:I,'centraldecomunicacion.es'!H2131)&gt;0</f>
        <v>0</v>
      </c>
    </row>
    <row r="2132" spans="1:9">
      <c r="A2132" t="s">
        <v>7817</v>
      </c>
      <c r="B2132" t="s">
        <v>10</v>
      </c>
      <c r="C2132" t="s">
        <v>7818</v>
      </c>
      <c r="D2132" t="s">
        <v>7783</v>
      </c>
      <c r="E2132" t="s">
        <v>7783</v>
      </c>
      <c r="F2132" t="s">
        <v>7819</v>
      </c>
      <c r="G2132" t="s">
        <v>7820</v>
      </c>
      <c r="H2132" t="s">
        <v>30</v>
      </c>
      <c r="I2132" t="b">
        <f>COUNTIF(Estadísticas!I:I,'centraldecomunicacion.es'!H2132)&gt;0</f>
        <v>0</v>
      </c>
    </row>
    <row r="2133" spans="1:9">
      <c r="A2133" t="s">
        <v>7821</v>
      </c>
      <c r="B2133" t="s">
        <v>10</v>
      </c>
      <c r="C2133" t="s">
        <v>7822</v>
      </c>
      <c r="D2133" t="s">
        <v>7783</v>
      </c>
      <c r="E2133" t="s">
        <v>7783</v>
      </c>
      <c r="F2133" t="s">
        <v>38</v>
      </c>
      <c r="G2133" t="s">
        <v>7823</v>
      </c>
      <c r="H2133" t="s">
        <v>30</v>
      </c>
      <c r="I2133" t="b">
        <f>COUNTIF(Estadísticas!I:I,'centraldecomunicacion.es'!H2133)&gt;0</f>
        <v>0</v>
      </c>
    </row>
    <row r="2134" spans="1:9">
      <c r="A2134" t="s">
        <v>4654</v>
      </c>
      <c r="B2134" t="s">
        <v>10</v>
      </c>
      <c r="C2134" t="s">
        <v>7824</v>
      </c>
      <c r="D2134" t="s">
        <v>7783</v>
      </c>
      <c r="E2134" t="s">
        <v>7783</v>
      </c>
      <c r="F2134" t="s">
        <v>28</v>
      </c>
      <c r="G2134" t="s">
        <v>7825</v>
      </c>
      <c r="H2134" t="s">
        <v>30</v>
      </c>
      <c r="I2134" t="b">
        <f>COUNTIF(Estadísticas!I:I,'centraldecomunicacion.es'!H2134)&gt;0</f>
        <v>0</v>
      </c>
    </row>
    <row r="2135" spans="1:9">
      <c r="A2135" t="s">
        <v>7826</v>
      </c>
      <c r="B2135" t="s">
        <v>10</v>
      </c>
      <c r="C2135" t="s">
        <v>7827</v>
      </c>
      <c r="D2135" t="s">
        <v>7783</v>
      </c>
      <c r="E2135" t="s">
        <v>7783</v>
      </c>
      <c r="F2135" t="s">
        <v>28</v>
      </c>
      <c r="G2135" t="s">
        <v>7828</v>
      </c>
      <c r="H2135" t="s">
        <v>30</v>
      </c>
      <c r="I2135" t="b">
        <f>COUNTIF(Estadísticas!I:I,'centraldecomunicacion.es'!H2135)&gt;0</f>
        <v>0</v>
      </c>
    </row>
    <row r="2136" spans="1:9">
      <c r="A2136" t="s">
        <v>7829</v>
      </c>
      <c r="B2136" t="s">
        <v>10</v>
      </c>
      <c r="C2136" t="s">
        <v>7830</v>
      </c>
      <c r="D2136" t="s">
        <v>7783</v>
      </c>
      <c r="E2136" t="s">
        <v>7783</v>
      </c>
      <c r="F2136" t="s">
        <v>7831</v>
      </c>
      <c r="G2136" t="s">
        <v>7832</v>
      </c>
      <c r="H2136" t="s">
        <v>30</v>
      </c>
      <c r="I2136" t="b">
        <f>COUNTIF(Estadísticas!I:I,'centraldecomunicacion.es'!H2136)&gt;0</f>
        <v>0</v>
      </c>
    </row>
    <row r="2137" spans="1:9">
      <c r="A2137" t="s">
        <v>7833</v>
      </c>
      <c r="B2137" t="s">
        <v>10</v>
      </c>
      <c r="C2137" t="s">
        <v>7834</v>
      </c>
      <c r="D2137" t="s">
        <v>7783</v>
      </c>
      <c r="E2137" t="s">
        <v>7783</v>
      </c>
      <c r="F2137" t="s">
        <v>28</v>
      </c>
      <c r="G2137" t="s">
        <v>7835</v>
      </c>
      <c r="H2137" t="s">
        <v>30</v>
      </c>
      <c r="I2137" t="b">
        <f>COUNTIF(Estadísticas!I:I,'centraldecomunicacion.es'!H2137)&gt;0</f>
        <v>0</v>
      </c>
    </row>
    <row r="2138" spans="1:9">
      <c r="A2138" t="s">
        <v>7836</v>
      </c>
      <c r="B2138" t="s">
        <v>10</v>
      </c>
      <c r="C2138" t="s">
        <v>7837</v>
      </c>
      <c r="D2138" t="s">
        <v>7783</v>
      </c>
      <c r="E2138" t="s">
        <v>7783</v>
      </c>
      <c r="F2138" t="s">
        <v>28</v>
      </c>
      <c r="G2138" t="s">
        <v>7838</v>
      </c>
      <c r="H2138" t="s">
        <v>30</v>
      </c>
      <c r="I2138" t="b">
        <f>COUNTIF(Estadísticas!I:I,'centraldecomunicacion.es'!H2138)&gt;0</f>
        <v>0</v>
      </c>
    </row>
    <row r="2139" spans="1:9">
      <c r="A2139" t="s">
        <v>7839</v>
      </c>
      <c r="B2139" t="s">
        <v>10</v>
      </c>
      <c r="C2139" t="s">
        <v>7840</v>
      </c>
      <c r="D2139" t="s">
        <v>7783</v>
      </c>
      <c r="E2139" t="s">
        <v>7783</v>
      </c>
      <c r="F2139" t="s">
        <v>28</v>
      </c>
      <c r="G2139" t="s">
        <v>7841</v>
      </c>
      <c r="H2139" t="s">
        <v>30</v>
      </c>
      <c r="I2139" t="b">
        <f>COUNTIF(Estadísticas!I:I,'centraldecomunicacion.es'!H2139)&gt;0</f>
        <v>0</v>
      </c>
    </row>
    <row r="2140" spans="1:9">
      <c r="A2140" t="s">
        <v>7842</v>
      </c>
      <c r="B2140" t="s">
        <v>10</v>
      </c>
      <c r="C2140" t="s">
        <v>7843</v>
      </c>
      <c r="D2140" t="s">
        <v>7783</v>
      </c>
      <c r="E2140" t="s">
        <v>7783</v>
      </c>
      <c r="F2140" t="s">
        <v>7844</v>
      </c>
      <c r="G2140" t="s">
        <v>7845</v>
      </c>
      <c r="H2140" t="s">
        <v>1242</v>
      </c>
      <c r="I2140" t="b">
        <f>COUNTIF(Estadísticas!I:I,'centraldecomunicacion.es'!H2140)&gt;0</f>
        <v>0</v>
      </c>
    </row>
    <row r="2141" spans="1:9">
      <c r="A2141" t="s">
        <v>7846</v>
      </c>
      <c r="B2141" t="s">
        <v>10</v>
      </c>
      <c r="C2141" t="s">
        <v>7847</v>
      </c>
      <c r="D2141" t="s">
        <v>7783</v>
      </c>
      <c r="E2141" t="s">
        <v>7783</v>
      </c>
      <c r="F2141" t="s">
        <v>7848</v>
      </c>
      <c r="G2141" t="s">
        <v>7849</v>
      </c>
      <c r="H2141" t="s">
        <v>5817</v>
      </c>
      <c r="I2141" t="b">
        <f>COUNTIF(Estadísticas!I:I,'centraldecomunicacion.es'!H2141)&gt;0</f>
        <v>0</v>
      </c>
    </row>
    <row r="2142" spans="1:9">
      <c r="A2142" t="s">
        <v>7850</v>
      </c>
      <c r="B2142" t="s">
        <v>10</v>
      </c>
      <c r="C2142" t="s">
        <v>7851</v>
      </c>
      <c r="D2142" t="s">
        <v>7783</v>
      </c>
      <c r="E2142" t="s">
        <v>7783</v>
      </c>
      <c r="F2142" t="s">
        <v>28</v>
      </c>
      <c r="G2142" t="s">
        <v>7852</v>
      </c>
      <c r="H2142" t="s">
        <v>30</v>
      </c>
      <c r="I2142" t="b">
        <f>COUNTIF(Estadísticas!I:I,'centraldecomunicacion.es'!H2142)&gt;0</f>
        <v>0</v>
      </c>
    </row>
    <row r="2143" spans="1:9">
      <c r="A2143" t="s">
        <v>7853</v>
      </c>
      <c r="B2143" t="s">
        <v>10</v>
      </c>
      <c r="C2143" t="s">
        <v>7847</v>
      </c>
      <c r="D2143" t="s">
        <v>7783</v>
      </c>
      <c r="E2143" t="s">
        <v>7783</v>
      </c>
      <c r="F2143" t="s">
        <v>7848</v>
      </c>
      <c r="G2143" t="s">
        <v>28</v>
      </c>
      <c r="H2143" t="s">
        <v>5817</v>
      </c>
      <c r="I2143" t="b">
        <f>COUNTIF(Estadísticas!I:I,'centraldecomunicacion.es'!H2143)&gt;0</f>
        <v>0</v>
      </c>
    </row>
    <row r="2144" spans="1:9">
      <c r="A2144" t="s">
        <v>7854</v>
      </c>
      <c r="B2144" t="s">
        <v>10</v>
      </c>
      <c r="C2144" t="s">
        <v>7855</v>
      </c>
      <c r="D2144" t="s">
        <v>7783</v>
      </c>
      <c r="E2144" t="s">
        <v>7783</v>
      </c>
      <c r="F2144" t="s">
        <v>28</v>
      </c>
      <c r="G2144" t="s">
        <v>7794</v>
      </c>
      <c r="H2144" t="s">
        <v>30</v>
      </c>
      <c r="I2144" t="b">
        <f>COUNTIF(Estadísticas!I:I,'centraldecomunicacion.es'!H2144)&gt;0</f>
        <v>0</v>
      </c>
    </row>
    <row r="2145" spans="1:9">
      <c r="A2145" t="s">
        <v>7856</v>
      </c>
      <c r="B2145" t="s">
        <v>10</v>
      </c>
      <c r="C2145" t="s">
        <v>7857</v>
      </c>
      <c r="D2145" t="s">
        <v>7783</v>
      </c>
      <c r="E2145" t="s">
        <v>7783</v>
      </c>
      <c r="F2145" t="s">
        <v>7858</v>
      </c>
      <c r="G2145" t="s">
        <v>7859</v>
      </c>
      <c r="H2145" t="s">
        <v>30</v>
      </c>
      <c r="I2145" t="b">
        <f>COUNTIF(Estadísticas!I:I,'centraldecomunicacion.es'!H2145)&gt;0</f>
        <v>0</v>
      </c>
    </row>
    <row r="2146" spans="1:9">
      <c r="A2146" t="s">
        <v>7860</v>
      </c>
      <c r="B2146" t="s">
        <v>10</v>
      </c>
      <c r="C2146" t="s">
        <v>7861</v>
      </c>
      <c r="D2146" t="s">
        <v>7783</v>
      </c>
      <c r="E2146" t="s">
        <v>7783</v>
      </c>
      <c r="F2146" t="s">
        <v>28</v>
      </c>
      <c r="G2146" t="s">
        <v>7862</v>
      </c>
      <c r="H2146" t="s">
        <v>30</v>
      </c>
      <c r="I2146" t="b">
        <f>COUNTIF(Estadísticas!I:I,'centraldecomunicacion.es'!H2146)&gt;0</f>
        <v>0</v>
      </c>
    </row>
    <row r="2147" spans="1:9">
      <c r="A2147" t="s">
        <v>7863</v>
      </c>
      <c r="B2147" t="s">
        <v>10</v>
      </c>
      <c r="C2147" t="s">
        <v>7864</v>
      </c>
      <c r="D2147" t="s">
        <v>7783</v>
      </c>
      <c r="E2147" t="s">
        <v>7783</v>
      </c>
      <c r="F2147" t="s">
        <v>28</v>
      </c>
      <c r="G2147" t="s">
        <v>7865</v>
      </c>
      <c r="H2147" t="s">
        <v>30</v>
      </c>
      <c r="I2147" t="b">
        <f>COUNTIF(Estadísticas!I:I,'centraldecomunicacion.es'!H2147)&gt;0</f>
        <v>0</v>
      </c>
    </row>
    <row r="2148" spans="1:9">
      <c r="A2148" t="s">
        <v>7866</v>
      </c>
      <c r="B2148" t="s">
        <v>10</v>
      </c>
      <c r="C2148" t="s">
        <v>7867</v>
      </c>
      <c r="D2148" t="s">
        <v>7783</v>
      </c>
      <c r="E2148" t="s">
        <v>7783</v>
      </c>
      <c r="F2148" t="s">
        <v>28</v>
      </c>
      <c r="G2148" t="s">
        <v>7868</v>
      </c>
      <c r="H2148" t="s">
        <v>30</v>
      </c>
      <c r="I2148" t="b">
        <f>COUNTIF(Estadísticas!I:I,'centraldecomunicacion.es'!H2148)&gt;0</f>
        <v>0</v>
      </c>
    </row>
    <row r="2149" spans="1:9">
      <c r="A2149" t="s">
        <v>7869</v>
      </c>
      <c r="B2149" t="s">
        <v>10</v>
      </c>
      <c r="C2149" t="s">
        <v>7870</v>
      </c>
      <c r="D2149" t="s">
        <v>7871</v>
      </c>
      <c r="E2149" t="s">
        <v>7783</v>
      </c>
      <c r="F2149" t="s">
        <v>7784</v>
      </c>
      <c r="G2149" t="s">
        <v>7872</v>
      </c>
      <c r="H2149" t="s">
        <v>7786</v>
      </c>
      <c r="I2149" t="b">
        <f>COUNTIF(Estadísticas!I:I,'centraldecomunicacion.es'!H2149)&gt;0</f>
        <v>1</v>
      </c>
    </row>
    <row r="2150" spans="1:9">
      <c r="A2150" t="s">
        <v>7873</v>
      </c>
      <c r="B2150" t="s">
        <v>219</v>
      </c>
      <c r="C2150" t="s">
        <v>7874</v>
      </c>
      <c r="D2150" t="s">
        <v>7783</v>
      </c>
      <c r="E2150" t="s">
        <v>7783</v>
      </c>
      <c r="F2150" t="s">
        <v>7875</v>
      </c>
      <c r="G2150" t="s">
        <v>7876</v>
      </c>
      <c r="H2150" t="s">
        <v>30</v>
      </c>
      <c r="I2150" t="b">
        <f>COUNTIF(Estadísticas!I:I,'centraldecomunicacion.es'!H2150)&gt;0</f>
        <v>0</v>
      </c>
    </row>
    <row r="2151" spans="1:9">
      <c r="A2151" t="s">
        <v>7877</v>
      </c>
      <c r="B2151" t="s">
        <v>10</v>
      </c>
      <c r="C2151" t="s">
        <v>7878</v>
      </c>
      <c r="D2151" t="s">
        <v>7879</v>
      </c>
      <c r="E2151" t="s">
        <v>7783</v>
      </c>
      <c r="F2151" t="s">
        <v>28</v>
      </c>
      <c r="G2151" t="s">
        <v>7880</v>
      </c>
      <c r="H2151" t="s">
        <v>30</v>
      </c>
      <c r="I2151" t="b">
        <f>COUNTIF(Estadísticas!I:I,'centraldecomunicacion.es'!H2151)&gt;0</f>
        <v>0</v>
      </c>
    </row>
    <row r="2152" spans="1:9">
      <c r="A2152" t="s">
        <v>7881</v>
      </c>
      <c r="B2152" t="s">
        <v>10</v>
      </c>
      <c r="C2152" t="s">
        <v>7882</v>
      </c>
      <c r="D2152" t="s">
        <v>7879</v>
      </c>
      <c r="E2152" t="s">
        <v>7783</v>
      </c>
      <c r="F2152" t="s">
        <v>28</v>
      </c>
      <c r="G2152" t="s">
        <v>7883</v>
      </c>
      <c r="H2152" t="s">
        <v>30</v>
      </c>
      <c r="I2152" t="b">
        <f>COUNTIF(Estadísticas!I:I,'centraldecomunicacion.es'!H2152)&gt;0</f>
        <v>0</v>
      </c>
    </row>
    <row r="2153" spans="1:9">
      <c r="A2153" t="s">
        <v>7884</v>
      </c>
      <c r="B2153" t="s">
        <v>10</v>
      </c>
      <c r="C2153" t="s">
        <v>7885</v>
      </c>
      <c r="D2153" t="s">
        <v>7886</v>
      </c>
      <c r="E2153" t="s">
        <v>7783</v>
      </c>
      <c r="F2153" t="s">
        <v>28</v>
      </c>
      <c r="G2153" t="s">
        <v>7887</v>
      </c>
      <c r="H2153" t="s">
        <v>30</v>
      </c>
      <c r="I2153" t="b">
        <f>COUNTIF(Estadísticas!I:I,'centraldecomunicacion.es'!H2153)&gt;0</f>
        <v>0</v>
      </c>
    </row>
    <row r="2154" spans="1:9">
      <c r="A2154" t="s">
        <v>7888</v>
      </c>
      <c r="B2154" t="s">
        <v>10</v>
      </c>
      <c r="C2154" t="s">
        <v>7889</v>
      </c>
      <c r="D2154" t="s">
        <v>7890</v>
      </c>
      <c r="E2154" t="s">
        <v>7783</v>
      </c>
      <c r="F2154" t="s">
        <v>7891</v>
      </c>
      <c r="G2154" t="s">
        <v>7892</v>
      </c>
      <c r="H2154" t="s">
        <v>7893</v>
      </c>
      <c r="I2154" t="b">
        <f>COUNTIF(Estadísticas!I:I,'centraldecomunicacion.es'!H2154)&gt;0</f>
        <v>0</v>
      </c>
    </row>
    <row r="2155" spans="1:9">
      <c r="A2155" t="s">
        <v>7894</v>
      </c>
      <c r="B2155" t="s">
        <v>10</v>
      </c>
      <c r="C2155" t="s">
        <v>7895</v>
      </c>
      <c r="D2155" t="s">
        <v>7896</v>
      </c>
      <c r="E2155" t="s">
        <v>7783</v>
      </c>
      <c r="F2155" t="s">
        <v>28</v>
      </c>
      <c r="G2155" t="s">
        <v>7897</v>
      </c>
      <c r="H2155" t="s">
        <v>30</v>
      </c>
      <c r="I2155" t="b">
        <f>COUNTIF(Estadísticas!I:I,'centraldecomunicacion.es'!H2155)&gt;0</f>
        <v>0</v>
      </c>
    </row>
    <row r="2156" spans="1:9">
      <c r="A2156" t="s">
        <v>7781</v>
      </c>
      <c r="B2156" t="s">
        <v>10</v>
      </c>
      <c r="C2156" t="s">
        <v>7898</v>
      </c>
      <c r="D2156" t="s">
        <v>7899</v>
      </c>
      <c r="E2156" t="s">
        <v>7783</v>
      </c>
      <c r="F2156" t="s">
        <v>7784</v>
      </c>
      <c r="G2156" t="s">
        <v>7900</v>
      </c>
      <c r="H2156" t="s">
        <v>7786</v>
      </c>
      <c r="I2156" t="b">
        <f>COUNTIF(Estadísticas!I:I,'centraldecomunicacion.es'!H2156)&gt;0</f>
        <v>1</v>
      </c>
    </row>
    <row r="2157" spans="1:9">
      <c r="A2157" t="s">
        <v>7901</v>
      </c>
      <c r="B2157" t="s">
        <v>10</v>
      </c>
      <c r="C2157" t="s">
        <v>7902</v>
      </c>
      <c r="D2157" t="s">
        <v>7903</v>
      </c>
      <c r="E2157" t="s">
        <v>7783</v>
      </c>
      <c r="F2157" t="s">
        <v>28</v>
      </c>
      <c r="G2157" t="s">
        <v>7904</v>
      </c>
      <c r="H2157" t="s">
        <v>30</v>
      </c>
      <c r="I2157" t="b">
        <f>COUNTIF(Estadísticas!I:I,'centraldecomunicacion.es'!H2157)&gt;0</f>
        <v>0</v>
      </c>
    </row>
    <row r="2158" spans="1:9">
      <c r="A2158" t="s">
        <v>7905</v>
      </c>
      <c r="B2158" t="s">
        <v>10</v>
      </c>
      <c r="C2158" t="s">
        <v>7906</v>
      </c>
      <c r="D2158" t="s">
        <v>7899</v>
      </c>
      <c r="E2158" t="s">
        <v>7783</v>
      </c>
      <c r="F2158" t="s">
        <v>28</v>
      </c>
      <c r="G2158" t="s">
        <v>7907</v>
      </c>
      <c r="H2158" t="s">
        <v>30</v>
      </c>
      <c r="I2158" t="b">
        <f>COUNTIF(Estadísticas!I:I,'centraldecomunicacion.es'!H2158)&gt;0</f>
        <v>0</v>
      </c>
    </row>
    <row r="2159" spans="1:9">
      <c r="A2159" t="s">
        <v>7908</v>
      </c>
      <c r="B2159" t="s">
        <v>10</v>
      </c>
      <c r="C2159" t="s">
        <v>7909</v>
      </c>
      <c r="D2159" t="s">
        <v>7910</v>
      </c>
      <c r="E2159" t="s">
        <v>7783</v>
      </c>
      <c r="F2159" t="s">
        <v>28</v>
      </c>
      <c r="G2159" t="s">
        <v>7911</v>
      </c>
      <c r="H2159" t="s">
        <v>30</v>
      </c>
      <c r="I2159" t="b">
        <f>COUNTIF(Estadísticas!I:I,'centraldecomunicacion.es'!H2159)&gt;0</f>
        <v>0</v>
      </c>
    </row>
    <row r="2160" spans="1:9">
      <c r="A2160" t="s">
        <v>7912</v>
      </c>
      <c r="B2160" t="s">
        <v>10</v>
      </c>
      <c r="C2160" t="s">
        <v>7913</v>
      </c>
      <c r="D2160" t="s">
        <v>7899</v>
      </c>
      <c r="E2160" t="s">
        <v>7783</v>
      </c>
      <c r="F2160" t="s">
        <v>28</v>
      </c>
      <c r="G2160" t="s">
        <v>7914</v>
      </c>
      <c r="H2160" t="s">
        <v>30</v>
      </c>
      <c r="I2160" t="b">
        <f>COUNTIF(Estadísticas!I:I,'centraldecomunicacion.es'!H2160)&gt;0</f>
        <v>0</v>
      </c>
    </row>
    <row r="2161" spans="1:9">
      <c r="A2161" t="s">
        <v>7915</v>
      </c>
      <c r="B2161" t="s">
        <v>10</v>
      </c>
      <c r="C2161" t="s">
        <v>7916</v>
      </c>
      <c r="D2161" t="s">
        <v>7910</v>
      </c>
      <c r="E2161" t="s">
        <v>7783</v>
      </c>
      <c r="F2161" t="s">
        <v>7917</v>
      </c>
      <c r="G2161" t="s">
        <v>7918</v>
      </c>
      <c r="H2161" t="s">
        <v>7919</v>
      </c>
      <c r="I2161" t="b">
        <f>COUNTIF(Estadísticas!I:I,'centraldecomunicacion.es'!H2161)&gt;0</f>
        <v>0</v>
      </c>
    </row>
    <row r="2162" spans="1:9">
      <c r="A2162" t="s">
        <v>7920</v>
      </c>
      <c r="B2162" t="s">
        <v>10</v>
      </c>
      <c r="C2162" t="s">
        <v>7921</v>
      </c>
      <c r="D2162" t="s">
        <v>7899</v>
      </c>
      <c r="E2162" t="s">
        <v>7783</v>
      </c>
      <c r="F2162" t="s">
        <v>28</v>
      </c>
      <c r="G2162" t="s">
        <v>7922</v>
      </c>
      <c r="H2162" t="s">
        <v>30</v>
      </c>
      <c r="I2162" t="b">
        <f>COUNTIF(Estadísticas!I:I,'centraldecomunicacion.es'!H2162)&gt;0</f>
        <v>0</v>
      </c>
    </row>
    <row r="2163" spans="1:9">
      <c r="A2163" t="s">
        <v>7923</v>
      </c>
      <c r="B2163" t="s">
        <v>10</v>
      </c>
      <c r="C2163" t="s">
        <v>7924</v>
      </c>
      <c r="D2163" t="s">
        <v>7910</v>
      </c>
      <c r="E2163" t="s">
        <v>7783</v>
      </c>
      <c r="F2163" t="s">
        <v>28</v>
      </c>
      <c r="G2163" t="s">
        <v>7925</v>
      </c>
      <c r="H2163" t="s">
        <v>30</v>
      </c>
      <c r="I2163" t="b">
        <f>COUNTIF(Estadísticas!I:I,'centraldecomunicacion.es'!H2163)&gt;0</f>
        <v>0</v>
      </c>
    </row>
    <row r="2164" spans="1:9">
      <c r="A2164" t="s">
        <v>7926</v>
      </c>
      <c r="B2164" t="s">
        <v>10</v>
      </c>
      <c r="C2164" t="s">
        <v>7927</v>
      </c>
      <c r="D2164" t="s">
        <v>7899</v>
      </c>
      <c r="E2164" t="s">
        <v>7783</v>
      </c>
      <c r="F2164" t="s">
        <v>7928</v>
      </c>
      <c r="G2164" t="s">
        <v>7929</v>
      </c>
      <c r="H2164" t="s">
        <v>1643</v>
      </c>
      <c r="I2164" t="b">
        <f>COUNTIF(Estadísticas!I:I,'centraldecomunicacion.es'!H2164)&gt;0</f>
        <v>0</v>
      </c>
    </row>
    <row r="2165" spans="1:9">
      <c r="A2165" t="s">
        <v>7930</v>
      </c>
      <c r="B2165" t="s">
        <v>10</v>
      </c>
      <c r="C2165" t="s">
        <v>7931</v>
      </c>
      <c r="D2165" t="s">
        <v>7899</v>
      </c>
      <c r="E2165" t="s">
        <v>7783</v>
      </c>
      <c r="F2165" t="s">
        <v>28</v>
      </c>
      <c r="G2165" t="s">
        <v>7932</v>
      </c>
      <c r="H2165" t="s">
        <v>30</v>
      </c>
      <c r="I2165" t="b">
        <f>COUNTIF(Estadísticas!I:I,'centraldecomunicacion.es'!H2165)&gt;0</f>
        <v>0</v>
      </c>
    </row>
    <row r="2166" spans="1:9">
      <c r="A2166" t="s">
        <v>7933</v>
      </c>
      <c r="B2166" t="s">
        <v>10</v>
      </c>
      <c r="C2166" t="s">
        <v>7934</v>
      </c>
      <c r="D2166" t="s">
        <v>7935</v>
      </c>
      <c r="E2166" t="s">
        <v>7783</v>
      </c>
      <c r="F2166" t="s">
        <v>7936</v>
      </c>
      <c r="G2166" t="s">
        <v>7937</v>
      </c>
      <c r="H2166" t="s">
        <v>7938</v>
      </c>
      <c r="I2166" t="b">
        <f>COUNTIF(Estadísticas!I:I,'centraldecomunicacion.es'!H2166)&gt;0</f>
        <v>1</v>
      </c>
    </row>
    <row r="2167" spans="1:9">
      <c r="A2167" t="s">
        <v>7939</v>
      </c>
      <c r="B2167" t="s">
        <v>10</v>
      </c>
      <c r="C2167" t="s">
        <v>7940</v>
      </c>
      <c r="D2167" t="s">
        <v>7899</v>
      </c>
      <c r="E2167" t="s">
        <v>7783</v>
      </c>
      <c r="F2167" t="s">
        <v>28</v>
      </c>
      <c r="G2167" t="s">
        <v>28</v>
      </c>
      <c r="H2167" t="s">
        <v>30</v>
      </c>
      <c r="I2167" t="b">
        <f>COUNTIF(Estadísticas!I:I,'centraldecomunicacion.es'!H2167)&gt;0</f>
        <v>0</v>
      </c>
    </row>
    <row r="2168" spans="1:9">
      <c r="A2168" t="s">
        <v>3009</v>
      </c>
      <c r="B2168" t="s">
        <v>10</v>
      </c>
      <c r="C2168" t="s">
        <v>7941</v>
      </c>
      <c r="D2168" t="s">
        <v>7942</v>
      </c>
      <c r="E2168" t="s">
        <v>4730</v>
      </c>
      <c r="F2168" t="s">
        <v>28</v>
      </c>
      <c r="G2168" t="s">
        <v>7943</v>
      </c>
      <c r="H2168" t="s">
        <v>30</v>
      </c>
      <c r="I2168" t="b">
        <f>COUNTIF(Estadísticas!I:I,'centraldecomunicacion.es'!H2168)&gt;0</f>
        <v>0</v>
      </c>
    </row>
    <row r="2169" spans="1:9">
      <c r="A2169" t="s">
        <v>4644</v>
      </c>
      <c r="B2169" t="s">
        <v>10</v>
      </c>
      <c r="C2169" t="s">
        <v>7944</v>
      </c>
      <c r="D2169" t="s">
        <v>7899</v>
      </c>
      <c r="E2169" t="s">
        <v>7783</v>
      </c>
      <c r="F2169" t="s">
        <v>28</v>
      </c>
      <c r="G2169" t="s">
        <v>7945</v>
      </c>
      <c r="H2169" t="s">
        <v>30</v>
      </c>
      <c r="I2169" t="b">
        <f>COUNTIF(Estadísticas!I:I,'centraldecomunicacion.es'!H2169)&gt;0</f>
        <v>0</v>
      </c>
    </row>
    <row r="2170" spans="1:9">
      <c r="A2170" t="s">
        <v>7946</v>
      </c>
      <c r="B2170" t="s">
        <v>10</v>
      </c>
      <c r="C2170" t="s">
        <v>7947</v>
      </c>
      <c r="D2170" t="s">
        <v>7899</v>
      </c>
      <c r="E2170" t="s">
        <v>7783</v>
      </c>
      <c r="F2170" t="s">
        <v>28</v>
      </c>
      <c r="G2170" t="s">
        <v>7948</v>
      </c>
      <c r="H2170" t="s">
        <v>30</v>
      </c>
      <c r="I2170" t="b">
        <f>COUNTIF(Estadísticas!I:I,'centraldecomunicacion.es'!H2170)&gt;0</f>
        <v>0</v>
      </c>
    </row>
    <row r="2171" spans="1:9">
      <c r="A2171" t="s">
        <v>7949</v>
      </c>
      <c r="B2171" t="s">
        <v>10</v>
      </c>
      <c r="C2171" t="s">
        <v>7950</v>
      </c>
      <c r="D2171" t="s">
        <v>7951</v>
      </c>
      <c r="E2171" t="s">
        <v>7783</v>
      </c>
      <c r="F2171" t="s">
        <v>38</v>
      </c>
      <c r="G2171" t="s">
        <v>7952</v>
      </c>
      <c r="H2171" t="s">
        <v>30</v>
      </c>
      <c r="I2171" t="b">
        <f>COUNTIF(Estadísticas!I:I,'centraldecomunicacion.es'!H2171)&gt;0</f>
        <v>0</v>
      </c>
    </row>
    <row r="2172" spans="1:9">
      <c r="A2172" t="s">
        <v>4644</v>
      </c>
      <c r="B2172" t="s">
        <v>10</v>
      </c>
      <c r="C2172" t="s">
        <v>7953</v>
      </c>
      <c r="D2172" t="s">
        <v>7899</v>
      </c>
      <c r="E2172" t="s">
        <v>7783</v>
      </c>
      <c r="F2172" t="s">
        <v>28</v>
      </c>
      <c r="G2172" t="s">
        <v>7954</v>
      </c>
      <c r="H2172" t="s">
        <v>30</v>
      </c>
      <c r="I2172" t="b">
        <f>COUNTIF(Estadísticas!I:I,'centraldecomunicacion.es'!H2172)&gt;0</f>
        <v>0</v>
      </c>
    </row>
    <row r="2173" spans="1:9">
      <c r="A2173" t="s">
        <v>7955</v>
      </c>
      <c r="B2173" t="s">
        <v>10</v>
      </c>
      <c r="C2173" t="s">
        <v>7956</v>
      </c>
      <c r="D2173" t="s">
        <v>7896</v>
      </c>
      <c r="E2173" t="s">
        <v>7783</v>
      </c>
      <c r="F2173" t="s">
        <v>6500</v>
      </c>
      <c r="G2173" t="s">
        <v>7957</v>
      </c>
      <c r="H2173" t="s">
        <v>6502</v>
      </c>
      <c r="I2173" t="b">
        <f>COUNTIF(Estadísticas!I:I,'centraldecomunicacion.es'!H2173)&gt;0</f>
        <v>0</v>
      </c>
    </row>
    <row r="2174" spans="1:9">
      <c r="A2174" t="s">
        <v>7958</v>
      </c>
      <c r="B2174" t="s">
        <v>10</v>
      </c>
      <c r="C2174" t="s">
        <v>28</v>
      </c>
      <c r="D2174" t="s">
        <v>7959</v>
      </c>
      <c r="E2174" t="s">
        <v>28</v>
      </c>
      <c r="F2174" t="s">
        <v>7960</v>
      </c>
      <c r="G2174" t="s">
        <v>7961</v>
      </c>
      <c r="H2174" t="s">
        <v>7962</v>
      </c>
      <c r="I2174" t="b">
        <f>COUNTIF(Estadísticas!I:I,'centraldecomunicacion.es'!H2174)&gt;0</f>
        <v>0</v>
      </c>
    </row>
    <row r="2175" spans="1:9">
      <c r="A2175" t="s">
        <v>7963</v>
      </c>
      <c r="B2175" t="s">
        <v>10</v>
      </c>
      <c r="C2175" t="s">
        <v>7964</v>
      </c>
      <c r="D2175" t="s">
        <v>7959</v>
      </c>
      <c r="E2175" t="s">
        <v>4730</v>
      </c>
      <c r="F2175" t="s">
        <v>28</v>
      </c>
      <c r="G2175" t="s">
        <v>7965</v>
      </c>
      <c r="H2175" t="s">
        <v>30</v>
      </c>
      <c r="I2175" t="b">
        <f>COUNTIF(Estadísticas!I:I,'centraldecomunicacion.es'!H2175)&gt;0</f>
        <v>0</v>
      </c>
    </row>
    <row r="2176" spans="1:9">
      <c r="A2176" t="s">
        <v>7966</v>
      </c>
      <c r="B2176" t="s">
        <v>10</v>
      </c>
      <c r="C2176" t="s">
        <v>7967</v>
      </c>
      <c r="D2176" t="s">
        <v>7968</v>
      </c>
      <c r="E2176" t="s">
        <v>7968</v>
      </c>
      <c r="F2176" t="s">
        <v>28</v>
      </c>
      <c r="G2176" t="s">
        <v>7969</v>
      </c>
      <c r="H2176" t="s">
        <v>30</v>
      </c>
      <c r="I2176" t="b">
        <f>COUNTIF(Estadísticas!I:I,'centraldecomunicacion.es'!H2176)&gt;0</f>
        <v>0</v>
      </c>
    </row>
    <row r="2177" spans="1:9">
      <c r="A2177" t="s">
        <v>7970</v>
      </c>
      <c r="B2177" t="s">
        <v>10</v>
      </c>
      <c r="C2177" t="s">
        <v>7971</v>
      </c>
      <c r="D2177" t="s">
        <v>7968</v>
      </c>
      <c r="E2177" t="s">
        <v>7968</v>
      </c>
      <c r="F2177" t="s">
        <v>7972</v>
      </c>
      <c r="G2177" t="s">
        <v>7973</v>
      </c>
      <c r="H2177" t="s">
        <v>30</v>
      </c>
      <c r="I2177" t="b">
        <f>COUNTIF(Estadísticas!I:I,'centraldecomunicacion.es'!H2177)&gt;0</f>
        <v>0</v>
      </c>
    </row>
    <row r="2178" spans="1:9">
      <c r="A2178" t="s">
        <v>1925</v>
      </c>
      <c r="B2178" t="s">
        <v>10</v>
      </c>
      <c r="C2178" t="s">
        <v>7974</v>
      </c>
      <c r="D2178" t="s">
        <v>7968</v>
      </c>
      <c r="E2178" t="s">
        <v>7968</v>
      </c>
      <c r="F2178" t="s">
        <v>7975</v>
      </c>
      <c r="G2178" t="s">
        <v>7976</v>
      </c>
      <c r="H2178" t="s">
        <v>1643</v>
      </c>
      <c r="I2178" t="b">
        <f>COUNTIF(Estadísticas!I:I,'centraldecomunicacion.es'!H2178)&gt;0</f>
        <v>0</v>
      </c>
    </row>
    <row r="2179" spans="1:9">
      <c r="A2179" t="s">
        <v>7977</v>
      </c>
      <c r="B2179" t="s">
        <v>10</v>
      </c>
      <c r="C2179" t="s">
        <v>7978</v>
      </c>
      <c r="D2179" t="s">
        <v>7968</v>
      </c>
      <c r="E2179" t="s">
        <v>7968</v>
      </c>
      <c r="F2179" t="s">
        <v>7979</v>
      </c>
      <c r="G2179" t="s">
        <v>7980</v>
      </c>
      <c r="H2179" t="s">
        <v>30</v>
      </c>
      <c r="I2179" t="b">
        <f>COUNTIF(Estadísticas!I:I,'centraldecomunicacion.es'!H2179)&gt;0</f>
        <v>0</v>
      </c>
    </row>
    <row r="2180" spans="1:9">
      <c r="A2180" t="s">
        <v>7981</v>
      </c>
      <c r="B2180" t="s">
        <v>10</v>
      </c>
      <c r="C2180" t="s">
        <v>7982</v>
      </c>
      <c r="D2180" t="s">
        <v>7968</v>
      </c>
      <c r="E2180" t="s">
        <v>7968</v>
      </c>
      <c r="F2180" t="s">
        <v>28</v>
      </c>
      <c r="G2180" t="s">
        <v>7983</v>
      </c>
      <c r="H2180" t="s">
        <v>30</v>
      </c>
      <c r="I2180" t="b">
        <f>COUNTIF(Estadísticas!I:I,'centraldecomunicacion.es'!H2180)&gt;0</f>
        <v>0</v>
      </c>
    </row>
    <row r="2181" spans="1:9">
      <c r="A2181" t="s">
        <v>7984</v>
      </c>
      <c r="B2181" t="s">
        <v>10</v>
      </c>
      <c r="C2181" t="s">
        <v>7985</v>
      </c>
      <c r="D2181" t="s">
        <v>7886</v>
      </c>
      <c r="E2181" t="s">
        <v>7783</v>
      </c>
      <c r="F2181" t="s">
        <v>7986</v>
      </c>
      <c r="G2181" t="s">
        <v>7987</v>
      </c>
      <c r="H2181" t="s">
        <v>7988</v>
      </c>
      <c r="I2181" t="b">
        <f>COUNTIF(Estadísticas!I:I,'centraldecomunicacion.es'!H2181)&gt;0</f>
        <v>0</v>
      </c>
    </row>
    <row r="2182" spans="1:9">
      <c r="A2182" t="s">
        <v>7989</v>
      </c>
      <c r="B2182" t="s">
        <v>10</v>
      </c>
      <c r="C2182" t="s">
        <v>7990</v>
      </c>
      <c r="D2182" t="s">
        <v>7991</v>
      </c>
      <c r="E2182" t="s">
        <v>7364</v>
      </c>
      <c r="F2182" t="s">
        <v>28</v>
      </c>
      <c r="G2182" t="s">
        <v>7992</v>
      </c>
      <c r="H2182" t="s">
        <v>30</v>
      </c>
      <c r="I2182" t="b">
        <f>COUNTIF(Estadísticas!I:I,'centraldecomunicacion.es'!H2182)&gt;0</f>
        <v>0</v>
      </c>
    </row>
    <row r="2183" spans="1:9">
      <c r="A2183" t="s">
        <v>7993</v>
      </c>
      <c r="B2183" t="s">
        <v>10</v>
      </c>
      <c r="C2183" t="s">
        <v>7994</v>
      </c>
      <c r="D2183" t="s">
        <v>7995</v>
      </c>
      <c r="E2183" t="s">
        <v>1868</v>
      </c>
      <c r="F2183" t="s">
        <v>28</v>
      </c>
      <c r="G2183" t="s">
        <v>7996</v>
      </c>
      <c r="H2183" t="s">
        <v>30</v>
      </c>
      <c r="I2183" t="b">
        <f>COUNTIF(Estadísticas!I:I,'centraldecomunicacion.es'!H2183)&gt;0</f>
        <v>0</v>
      </c>
    </row>
    <row r="2184" spans="1:9">
      <c r="A2184" t="s">
        <v>7997</v>
      </c>
      <c r="B2184" t="s">
        <v>10</v>
      </c>
      <c r="C2184" t="s">
        <v>7998</v>
      </c>
      <c r="D2184" t="s">
        <v>3563</v>
      </c>
      <c r="E2184" t="s">
        <v>3564</v>
      </c>
      <c r="F2184" t="s">
        <v>7999</v>
      </c>
      <c r="G2184" t="s">
        <v>8000</v>
      </c>
      <c r="H2184" t="s">
        <v>8001</v>
      </c>
      <c r="I2184" t="b">
        <f>COUNTIF(Estadísticas!I:I,'centraldecomunicacion.es'!H2184)&gt;0</f>
        <v>0</v>
      </c>
    </row>
    <row r="2185" spans="1:9">
      <c r="A2185" t="s">
        <v>8002</v>
      </c>
      <c r="B2185" t="s">
        <v>10</v>
      </c>
      <c r="C2185" t="s">
        <v>8003</v>
      </c>
      <c r="D2185" t="s">
        <v>7995</v>
      </c>
      <c r="E2185" t="s">
        <v>1868</v>
      </c>
      <c r="F2185" t="s">
        <v>8004</v>
      </c>
      <c r="G2185" t="s">
        <v>8005</v>
      </c>
      <c r="H2185" t="s">
        <v>8006</v>
      </c>
      <c r="I2185" t="b">
        <f>COUNTIF(Estadísticas!I:I,'centraldecomunicacion.es'!H2185)&gt;0</f>
        <v>0</v>
      </c>
    </row>
    <row r="2186" spans="1:9">
      <c r="A2186" t="s">
        <v>8007</v>
      </c>
      <c r="B2186" t="s">
        <v>10</v>
      </c>
      <c r="C2186" t="s">
        <v>8008</v>
      </c>
      <c r="D2186" t="s">
        <v>8009</v>
      </c>
      <c r="E2186" t="s">
        <v>1868</v>
      </c>
      <c r="F2186" t="s">
        <v>8010</v>
      </c>
      <c r="G2186" t="s">
        <v>8011</v>
      </c>
      <c r="H2186" t="s">
        <v>8012</v>
      </c>
      <c r="I2186" t="b">
        <f>COUNTIF(Estadísticas!I:I,'centraldecomunicacion.es'!H2186)&gt;0</f>
        <v>1</v>
      </c>
    </row>
    <row r="2187" spans="1:9">
      <c r="A2187" t="s">
        <v>8013</v>
      </c>
      <c r="B2187" t="s">
        <v>10</v>
      </c>
      <c r="C2187" t="s">
        <v>8014</v>
      </c>
      <c r="D2187" t="s">
        <v>1868</v>
      </c>
      <c r="E2187" t="s">
        <v>1868</v>
      </c>
      <c r="F2187" t="s">
        <v>8015</v>
      </c>
      <c r="G2187" t="s">
        <v>8016</v>
      </c>
      <c r="H2187" t="s">
        <v>8017</v>
      </c>
      <c r="I2187" t="b">
        <f>COUNTIF(Estadísticas!I:I,'centraldecomunicacion.es'!H2187)&gt;0</f>
        <v>1</v>
      </c>
    </row>
    <row r="2188" spans="1:9">
      <c r="A2188" t="s">
        <v>8018</v>
      </c>
      <c r="B2188" t="s">
        <v>10</v>
      </c>
      <c r="C2188" t="s">
        <v>8019</v>
      </c>
      <c r="D2188" t="s">
        <v>1868</v>
      </c>
      <c r="E2188" t="s">
        <v>1868</v>
      </c>
      <c r="F2188" t="s">
        <v>8020</v>
      </c>
      <c r="G2188" t="s">
        <v>8021</v>
      </c>
      <c r="H2188" t="s">
        <v>30</v>
      </c>
      <c r="I2188" t="b">
        <f>COUNTIF(Estadísticas!I:I,'centraldecomunicacion.es'!H2188)&gt;0</f>
        <v>0</v>
      </c>
    </row>
    <row r="2189" spans="1:9">
      <c r="A2189" t="s">
        <v>8022</v>
      </c>
      <c r="B2189" t="s">
        <v>10</v>
      </c>
      <c r="C2189" t="s">
        <v>8023</v>
      </c>
      <c r="D2189" t="s">
        <v>8024</v>
      </c>
      <c r="E2189" t="s">
        <v>1868</v>
      </c>
      <c r="F2189" t="s">
        <v>8025</v>
      </c>
      <c r="G2189" t="s">
        <v>8026</v>
      </c>
      <c r="H2189" t="s">
        <v>8027</v>
      </c>
      <c r="I2189" t="b">
        <f>COUNTIF(Estadísticas!I:I,'centraldecomunicacion.es'!H2189)&gt;0</f>
        <v>0</v>
      </c>
    </row>
    <row r="2190" spans="1:9">
      <c r="A2190" t="s">
        <v>8028</v>
      </c>
      <c r="B2190" t="s">
        <v>10</v>
      </c>
      <c r="C2190" t="s">
        <v>72</v>
      </c>
      <c r="D2190" t="s">
        <v>12</v>
      </c>
      <c r="E2190" t="s">
        <v>12</v>
      </c>
      <c r="F2190" t="s">
        <v>28</v>
      </c>
      <c r="G2190" t="s">
        <v>73</v>
      </c>
      <c r="H2190" t="s">
        <v>30</v>
      </c>
      <c r="I2190" t="b">
        <f>COUNTIF(Estadísticas!I:I,'centraldecomunicacion.es'!H2190)&gt;0</f>
        <v>0</v>
      </c>
    </row>
    <row r="2191" spans="1:9">
      <c r="A2191" t="s">
        <v>8029</v>
      </c>
      <c r="B2191" t="s">
        <v>10</v>
      </c>
      <c r="C2191" t="s">
        <v>8030</v>
      </c>
      <c r="D2191" t="s">
        <v>8031</v>
      </c>
      <c r="E2191" t="s">
        <v>1868</v>
      </c>
      <c r="F2191" t="s">
        <v>8032</v>
      </c>
      <c r="G2191" t="s">
        <v>8033</v>
      </c>
      <c r="H2191" t="s">
        <v>8034</v>
      </c>
      <c r="I2191" t="b">
        <f>COUNTIF(Estadísticas!I:I,'centraldecomunicacion.es'!H2191)&gt;0</f>
        <v>1</v>
      </c>
    </row>
    <row r="2192" spans="1:9">
      <c r="A2192" t="s">
        <v>8035</v>
      </c>
      <c r="B2192" t="s">
        <v>10</v>
      </c>
      <c r="C2192" t="s">
        <v>28</v>
      </c>
      <c r="D2192" t="s">
        <v>7959</v>
      </c>
      <c r="E2192" t="s">
        <v>28</v>
      </c>
      <c r="F2192" t="s">
        <v>8036</v>
      </c>
      <c r="G2192" t="s">
        <v>8037</v>
      </c>
      <c r="H2192" t="s">
        <v>8038</v>
      </c>
      <c r="I2192" t="b">
        <f>COUNTIF(Estadísticas!I:I,'centraldecomunicacion.es'!H2192)&gt;0</f>
        <v>1</v>
      </c>
    </row>
    <row r="2193" spans="1:9">
      <c r="A2193" t="s">
        <v>8039</v>
      </c>
      <c r="B2193" t="s">
        <v>10</v>
      </c>
      <c r="C2193" t="s">
        <v>8040</v>
      </c>
      <c r="D2193" t="s">
        <v>1868</v>
      </c>
      <c r="E2193" t="s">
        <v>1868</v>
      </c>
      <c r="F2193" t="s">
        <v>8041</v>
      </c>
      <c r="G2193" t="s">
        <v>8042</v>
      </c>
      <c r="H2193" t="s">
        <v>30</v>
      </c>
      <c r="I2193" t="b">
        <f>COUNTIF(Estadísticas!I:I,'centraldecomunicacion.es'!H2193)&gt;0</f>
        <v>0</v>
      </c>
    </row>
    <row r="2194" spans="1:9">
      <c r="A2194" t="s">
        <v>8043</v>
      </c>
      <c r="B2194" t="s">
        <v>10</v>
      </c>
      <c r="C2194" t="s">
        <v>8044</v>
      </c>
      <c r="D2194" t="s">
        <v>1868</v>
      </c>
      <c r="E2194" t="s">
        <v>1868</v>
      </c>
      <c r="F2194" t="s">
        <v>8045</v>
      </c>
      <c r="G2194" t="s">
        <v>8046</v>
      </c>
      <c r="H2194" t="s">
        <v>30</v>
      </c>
      <c r="I2194" t="b">
        <f>COUNTIF(Estadísticas!I:I,'centraldecomunicacion.es'!H2194)&gt;0</f>
        <v>0</v>
      </c>
    </row>
    <row r="2195" spans="1:9">
      <c r="A2195" t="s">
        <v>8047</v>
      </c>
      <c r="B2195" t="s">
        <v>10</v>
      </c>
      <c r="C2195" t="s">
        <v>8048</v>
      </c>
      <c r="D2195" t="s">
        <v>8049</v>
      </c>
      <c r="E2195" t="s">
        <v>8050</v>
      </c>
      <c r="F2195" t="s">
        <v>8051</v>
      </c>
      <c r="G2195" t="s">
        <v>8052</v>
      </c>
      <c r="H2195" t="s">
        <v>8053</v>
      </c>
      <c r="I2195" t="b">
        <f>COUNTIF(Estadísticas!I:I,'centraldecomunicacion.es'!H2195)&gt;0</f>
        <v>0</v>
      </c>
    </row>
    <row r="2196" spans="1:9">
      <c r="A2196" t="s">
        <v>8054</v>
      </c>
      <c r="B2196" t="s">
        <v>10</v>
      </c>
      <c r="C2196" t="s">
        <v>8055</v>
      </c>
      <c r="D2196" t="s">
        <v>8056</v>
      </c>
      <c r="E2196" t="s">
        <v>8057</v>
      </c>
      <c r="F2196" t="s">
        <v>28</v>
      </c>
      <c r="G2196" t="s">
        <v>28</v>
      </c>
      <c r="H2196" t="s">
        <v>30</v>
      </c>
      <c r="I2196" t="b">
        <f>COUNTIF(Estadísticas!I:I,'centraldecomunicacion.es'!H2196)&gt;0</f>
        <v>0</v>
      </c>
    </row>
    <row r="2197" spans="1:9">
      <c r="A2197" t="s">
        <v>8058</v>
      </c>
      <c r="B2197" t="s">
        <v>10</v>
      </c>
      <c r="C2197" t="s">
        <v>8059</v>
      </c>
      <c r="D2197" t="s">
        <v>4692</v>
      </c>
      <c r="E2197" t="s">
        <v>4692</v>
      </c>
      <c r="F2197" t="s">
        <v>8060</v>
      </c>
      <c r="G2197" t="s">
        <v>8061</v>
      </c>
      <c r="H2197" t="s">
        <v>8062</v>
      </c>
      <c r="I2197" t="b">
        <f>COUNTIF(Estadísticas!I:I,'centraldecomunicacion.es'!H2197)&gt;0</f>
        <v>1</v>
      </c>
    </row>
    <row r="2198" spans="1:9">
      <c r="A2198" t="s">
        <v>8063</v>
      </c>
      <c r="B2198" t="s">
        <v>10</v>
      </c>
      <c r="C2198" t="s">
        <v>8064</v>
      </c>
      <c r="D2198" t="s">
        <v>4692</v>
      </c>
      <c r="E2198" t="s">
        <v>4692</v>
      </c>
      <c r="F2198" t="s">
        <v>8065</v>
      </c>
      <c r="G2198" t="s">
        <v>8066</v>
      </c>
      <c r="H2198" t="s">
        <v>8067</v>
      </c>
      <c r="I2198" t="b">
        <f>COUNTIF(Estadísticas!I:I,'centraldecomunicacion.es'!H2198)&gt;0</f>
        <v>1</v>
      </c>
    </row>
    <row r="2199" spans="1:9">
      <c r="A2199" t="s">
        <v>8068</v>
      </c>
      <c r="B2199" t="s">
        <v>10</v>
      </c>
      <c r="C2199" t="s">
        <v>8069</v>
      </c>
      <c r="D2199" t="s">
        <v>4692</v>
      </c>
      <c r="E2199" t="s">
        <v>4692</v>
      </c>
      <c r="F2199" t="s">
        <v>8070</v>
      </c>
      <c r="G2199" t="s">
        <v>8071</v>
      </c>
      <c r="H2199" t="s">
        <v>8072</v>
      </c>
      <c r="I2199" t="b">
        <f>COUNTIF(Estadísticas!I:I,'centraldecomunicacion.es'!H2199)&gt;0</f>
        <v>0</v>
      </c>
    </row>
    <row r="2200" spans="1:9">
      <c r="A2200" t="s">
        <v>8073</v>
      </c>
      <c r="B2200" t="s">
        <v>10</v>
      </c>
      <c r="C2200" t="s">
        <v>8074</v>
      </c>
      <c r="D2200" t="s">
        <v>4692</v>
      </c>
      <c r="E2200" t="s">
        <v>4692</v>
      </c>
      <c r="F2200" t="s">
        <v>8075</v>
      </c>
      <c r="G2200" t="s">
        <v>8076</v>
      </c>
      <c r="H2200" t="s">
        <v>30</v>
      </c>
      <c r="I2200" t="b">
        <f>COUNTIF(Estadísticas!I:I,'centraldecomunicacion.es'!H2200)&gt;0</f>
        <v>0</v>
      </c>
    </row>
    <row r="2201" spans="1:9">
      <c r="A2201" t="s">
        <v>8077</v>
      </c>
      <c r="B2201" t="s">
        <v>10</v>
      </c>
      <c r="C2201" t="s">
        <v>8078</v>
      </c>
      <c r="D2201" t="s">
        <v>4692</v>
      </c>
      <c r="E2201" t="s">
        <v>4692</v>
      </c>
      <c r="F2201" t="s">
        <v>28</v>
      </c>
      <c r="G2201" t="s">
        <v>8079</v>
      </c>
      <c r="H2201" t="s">
        <v>30</v>
      </c>
      <c r="I2201" t="b">
        <f>COUNTIF(Estadísticas!I:I,'centraldecomunicacion.es'!H2201)&gt;0</f>
        <v>0</v>
      </c>
    </row>
    <row r="2202" spans="1:9">
      <c r="A2202" t="s">
        <v>8080</v>
      </c>
      <c r="B2202" t="s">
        <v>10</v>
      </c>
      <c r="C2202" t="s">
        <v>8081</v>
      </c>
      <c r="D2202" t="s">
        <v>4692</v>
      </c>
      <c r="E2202" t="s">
        <v>4692</v>
      </c>
      <c r="F2202" t="s">
        <v>746</v>
      </c>
      <c r="G2202" t="s">
        <v>8082</v>
      </c>
      <c r="H2202" t="s">
        <v>30</v>
      </c>
      <c r="I2202" t="b">
        <f>COUNTIF(Estadísticas!I:I,'centraldecomunicacion.es'!H2202)&gt;0</f>
        <v>0</v>
      </c>
    </row>
    <row r="2203" spans="1:9">
      <c r="A2203" t="s">
        <v>8083</v>
      </c>
      <c r="B2203" t="s">
        <v>10</v>
      </c>
      <c r="C2203" t="s">
        <v>8084</v>
      </c>
      <c r="D2203" t="s">
        <v>4692</v>
      </c>
      <c r="E2203" t="s">
        <v>4692</v>
      </c>
      <c r="F2203" t="s">
        <v>8085</v>
      </c>
      <c r="G2203" t="s">
        <v>8086</v>
      </c>
      <c r="H2203" t="s">
        <v>1643</v>
      </c>
      <c r="I2203" t="b">
        <f>COUNTIF(Estadísticas!I:I,'centraldecomunicacion.es'!H2203)&gt;0</f>
        <v>0</v>
      </c>
    </row>
    <row r="2204" spans="1:9">
      <c r="A2204" t="s">
        <v>8087</v>
      </c>
      <c r="B2204" t="s">
        <v>10</v>
      </c>
      <c r="C2204" t="s">
        <v>8088</v>
      </c>
      <c r="D2204" t="s">
        <v>4692</v>
      </c>
      <c r="E2204" t="s">
        <v>4692</v>
      </c>
      <c r="F2204" t="s">
        <v>8089</v>
      </c>
      <c r="G2204" t="s">
        <v>8090</v>
      </c>
      <c r="H2204" t="s">
        <v>8091</v>
      </c>
      <c r="I2204" t="b">
        <f>COUNTIF(Estadísticas!I:I,'centraldecomunicacion.es'!H2204)&gt;0</f>
        <v>1</v>
      </c>
    </row>
    <row r="2205" spans="1:9">
      <c r="A2205" t="s">
        <v>8092</v>
      </c>
      <c r="B2205" t="s">
        <v>10</v>
      </c>
      <c r="C2205" t="s">
        <v>8093</v>
      </c>
      <c r="D2205" t="s">
        <v>4692</v>
      </c>
      <c r="E2205" t="s">
        <v>4692</v>
      </c>
      <c r="F2205" t="s">
        <v>8094</v>
      </c>
      <c r="G2205" t="s">
        <v>8095</v>
      </c>
      <c r="H2205" t="s">
        <v>8096</v>
      </c>
      <c r="I2205" t="b">
        <f>COUNTIF(Estadísticas!I:I,'centraldecomunicacion.es'!H2205)&gt;0</f>
        <v>0</v>
      </c>
    </row>
    <row r="2206" spans="1:9">
      <c r="A2206" t="s">
        <v>8097</v>
      </c>
      <c r="B2206" t="s">
        <v>10</v>
      </c>
      <c r="C2206" t="s">
        <v>8098</v>
      </c>
      <c r="D2206" t="s">
        <v>4692</v>
      </c>
      <c r="E2206" t="s">
        <v>4692</v>
      </c>
      <c r="F2206" t="s">
        <v>8089</v>
      </c>
      <c r="G2206" t="s">
        <v>8090</v>
      </c>
      <c r="H2206" t="s">
        <v>8091</v>
      </c>
      <c r="I2206" t="b">
        <f>COUNTIF(Estadísticas!I:I,'centraldecomunicacion.es'!H2206)&gt;0</f>
        <v>1</v>
      </c>
    </row>
    <row r="2207" spans="1:9">
      <c r="A2207" t="s">
        <v>8099</v>
      </c>
      <c r="B2207" t="s">
        <v>10</v>
      </c>
      <c r="C2207" t="s">
        <v>8100</v>
      </c>
      <c r="D2207" t="s">
        <v>4692</v>
      </c>
      <c r="E2207" t="s">
        <v>4692</v>
      </c>
      <c r="F2207" t="s">
        <v>28</v>
      </c>
      <c r="G2207" t="s">
        <v>8101</v>
      </c>
      <c r="H2207" t="s">
        <v>30</v>
      </c>
      <c r="I2207" t="b">
        <f>COUNTIF(Estadísticas!I:I,'centraldecomunicacion.es'!H2207)&gt;0</f>
        <v>0</v>
      </c>
    </row>
    <row r="2208" spans="1:9">
      <c r="A2208" t="s">
        <v>8102</v>
      </c>
      <c r="B2208" t="s">
        <v>10</v>
      </c>
      <c r="C2208" t="s">
        <v>8103</v>
      </c>
      <c r="D2208" t="s">
        <v>4692</v>
      </c>
      <c r="E2208" t="s">
        <v>4692</v>
      </c>
      <c r="F2208" t="s">
        <v>50</v>
      </c>
      <c r="G2208" t="s">
        <v>8104</v>
      </c>
      <c r="H2208" t="s">
        <v>30</v>
      </c>
      <c r="I2208" t="b">
        <f>COUNTIF(Estadísticas!I:I,'centraldecomunicacion.es'!H2208)&gt;0</f>
        <v>0</v>
      </c>
    </row>
    <row r="2209" spans="1:9">
      <c r="A2209" t="s">
        <v>8105</v>
      </c>
      <c r="B2209" t="s">
        <v>10</v>
      </c>
      <c r="C2209" t="s">
        <v>8106</v>
      </c>
      <c r="D2209" t="s">
        <v>4692</v>
      </c>
      <c r="E2209" t="s">
        <v>4692</v>
      </c>
      <c r="F2209" t="s">
        <v>28</v>
      </c>
      <c r="G2209" t="s">
        <v>8107</v>
      </c>
      <c r="H2209" t="s">
        <v>30</v>
      </c>
      <c r="I2209" t="b">
        <f>COUNTIF(Estadísticas!I:I,'centraldecomunicacion.es'!H2209)&gt;0</f>
        <v>0</v>
      </c>
    </row>
    <row r="2210" spans="1:9">
      <c r="A2210" t="s">
        <v>8063</v>
      </c>
      <c r="B2210" t="s">
        <v>10</v>
      </c>
      <c r="C2210" t="s">
        <v>8108</v>
      </c>
      <c r="D2210" t="s">
        <v>4692</v>
      </c>
      <c r="E2210" t="s">
        <v>4692</v>
      </c>
      <c r="F2210" t="s">
        <v>8065</v>
      </c>
      <c r="G2210" t="s">
        <v>8109</v>
      </c>
      <c r="H2210" t="s">
        <v>8067</v>
      </c>
      <c r="I2210" t="b">
        <f>COUNTIF(Estadísticas!I:I,'centraldecomunicacion.es'!H2210)&gt;0</f>
        <v>1</v>
      </c>
    </row>
    <row r="2211" spans="1:9">
      <c r="A2211" t="s">
        <v>8110</v>
      </c>
      <c r="B2211" t="s">
        <v>10</v>
      </c>
      <c r="C2211" t="s">
        <v>8074</v>
      </c>
      <c r="D2211" t="s">
        <v>4692</v>
      </c>
      <c r="E2211" t="s">
        <v>4692</v>
      </c>
      <c r="F2211" t="s">
        <v>8075</v>
      </c>
      <c r="G2211" t="s">
        <v>28</v>
      </c>
      <c r="H2211" t="s">
        <v>30</v>
      </c>
      <c r="I2211" t="b">
        <f>COUNTIF(Estadísticas!I:I,'centraldecomunicacion.es'!H2211)&gt;0</f>
        <v>0</v>
      </c>
    </row>
    <row r="2212" spans="1:9">
      <c r="A2212" t="s">
        <v>6888</v>
      </c>
      <c r="B2212" t="s">
        <v>10</v>
      </c>
      <c r="C2212" t="s">
        <v>8111</v>
      </c>
      <c r="D2212" t="s">
        <v>4692</v>
      </c>
      <c r="E2212" t="s">
        <v>4692</v>
      </c>
      <c r="F2212" t="s">
        <v>8112</v>
      </c>
      <c r="G2212" t="s">
        <v>8113</v>
      </c>
      <c r="H2212" t="s">
        <v>8114</v>
      </c>
      <c r="I2212" t="b">
        <f>COUNTIF(Estadísticas!I:I,'centraldecomunicacion.es'!H2212)&gt;0</f>
        <v>0</v>
      </c>
    </row>
    <row r="2213" spans="1:9">
      <c r="A2213" t="s">
        <v>8115</v>
      </c>
      <c r="B2213" t="s">
        <v>10</v>
      </c>
      <c r="C2213" t="s">
        <v>8116</v>
      </c>
      <c r="D2213" t="s">
        <v>4692</v>
      </c>
      <c r="E2213" t="s">
        <v>4692</v>
      </c>
      <c r="F2213" t="s">
        <v>8117</v>
      </c>
      <c r="G2213" t="s">
        <v>8118</v>
      </c>
      <c r="H2213" t="s">
        <v>8119</v>
      </c>
      <c r="I2213" t="b">
        <f>COUNTIF(Estadísticas!I:I,'centraldecomunicacion.es'!H2213)&gt;0</f>
        <v>1</v>
      </c>
    </row>
    <row r="2214" spans="1:9">
      <c r="A2214" t="s">
        <v>8120</v>
      </c>
      <c r="B2214" t="s">
        <v>10</v>
      </c>
      <c r="C2214" t="s">
        <v>8121</v>
      </c>
      <c r="D2214" t="s">
        <v>4692</v>
      </c>
      <c r="E2214" t="s">
        <v>4692</v>
      </c>
      <c r="F2214" t="s">
        <v>8122</v>
      </c>
      <c r="G2214" t="s">
        <v>8123</v>
      </c>
      <c r="H2214" t="s">
        <v>5561</v>
      </c>
      <c r="I2214" t="b">
        <f>COUNTIF(Estadísticas!I:I,'centraldecomunicacion.es'!H2214)&gt;0</f>
        <v>0</v>
      </c>
    </row>
    <row r="2215" spans="1:9">
      <c r="A2215" t="s">
        <v>8124</v>
      </c>
      <c r="B2215" t="s">
        <v>10</v>
      </c>
      <c r="C2215" t="s">
        <v>8125</v>
      </c>
      <c r="D2215" t="s">
        <v>4692</v>
      </c>
      <c r="E2215" t="s">
        <v>4692</v>
      </c>
      <c r="F2215" t="s">
        <v>28</v>
      </c>
      <c r="G2215" t="s">
        <v>8126</v>
      </c>
      <c r="H2215" t="s">
        <v>30</v>
      </c>
      <c r="I2215" t="b">
        <f>COUNTIF(Estadísticas!I:I,'centraldecomunicacion.es'!H2215)&gt;0</f>
        <v>0</v>
      </c>
    </row>
    <row r="2216" spans="1:9">
      <c r="A2216" t="s">
        <v>6888</v>
      </c>
      <c r="B2216" t="s">
        <v>10</v>
      </c>
      <c r="C2216" t="s">
        <v>8127</v>
      </c>
      <c r="D2216" t="s">
        <v>4692</v>
      </c>
      <c r="E2216" t="s">
        <v>4692</v>
      </c>
      <c r="F2216" t="s">
        <v>8112</v>
      </c>
      <c r="G2216" t="s">
        <v>8128</v>
      </c>
      <c r="H2216" t="s">
        <v>8114</v>
      </c>
      <c r="I2216" t="b">
        <f>COUNTIF(Estadísticas!I:I,'centraldecomunicacion.es'!H2216)&gt;0</f>
        <v>0</v>
      </c>
    </row>
    <row r="2217" spans="1:9">
      <c r="A2217" t="s">
        <v>8129</v>
      </c>
      <c r="B2217" t="s">
        <v>10</v>
      </c>
      <c r="C2217" t="s">
        <v>8130</v>
      </c>
      <c r="D2217" t="s">
        <v>4692</v>
      </c>
      <c r="E2217" t="s">
        <v>4692</v>
      </c>
      <c r="F2217" t="s">
        <v>8131</v>
      </c>
      <c r="G2217" t="s">
        <v>8132</v>
      </c>
      <c r="H2217" t="s">
        <v>30</v>
      </c>
      <c r="I2217" t="b">
        <f>COUNTIF(Estadísticas!I:I,'centraldecomunicacion.es'!H2217)&gt;0</f>
        <v>0</v>
      </c>
    </row>
    <row r="2218" spans="1:9">
      <c r="A2218" t="s">
        <v>8133</v>
      </c>
      <c r="B2218" t="s">
        <v>10</v>
      </c>
      <c r="C2218" t="s">
        <v>8134</v>
      </c>
      <c r="D2218" t="s">
        <v>4692</v>
      </c>
      <c r="E2218" t="s">
        <v>4692</v>
      </c>
      <c r="F2218" t="s">
        <v>8135</v>
      </c>
      <c r="G2218" t="s">
        <v>8136</v>
      </c>
      <c r="H2218" t="s">
        <v>30</v>
      </c>
      <c r="I2218" t="b">
        <f>COUNTIF(Estadísticas!I:I,'centraldecomunicacion.es'!H2218)&gt;0</f>
        <v>0</v>
      </c>
    </row>
    <row r="2219" spans="1:9">
      <c r="A2219" t="s">
        <v>8137</v>
      </c>
      <c r="B2219" t="s">
        <v>10</v>
      </c>
      <c r="C2219" t="s">
        <v>8138</v>
      </c>
      <c r="D2219" t="s">
        <v>4692</v>
      </c>
      <c r="E2219" t="s">
        <v>4692</v>
      </c>
      <c r="F2219" t="s">
        <v>28</v>
      </c>
      <c r="G2219" t="s">
        <v>8123</v>
      </c>
      <c r="H2219" t="s">
        <v>30</v>
      </c>
      <c r="I2219" t="b">
        <f>COUNTIF(Estadísticas!I:I,'centraldecomunicacion.es'!H2219)&gt;0</f>
        <v>0</v>
      </c>
    </row>
    <row r="2220" spans="1:9">
      <c r="A2220" t="s">
        <v>8139</v>
      </c>
      <c r="B2220" t="s">
        <v>10</v>
      </c>
      <c r="C2220" t="s">
        <v>8140</v>
      </c>
      <c r="D2220" t="s">
        <v>4692</v>
      </c>
      <c r="E2220" t="s">
        <v>4692</v>
      </c>
      <c r="F2220" t="s">
        <v>8141</v>
      </c>
      <c r="G2220" t="s">
        <v>8142</v>
      </c>
      <c r="H2220" t="s">
        <v>30</v>
      </c>
      <c r="I2220" t="b">
        <f>COUNTIF(Estadísticas!I:I,'centraldecomunicacion.es'!H2220)&gt;0</f>
        <v>0</v>
      </c>
    </row>
    <row r="2221" spans="1:9">
      <c r="A2221" t="s">
        <v>8143</v>
      </c>
      <c r="B2221" t="s">
        <v>10</v>
      </c>
      <c r="C2221" t="s">
        <v>8144</v>
      </c>
      <c r="D2221" t="s">
        <v>4692</v>
      </c>
      <c r="E2221" t="s">
        <v>4692</v>
      </c>
      <c r="F2221" t="s">
        <v>8145</v>
      </c>
      <c r="G2221" t="s">
        <v>8146</v>
      </c>
      <c r="H2221" t="s">
        <v>8147</v>
      </c>
      <c r="I2221" t="b">
        <f>COUNTIF(Estadísticas!I:I,'centraldecomunicacion.es'!H2221)&gt;0</f>
        <v>1</v>
      </c>
    </row>
    <row r="2222" spans="1:9">
      <c r="A2222" t="s">
        <v>8148</v>
      </c>
      <c r="B2222" t="s">
        <v>10</v>
      </c>
      <c r="C2222" t="s">
        <v>8149</v>
      </c>
      <c r="D2222" t="s">
        <v>4692</v>
      </c>
      <c r="E2222" t="s">
        <v>4692</v>
      </c>
      <c r="F2222" t="s">
        <v>28</v>
      </c>
      <c r="G2222" t="s">
        <v>28</v>
      </c>
      <c r="H2222" t="s">
        <v>30</v>
      </c>
      <c r="I2222" t="b">
        <f>COUNTIF(Estadísticas!I:I,'centraldecomunicacion.es'!H2222)&gt;0</f>
        <v>0</v>
      </c>
    </row>
    <row r="2223" spans="1:9">
      <c r="A2223" t="s">
        <v>8150</v>
      </c>
      <c r="B2223" t="s">
        <v>10</v>
      </c>
      <c r="C2223" t="s">
        <v>8151</v>
      </c>
      <c r="D2223" t="s">
        <v>4692</v>
      </c>
      <c r="E2223" t="s">
        <v>4692</v>
      </c>
      <c r="F2223" t="s">
        <v>28</v>
      </c>
      <c r="G2223" t="s">
        <v>28</v>
      </c>
      <c r="H2223" t="s">
        <v>30</v>
      </c>
      <c r="I2223" t="b">
        <f>COUNTIF(Estadísticas!I:I,'centraldecomunicacion.es'!H2223)&gt;0</f>
        <v>0</v>
      </c>
    </row>
    <row r="2224" spans="1:9">
      <c r="A2224" t="s">
        <v>3122</v>
      </c>
      <c r="B2224" t="s">
        <v>10</v>
      </c>
      <c r="C2224" t="s">
        <v>8152</v>
      </c>
      <c r="D2224" t="s">
        <v>4692</v>
      </c>
      <c r="E2224" t="s">
        <v>4692</v>
      </c>
      <c r="F2224" t="s">
        <v>28</v>
      </c>
      <c r="G2224" t="s">
        <v>8153</v>
      </c>
      <c r="H2224" t="s">
        <v>30</v>
      </c>
      <c r="I2224" t="b">
        <f>COUNTIF(Estadísticas!I:I,'centraldecomunicacion.es'!H2224)&gt;0</f>
        <v>0</v>
      </c>
    </row>
    <row r="2225" spans="1:9">
      <c r="A2225" t="s">
        <v>8154</v>
      </c>
      <c r="B2225" t="s">
        <v>10</v>
      </c>
      <c r="C2225" t="s">
        <v>8155</v>
      </c>
      <c r="D2225" t="s">
        <v>4692</v>
      </c>
      <c r="E2225" t="s">
        <v>4692</v>
      </c>
      <c r="F2225" t="s">
        <v>28</v>
      </c>
      <c r="G2225" t="s">
        <v>8156</v>
      </c>
      <c r="H2225" t="s">
        <v>30</v>
      </c>
      <c r="I2225" t="b">
        <f>COUNTIF(Estadísticas!I:I,'centraldecomunicacion.es'!H2225)&gt;0</f>
        <v>0</v>
      </c>
    </row>
    <row r="2226" spans="1:9">
      <c r="A2226" t="s">
        <v>8157</v>
      </c>
      <c r="B2226" t="s">
        <v>10</v>
      </c>
      <c r="C2226" t="s">
        <v>8078</v>
      </c>
      <c r="D2226" t="s">
        <v>4692</v>
      </c>
      <c r="E2226" t="s">
        <v>4692</v>
      </c>
      <c r="F2226" t="s">
        <v>28</v>
      </c>
      <c r="G2226" t="s">
        <v>8158</v>
      </c>
      <c r="H2226" t="s">
        <v>30</v>
      </c>
      <c r="I2226" t="b">
        <f>COUNTIF(Estadísticas!I:I,'centraldecomunicacion.es'!H2226)&gt;0</f>
        <v>0</v>
      </c>
    </row>
    <row r="2227" spans="1:9">
      <c r="A2227" t="s">
        <v>8159</v>
      </c>
      <c r="B2227" t="s">
        <v>10</v>
      </c>
      <c r="C2227" t="s">
        <v>8160</v>
      </c>
      <c r="D2227" t="s">
        <v>4692</v>
      </c>
      <c r="E2227" t="s">
        <v>4692</v>
      </c>
      <c r="F2227" t="s">
        <v>28</v>
      </c>
      <c r="G2227" t="s">
        <v>8161</v>
      </c>
      <c r="H2227" t="s">
        <v>30</v>
      </c>
      <c r="I2227" t="b">
        <f>COUNTIF(Estadísticas!I:I,'centraldecomunicacion.es'!H2227)&gt;0</f>
        <v>0</v>
      </c>
    </row>
    <row r="2228" spans="1:9">
      <c r="A2228" t="s">
        <v>8162</v>
      </c>
      <c r="B2228" t="s">
        <v>10</v>
      </c>
      <c r="C2228" t="s">
        <v>8163</v>
      </c>
      <c r="D2228" t="s">
        <v>4692</v>
      </c>
      <c r="E2228" t="s">
        <v>4692</v>
      </c>
      <c r="F2228" t="s">
        <v>8164</v>
      </c>
      <c r="G2228" t="s">
        <v>8165</v>
      </c>
      <c r="H2228" t="s">
        <v>8166</v>
      </c>
      <c r="I2228" t="b">
        <f>COUNTIF(Estadísticas!I:I,'centraldecomunicacion.es'!H2228)&gt;0</f>
        <v>0</v>
      </c>
    </row>
    <row r="2229" spans="1:9">
      <c r="A2229" t="s">
        <v>8167</v>
      </c>
      <c r="B2229" t="s">
        <v>10</v>
      </c>
      <c r="C2229" t="s">
        <v>8168</v>
      </c>
      <c r="D2229" t="s">
        <v>4692</v>
      </c>
      <c r="E2229" t="s">
        <v>4692</v>
      </c>
      <c r="F2229" t="s">
        <v>28</v>
      </c>
      <c r="G2229" t="s">
        <v>28</v>
      </c>
      <c r="H2229" t="s">
        <v>30</v>
      </c>
      <c r="I2229" t="b">
        <f>COUNTIF(Estadísticas!I:I,'centraldecomunicacion.es'!H2229)&gt;0</f>
        <v>0</v>
      </c>
    </row>
    <row r="2230" spans="1:9">
      <c r="A2230" t="s">
        <v>5739</v>
      </c>
      <c r="B2230" t="s">
        <v>10</v>
      </c>
      <c r="C2230" t="s">
        <v>8169</v>
      </c>
      <c r="D2230" t="s">
        <v>8170</v>
      </c>
      <c r="E2230" t="s">
        <v>4692</v>
      </c>
      <c r="F2230" t="s">
        <v>28</v>
      </c>
      <c r="G2230" t="s">
        <v>8171</v>
      </c>
      <c r="H2230" t="s">
        <v>30</v>
      </c>
      <c r="I2230" t="b">
        <f>COUNTIF(Estadísticas!I:I,'centraldecomunicacion.es'!H2230)&gt;0</f>
        <v>0</v>
      </c>
    </row>
    <row r="2231" spans="1:9">
      <c r="A2231" t="s">
        <v>8172</v>
      </c>
      <c r="B2231" t="s">
        <v>10</v>
      </c>
      <c r="C2231" t="s">
        <v>8098</v>
      </c>
      <c r="D2231" t="s">
        <v>4692</v>
      </c>
      <c r="E2231" t="s">
        <v>4692</v>
      </c>
      <c r="F2231" t="s">
        <v>28</v>
      </c>
      <c r="G2231" t="s">
        <v>8173</v>
      </c>
      <c r="H2231" t="s">
        <v>30</v>
      </c>
      <c r="I2231" t="b">
        <f>COUNTIF(Estadísticas!I:I,'centraldecomunicacion.es'!H2231)&gt;0</f>
        <v>0</v>
      </c>
    </row>
    <row r="2232" spans="1:9">
      <c r="A2232" t="s">
        <v>8150</v>
      </c>
      <c r="B2232" t="s">
        <v>10</v>
      </c>
      <c r="C2232" t="s">
        <v>8174</v>
      </c>
      <c r="D2232" t="s">
        <v>8170</v>
      </c>
      <c r="E2232" t="s">
        <v>4692</v>
      </c>
      <c r="F2232" t="s">
        <v>28</v>
      </c>
      <c r="G2232" t="s">
        <v>28</v>
      </c>
      <c r="H2232" t="s">
        <v>30</v>
      </c>
      <c r="I2232" t="b">
        <f>COUNTIF(Estadísticas!I:I,'centraldecomunicacion.es'!H2232)&gt;0</f>
        <v>0</v>
      </c>
    </row>
    <row r="2233" spans="1:9">
      <c r="A2233" t="s">
        <v>8175</v>
      </c>
      <c r="B2233" t="s">
        <v>10</v>
      </c>
      <c r="C2233" t="s">
        <v>8176</v>
      </c>
      <c r="D2233" t="s">
        <v>8177</v>
      </c>
      <c r="E2233" t="s">
        <v>4692</v>
      </c>
      <c r="F2233" t="s">
        <v>28</v>
      </c>
      <c r="G2233" t="s">
        <v>8178</v>
      </c>
      <c r="H2233" t="s">
        <v>30</v>
      </c>
      <c r="I2233" t="b">
        <f>COUNTIF(Estadísticas!I:I,'centraldecomunicacion.es'!H2233)&gt;0</f>
        <v>0</v>
      </c>
    </row>
    <row r="2234" spans="1:9">
      <c r="A2234" t="s">
        <v>8179</v>
      </c>
      <c r="B2234" t="s">
        <v>10</v>
      </c>
      <c r="C2234" t="s">
        <v>8180</v>
      </c>
      <c r="D2234" t="s">
        <v>4692</v>
      </c>
      <c r="E2234" t="s">
        <v>4692</v>
      </c>
      <c r="F2234" t="s">
        <v>28</v>
      </c>
      <c r="G2234" t="s">
        <v>8181</v>
      </c>
      <c r="H2234" t="s">
        <v>30</v>
      </c>
      <c r="I2234" t="b">
        <f>COUNTIF(Estadísticas!I:I,'centraldecomunicacion.es'!H2234)&gt;0</f>
        <v>0</v>
      </c>
    </row>
    <row r="2235" spans="1:9">
      <c r="A2235" t="s">
        <v>8182</v>
      </c>
      <c r="B2235" t="s">
        <v>10</v>
      </c>
      <c r="C2235" t="s">
        <v>8183</v>
      </c>
      <c r="D2235" t="s">
        <v>4692</v>
      </c>
      <c r="E2235" t="s">
        <v>4692</v>
      </c>
      <c r="F2235" t="s">
        <v>511</v>
      </c>
      <c r="G2235" t="s">
        <v>8184</v>
      </c>
      <c r="H2235" t="s">
        <v>513</v>
      </c>
      <c r="I2235" t="b">
        <f>COUNTIF(Estadísticas!I:I,'centraldecomunicacion.es'!H2235)&gt;0</f>
        <v>1</v>
      </c>
    </row>
    <row r="2236" spans="1:9">
      <c r="A2236" t="s">
        <v>8185</v>
      </c>
      <c r="B2236" t="s">
        <v>10</v>
      </c>
      <c r="C2236" t="s">
        <v>8186</v>
      </c>
      <c r="D2236" t="s">
        <v>4692</v>
      </c>
      <c r="E2236" t="s">
        <v>4692</v>
      </c>
      <c r="F2236" t="s">
        <v>28</v>
      </c>
      <c r="G2236" t="s">
        <v>28</v>
      </c>
      <c r="H2236" t="s">
        <v>30</v>
      </c>
      <c r="I2236" t="b">
        <f>COUNTIF(Estadísticas!I:I,'centraldecomunicacion.es'!H2236)&gt;0</f>
        <v>0</v>
      </c>
    </row>
    <row r="2237" spans="1:9">
      <c r="A2237" t="s">
        <v>8187</v>
      </c>
      <c r="B2237" t="s">
        <v>10</v>
      </c>
      <c r="C2237" t="s">
        <v>8188</v>
      </c>
      <c r="D2237" t="s">
        <v>8189</v>
      </c>
      <c r="E2237" t="s">
        <v>4692</v>
      </c>
      <c r="F2237" t="s">
        <v>28</v>
      </c>
      <c r="G2237" t="s">
        <v>8190</v>
      </c>
      <c r="H2237" t="s">
        <v>30</v>
      </c>
      <c r="I2237" t="b">
        <f>COUNTIF(Estadísticas!I:I,'centraldecomunicacion.es'!H2237)&gt;0</f>
        <v>0</v>
      </c>
    </row>
    <row r="2238" spans="1:9">
      <c r="A2238" t="s">
        <v>8191</v>
      </c>
      <c r="B2238" t="s">
        <v>10</v>
      </c>
      <c r="C2238" t="s">
        <v>8192</v>
      </c>
      <c r="D2238" t="s">
        <v>8193</v>
      </c>
      <c r="E2238" t="s">
        <v>4692</v>
      </c>
      <c r="F2238" t="s">
        <v>8194</v>
      </c>
      <c r="G2238" t="s">
        <v>8195</v>
      </c>
      <c r="H2238" t="s">
        <v>8196</v>
      </c>
      <c r="I2238" t="b">
        <f>COUNTIF(Estadísticas!I:I,'centraldecomunicacion.es'!H2238)&gt;0</f>
        <v>1</v>
      </c>
    </row>
    <row r="2239" spans="1:9">
      <c r="A2239" t="s">
        <v>8197</v>
      </c>
      <c r="B2239" t="s">
        <v>10</v>
      </c>
      <c r="C2239" t="s">
        <v>8198</v>
      </c>
      <c r="D2239" t="s">
        <v>8199</v>
      </c>
      <c r="E2239" t="s">
        <v>4692</v>
      </c>
      <c r="F2239" t="s">
        <v>28</v>
      </c>
      <c r="G2239" t="s">
        <v>8200</v>
      </c>
      <c r="H2239" t="s">
        <v>30</v>
      </c>
      <c r="I2239" t="b">
        <f>COUNTIF(Estadísticas!I:I,'centraldecomunicacion.es'!H2239)&gt;0</f>
        <v>0</v>
      </c>
    </row>
    <row r="2240" spans="1:9">
      <c r="A2240" t="s">
        <v>8201</v>
      </c>
      <c r="B2240" t="s">
        <v>10</v>
      </c>
      <c r="C2240" t="s">
        <v>8202</v>
      </c>
      <c r="D2240" t="s">
        <v>8203</v>
      </c>
      <c r="E2240" t="s">
        <v>4692</v>
      </c>
      <c r="F2240" t="s">
        <v>8204</v>
      </c>
      <c r="G2240" t="s">
        <v>8205</v>
      </c>
      <c r="H2240" t="s">
        <v>30</v>
      </c>
      <c r="I2240" t="b">
        <f>COUNTIF(Estadísticas!I:I,'centraldecomunicacion.es'!H2240)&gt;0</f>
        <v>0</v>
      </c>
    </row>
    <row r="2241" spans="1:9">
      <c r="A2241" t="s">
        <v>8206</v>
      </c>
      <c r="B2241" t="s">
        <v>10</v>
      </c>
      <c r="C2241" t="s">
        <v>8207</v>
      </c>
      <c r="D2241" t="s">
        <v>8208</v>
      </c>
      <c r="E2241" t="s">
        <v>4692</v>
      </c>
      <c r="F2241" t="s">
        <v>8209</v>
      </c>
      <c r="G2241" t="s">
        <v>8210</v>
      </c>
      <c r="H2241" t="s">
        <v>30</v>
      </c>
      <c r="I2241" t="b">
        <f>COUNTIF(Estadísticas!I:I,'centraldecomunicacion.es'!H2241)&gt;0</f>
        <v>0</v>
      </c>
    </row>
    <row r="2242" spans="1:9">
      <c r="A2242" t="s">
        <v>8211</v>
      </c>
      <c r="B2242" t="s">
        <v>10</v>
      </c>
      <c r="C2242" t="s">
        <v>8212</v>
      </c>
      <c r="D2242" t="s">
        <v>8213</v>
      </c>
      <c r="E2242" t="s">
        <v>4692</v>
      </c>
      <c r="F2242" t="s">
        <v>8214</v>
      </c>
      <c r="G2242" t="s">
        <v>8215</v>
      </c>
      <c r="H2242" t="s">
        <v>30</v>
      </c>
      <c r="I2242" t="b">
        <f>COUNTIF(Estadísticas!I:I,'centraldecomunicacion.es'!H2242)&gt;0</f>
        <v>0</v>
      </c>
    </row>
    <row r="2243" spans="1:9">
      <c r="A2243" t="s">
        <v>8216</v>
      </c>
      <c r="B2243" t="s">
        <v>10</v>
      </c>
      <c r="C2243" t="s">
        <v>8217</v>
      </c>
      <c r="D2243" t="s">
        <v>8218</v>
      </c>
      <c r="E2243" t="s">
        <v>4692</v>
      </c>
      <c r="F2243" t="s">
        <v>8219</v>
      </c>
      <c r="G2243" t="s">
        <v>8220</v>
      </c>
      <c r="H2243" t="s">
        <v>30</v>
      </c>
      <c r="I2243" t="b">
        <f>COUNTIF(Estadísticas!I:I,'centraldecomunicacion.es'!H2243)&gt;0</f>
        <v>0</v>
      </c>
    </row>
    <row r="2244" spans="1:9">
      <c r="A2244" t="s">
        <v>8221</v>
      </c>
      <c r="B2244" t="s">
        <v>10</v>
      </c>
      <c r="C2244" t="s">
        <v>8222</v>
      </c>
      <c r="D2244" t="s">
        <v>8199</v>
      </c>
      <c r="E2244" t="s">
        <v>4692</v>
      </c>
      <c r="F2244" t="s">
        <v>28</v>
      </c>
      <c r="G2244" t="s">
        <v>8200</v>
      </c>
      <c r="H2244" t="s">
        <v>30</v>
      </c>
      <c r="I2244" t="b">
        <f>COUNTIF(Estadísticas!I:I,'centraldecomunicacion.es'!H2244)&gt;0</f>
        <v>0</v>
      </c>
    </row>
    <row r="2245" spans="1:9">
      <c r="A2245" t="s">
        <v>8223</v>
      </c>
      <c r="B2245" t="s">
        <v>10</v>
      </c>
      <c r="C2245" t="s">
        <v>8224</v>
      </c>
      <c r="D2245" t="s">
        <v>8225</v>
      </c>
      <c r="E2245" t="s">
        <v>4692</v>
      </c>
      <c r="F2245" t="s">
        <v>28</v>
      </c>
      <c r="G2245" t="s">
        <v>8226</v>
      </c>
      <c r="H2245" t="s">
        <v>30</v>
      </c>
      <c r="I2245" t="b">
        <f>COUNTIF(Estadísticas!I:I,'centraldecomunicacion.es'!H2245)&gt;0</f>
        <v>0</v>
      </c>
    </row>
    <row r="2246" spans="1:9">
      <c r="A2246" t="s">
        <v>4310</v>
      </c>
      <c r="B2246" t="s">
        <v>10</v>
      </c>
      <c r="C2246" t="s">
        <v>8227</v>
      </c>
      <c r="D2246" t="s">
        <v>8228</v>
      </c>
      <c r="E2246" t="s">
        <v>4692</v>
      </c>
      <c r="F2246" t="s">
        <v>28</v>
      </c>
      <c r="G2246" t="s">
        <v>8229</v>
      </c>
      <c r="H2246" t="s">
        <v>30</v>
      </c>
      <c r="I2246" t="b">
        <f>COUNTIF(Estadísticas!I:I,'centraldecomunicacion.es'!H2246)&gt;0</f>
        <v>0</v>
      </c>
    </row>
    <row r="2247" spans="1:9">
      <c r="A2247" t="s">
        <v>8230</v>
      </c>
      <c r="B2247" t="s">
        <v>10</v>
      </c>
      <c r="C2247" t="s">
        <v>8231</v>
      </c>
      <c r="D2247" t="s">
        <v>8232</v>
      </c>
      <c r="E2247" t="s">
        <v>4692</v>
      </c>
      <c r="F2247" t="s">
        <v>28</v>
      </c>
      <c r="G2247" t="s">
        <v>8233</v>
      </c>
      <c r="H2247" t="s">
        <v>30</v>
      </c>
      <c r="I2247" t="b">
        <f>COUNTIF(Estadísticas!I:I,'centraldecomunicacion.es'!H2247)&gt;0</f>
        <v>0</v>
      </c>
    </row>
    <row r="2248" spans="1:9">
      <c r="A2248" t="s">
        <v>8234</v>
      </c>
      <c r="B2248" t="s">
        <v>10</v>
      </c>
      <c r="C2248" t="s">
        <v>8235</v>
      </c>
      <c r="D2248" t="s">
        <v>8208</v>
      </c>
      <c r="E2248" t="s">
        <v>4692</v>
      </c>
      <c r="F2248" t="s">
        <v>28</v>
      </c>
      <c r="G2248" t="s">
        <v>8236</v>
      </c>
      <c r="H2248" t="s">
        <v>30</v>
      </c>
      <c r="I2248" t="b">
        <f>COUNTIF(Estadísticas!I:I,'centraldecomunicacion.es'!H2248)&gt;0</f>
        <v>0</v>
      </c>
    </row>
    <row r="2249" spans="1:9">
      <c r="A2249" t="s">
        <v>8237</v>
      </c>
      <c r="B2249" t="s">
        <v>10</v>
      </c>
      <c r="C2249" t="s">
        <v>8238</v>
      </c>
      <c r="D2249" t="s">
        <v>8225</v>
      </c>
      <c r="E2249" t="s">
        <v>4692</v>
      </c>
      <c r="F2249" t="s">
        <v>8239</v>
      </c>
      <c r="G2249" t="s">
        <v>8240</v>
      </c>
      <c r="H2249" t="s">
        <v>8241</v>
      </c>
      <c r="I2249" t="b">
        <f>COUNTIF(Estadísticas!I:I,'centraldecomunicacion.es'!H2249)&gt;0</f>
        <v>0</v>
      </c>
    </row>
    <row r="2250" spans="1:9">
      <c r="A2250" t="s">
        <v>8242</v>
      </c>
      <c r="B2250" t="s">
        <v>10</v>
      </c>
      <c r="C2250" t="s">
        <v>8243</v>
      </c>
      <c r="D2250" t="s">
        <v>8244</v>
      </c>
      <c r="E2250" t="s">
        <v>4692</v>
      </c>
      <c r="F2250" t="s">
        <v>28</v>
      </c>
      <c r="G2250" t="s">
        <v>8245</v>
      </c>
      <c r="H2250" t="s">
        <v>30</v>
      </c>
      <c r="I2250" t="b">
        <f>COUNTIF(Estadísticas!I:I,'centraldecomunicacion.es'!H2250)&gt;0</f>
        <v>0</v>
      </c>
    </row>
    <row r="2251" spans="1:9">
      <c r="A2251" t="s">
        <v>8246</v>
      </c>
      <c r="B2251" t="s">
        <v>10</v>
      </c>
      <c r="C2251" t="s">
        <v>8247</v>
      </c>
      <c r="D2251" t="s">
        <v>8244</v>
      </c>
      <c r="E2251" t="s">
        <v>4692</v>
      </c>
      <c r="F2251" t="s">
        <v>8248</v>
      </c>
      <c r="G2251" t="s">
        <v>8249</v>
      </c>
      <c r="H2251" t="s">
        <v>30</v>
      </c>
      <c r="I2251" t="b">
        <f>COUNTIF(Estadísticas!I:I,'centraldecomunicacion.es'!H2251)&gt;0</f>
        <v>0</v>
      </c>
    </row>
    <row r="2252" spans="1:9">
      <c r="A2252" t="s">
        <v>8250</v>
      </c>
      <c r="B2252" t="s">
        <v>10</v>
      </c>
      <c r="C2252" t="s">
        <v>8251</v>
      </c>
      <c r="D2252" t="s">
        <v>8203</v>
      </c>
      <c r="E2252" t="s">
        <v>4692</v>
      </c>
      <c r="F2252" t="s">
        <v>28</v>
      </c>
      <c r="G2252" t="s">
        <v>8252</v>
      </c>
      <c r="H2252" t="s">
        <v>30</v>
      </c>
      <c r="I2252" t="b">
        <f>COUNTIF(Estadísticas!I:I,'centraldecomunicacion.es'!H2252)&gt;0</f>
        <v>0</v>
      </c>
    </row>
    <row r="2253" spans="1:9">
      <c r="A2253" t="s">
        <v>8253</v>
      </c>
      <c r="B2253" t="s">
        <v>10</v>
      </c>
      <c r="C2253" t="s">
        <v>8254</v>
      </c>
      <c r="D2253" t="s">
        <v>8228</v>
      </c>
      <c r="E2253" t="s">
        <v>4692</v>
      </c>
      <c r="F2253" t="s">
        <v>8239</v>
      </c>
      <c r="G2253" t="s">
        <v>8255</v>
      </c>
      <c r="H2253" t="s">
        <v>8241</v>
      </c>
      <c r="I2253" t="b">
        <f>COUNTIF(Estadísticas!I:I,'centraldecomunicacion.es'!H2253)&gt;0</f>
        <v>0</v>
      </c>
    </row>
    <row r="2254" spans="1:9">
      <c r="A2254" t="s">
        <v>8256</v>
      </c>
      <c r="B2254" t="s">
        <v>10</v>
      </c>
      <c r="C2254" t="s">
        <v>8257</v>
      </c>
      <c r="D2254" t="s">
        <v>8258</v>
      </c>
      <c r="E2254" t="s">
        <v>4692</v>
      </c>
      <c r="F2254" t="s">
        <v>28</v>
      </c>
      <c r="G2254" t="s">
        <v>8259</v>
      </c>
      <c r="H2254" t="s">
        <v>30</v>
      </c>
      <c r="I2254" t="b">
        <f>COUNTIF(Estadísticas!I:I,'centraldecomunicacion.es'!H2254)&gt;0</f>
        <v>0</v>
      </c>
    </row>
    <row r="2255" spans="1:9">
      <c r="A2255" t="s">
        <v>8260</v>
      </c>
      <c r="B2255" t="s">
        <v>10</v>
      </c>
      <c r="C2255" t="s">
        <v>8261</v>
      </c>
      <c r="D2255" t="s">
        <v>8228</v>
      </c>
      <c r="E2255" t="s">
        <v>4692</v>
      </c>
      <c r="F2255" t="s">
        <v>28</v>
      </c>
      <c r="G2255" t="s">
        <v>8262</v>
      </c>
      <c r="H2255" t="s">
        <v>30</v>
      </c>
      <c r="I2255" t="b">
        <f>COUNTIF(Estadísticas!I:I,'centraldecomunicacion.es'!H2255)&gt;0</f>
        <v>0</v>
      </c>
    </row>
    <row r="2256" spans="1:9">
      <c r="A2256" t="s">
        <v>8263</v>
      </c>
      <c r="B2256" t="s">
        <v>10</v>
      </c>
      <c r="C2256" t="s">
        <v>8264</v>
      </c>
      <c r="D2256" t="s">
        <v>8265</v>
      </c>
      <c r="E2256" t="s">
        <v>4692</v>
      </c>
      <c r="F2256" t="s">
        <v>8065</v>
      </c>
      <c r="G2256" t="s">
        <v>8266</v>
      </c>
      <c r="H2256" t="s">
        <v>8067</v>
      </c>
      <c r="I2256" t="b">
        <f>COUNTIF(Estadísticas!I:I,'centraldecomunicacion.es'!H2256)&gt;0</f>
        <v>1</v>
      </c>
    </row>
    <row r="2257" spans="1:9">
      <c r="A2257" t="s">
        <v>8267</v>
      </c>
      <c r="B2257" t="s">
        <v>10</v>
      </c>
      <c r="C2257" t="s">
        <v>8268</v>
      </c>
      <c r="D2257" t="s">
        <v>8269</v>
      </c>
      <c r="E2257" t="s">
        <v>4692</v>
      </c>
      <c r="F2257" t="s">
        <v>28</v>
      </c>
      <c r="G2257" t="s">
        <v>8270</v>
      </c>
      <c r="H2257" t="s">
        <v>30</v>
      </c>
      <c r="I2257" t="b">
        <f>COUNTIF(Estadísticas!I:I,'centraldecomunicacion.es'!H2257)&gt;0</f>
        <v>0</v>
      </c>
    </row>
    <row r="2258" spans="1:9">
      <c r="A2258" t="s">
        <v>8271</v>
      </c>
      <c r="B2258" t="s">
        <v>10</v>
      </c>
      <c r="C2258" t="s">
        <v>8272</v>
      </c>
      <c r="D2258" t="s">
        <v>8273</v>
      </c>
      <c r="E2258" t="s">
        <v>4692</v>
      </c>
      <c r="F2258" t="s">
        <v>8274</v>
      </c>
      <c r="G2258" t="s">
        <v>8275</v>
      </c>
      <c r="H2258" t="s">
        <v>30</v>
      </c>
      <c r="I2258" t="b">
        <f>COUNTIF(Estadísticas!I:I,'centraldecomunicacion.es'!H2258)&gt;0</f>
        <v>0</v>
      </c>
    </row>
    <row r="2259" spans="1:9">
      <c r="A2259" t="s">
        <v>8276</v>
      </c>
      <c r="B2259" t="s">
        <v>10</v>
      </c>
      <c r="C2259" t="s">
        <v>8277</v>
      </c>
      <c r="D2259" t="s">
        <v>8278</v>
      </c>
      <c r="E2259" t="s">
        <v>4692</v>
      </c>
      <c r="F2259" t="s">
        <v>8279</v>
      </c>
      <c r="G2259" t="s">
        <v>8280</v>
      </c>
      <c r="H2259" t="s">
        <v>1643</v>
      </c>
      <c r="I2259" t="b">
        <f>COUNTIF(Estadísticas!I:I,'centraldecomunicacion.es'!H2259)&gt;0</f>
        <v>0</v>
      </c>
    </row>
    <row r="2260" spans="1:9">
      <c r="A2260" t="s">
        <v>8150</v>
      </c>
      <c r="B2260" t="s">
        <v>10</v>
      </c>
      <c r="C2260" t="s">
        <v>8281</v>
      </c>
      <c r="D2260" t="s">
        <v>8228</v>
      </c>
      <c r="E2260" t="s">
        <v>4692</v>
      </c>
      <c r="F2260" t="s">
        <v>28</v>
      </c>
      <c r="G2260" t="s">
        <v>8282</v>
      </c>
      <c r="H2260" t="s">
        <v>30</v>
      </c>
      <c r="I2260" t="b">
        <f>COUNTIF(Estadísticas!I:I,'centraldecomunicacion.es'!H2260)&gt;0</f>
        <v>0</v>
      </c>
    </row>
    <row r="2261" spans="1:9">
      <c r="A2261" t="s">
        <v>8283</v>
      </c>
      <c r="B2261" t="s">
        <v>10</v>
      </c>
      <c r="C2261" t="s">
        <v>8284</v>
      </c>
      <c r="D2261" t="s">
        <v>8258</v>
      </c>
      <c r="E2261" t="s">
        <v>4692</v>
      </c>
      <c r="F2261" t="s">
        <v>28</v>
      </c>
      <c r="G2261" t="s">
        <v>8285</v>
      </c>
      <c r="H2261" t="s">
        <v>30</v>
      </c>
      <c r="I2261" t="b">
        <f>COUNTIF(Estadísticas!I:I,'centraldecomunicacion.es'!H2261)&gt;0</f>
        <v>0</v>
      </c>
    </row>
    <row r="2262" spans="1:9">
      <c r="A2262" t="s">
        <v>8286</v>
      </c>
      <c r="B2262" t="s">
        <v>10</v>
      </c>
      <c r="C2262" t="s">
        <v>8287</v>
      </c>
      <c r="D2262" t="s">
        <v>8288</v>
      </c>
      <c r="E2262" t="s">
        <v>4692</v>
      </c>
      <c r="F2262" t="s">
        <v>746</v>
      </c>
      <c r="G2262" t="s">
        <v>8289</v>
      </c>
      <c r="H2262" t="s">
        <v>30</v>
      </c>
      <c r="I2262" t="b">
        <f>COUNTIF(Estadísticas!I:I,'centraldecomunicacion.es'!H2262)&gt;0</f>
        <v>0</v>
      </c>
    </row>
    <row r="2263" spans="1:9">
      <c r="A2263" t="s">
        <v>8290</v>
      </c>
      <c r="B2263" t="s">
        <v>10</v>
      </c>
      <c r="C2263" t="s">
        <v>8291</v>
      </c>
      <c r="D2263" t="s">
        <v>8228</v>
      </c>
      <c r="E2263" t="s">
        <v>4692</v>
      </c>
      <c r="F2263" t="s">
        <v>28</v>
      </c>
      <c r="G2263" t="s">
        <v>8282</v>
      </c>
      <c r="H2263" t="s">
        <v>30</v>
      </c>
      <c r="I2263" t="b">
        <f>COUNTIF(Estadísticas!I:I,'centraldecomunicacion.es'!H2263)&gt;0</f>
        <v>0</v>
      </c>
    </row>
    <row r="2264" spans="1:9">
      <c r="A2264" t="s">
        <v>8292</v>
      </c>
      <c r="B2264" t="s">
        <v>10</v>
      </c>
      <c r="C2264" t="s">
        <v>8293</v>
      </c>
      <c r="D2264" t="s">
        <v>8228</v>
      </c>
      <c r="E2264" t="s">
        <v>4692</v>
      </c>
      <c r="F2264" t="s">
        <v>50</v>
      </c>
      <c r="G2264" t="s">
        <v>8294</v>
      </c>
      <c r="H2264" t="s">
        <v>30</v>
      </c>
      <c r="I2264" t="b">
        <f>COUNTIF(Estadísticas!I:I,'centraldecomunicacion.es'!H2264)&gt;0</f>
        <v>0</v>
      </c>
    </row>
    <row r="2265" spans="1:9">
      <c r="A2265" t="s">
        <v>8295</v>
      </c>
      <c r="B2265" t="s">
        <v>10</v>
      </c>
      <c r="C2265" t="s">
        <v>8296</v>
      </c>
      <c r="D2265" t="s">
        <v>8297</v>
      </c>
      <c r="E2265" t="s">
        <v>4692</v>
      </c>
      <c r="F2265" t="s">
        <v>8298</v>
      </c>
      <c r="G2265" t="s">
        <v>8299</v>
      </c>
      <c r="H2265" t="s">
        <v>8300</v>
      </c>
      <c r="I2265" t="b">
        <f>COUNTIF(Estadísticas!I:I,'centraldecomunicacion.es'!H2265)&gt;0</f>
        <v>0</v>
      </c>
    </row>
    <row r="2266" spans="1:9">
      <c r="A2266" t="s">
        <v>8301</v>
      </c>
      <c r="B2266" t="s">
        <v>10</v>
      </c>
      <c r="C2266" t="s">
        <v>8302</v>
      </c>
      <c r="D2266" t="s">
        <v>8297</v>
      </c>
      <c r="E2266" t="s">
        <v>4692</v>
      </c>
      <c r="F2266" t="s">
        <v>28</v>
      </c>
      <c r="G2266" t="s">
        <v>8303</v>
      </c>
      <c r="H2266" t="s">
        <v>30</v>
      </c>
      <c r="I2266" t="b">
        <f>COUNTIF(Estadísticas!I:I,'centraldecomunicacion.es'!H2266)&gt;0</f>
        <v>0</v>
      </c>
    </row>
    <row r="2267" spans="1:9">
      <c r="A2267" t="s">
        <v>8304</v>
      </c>
      <c r="B2267" t="s">
        <v>10</v>
      </c>
      <c r="C2267" t="s">
        <v>8305</v>
      </c>
      <c r="D2267" t="s">
        <v>8225</v>
      </c>
      <c r="E2267" t="s">
        <v>4692</v>
      </c>
      <c r="F2267" t="s">
        <v>28</v>
      </c>
      <c r="G2267" t="s">
        <v>8306</v>
      </c>
      <c r="H2267" t="s">
        <v>30</v>
      </c>
      <c r="I2267" t="b">
        <f>COUNTIF(Estadísticas!I:I,'centraldecomunicacion.es'!H2267)&gt;0</f>
        <v>0</v>
      </c>
    </row>
    <row r="2268" spans="1:9">
      <c r="A2268" t="s">
        <v>8307</v>
      </c>
      <c r="B2268" t="s">
        <v>10</v>
      </c>
      <c r="C2268" t="s">
        <v>8308</v>
      </c>
      <c r="D2268" t="s">
        <v>4700</v>
      </c>
      <c r="E2268" t="s">
        <v>4692</v>
      </c>
      <c r="F2268" t="s">
        <v>28</v>
      </c>
      <c r="G2268" t="s">
        <v>8309</v>
      </c>
      <c r="H2268" t="s">
        <v>30</v>
      </c>
      <c r="I2268" t="b">
        <f>COUNTIF(Estadísticas!I:I,'centraldecomunicacion.es'!H2268)&gt;0</f>
        <v>0</v>
      </c>
    </row>
    <row r="2269" spans="1:9">
      <c r="A2269" t="s">
        <v>8310</v>
      </c>
      <c r="B2269" t="s">
        <v>10</v>
      </c>
      <c r="C2269" t="s">
        <v>8311</v>
      </c>
      <c r="D2269" t="s">
        <v>8278</v>
      </c>
      <c r="E2269" t="s">
        <v>4692</v>
      </c>
      <c r="F2269" t="s">
        <v>28</v>
      </c>
      <c r="G2269" t="s">
        <v>8312</v>
      </c>
      <c r="H2269" t="s">
        <v>30</v>
      </c>
      <c r="I2269" t="b">
        <f>COUNTIF(Estadísticas!I:I,'centraldecomunicacion.es'!H2269)&gt;0</f>
        <v>0</v>
      </c>
    </row>
    <row r="2270" spans="1:9">
      <c r="A2270" t="s">
        <v>8313</v>
      </c>
      <c r="B2270" t="s">
        <v>10</v>
      </c>
      <c r="C2270" t="s">
        <v>8314</v>
      </c>
      <c r="D2270" t="s">
        <v>4700</v>
      </c>
      <c r="E2270" t="s">
        <v>4692</v>
      </c>
      <c r="F2270" t="s">
        <v>8315</v>
      </c>
      <c r="G2270" t="s">
        <v>8316</v>
      </c>
      <c r="H2270" t="s">
        <v>8317</v>
      </c>
      <c r="I2270" t="b">
        <f>COUNTIF(Estadísticas!I:I,'centraldecomunicacion.es'!H2270)&gt;0</f>
        <v>1</v>
      </c>
    </row>
    <row r="2271" spans="1:9">
      <c r="A2271" t="s">
        <v>8318</v>
      </c>
      <c r="B2271" t="s">
        <v>10</v>
      </c>
      <c r="C2271" t="s">
        <v>8319</v>
      </c>
      <c r="D2271" t="s">
        <v>4700</v>
      </c>
      <c r="E2271" t="s">
        <v>4692</v>
      </c>
      <c r="F2271" t="s">
        <v>28</v>
      </c>
      <c r="G2271" t="s">
        <v>8320</v>
      </c>
      <c r="H2271" t="s">
        <v>30</v>
      </c>
      <c r="I2271" t="b">
        <f>COUNTIF(Estadísticas!I:I,'centraldecomunicacion.es'!H2271)&gt;0</f>
        <v>0</v>
      </c>
    </row>
    <row r="2272" spans="1:9">
      <c r="A2272" t="s">
        <v>8321</v>
      </c>
      <c r="B2272" t="s">
        <v>10</v>
      </c>
      <c r="C2272" t="s">
        <v>8322</v>
      </c>
      <c r="D2272" t="s">
        <v>4709</v>
      </c>
      <c r="E2272" t="s">
        <v>4692</v>
      </c>
      <c r="F2272" t="s">
        <v>50</v>
      </c>
      <c r="G2272" t="s">
        <v>8323</v>
      </c>
      <c r="H2272" t="s">
        <v>30</v>
      </c>
      <c r="I2272" t="b">
        <f>COUNTIF(Estadísticas!I:I,'centraldecomunicacion.es'!H2272)&gt;0</f>
        <v>0</v>
      </c>
    </row>
    <row r="2273" spans="1:9">
      <c r="A2273" t="s">
        <v>8324</v>
      </c>
      <c r="B2273" t="s">
        <v>10</v>
      </c>
      <c r="C2273" t="s">
        <v>8325</v>
      </c>
      <c r="D2273" t="s">
        <v>4709</v>
      </c>
      <c r="E2273" t="s">
        <v>4692</v>
      </c>
      <c r="F2273" t="s">
        <v>28</v>
      </c>
      <c r="G2273" t="s">
        <v>8326</v>
      </c>
      <c r="H2273" t="s">
        <v>30</v>
      </c>
      <c r="I2273" t="b">
        <f>COUNTIF(Estadísticas!I:I,'centraldecomunicacion.es'!H2273)&gt;0</f>
        <v>0</v>
      </c>
    </row>
    <row r="2274" spans="1:9">
      <c r="A2274" t="s">
        <v>8327</v>
      </c>
      <c r="B2274" t="s">
        <v>10</v>
      </c>
      <c r="C2274" t="s">
        <v>8328</v>
      </c>
      <c r="D2274" t="s">
        <v>4691</v>
      </c>
      <c r="E2274" t="s">
        <v>4692</v>
      </c>
      <c r="F2274" t="s">
        <v>8329</v>
      </c>
      <c r="G2274" t="s">
        <v>8330</v>
      </c>
      <c r="H2274" t="s">
        <v>30</v>
      </c>
      <c r="I2274" t="b">
        <f>COUNTIF(Estadísticas!I:I,'centraldecomunicacion.es'!H2274)&gt;0</f>
        <v>0</v>
      </c>
    </row>
    <row r="2275" spans="1:9">
      <c r="A2275" t="s">
        <v>8331</v>
      </c>
      <c r="B2275" t="s">
        <v>10</v>
      </c>
      <c r="C2275" t="s">
        <v>8332</v>
      </c>
      <c r="D2275" t="s">
        <v>4709</v>
      </c>
      <c r="E2275" t="s">
        <v>4692</v>
      </c>
      <c r="F2275" t="s">
        <v>8333</v>
      </c>
      <c r="G2275" t="s">
        <v>8334</v>
      </c>
      <c r="H2275" t="s">
        <v>8335</v>
      </c>
      <c r="I2275" t="b">
        <f>COUNTIF(Estadísticas!I:I,'centraldecomunicacion.es'!H2275)&gt;0</f>
        <v>0</v>
      </c>
    </row>
    <row r="2276" spans="1:9">
      <c r="A2276" t="s">
        <v>8336</v>
      </c>
      <c r="B2276" t="s">
        <v>10</v>
      </c>
      <c r="C2276" t="s">
        <v>8337</v>
      </c>
      <c r="D2276" t="s">
        <v>8338</v>
      </c>
      <c r="E2276" t="s">
        <v>4692</v>
      </c>
      <c r="F2276" t="s">
        <v>28</v>
      </c>
      <c r="G2276" t="s">
        <v>8339</v>
      </c>
      <c r="H2276" t="s">
        <v>30</v>
      </c>
      <c r="I2276" t="b">
        <f>COUNTIF(Estadísticas!I:I,'centraldecomunicacion.es'!H2276)&gt;0</f>
        <v>0</v>
      </c>
    </row>
    <row r="2277" spans="1:9">
      <c r="A2277" t="s">
        <v>8340</v>
      </c>
      <c r="B2277" t="s">
        <v>10</v>
      </c>
      <c r="C2277" t="s">
        <v>8341</v>
      </c>
      <c r="D2277" t="s">
        <v>4709</v>
      </c>
      <c r="E2277" t="s">
        <v>4692</v>
      </c>
      <c r="F2277" t="s">
        <v>28</v>
      </c>
      <c r="G2277" t="s">
        <v>8342</v>
      </c>
      <c r="H2277" t="s">
        <v>30</v>
      </c>
      <c r="I2277" t="b">
        <f>COUNTIF(Estadísticas!I:I,'centraldecomunicacion.es'!H2277)&gt;0</f>
        <v>0</v>
      </c>
    </row>
    <row r="2278" spans="1:9">
      <c r="A2278" t="s">
        <v>8343</v>
      </c>
      <c r="B2278" t="s">
        <v>10</v>
      </c>
      <c r="C2278" t="s">
        <v>8344</v>
      </c>
      <c r="D2278" t="s">
        <v>8345</v>
      </c>
      <c r="E2278" t="s">
        <v>7763</v>
      </c>
      <c r="F2278" t="s">
        <v>28</v>
      </c>
      <c r="G2278" t="s">
        <v>8346</v>
      </c>
      <c r="H2278" t="s">
        <v>30</v>
      </c>
      <c r="I2278" t="b">
        <f>COUNTIF(Estadísticas!I:I,'centraldecomunicacion.es'!H2278)&gt;0</f>
        <v>0</v>
      </c>
    </row>
    <row r="2279" spans="1:9">
      <c r="A2279" t="s">
        <v>8347</v>
      </c>
      <c r="B2279" t="s">
        <v>10</v>
      </c>
      <c r="C2279" t="s">
        <v>8348</v>
      </c>
      <c r="D2279" t="s">
        <v>8338</v>
      </c>
      <c r="E2279" t="s">
        <v>4692</v>
      </c>
      <c r="F2279" t="s">
        <v>8349</v>
      </c>
      <c r="G2279" t="s">
        <v>8350</v>
      </c>
      <c r="H2279" t="s">
        <v>8351</v>
      </c>
      <c r="I2279" t="b">
        <f>COUNTIF(Estadísticas!I:I,'centraldecomunicacion.es'!H2279)&gt;0</f>
        <v>1</v>
      </c>
    </row>
    <row r="2280" spans="1:9">
      <c r="A2280" t="s">
        <v>8352</v>
      </c>
      <c r="B2280" t="s">
        <v>10</v>
      </c>
      <c r="C2280" t="s">
        <v>28</v>
      </c>
      <c r="D2280" t="s">
        <v>8353</v>
      </c>
      <c r="E2280" t="s">
        <v>28</v>
      </c>
      <c r="F2280" t="s">
        <v>8354</v>
      </c>
      <c r="G2280" t="s">
        <v>7765</v>
      </c>
      <c r="H2280" t="s">
        <v>8038</v>
      </c>
      <c r="I2280" t="b">
        <f>COUNTIF(Estadísticas!I:I,'centraldecomunicacion.es'!H2280)&gt;0</f>
        <v>1</v>
      </c>
    </row>
    <row r="2281" spans="1:9">
      <c r="A2281" t="s">
        <v>8355</v>
      </c>
      <c r="B2281" t="s">
        <v>10</v>
      </c>
      <c r="C2281" t="s">
        <v>8356</v>
      </c>
      <c r="D2281" t="s">
        <v>4709</v>
      </c>
      <c r="E2281" t="s">
        <v>4692</v>
      </c>
      <c r="F2281" t="s">
        <v>8357</v>
      </c>
      <c r="G2281" t="s">
        <v>28</v>
      </c>
      <c r="H2281" t="s">
        <v>8358</v>
      </c>
      <c r="I2281" t="b">
        <f>COUNTIF(Estadísticas!I:I,'centraldecomunicacion.es'!H2281)&gt;0</f>
        <v>0</v>
      </c>
    </row>
    <row r="2282" spans="1:9">
      <c r="A2282" t="s">
        <v>8359</v>
      </c>
      <c r="B2282" t="s">
        <v>10</v>
      </c>
      <c r="C2282" t="s">
        <v>8360</v>
      </c>
      <c r="D2282" t="s">
        <v>8361</v>
      </c>
      <c r="E2282" t="s">
        <v>7763</v>
      </c>
      <c r="F2282" t="s">
        <v>38</v>
      </c>
      <c r="G2282" t="s">
        <v>8362</v>
      </c>
      <c r="H2282" t="s">
        <v>30</v>
      </c>
      <c r="I2282" t="b">
        <f>COUNTIF(Estadísticas!I:I,'centraldecomunicacion.es'!H2282)&gt;0</f>
        <v>0</v>
      </c>
    </row>
    <row r="2283" spans="1:9">
      <c r="A2283" t="s">
        <v>8363</v>
      </c>
      <c r="B2283" t="s">
        <v>10</v>
      </c>
      <c r="C2283" t="s">
        <v>8364</v>
      </c>
      <c r="D2283" t="s">
        <v>8361</v>
      </c>
      <c r="E2283" t="s">
        <v>7763</v>
      </c>
      <c r="F2283" t="s">
        <v>28</v>
      </c>
      <c r="G2283" t="s">
        <v>28</v>
      </c>
      <c r="H2283" t="s">
        <v>30</v>
      </c>
      <c r="I2283" t="b">
        <f>COUNTIF(Estadísticas!I:I,'centraldecomunicacion.es'!H2283)&gt;0</f>
        <v>0</v>
      </c>
    </row>
    <row r="2284" spans="1:9">
      <c r="A2284" t="s">
        <v>8365</v>
      </c>
      <c r="B2284" t="s">
        <v>10</v>
      </c>
      <c r="C2284" t="s">
        <v>8366</v>
      </c>
      <c r="D2284" t="s">
        <v>8367</v>
      </c>
      <c r="E2284" t="s">
        <v>7968</v>
      </c>
      <c r="F2284" t="s">
        <v>28</v>
      </c>
      <c r="G2284" t="s">
        <v>8368</v>
      </c>
      <c r="H2284" t="s">
        <v>30</v>
      </c>
      <c r="I2284" t="b">
        <f>COUNTIF(Estadísticas!I:I,'centraldecomunicacion.es'!H2284)&gt;0</f>
        <v>0</v>
      </c>
    </row>
    <row r="2285" spans="1:9">
      <c r="A2285" t="s">
        <v>8369</v>
      </c>
      <c r="B2285" t="s">
        <v>10</v>
      </c>
      <c r="C2285" t="s">
        <v>8370</v>
      </c>
      <c r="D2285" t="s">
        <v>8371</v>
      </c>
      <c r="E2285" t="s">
        <v>7968</v>
      </c>
      <c r="F2285" t="s">
        <v>28</v>
      </c>
      <c r="G2285" t="s">
        <v>8372</v>
      </c>
      <c r="H2285" t="s">
        <v>30</v>
      </c>
      <c r="I2285" t="b">
        <f>COUNTIF(Estadísticas!I:I,'centraldecomunicacion.es'!H2285)&gt;0</f>
        <v>0</v>
      </c>
    </row>
    <row r="2286" spans="1:9">
      <c r="A2286" t="s">
        <v>8373</v>
      </c>
      <c r="B2286" t="s">
        <v>10</v>
      </c>
      <c r="C2286" t="s">
        <v>8374</v>
      </c>
      <c r="D2286" t="s">
        <v>8361</v>
      </c>
      <c r="E2286" t="s">
        <v>7763</v>
      </c>
      <c r="F2286" t="s">
        <v>8375</v>
      </c>
      <c r="G2286" t="s">
        <v>8376</v>
      </c>
      <c r="H2286" t="s">
        <v>8377</v>
      </c>
      <c r="I2286" t="b">
        <f>COUNTIF(Estadísticas!I:I,'centraldecomunicacion.es'!H2286)&gt;0</f>
        <v>0</v>
      </c>
    </row>
    <row r="2287" spans="1:9">
      <c r="A2287" t="s">
        <v>1987</v>
      </c>
      <c r="B2287" t="s">
        <v>10</v>
      </c>
      <c r="C2287" t="s">
        <v>8378</v>
      </c>
      <c r="D2287" t="s">
        <v>8379</v>
      </c>
      <c r="E2287" t="s">
        <v>7968</v>
      </c>
      <c r="F2287" t="s">
        <v>28</v>
      </c>
      <c r="G2287" t="s">
        <v>8380</v>
      </c>
      <c r="H2287" t="s">
        <v>30</v>
      </c>
      <c r="I2287" t="b">
        <f>COUNTIF(Estadísticas!I:I,'centraldecomunicacion.es'!H2287)&gt;0</f>
        <v>0</v>
      </c>
    </row>
    <row r="2288" spans="1:9">
      <c r="A2288" t="s">
        <v>8381</v>
      </c>
      <c r="B2288" t="s">
        <v>10</v>
      </c>
      <c r="C2288" t="s">
        <v>8382</v>
      </c>
      <c r="D2288" t="s">
        <v>8383</v>
      </c>
      <c r="E2288" t="s">
        <v>7763</v>
      </c>
      <c r="F2288" t="s">
        <v>8384</v>
      </c>
      <c r="G2288" t="s">
        <v>8385</v>
      </c>
      <c r="H2288" t="s">
        <v>5561</v>
      </c>
      <c r="I2288" t="b">
        <f>COUNTIF(Estadísticas!I:I,'centraldecomunicacion.es'!H2288)&gt;0</f>
        <v>0</v>
      </c>
    </row>
    <row r="2289" spans="1:9">
      <c r="A2289" t="s">
        <v>8386</v>
      </c>
      <c r="B2289" t="s">
        <v>10</v>
      </c>
      <c r="C2289" t="s">
        <v>8387</v>
      </c>
      <c r="D2289" t="s">
        <v>4730</v>
      </c>
      <c r="E2289" t="s">
        <v>4730</v>
      </c>
      <c r="F2289" t="s">
        <v>8388</v>
      </c>
      <c r="G2289" t="s">
        <v>8389</v>
      </c>
      <c r="H2289" t="s">
        <v>30</v>
      </c>
      <c r="I2289" t="b">
        <f>COUNTIF(Estadísticas!I:I,'centraldecomunicacion.es'!H2289)&gt;0</f>
        <v>0</v>
      </c>
    </row>
    <row r="2290" spans="1:9">
      <c r="A2290" t="s">
        <v>8390</v>
      </c>
      <c r="B2290" t="s">
        <v>10</v>
      </c>
      <c r="C2290" t="s">
        <v>8391</v>
      </c>
      <c r="D2290" t="s">
        <v>4730</v>
      </c>
      <c r="E2290" t="s">
        <v>4730</v>
      </c>
      <c r="F2290" t="s">
        <v>8392</v>
      </c>
      <c r="G2290" t="s">
        <v>8393</v>
      </c>
      <c r="H2290" t="s">
        <v>8394</v>
      </c>
      <c r="I2290" t="b">
        <f>COUNTIF(Estadísticas!I:I,'centraldecomunicacion.es'!H2290)&gt;0</f>
        <v>1</v>
      </c>
    </row>
    <row r="2291" spans="1:9">
      <c r="A2291" t="s">
        <v>8395</v>
      </c>
      <c r="B2291" t="s">
        <v>10</v>
      </c>
      <c r="C2291" t="s">
        <v>8396</v>
      </c>
      <c r="D2291" t="s">
        <v>4730</v>
      </c>
      <c r="E2291" t="s">
        <v>4730</v>
      </c>
      <c r="F2291" t="s">
        <v>8397</v>
      </c>
      <c r="G2291" t="s">
        <v>8398</v>
      </c>
      <c r="H2291" t="s">
        <v>8399</v>
      </c>
      <c r="I2291" t="b">
        <f>COUNTIF(Estadísticas!I:I,'centraldecomunicacion.es'!H2291)&gt;0</f>
        <v>1</v>
      </c>
    </row>
    <row r="2292" spans="1:9">
      <c r="A2292" t="s">
        <v>3822</v>
      </c>
      <c r="B2292" t="s">
        <v>10</v>
      </c>
      <c r="C2292" t="s">
        <v>8400</v>
      </c>
      <c r="D2292" t="s">
        <v>4730</v>
      </c>
      <c r="E2292" t="s">
        <v>4730</v>
      </c>
      <c r="F2292" t="s">
        <v>28</v>
      </c>
      <c r="G2292" t="s">
        <v>8401</v>
      </c>
      <c r="H2292" t="s">
        <v>30</v>
      </c>
      <c r="I2292" t="b">
        <f>COUNTIF(Estadísticas!I:I,'centraldecomunicacion.es'!H2292)&gt;0</f>
        <v>0</v>
      </c>
    </row>
    <row r="2293" spans="1:9">
      <c r="A2293" t="s">
        <v>8402</v>
      </c>
      <c r="B2293" t="s">
        <v>10</v>
      </c>
      <c r="C2293" t="s">
        <v>8403</v>
      </c>
      <c r="D2293" t="s">
        <v>4730</v>
      </c>
      <c r="E2293" t="s">
        <v>4730</v>
      </c>
      <c r="F2293" t="s">
        <v>28</v>
      </c>
      <c r="G2293" t="s">
        <v>8404</v>
      </c>
      <c r="H2293" t="s">
        <v>30</v>
      </c>
      <c r="I2293" t="b">
        <f>COUNTIF(Estadísticas!I:I,'centraldecomunicacion.es'!H2293)&gt;0</f>
        <v>0</v>
      </c>
    </row>
    <row r="2294" spans="1:9">
      <c r="A2294" t="s">
        <v>8405</v>
      </c>
      <c r="B2294" t="s">
        <v>10</v>
      </c>
      <c r="C2294" t="s">
        <v>8406</v>
      </c>
      <c r="D2294" t="s">
        <v>4730</v>
      </c>
      <c r="E2294" t="s">
        <v>4730</v>
      </c>
      <c r="F2294" t="s">
        <v>8407</v>
      </c>
      <c r="G2294" t="s">
        <v>8408</v>
      </c>
      <c r="H2294" t="s">
        <v>30</v>
      </c>
      <c r="I2294" t="b">
        <f>COUNTIF(Estadísticas!I:I,'centraldecomunicacion.es'!H2294)&gt;0</f>
        <v>0</v>
      </c>
    </row>
    <row r="2295" spans="1:9">
      <c r="A2295" t="s">
        <v>1041</v>
      </c>
      <c r="B2295" t="s">
        <v>10</v>
      </c>
      <c r="C2295" t="s">
        <v>8409</v>
      </c>
      <c r="D2295" t="s">
        <v>4730</v>
      </c>
      <c r="E2295" t="s">
        <v>4730</v>
      </c>
      <c r="F2295" t="s">
        <v>8410</v>
      </c>
      <c r="G2295" t="s">
        <v>8411</v>
      </c>
      <c r="H2295" t="s">
        <v>30</v>
      </c>
      <c r="I2295" t="b">
        <f>COUNTIF(Estadísticas!I:I,'centraldecomunicacion.es'!H2295)&gt;0</f>
        <v>0</v>
      </c>
    </row>
    <row r="2296" spans="1:9">
      <c r="A2296" t="s">
        <v>8412</v>
      </c>
      <c r="B2296" t="s">
        <v>10</v>
      </c>
      <c r="C2296" t="s">
        <v>8413</v>
      </c>
      <c r="D2296" t="s">
        <v>4730</v>
      </c>
      <c r="E2296" t="s">
        <v>4730</v>
      </c>
      <c r="F2296" t="s">
        <v>8414</v>
      </c>
      <c r="G2296" t="s">
        <v>8415</v>
      </c>
      <c r="H2296" t="s">
        <v>8416</v>
      </c>
      <c r="I2296" t="b">
        <f>COUNTIF(Estadísticas!I:I,'centraldecomunicacion.es'!H2296)&gt;0</f>
        <v>1</v>
      </c>
    </row>
    <row r="2297" spans="1:9">
      <c r="A2297" t="s">
        <v>8417</v>
      </c>
      <c r="B2297" t="s">
        <v>10</v>
      </c>
      <c r="C2297" t="s">
        <v>8418</v>
      </c>
      <c r="D2297" t="s">
        <v>4730</v>
      </c>
      <c r="E2297" t="s">
        <v>4730</v>
      </c>
      <c r="F2297" t="s">
        <v>28</v>
      </c>
      <c r="G2297" t="s">
        <v>8419</v>
      </c>
      <c r="H2297" t="s">
        <v>30</v>
      </c>
      <c r="I2297" t="b">
        <f>COUNTIF(Estadísticas!I:I,'centraldecomunicacion.es'!H2297)&gt;0</f>
        <v>0</v>
      </c>
    </row>
    <row r="2298" spans="1:9">
      <c r="A2298" t="s">
        <v>8420</v>
      </c>
      <c r="B2298" t="s">
        <v>10</v>
      </c>
      <c r="C2298" t="s">
        <v>8421</v>
      </c>
      <c r="D2298" t="s">
        <v>4730</v>
      </c>
      <c r="E2298" t="s">
        <v>4730</v>
      </c>
      <c r="F2298" t="s">
        <v>50</v>
      </c>
      <c r="G2298" t="s">
        <v>8422</v>
      </c>
      <c r="H2298" t="s">
        <v>30</v>
      </c>
      <c r="I2298" t="b">
        <f>COUNTIF(Estadísticas!I:I,'centraldecomunicacion.es'!H2298)&gt;0</f>
        <v>0</v>
      </c>
    </row>
    <row r="2299" spans="1:9">
      <c r="A2299" t="s">
        <v>8423</v>
      </c>
      <c r="B2299" t="s">
        <v>10</v>
      </c>
      <c r="C2299" t="s">
        <v>8424</v>
      </c>
      <c r="D2299" t="s">
        <v>4730</v>
      </c>
      <c r="E2299" t="s">
        <v>4730</v>
      </c>
      <c r="F2299" t="s">
        <v>8425</v>
      </c>
      <c r="G2299" t="s">
        <v>8426</v>
      </c>
      <c r="H2299" t="s">
        <v>8427</v>
      </c>
      <c r="I2299" t="b">
        <f>COUNTIF(Estadísticas!I:I,'centraldecomunicacion.es'!H2299)&gt;0</f>
        <v>1</v>
      </c>
    </row>
    <row r="2300" spans="1:9">
      <c r="A2300" t="s">
        <v>8428</v>
      </c>
      <c r="B2300" t="s">
        <v>10</v>
      </c>
      <c r="C2300" t="s">
        <v>8429</v>
      </c>
      <c r="D2300" t="s">
        <v>4730</v>
      </c>
      <c r="E2300" t="s">
        <v>4730</v>
      </c>
      <c r="F2300" t="s">
        <v>28</v>
      </c>
      <c r="G2300" t="s">
        <v>8430</v>
      </c>
      <c r="H2300" t="s">
        <v>30</v>
      </c>
      <c r="I2300" t="b">
        <f>COUNTIF(Estadísticas!I:I,'centraldecomunicacion.es'!H2300)&gt;0</f>
        <v>0</v>
      </c>
    </row>
    <row r="2301" spans="1:9">
      <c r="A2301" t="s">
        <v>8431</v>
      </c>
      <c r="B2301" t="s">
        <v>10</v>
      </c>
      <c r="C2301" t="s">
        <v>8432</v>
      </c>
      <c r="D2301" t="s">
        <v>4730</v>
      </c>
      <c r="E2301" t="s">
        <v>4730</v>
      </c>
      <c r="F2301" t="s">
        <v>28</v>
      </c>
      <c r="G2301" t="s">
        <v>8433</v>
      </c>
      <c r="H2301" t="s">
        <v>30</v>
      </c>
      <c r="I2301" t="b">
        <f>COUNTIF(Estadísticas!I:I,'centraldecomunicacion.es'!H2301)&gt;0</f>
        <v>0</v>
      </c>
    </row>
    <row r="2302" spans="1:9">
      <c r="A2302" t="s">
        <v>8434</v>
      </c>
      <c r="B2302" t="s">
        <v>10</v>
      </c>
      <c r="C2302" t="s">
        <v>8435</v>
      </c>
      <c r="D2302" t="s">
        <v>4730</v>
      </c>
      <c r="E2302" t="s">
        <v>4730</v>
      </c>
      <c r="F2302" t="s">
        <v>511</v>
      </c>
      <c r="G2302" t="s">
        <v>8436</v>
      </c>
      <c r="H2302" t="s">
        <v>30</v>
      </c>
      <c r="I2302" t="b">
        <f>COUNTIF(Estadísticas!I:I,'centraldecomunicacion.es'!H2302)&gt;0</f>
        <v>0</v>
      </c>
    </row>
    <row r="2303" spans="1:9">
      <c r="A2303" t="s">
        <v>8437</v>
      </c>
      <c r="B2303" t="s">
        <v>10</v>
      </c>
      <c r="C2303" t="s">
        <v>8438</v>
      </c>
      <c r="D2303" t="s">
        <v>8439</v>
      </c>
      <c r="E2303" t="s">
        <v>4730</v>
      </c>
      <c r="F2303" t="s">
        <v>8440</v>
      </c>
      <c r="G2303" t="s">
        <v>8441</v>
      </c>
      <c r="H2303" t="s">
        <v>8442</v>
      </c>
      <c r="I2303" t="b">
        <f>COUNTIF(Estadísticas!I:I,'centraldecomunicacion.es'!H2303)&gt;0</f>
        <v>1</v>
      </c>
    </row>
    <row r="2304" spans="1:9">
      <c r="A2304" t="s">
        <v>8443</v>
      </c>
      <c r="B2304" t="s">
        <v>219</v>
      </c>
      <c r="C2304" t="s">
        <v>8444</v>
      </c>
      <c r="D2304" t="s">
        <v>4730</v>
      </c>
      <c r="E2304" t="s">
        <v>4730</v>
      </c>
      <c r="F2304" t="s">
        <v>28</v>
      </c>
      <c r="G2304" t="s">
        <v>28</v>
      </c>
      <c r="H2304" t="s">
        <v>30</v>
      </c>
      <c r="I2304" t="b">
        <f>COUNTIF(Estadísticas!I:I,'centraldecomunicacion.es'!H2304)&gt;0</f>
        <v>0</v>
      </c>
    </row>
    <row r="2305" spans="1:9">
      <c r="A2305" t="s">
        <v>8445</v>
      </c>
      <c r="B2305" t="s">
        <v>10</v>
      </c>
      <c r="C2305" t="s">
        <v>8446</v>
      </c>
      <c r="D2305" t="s">
        <v>8447</v>
      </c>
      <c r="E2305" t="s">
        <v>4730</v>
      </c>
      <c r="F2305" t="s">
        <v>28</v>
      </c>
      <c r="G2305" t="s">
        <v>8448</v>
      </c>
      <c r="H2305" t="s">
        <v>30</v>
      </c>
      <c r="I2305" t="b">
        <f>COUNTIF(Estadísticas!I:I,'centraldecomunicacion.es'!H2305)&gt;0</f>
        <v>0</v>
      </c>
    </row>
    <row r="2306" spans="1:9">
      <c r="A2306" t="s">
        <v>8449</v>
      </c>
      <c r="B2306" t="s">
        <v>10</v>
      </c>
      <c r="C2306" t="s">
        <v>8450</v>
      </c>
      <c r="D2306" t="s">
        <v>7968</v>
      </c>
      <c r="E2306" t="s">
        <v>7968</v>
      </c>
      <c r="F2306" t="s">
        <v>8451</v>
      </c>
      <c r="G2306" t="s">
        <v>8452</v>
      </c>
      <c r="H2306" t="s">
        <v>30</v>
      </c>
      <c r="I2306" t="b">
        <f>COUNTIF(Estadísticas!I:I,'centraldecomunicacion.es'!H2306)&gt;0</f>
        <v>0</v>
      </c>
    </row>
    <row r="2307" spans="1:9">
      <c r="A2307" t="s">
        <v>8453</v>
      </c>
      <c r="B2307" t="s">
        <v>10</v>
      </c>
      <c r="C2307" t="s">
        <v>8454</v>
      </c>
      <c r="D2307" t="s">
        <v>8455</v>
      </c>
      <c r="E2307" t="s">
        <v>4730</v>
      </c>
      <c r="F2307" t="s">
        <v>28</v>
      </c>
      <c r="G2307" t="s">
        <v>8456</v>
      </c>
      <c r="H2307" t="s">
        <v>30</v>
      </c>
      <c r="I2307" t="b">
        <f>COUNTIF(Estadísticas!I:I,'centraldecomunicacion.es'!H2307)&gt;0</f>
        <v>0</v>
      </c>
    </row>
    <row r="2308" spans="1:9">
      <c r="A2308" t="s">
        <v>8457</v>
      </c>
      <c r="B2308" t="s">
        <v>10</v>
      </c>
      <c r="C2308" t="s">
        <v>8458</v>
      </c>
      <c r="D2308" t="s">
        <v>7968</v>
      </c>
      <c r="E2308" t="s">
        <v>7968</v>
      </c>
      <c r="F2308" t="s">
        <v>8459</v>
      </c>
      <c r="G2308" t="s">
        <v>8460</v>
      </c>
      <c r="H2308" t="s">
        <v>30</v>
      </c>
      <c r="I2308" t="b">
        <f>COUNTIF(Estadísticas!I:I,'centraldecomunicacion.es'!H2308)&gt;0</f>
        <v>0</v>
      </c>
    </row>
    <row r="2309" spans="1:9">
      <c r="A2309" t="s">
        <v>8461</v>
      </c>
      <c r="B2309" t="s">
        <v>10</v>
      </c>
      <c r="C2309" t="s">
        <v>8462</v>
      </c>
      <c r="D2309" t="s">
        <v>8463</v>
      </c>
      <c r="E2309" t="s">
        <v>4730</v>
      </c>
      <c r="F2309" t="s">
        <v>38</v>
      </c>
      <c r="G2309" t="s">
        <v>8464</v>
      </c>
      <c r="H2309" t="s">
        <v>30</v>
      </c>
      <c r="I2309" t="b">
        <f>COUNTIF(Estadísticas!I:I,'centraldecomunicacion.es'!H2309)&gt;0</f>
        <v>0</v>
      </c>
    </row>
    <row r="2310" spans="1:9">
      <c r="A2310" t="s">
        <v>8465</v>
      </c>
      <c r="B2310" t="s">
        <v>10</v>
      </c>
      <c r="C2310" t="s">
        <v>8466</v>
      </c>
      <c r="D2310" t="s">
        <v>4729</v>
      </c>
      <c r="E2310" t="s">
        <v>4730</v>
      </c>
      <c r="F2310" t="s">
        <v>28</v>
      </c>
      <c r="G2310" t="s">
        <v>8467</v>
      </c>
      <c r="H2310" t="s">
        <v>30</v>
      </c>
      <c r="I2310" t="b">
        <f>COUNTIF(Estadísticas!I:I,'centraldecomunicacion.es'!H2310)&gt;0</f>
        <v>0</v>
      </c>
    </row>
    <row r="2311" spans="1:9">
      <c r="A2311" t="s">
        <v>4447</v>
      </c>
      <c r="B2311" t="s">
        <v>10</v>
      </c>
      <c r="C2311" t="s">
        <v>8468</v>
      </c>
      <c r="D2311" t="s">
        <v>4729</v>
      </c>
      <c r="E2311" t="s">
        <v>4730</v>
      </c>
      <c r="F2311" t="s">
        <v>28</v>
      </c>
      <c r="G2311" t="s">
        <v>8469</v>
      </c>
      <c r="H2311" t="s">
        <v>30</v>
      </c>
      <c r="I2311" t="b">
        <f>COUNTIF(Estadísticas!I:I,'centraldecomunicacion.es'!H2311)&gt;0</f>
        <v>0</v>
      </c>
    </row>
    <row r="2312" spans="1:9">
      <c r="A2312" t="s">
        <v>8470</v>
      </c>
      <c r="B2312" t="s">
        <v>10</v>
      </c>
      <c r="C2312" t="s">
        <v>8471</v>
      </c>
      <c r="D2312" t="s">
        <v>7968</v>
      </c>
      <c r="E2312" t="s">
        <v>7968</v>
      </c>
      <c r="F2312" t="s">
        <v>87</v>
      </c>
      <c r="G2312" t="s">
        <v>8472</v>
      </c>
      <c r="H2312" t="s">
        <v>30</v>
      </c>
      <c r="I2312" t="b">
        <f>COUNTIF(Estadísticas!I:I,'centraldecomunicacion.es'!H2312)&gt;0</f>
        <v>0</v>
      </c>
    </row>
    <row r="2313" spans="1:9">
      <c r="A2313" t="s">
        <v>8473</v>
      </c>
      <c r="B2313" t="s">
        <v>10</v>
      </c>
      <c r="C2313" t="s">
        <v>8474</v>
      </c>
      <c r="D2313" t="s">
        <v>8475</v>
      </c>
      <c r="E2313" t="s">
        <v>7968</v>
      </c>
      <c r="F2313" t="s">
        <v>28</v>
      </c>
      <c r="G2313" t="s">
        <v>8476</v>
      </c>
      <c r="H2313" t="s">
        <v>30</v>
      </c>
      <c r="I2313" t="b">
        <f>COUNTIF(Estadísticas!I:I,'centraldecomunicacion.es'!H2313)&gt;0</f>
        <v>0</v>
      </c>
    </row>
    <row r="2314" spans="1:9">
      <c r="A2314" t="s">
        <v>8477</v>
      </c>
      <c r="B2314" t="s">
        <v>10</v>
      </c>
      <c r="C2314" t="s">
        <v>8478</v>
      </c>
      <c r="D2314" t="s">
        <v>7968</v>
      </c>
      <c r="E2314" t="s">
        <v>7968</v>
      </c>
      <c r="F2314" t="s">
        <v>50</v>
      </c>
      <c r="G2314" t="s">
        <v>8479</v>
      </c>
      <c r="H2314" t="s">
        <v>30</v>
      </c>
      <c r="I2314" t="b">
        <f>COUNTIF(Estadísticas!I:I,'centraldecomunicacion.es'!H2314)&gt;0</f>
        <v>0</v>
      </c>
    </row>
    <row r="2315" spans="1:9">
      <c r="A2315" t="s">
        <v>7760</v>
      </c>
      <c r="B2315" t="s">
        <v>10</v>
      </c>
      <c r="C2315" t="s">
        <v>8480</v>
      </c>
      <c r="D2315" t="s">
        <v>8481</v>
      </c>
      <c r="E2315" t="s">
        <v>4730</v>
      </c>
      <c r="F2315" t="s">
        <v>38</v>
      </c>
      <c r="G2315" t="s">
        <v>8482</v>
      </c>
      <c r="H2315" t="s">
        <v>30</v>
      </c>
      <c r="I2315" t="b">
        <f>COUNTIF(Estadísticas!I:I,'centraldecomunicacion.es'!H2315)&gt;0</f>
        <v>0</v>
      </c>
    </row>
    <row r="2316" spans="1:9">
      <c r="A2316" t="s">
        <v>8483</v>
      </c>
      <c r="B2316" t="s">
        <v>10</v>
      </c>
      <c r="C2316" t="s">
        <v>8484</v>
      </c>
      <c r="D2316" t="s">
        <v>7968</v>
      </c>
      <c r="E2316" t="s">
        <v>7968</v>
      </c>
      <c r="F2316" t="s">
        <v>8485</v>
      </c>
      <c r="G2316" t="s">
        <v>8486</v>
      </c>
      <c r="H2316" t="s">
        <v>30</v>
      </c>
      <c r="I2316" t="b">
        <f>COUNTIF(Estadísticas!I:I,'centraldecomunicacion.es'!H2316)&gt;0</f>
        <v>0</v>
      </c>
    </row>
    <row r="2317" spans="1:9">
      <c r="A2317" t="s">
        <v>8487</v>
      </c>
      <c r="B2317" t="s">
        <v>10</v>
      </c>
      <c r="C2317" t="s">
        <v>8488</v>
      </c>
      <c r="D2317" t="s">
        <v>7968</v>
      </c>
      <c r="E2317" t="s">
        <v>7184</v>
      </c>
      <c r="F2317" t="s">
        <v>8489</v>
      </c>
      <c r="G2317" t="s">
        <v>8490</v>
      </c>
      <c r="H2317" t="s">
        <v>30</v>
      </c>
      <c r="I2317" t="b">
        <f>COUNTIF(Estadísticas!I:I,'centraldecomunicacion.es'!H2317)&gt;0</f>
        <v>0</v>
      </c>
    </row>
    <row r="2318" spans="1:9">
      <c r="A2318" t="s">
        <v>8491</v>
      </c>
      <c r="B2318" t="s">
        <v>10</v>
      </c>
      <c r="C2318" t="s">
        <v>8492</v>
      </c>
      <c r="D2318" t="s">
        <v>4729</v>
      </c>
      <c r="E2318" t="s">
        <v>4730</v>
      </c>
      <c r="F2318" t="s">
        <v>28</v>
      </c>
      <c r="G2318" t="s">
        <v>8493</v>
      </c>
      <c r="H2318" t="s">
        <v>30</v>
      </c>
      <c r="I2318" t="b">
        <f>COUNTIF(Estadísticas!I:I,'centraldecomunicacion.es'!H2318)&gt;0</f>
        <v>0</v>
      </c>
    </row>
    <row r="2319" spans="1:9">
      <c r="A2319" t="s">
        <v>8494</v>
      </c>
      <c r="B2319" t="s">
        <v>10</v>
      </c>
      <c r="C2319" t="s">
        <v>8495</v>
      </c>
      <c r="D2319" t="s">
        <v>7968</v>
      </c>
      <c r="E2319" t="s">
        <v>7968</v>
      </c>
      <c r="F2319" t="s">
        <v>38</v>
      </c>
      <c r="G2319" t="s">
        <v>8496</v>
      </c>
      <c r="H2319" t="s">
        <v>30</v>
      </c>
      <c r="I2319" t="b">
        <f>COUNTIF(Estadísticas!I:I,'centraldecomunicacion.es'!H2319)&gt;0</f>
        <v>0</v>
      </c>
    </row>
    <row r="2320" spans="1:9">
      <c r="A2320" t="s">
        <v>8497</v>
      </c>
      <c r="B2320" t="s">
        <v>10</v>
      </c>
      <c r="C2320" t="s">
        <v>8498</v>
      </c>
      <c r="D2320" t="s">
        <v>7968</v>
      </c>
      <c r="E2320" t="s">
        <v>7968</v>
      </c>
      <c r="F2320" t="s">
        <v>8499</v>
      </c>
      <c r="G2320" t="s">
        <v>8500</v>
      </c>
      <c r="H2320" t="s">
        <v>30</v>
      </c>
      <c r="I2320" t="b">
        <f>COUNTIF(Estadísticas!I:I,'centraldecomunicacion.es'!H2320)&gt;0</f>
        <v>0</v>
      </c>
    </row>
    <row r="2321" spans="1:9">
      <c r="A2321" t="s">
        <v>8501</v>
      </c>
      <c r="B2321" t="s">
        <v>10</v>
      </c>
      <c r="C2321" t="s">
        <v>8502</v>
      </c>
      <c r="D2321" t="s">
        <v>8503</v>
      </c>
      <c r="E2321" t="s">
        <v>7968</v>
      </c>
      <c r="F2321" t="s">
        <v>8504</v>
      </c>
      <c r="G2321" t="s">
        <v>8505</v>
      </c>
      <c r="H2321" t="s">
        <v>8506</v>
      </c>
      <c r="I2321" t="b">
        <f>COUNTIF(Estadísticas!I:I,'centraldecomunicacion.es'!H2321)&gt;0</f>
        <v>0</v>
      </c>
    </row>
    <row r="2322" spans="1:9">
      <c r="A2322" t="s">
        <v>8507</v>
      </c>
      <c r="B2322" t="s">
        <v>10</v>
      </c>
      <c r="C2322" t="s">
        <v>8508</v>
      </c>
      <c r="D2322" t="s">
        <v>8057</v>
      </c>
      <c r="E2322" t="s">
        <v>8057</v>
      </c>
      <c r="F2322" t="s">
        <v>28</v>
      </c>
      <c r="G2322" t="s">
        <v>8509</v>
      </c>
      <c r="H2322" t="s">
        <v>30</v>
      </c>
      <c r="I2322" t="b">
        <f>COUNTIF(Estadísticas!I:I,'centraldecomunicacion.es'!H2322)&gt;0</f>
        <v>0</v>
      </c>
    </row>
    <row r="2323" spans="1:9">
      <c r="A2323" t="s">
        <v>8510</v>
      </c>
      <c r="B2323" t="s">
        <v>10</v>
      </c>
      <c r="C2323" t="s">
        <v>8511</v>
      </c>
      <c r="D2323" t="s">
        <v>7731</v>
      </c>
      <c r="E2323" t="s">
        <v>7731</v>
      </c>
      <c r="F2323" t="s">
        <v>8512</v>
      </c>
      <c r="G2323" t="s">
        <v>8513</v>
      </c>
      <c r="H2323" t="s">
        <v>691</v>
      </c>
      <c r="I2323" t="b">
        <f>COUNTIF(Estadísticas!I:I,'centraldecomunicacion.es'!H2323)&gt;0</f>
        <v>0</v>
      </c>
    </row>
    <row r="2324" spans="1:9">
      <c r="A2324" t="s">
        <v>8514</v>
      </c>
      <c r="B2324" t="s">
        <v>10</v>
      </c>
      <c r="C2324" t="s">
        <v>8515</v>
      </c>
      <c r="D2324" t="s">
        <v>7731</v>
      </c>
      <c r="E2324" t="s">
        <v>7731</v>
      </c>
      <c r="F2324" t="s">
        <v>8516</v>
      </c>
      <c r="G2324" t="s">
        <v>8517</v>
      </c>
      <c r="H2324" t="s">
        <v>8518</v>
      </c>
      <c r="I2324" t="b">
        <f>COUNTIF(Estadísticas!I:I,'centraldecomunicacion.es'!H2324)&gt;0</f>
        <v>1</v>
      </c>
    </row>
    <row r="2325" spans="1:9">
      <c r="A2325" t="s">
        <v>8519</v>
      </c>
      <c r="B2325" t="s">
        <v>10</v>
      </c>
      <c r="C2325" t="s">
        <v>8520</v>
      </c>
      <c r="D2325" t="s">
        <v>7731</v>
      </c>
      <c r="E2325" t="s">
        <v>7731</v>
      </c>
      <c r="F2325" t="s">
        <v>8521</v>
      </c>
      <c r="G2325" t="s">
        <v>8522</v>
      </c>
      <c r="H2325" t="s">
        <v>30</v>
      </c>
      <c r="I2325" t="b">
        <f>COUNTIF(Estadísticas!I:I,'centraldecomunicacion.es'!H2325)&gt;0</f>
        <v>0</v>
      </c>
    </row>
    <row r="2326" spans="1:9">
      <c r="A2326" t="s">
        <v>4587</v>
      </c>
      <c r="B2326" t="s">
        <v>10</v>
      </c>
      <c r="C2326" t="s">
        <v>8523</v>
      </c>
      <c r="D2326" t="s">
        <v>7731</v>
      </c>
      <c r="E2326" t="s">
        <v>7731</v>
      </c>
      <c r="F2326" t="s">
        <v>7732</v>
      </c>
      <c r="G2326" t="s">
        <v>8524</v>
      </c>
      <c r="H2326" t="s">
        <v>7734</v>
      </c>
      <c r="I2326" t="b">
        <f>COUNTIF(Estadísticas!I:I,'centraldecomunicacion.es'!H2326)&gt;0</f>
        <v>1</v>
      </c>
    </row>
    <row r="2327" spans="1:9">
      <c r="A2327" t="s">
        <v>8525</v>
      </c>
      <c r="B2327" t="s">
        <v>10</v>
      </c>
      <c r="C2327" t="s">
        <v>8526</v>
      </c>
      <c r="D2327" t="s">
        <v>7731</v>
      </c>
      <c r="E2327" t="s">
        <v>7731</v>
      </c>
      <c r="F2327" t="s">
        <v>8527</v>
      </c>
      <c r="G2327" t="s">
        <v>8528</v>
      </c>
      <c r="H2327" t="s">
        <v>30</v>
      </c>
      <c r="I2327" t="b">
        <f>COUNTIF(Estadísticas!I:I,'centraldecomunicacion.es'!H2327)&gt;0</f>
        <v>0</v>
      </c>
    </row>
    <row r="2328" spans="1:9">
      <c r="A2328" t="s">
        <v>8529</v>
      </c>
      <c r="B2328" t="s">
        <v>10</v>
      </c>
      <c r="C2328" t="s">
        <v>8530</v>
      </c>
      <c r="D2328" t="s">
        <v>7731</v>
      </c>
      <c r="E2328" t="s">
        <v>7731</v>
      </c>
      <c r="F2328" t="s">
        <v>8531</v>
      </c>
      <c r="G2328" t="s">
        <v>8532</v>
      </c>
      <c r="H2328" t="s">
        <v>8533</v>
      </c>
      <c r="I2328" t="b">
        <f>COUNTIF(Estadísticas!I:I,'centraldecomunicacion.es'!H2328)&gt;0</f>
        <v>0</v>
      </c>
    </row>
    <row r="2329" spans="1:9">
      <c r="A2329" t="s">
        <v>8534</v>
      </c>
      <c r="B2329" t="s">
        <v>10</v>
      </c>
      <c r="C2329" t="s">
        <v>8535</v>
      </c>
      <c r="D2329" t="s">
        <v>7731</v>
      </c>
      <c r="E2329" t="s">
        <v>7731</v>
      </c>
      <c r="F2329" t="s">
        <v>8531</v>
      </c>
      <c r="G2329" t="s">
        <v>8536</v>
      </c>
      <c r="H2329" t="s">
        <v>8533</v>
      </c>
      <c r="I2329" t="b">
        <f>COUNTIF(Estadísticas!I:I,'centraldecomunicacion.es'!H2329)&gt;0</f>
        <v>0</v>
      </c>
    </row>
    <row r="2330" spans="1:9">
      <c r="A2330" t="s">
        <v>8534</v>
      </c>
      <c r="B2330" t="s">
        <v>10</v>
      </c>
      <c r="C2330" t="s">
        <v>8537</v>
      </c>
      <c r="D2330" t="s">
        <v>7731</v>
      </c>
      <c r="E2330" t="s">
        <v>7731</v>
      </c>
      <c r="F2330" t="s">
        <v>8531</v>
      </c>
      <c r="G2330" t="s">
        <v>8538</v>
      </c>
      <c r="H2330" t="s">
        <v>8533</v>
      </c>
      <c r="I2330" t="b">
        <f>COUNTIF(Estadísticas!I:I,'centraldecomunicacion.es'!H2330)&gt;0</f>
        <v>0</v>
      </c>
    </row>
    <row r="2331" spans="1:9">
      <c r="A2331" t="s">
        <v>8539</v>
      </c>
      <c r="B2331" t="s">
        <v>10</v>
      </c>
      <c r="C2331" t="s">
        <v>8540</v>
      </c>
      <c r="D2331" t="s">
        <v>7731</v>
      </c>
      <c r="E2331" t="s">
        <v>7731</v>
      </c>
      <c r="F2331" t="s">
        <v>8541</v>
      </c>
      <c r="G2331" t="s">
        <v>8542</v>
      </c>
      <c r="H2331" t="s">
        <v>30</v>
      </c>
      <c r="I2331" t="b">
        <f>COUNTIF(Estadísticas!I:I,'centraldecomunicacion.es'!H2331)&gt;0</f>
        <v>0</v>
      </c>
    </row>
    <row r="2332" spans="1:9">
      <c r="A2332" t="s">
        <v>8543</v>
      </c>
      <c r="B2332" t="s">
        <v>10</v>
      </c>
      <c r="C2332" t="s">
        <v>8544</v>
      </c>
      <c r="D2332" t="s">
        <v>7731</v>
      </c>
      <c r="E2332" t="s">
        <v>7731</v>
      </c>
      <c r="F2332" t="s">
        <v>8545</v>
      </c>
      <c r="G2332" t="s">
        <v>8546</v>
      </c>
      <c r="H2332" t="s">
        <v>8547</v>
      </c>
      <c r="I2332" t="b">
        <f>COUNTIF(Estadísticas!I:I,'centraldecomunicacion.es'!H2332)&gt;0</f>
        <v>0</v>
      </c>
    </row>
    <row r="2333" spans="1:9">
      <c r="A2333" t="s">
        <v>8548</v>
      </c>
      <c r="B2333" t="s">
        <v>10</v>
      </c>
      <c r="C2333" t="s">
        <v>8549</v>
      </c>
      <c r="D2333" t="s">
        <v>7731</v>
      </c>
      <c r="E2333" t="s">
        <v>7731</v>
      </c>
      <c r="F2333" t="s">
        <v>8521</v>
      </c>
      <c r="G2333" t="s">
        <v>8550</v>
      </c>
      <c r="H2333" t="s">
        <v>30</v>
      </c>
      <c r="I2333" t="b">
        <f>COUNTIF(Estadísticas!I:I,'centraldecomunicacion.es'!H2333)&gt;0</f>
        <v>0</v>
      </c>
    </row>
    <row r="2334" spans="1:9">
      <c r="A2334" t="s">
        <v>5112</v>
      </c>
      <c r="B2334" t="s">
        <v>10</v>
      </c>
      <c r="C2334" t="s">
        <v>8551</v>
      </c>
      <c r="D2334" t="s">
        <v>7731</v>
      </c>
      <c r="E2334" t="s">
        <v>7731</v>
      </c>
      <c r="F2334" t="s">
        <v>8552</v>
      </c>
      <c r="G2334" t="s">
        <v>8553</v>
      </c>
      <c r="H2334" t="s">
        <v>8554</v>
      </c>
      <c r="I2334" t="b">
        <f>COUNTIF(Estadísticas!I:I,'centraldecomunicacion.es'!H2334)&gt;0</f>
        <v>1</v>
      </c>
    </row>
    <row r="2335" spans="1:9">
      <c r="A2335" t="s">
        <v>8555</v>
      </c>
      <c r="B2335" t="s">
        <v>10</v>
      </c>
      <c r="C2335" t="s">
        <v>8556</v>
      </c>
      <c r="D2335" t="s">
        <v>7731</v>
      </c>
      <c r="E2335" t="s">
        <v>7731</v>
      </c>
      <c r="F2335" t="s">
        <v>8557</v>
      </c>
      <c r="G2335" t="s">
        <v>8558</v>
      </c>
      <c r="H2335" t="s">
        <v>8559</v>
      </c>
      <c r="I2335" t="b">
        <f>COUNTIF(Estadísticas!I:I,'centraldecomunicacion.es'!H2335)&gt;0</f>
        <v>0</v>
      </c>
    </row>
    <row r="2336" spans="1:9">
      <c r="A2336" t="s">
        <v>8560</v>
      </c>
      <c r="B2336" t="s">
        <v>10</v>
      </c>
      <c r="C2336" t="s">
        <v>8561</v>
      </c>
      <c r="D2336" t="s">
        <v>7731</v>
      </c>
      <c r="E2336" t="s">
        <v>7731</v>
      </c>
      <c r="F2336" t="s">
        <v>8562</v>
      </c>
      <c r="G2336" t="s">
        <v>8563</v>
      </c>
      <c r="H2336" t="s">
        <v>8564</v>
      </c>
      <c r="I2336" t="b">
        <f>COUNTIF(Estadísticas!I:I,'centraldecomunicacion.es'!H2336)&gt;0</f>
        <v>1</v>
      </c>
    </row>
    <row r="2337" spans="1:9">
      <c r="A2337" t="s">
        <v>8565</v>
      </c>
      <c r="B2337" t="s">
        <v>10</v>
      </c>
      <c r="C2337" t="s">
        <v>8566</v>
      </c>
      <c r="D2337" t="s">
        <v>7731</v>
      </c>
      <c r="E2337" t="s">
        <v>7731</v>
      </c>
      <c r="F2337" t="s">
        <v>8567</v>
      </c>
      <c r="G2337" t="s">
        <v>8568</v>
      </c>
      <c r="H2337" t="s">
        <v>30</v>
      </c>
      <c r="I2337" t="b">
        <f>COUNTIF(Estadísticas!I:I,'centraldecomunicacion.es'!H2337)&gt;0</f>
        <v>0</v>
      </c>
    </row>
    <row r="2338" spans="1:9">
      <c r="A2338" t="s">
        <v>8569</v>
      </c>
      <c r="B2338" t="s">
        <v>10</v>
      </c>
      <c r="C2338" t="s">
        <v>8570</v>
      </c>
      <c r="D2338" t="s">
        <v>7731</v>
      </c>
      <c r="E2338" t="s">
        <v>7731</v>
      </c>
      <c r="F2338" t="s">
        <v>8545</v>
      </c>
      <c r="G2338" t="s">
        <v>8571</v>
      </c>
      <c r="H2338" t="s">
        <v>8547</v>
      </c>
      <c r="I2338" t="b">
        <f>COUNTIF(Estadísticas!I:I,'centraldecomunicacion.es'!H2338)&gt;0</f>
        <v>0</v>
      </c>
    </row>
    <row r="2339" spans="1:9">
      <c r="A2339" t="s">
        <v>8572</v>
      </c>
      <c r="B2339" t="s">
        <v>10</v>
      </c>
      <c r="C2339" t="s">
        <v>8573</v>
      </c>
      <c r="D2339" t="s">
        <v>7731</v>
      </c>
      <c r="E2339" t="s">
        <v>7731</v>
      </c>
      <c r="F2339" t="s">
        <v>8574</v>
      </c>
      <c r="G2339" t="s">
        <v>8575</v>
      </c>
      <c r="H2339" t="s">
        <v>8576</v>
      </c>
      <c r="I2339" t="b">
        <f>COUNTIF(Estadísticas!I:I,'centraldecomunicacion.es'!H2339)&gt;0</f>
        <v>1</v>
      </c>
    </row>
    <row r="2340" spans="1:9">
      <c r="A2340" t="s">
        <v>8577</v>
      </c>
      <c r="B2340" t="s">
        <v>10</v>
      </c>
      <c r="C2340" t="s">
        <v>8578</v>
      </c>
      <c r="D2340" t="s">
        <v>7731</v>
      </c>
      <c r="E2340" t="s">
        <v>7731</v>
      </c>
      <c r="F2340" t="s">
        <v>8579</v>
      </c>
      <c r="G2340" t="s">
        <v>8580</v>
      </c>
      <c r="H2340" t="s">
        <v>8581</v>
      </c>
      <c r="I2340" t="b">
        <f>COUNTIF(Estadísticas!I:I,'centraldecomunicacion.es'!H2340)&gt;0</f>
        <v>0</v>
      </c>
    </row>
    <row r="2341" spans="1:9">
      <c r="A2341" t="s">
        <v>8582</v>
      </c>
      <c r="B2341" t="s">
        <v>10</v>
      </c>
      <c r="C2341" t="s">
        <v>8583</v>
      </c>
      <c r="D2341" t="s">
        <v>7731</v>
      </c>
      <c r="E2341" t="s">
        <v>7731</v>
      </c>
      <c r="F2341" t="s">
        <v>8584</v>
      </c>
      <c r="G2341" t="s">
        <v>8585</v>
      </c>
      <c r="H2341" t="s">
        <v>30</v>
      </c>
      <c r="I2341" t="b">
        <f>COUNTIF(Estadísticas!I:I,'centraldecomunicacion.es'!H2341)&gt;0</f>
        <v>0</v>
      </c>
    </row>
    <row r="2342" spans="1:9">
      <c r="A2342" t="s">
        <v>8586</v>
      </c>
      <c r="B2342" t="s">
        <v>10</v>
      </c>
      <c r="C2342" t="s">
        <v>8587</v>
      </c>
      <c r="D2342" t="s">
        <v>7731</v>
      </c>
      <c r="E2342" t="s">
        <v>7731</v>
      </c>
      <c r="F2342" t="s">
        <v>8588</v>
      </c>
      <c r="G2342" t="s">
        <v>28</v>
      </c>
      <c r="H2342" t="s">
        <v>30</v>
      </c>
      <c r="I2342" t="b">
        <f>COUNTIF(Estadísticas!I:I,'centraldecomunicacion.es'!H2342)&gt;0</f>
        <v>0</v>
      </c>
    </row>
    <row r="2343" spans="1:9">
      <c r="A2343" t="s">
        <v>8589</v>
      </c>
      <c r="B2343" t="s">
        <v>10</v>
      </c>
      <c r="C2343" t="s">
        <v>8590</v>
      </c>
      <c r="D2343" t="s">
        <v>7731</v>
      </c>
      <c r="E2343" t="s">
        <v>7731</v>
      </c>
      <c r="F2343" t="s">
        <v>28</v>
      </c>
      <c r="G2343" t="s">
        <v>8591</v>
      </c>
      <c r="H2343" t="s">
        <v>30</v>
      </c>
      <c r="I2343" t="b">
        <f>COUNTIF(Estadísticas!I:I,'centraldecomunicacion.es'!H2343)&gt;0</f>
        <v>0</v>
      </c>
    </row>
    <row r="2344" spans="1:9">
      <c r="A2344" t="s">
        <v>8592</v>
      </c>
      <c r="B2344" t="s">
        <v>10</v>
      </c>
      <c r="C2344" t="s">
        <v>8593</v>
      </c>
      <c r="D2344" t="s">
        <v>7731</v>
      </c>
      <c r="E2344" t="s">
        <v>7731</v>
      </c>
      <c r="F2344" t="s">
        <v>7702</v>
      </c>
      <c r="G2344" t="s">
        <v>7703</v>
      </c>
      <c r="H2344" t="s">
        <v>691</v>
      </c>
      <c r="I2344" t="b">
        <f>COUNTIF(Estadísticas!I:I,'centraldecomunicacion.es'!H2344)&gt;0</f>
        <v>0</v>
      </c>
    </row>
    <row r="2345" spans="1:9">
      <c r="A2345" t="s">
        <v>8594</v>
      </c>
      <c r="B2345" t="s">
        <v>10</v>
      </c>
      <c r="C2345" t="s">
        <v>8595</v>
      </c>
      <c r="D2345" t="s">
        <v>7731</v>
      </c>
      <c r="E2345" t="s">
        <v>7731</v>
      </c>
      <c r="F2345" t="s">
        <v>7702</v>
      </c>
      <c r="G2345" t="s">
        <v>7703</v>
      </c>
      <c r="H2345" t="s">
        <v>691</v>
      </c>
      <c r="I2345" t="b">
        <f>COUNTIF(Estadísticas!I:I,'centraldecomunicacion.es'!H2345)&gt;0</f>
        <v>0</v>
      </c>
    </row>
    <row r="2346" spans="1:9">
      <c r="A2346" t="s">
        <v>8596</v>
      </c>
      <c r="B2346" t="s">
        <v>10</v>
      </c>
      <c r="C2346" t="s">
        <v>8597</v>
      </c>
      <c r="D2346" t="s">
        <v>7731</v>
      </c>
      <c r="E2346" t="s">
        <v>7731</v>
      </c>
      <c r="F2346" t="s">
        <v>28</v>
      </c>
      <c r="G2346" t="s">
        <v>8598</v>
      </c>
      <c r="H2346" t="s">
        <v>30</v>
      </c>
      <c r="I2346" t="b">
        <f>COUNTIF(Estadísticas!I:I,'centraldecomunicacion.es'!H2346)&gt;0</f>
        <v>0</v>
      </c>
    </row>
    <row r="2347" spans="1:9">
      <c r="A2347" t="s">
        <v>8599</v>
      </c>
      <c r="B2347" t="s">
        <v>10</v>
      </c>
      <c r="C2347" t="s">
        <v>8600</v>
      </c>
      <c r="D2347" t="s">
        <v>7731</v>
      </c>
      <c r="E2347" t="s">
        <v>7731</v>
      </c>
      <c r="F2347" t="s">
        <v>28</v>
      </c>
      <c r="G2347" t="s">
        <v>8601</v>
      </c>
      <c r="H2347" t="s">
        <v>30</v>
      </c>
      <c r="I2347" t="b">
        <f>COUNTIF(Estadísticas!I:I,'centraldecomunicacion.es'!H2347)&gt;0</f>
        <v>0</v>
      </c>
    </row>
    <row r="2348" spans="1:9">
      <c r="A2348" t="s">
        <v>8602</v>
      </c>
      <c r="B2348" t="s">
        <v>10</v>
      </c>
      <c r="C2348" t="s">
        <v>8603</v>
      </c>
      <c r="D2348" t="s">
        <v>7731</v>
      </c>
      <c r="E2348" t="s">
        <v>7731</v>
      </c>
      <c r="F2348" t="s">
        <v>28</v>
      </c>
      <c r="G2348" t="s">
        <v>8604</v>
      </c>
      <c r="H2348" t="s">
        <v>30</v>
      </c>
      <c r="I2348" t="b">
        <f>COUNTIF(Estadísticas!I:I,'centraldecomunicacion.es'!H2348)&gt;0</f>
        <v>0</v>
      </c>
    </row>
    <row r="2349" spans="1:9">
      <c r="A2349" t="s">
        <v>10</v>
      </c>
      <c r="B2349" t="s">
        <v>10</v>
      </c>
      <c r="C2349" t="s">
        <v>8605</v>
      </c>
      <c r="D2349" t="s">
        <v>7731</v>
      </c>
      <c r="E2349" t="s">
        <v>7731</v>
      </c>
      <c r="F2349" t="s">
        <v>28</v>
      </c>
      <c r="G2349" t="s">
        <v>28</v>
      </c>
      <c r="H2349" t="s">
        <v>30</v>
      </c>
      <c r="I2349" t="b">
        <f>COUNTIF(Estadísticas!I:I,'centraldecomunicacion.es'!H2349)&gt;0</f>
        <v>0</v>
      </c>
    </row>
    <row r="2350" spans="1:9">
      <c r="A2350" t="s">
        <v>8606</v>
      </c>
      <c r="B2350" t="s">
        <v>10</v>
      </c>
      <c r="C2350" t="s">
        <v>8607</v>
      </c>
      <c r="D2350" t="s">
        <v>8608</v>
      </c>
      <c r="E2350" t="s">
        <v>7731</v>
      </c>
      <c r="F2350" t="s">
        <v>8609</v>
      </c>
      <c r="G2350" t="s">
        <v>8610</v>
      </c>
      <c r="H2350" t="s">
        <v>8611</v>
      </c>
      <c r="I2350" t="b">
        <f>COUNTIF(Estadísticas!I:I,'centraldecomunicacion.es'!H2350)&gt;0</f>
        <v>0</v>
      </c>
    </row>
    <row r="2351" spans="1:9">
      <c r="A2351" t="s">
        <v>8612</v>
      </c>
      <c r="B2351" t="s">
        <v>10</v>
      </c>
      <c r="C2351" t="s">
        <v>8613</v>
      </c>
      <c r="D2351" t="s">
        <v>7731</v>
      </c>
      <c r="E2351" t="s">
        <v>7731</v>
      </c>
      <c r="F2351" t="s">
        <v>28</v>
      </c>
      <c r="G2351" t="s">
        <v>8614</v>
      </c>
      <c r="H2351" t="s">
        <v>30</v>
      </c>
      <c r="I2351" t="b">
        <f>COUNTIF(Estadísticas!I:I,'centraldecomunicacion.es'!H2351)&gt;0</f>
        <v>0</v>
      </c>
    </row>
    <row r="2352" spans="1:9">
      <c r="A2352" t="s">
        <v>8615</v>
      </c>
      <c r="B2352" t="s">
        <v>10</v>
      </c>
      <c r="C2352" t="s">
        <v>8616</v>
      </c>
      <c r="D2352" t="s">
        <v>8608</v>
      </c>
      <c r="E2352" t="s">
        <v>7731</v>
      </c>
      <c r="F2352" t="s">
        <v>28</v>
      </c>
      <c r="G2352" t="s">
        <v>8617</v>
      </c>
      <c r="H2352" t="s">
        <v>30</v>
      </c>
      <c r="I2352" t="b">
        <f>COUNTIF(Estadísticas!I:I,'centraldecomunicacion.es'!H2352)&gt;0</f>
        <v>0</v>
      </c>
    </row>
    <row r="2353" spans="1:9">
      <c r="A2353" t="s">
        <v>8618</v>
      </c>
      <c r="B2353" t="s">
        <v>10</v>
      </c>
      <c r="C2353" t="s">
        <v>8619</v>
      </c>
      <c r="D2353" t="s">
        <v>8620</v>
      </c>
      <c r="E2353" t="s">
        <v>7731</v>
      </c>
      <c r="F2353" t="s">
        <v>28</v>
      </c>
      <c r="G2353" t="s">
        <v>8621</v>
      </c>
      <c r="H2353" t="s">
        <v>30</v>
      </c>
      <c r="I2353" t="b">
        <f>COUNTIF(Estadísticas!I:I,'centraldecomunicacion.es'!H2353)&gt;0</f>
        <v>0</v>
      </c>
    </row>
    <row r="2354" spans="1:9">
      <c r="A2354" t="s">
        <v>8622</v>
      </c>
      <c r="B2354" t="s">
        <v>10</v>
      </c>
      <c r="C2354" t="s">
        <v>8623</v>
      </c>
      <c r="D2354" t="s">
        <v>8608</v>
      </c>
      <c r="E2354" t="s">
        <v>7731</v>
      </c>
      <c r="F2354" t="s">
        <v>8624</v>
      </c>
      <c r="G2354" t="s">
        <v>8625</v>
      </c>
      <c r="H2354" t="s">
        <v>30</v>
      </c>
      <c r="I2354" t="b">
        <f>COUNTIF(Estadísticas!I:I,'centraldecomunicacion.es'!H2354)&gt;0</f>
        <v>0</v>
      </c>
    </row>
    <row r="2355" spans="1:9">
      <c r="A2355" t="s">
        <v>8626</v>
      </c>
      <c r="B2355" t="s">
        <v>10</v>
      </c>
      <c r="C2355" t="s">
        <v>8627</v>
      </c>
      <c r="D2355" t="s">
        <v>7731</v>
      </c>
      <c r="E2355" t="s">
        <v>7731</v>
      </c>
      <c r="F2355" t="s">
        <v>511</v>
      </c>
      <c r="G2355" t="s">
        <v>8628</v>
      </c>
      <c r="H2355" t="s">
        <v>513</v>
      </c>
      <c r="I2355" t="b">
        <f>COUNTIF(Estadísticas!I:I,'centraldecomunicacion.es'!H2355)&gt;0</f>
        <v>1</v>
      </c>
    </row>
    <row r="2356" spans="1:9">
      <c r="A2356" t="s">
        <v>8629</v>
      </c>
      <c r="B2356" t="s">
        <v>10</v>
      </c>
      <c r="C2356" t="s">
        <v>8630</v>
      </c>
      <c r="D2356" t="s">
        <v>7731</v>
      </c>
      <c r="E2356" t="s">
        <v>7731</v>
      </c>
      <c r="F2356" t="s">
        <v>28</v>
      </c>
      <c r="G2356" t="s">
        <v>28</v>
      </c>
      <c r="H2356" t="s">
        <v>30</v>
      </c>
      <c r="I2356" t="b">
        <f>COUNTIF(Estadísticas!I:I,'centraldecomunicacion.es'!H2356)&gt;0</f>
        <v>0</v>
      </c>
    </row>
    <row r="2357" spans="1:9">
      <c r="A2357" t="s">
        <v>8631</v>
      </c>
      <c r="B2357" t="s">
        <v>10</v>
      </c>
      <c r="C2357" t="s">
        <v>8632</v>
      </c>
      <c r="D2357" t="s">
        <v>8633</v>
      </c>
      <c r="E2357" t="s">
        <v>7731</v>
      </c>
      <c r="F2357" t="s">
        <v>8634</v>
      </c>
      <c r="G2357" t="s">
        <v>8635</v>
      </c>
      <c r="H2357" t="s">
        <v>8636</v>
      </c>
      <c r="I2357" t="b">
        <f>COUNTIF(Estadísticas!I:I,'centraldecomunicacion.es'!H2357)&gt;0</f>
        <v>0</v>
      </c>
    </row>
    <row r="2358" spans="1:9">
      <c r="A2358" t="s">
        <v>8637</v>
      </c>
      <c r="B2358" t="s">
        <v>10</v>
      </c>
      <c r="C2358" t="s">
        <v>8638</v>
      </c>
      <c r="D2358" t="s">
        <v>8639</v>
      </c>
      <c r="E2358" t="s">
        <v>7731</v>
      </c>
      <c r="F2358" t="s">
        <v>8640</v>
      </c>
      <c r="G2358" t="s">
        <v>8641</v>
      </c>
      <c r="H2358" t="s">
        <v>8642</v>
      </c>
      <c r="I2358" t="b">
        <f>COUNTIF(Estadísticas!I:I,'centraldecomunicacion.es'!H2358)&gt;0</f>
        <v>1</v>
      </c>
    </row>
    <row r="2359" spans="1:9">
      <c r="A2359" t="s">
        <v>8643</v>
      </c>
      <c r="B2359" t="s">
        <v>10</v>
      </c>
      <c r="C2359" t="s">
        <v>8644</v>
      </c>
      <c r="D2359" t="s">
        <v>7775</v>
      </c>
      <c r="E2359" t="s">
        <v>7731</v>
      </c>
      <c r="F2359" t="s">
        <v>7702</v>
      </c>
      <c r="G2359" t="s">
        <v>7703</v>
      </c>
      <c r="H2359" t="s">
        <v>691</v>
      </c>
      <c r="I2359" t="b">
        <f>COUNTIF(Estadísticas!I:I,'centraldecomunicacion.es'!H2359)&gt;0</f>
        <v>0</v>
      </c>
    </row>
    <row r="2360" spans="1:9">
      <c r="A2360" t="s">
        <v>8645</v>
      </c>
      <c r="B2360" t="s">
        <v>10</v>
      </c>
      <c r="C2360" t="s">
        <v>8646</v>
      </c>
      <c r="D2360" t="s">
        <v>8639</v>
      </c>
      <c r="E2360" t="s">
        <v>7731</v>
      </c>
      <c r="F2360" t="s">
        <v>28</v>
      </c>
      <c r="G2360" t="s">
        <v>8647</v>
      </c>
      <c r="H2360" t="s">
        <v>30</v>
      </c>
      <c r="I2360" t="b">
        <f>COUNTIF(Estadísticas!I:I,'centraldecomunicacion.es'!H2360)&gt;0</f>
        <v>0</v>
      </c>
    </row>
    <row r="2361" spans="1:9">
      <c r="A2361" t="s">
        <v>8648</v>
      </c>
      <c r="B2361" t="s">
        <v>10</v>
      </c>
      <c r="C2361" t="s">
        <v>8649</v>
      </c>
      <c r="D2361" t="s">
        <v>8633</v>
      </c>
      <c r="E2361" t="s">
        <v>7731</v>
      </c>
      <c r="F2361" t="s">
        <v>28</v>
      </c>
      <c r="G2361" t="s">
        <v>8650</v>
      </c>
      <c r="H2361" t="s">
        <v>30</v>
      </c>
      <c r="I2361" t="b">
        <f>COUNTIF(Estadísticas!I:I,'centraldecomunicacion.es'!H2361)&gt;0</f>
        <v>0</v>
      </c>
    </row>
    <row r="2362" spans="1:9">
      <c r="A2362" t="s">
        <v>8651</v>
      </c>
      <c r="B2362" t="s">
        <v>10</v>
      </c>
      <c r="C2362" t="s">
        <v>8652</v>
      </c>
      <c r="D2362" t="s">
        <v>7730</v>
      </c>
      <c r="E2362" t="s">
        <v>7731</v>
      </c>
      <c r="F2362" t="s">
        <v>28</v>
      </c>
      <c r="G2362" t="s">
        <v>8653</v>
      </c>
      <c r="H2362" t="s">
        <v>30</v>
      </c>
      <c r="I2362" t="b">
        <f>COUNTIF(Estadísticas!I:I,'centraldecomunicacion.es'!H2362)&gt;0</f>
        <v>0</v>
      </c>
    </row>
    <row r="2363" spans="1:9">
      <c r="A2363" t="s">
        <v>1050</v>
      </c>
      <c r="B2363" t="s">
        <v>10</v>
      </c>
      <c r="C2363" t="s">
        <v>8654</v>
      </c>
      <c r="D2363" t="s">
        <v>7763</v>
      </c>
      <c r="E2363" t="s">
        <v>7763</v>
      </c>
      <c r="F2363" t="s">
        <v>28</v>
      </c>
      <c r="G2363" t="s">
        <v>8655</v>
      </c>
      <c r="H2363" t="s">
        <v>30</v>
      </c>
      <c r="I2363" t="b">
        <f>COUNTIF(Estadísticas!I:I,'centraldecomunicacion.es'!H2363)&gt;0</f>
        <v>0</v>
      </c>
    </row>
    <row r="2364" spans="1:9">
      <c r="A2364" t="s">
        <v>8656</v>
      </c>
      <c r="B2364" t="s">
        <v>10</v>
      </c>
      <c r="C2364" t="s">
        <v>8657</v>
      </c>
      <c r="D2364" t="s">
        <v>8658</v>
      </c>
      <c r="E2364" t="s">
        <v>7731</v>
      </c>
      <c r="F2364" t="s">
        <v>28</v>
      </c>
      <c r="G2364" t="s">
        <v>8659</v>
      </c>
      <c r="H2364" t="s">
        <v>30</v>
      </c>
      <c r="I2364" t="b">
        <f>COUNTIF(Estadísticas!I:I,'centraldecomunicacion.es'!H2364)&gt;0</f>
        <v>0</v>
      </c>
    </row>
    <row r="2365" spans="1:9">
      <c r="A2365" t="s">
        <v>6389</v>
      </c>
      <c r="B2365" t="s">
        <v>10</v>
      </c>
      <c r="C2365" t="s">
        <v>8660</v>
      </c>
      <c r="D2365" t="s">
        <v>8661</v>
      </c>
      <c r="E2365" t="s">
        <v>7731</v>
      </c>
      <c r="F2365" t="s">
        <v>8662</v>
      </c>
      <c r="G2365" t="s">
        <v>8663</v>
      </c>
      <c r="H2365" t="s">
        <v>30</v>
      </c>
      <c r="I2365" t="b">
        <f>COUNTIF(Estadísticas!I:I,'centraldecomunicacion.es'!H2365)&gt;0</f>
        <v>0</v>
      </c>
    </row>
    <row r="2366" spans="1:9">
      <c r="A2366" t="s">
        <v>8664</v>
      </c>
      <c r="B2366" t="s">
        <v>10</v>
      </c>
      <c r="C2366" t="s">
        <v>8665</v>
      </c>
      <c r="D2366" t="s">
        <v>8661</v>
      </c>
      <c r="E2366" t="s">
        <v>7731</v>
      </c>
      <c r="F2366" t="s">
        <v>8666</v>
      </c>
      <c r="G2366" t="s">
        <v>8667</v>
      </c>
      <c r="H2366" t="s">
        <v>8668</v>
      </c>
      <c r="I2366" t="b">
        <f>COUNTIF(Estadísticas!I:I,'centraldecomunicacion.es'!H2366)&gt;0</f>
        <v>1</v>
      </c>
    </row>
    <row r="2367" spans="1:9">
      <c r="A2367" t="s">
        <v>8669</v>
      </c>
      <c r="B2367" t="s">
        <v>10</v>
      </c>
      <c r="C2367" t="s">
        <v>8670</v>
      </c>
      <c r="D2367" t="s">
        <v>8671</v>
      </c>
      <c r="E2367" t="s">
        <v>7731</v>
      </c>
      <c r="F2367" t="s">
        <v>28</v>
      </c>
      <c r="G2367" t="s">
        <v>8672</v>
      </c>
      <c r="H2367" t="s">
        <v>30</v>
      </c>
      <c r="I2367" t="b">
        <f>COUNTIF(Estadísticas!I:I,'centraldecomunicacion.es'!H2367)&gt;0</f>
        <v>0</v>
      </c>
    </row>
    <row r="2368" spans="1:9">
      <c r="A2368" t="s">
        <v>8673</v>
      </c>
      <c r="B2368" t="s">
        <v>10</v>
      </c>
      <c r="C2368" t="s">
        <v>8674</v>
      </c>
      <c r="D2368" t="s">
        <v>1868</v>
      </c>
      <c r="E2368" t="s">
        <v>1868</v>
      </c>
      <c r="F2368" t="s">
        <v>8675</v>
      </c>
      <c r="G2368" t="s">
        <v>8676</v>
      </c>
      <c r="H2368" t="s">
        <v>8677</v>
      </c>
      <c r="I2368" t="b">
        <f>COUNTIF(Estadísticas!I:I,'centraldecomunicacion.es'!H2368)&gt;0</f>
        <v>0</v>
      </c>
    </row>
    <row r="2369" spans="1:9">
      <c r="A2369" t="s">
        <v>8678</v>
      </c>
      <c r="B2369" t="s">
        <v>10</v>
      </c>
      <c r="C2369" t="s">
        <v>8679</v>
      </c>
      <c r="D2369" t="s">
        <v>1868</v>
      </c>
      <c r="E2369" t="s">
        <v>1868</v>
      </c>
      <c r="F2369" t="s">
        <v>8680</v>
      </c>
      <c r="G2369" t="s">
        <v>8681</v>
      </c>
      <c r="H2369" t="s">
        <v>8682</v>
      </c>
      <c r="I2369" t="b">
        <f>COUNTIF(Estadísticas!I:I,'centraldecomunicacion.es'!H2369)&gt;0</f>
        <v>0</v>
      </c>
    </row>
    <row r="2370" spans="1:9">
      <c r="A2370" t="s">
        <v>8683</v>
      </c>
      <c r="B2370" t="s">
        <v>10</v>
      </c>
      <c r="C2370" t="s">
        <v>8684</v>
      </c>
      <c r="D2370" t="s">
        <v>1868</v>
      </c>
      <c r="E2370" t="s">
        <v>1868</v>
      </c>
      <c r="F2370" t="s">
        <v>8685</v>
      </c>
      <c r="G2370" t="s">
        <v>8686</v>
      </c>
      <c r="H2370" t="s">
        <v>8687</v>
      </c>
      <c r="I2370" t="b">
        <f>COUNTIF(Estadísticas!I:I,'centraldecomunicacion.es'!H2370)&gt;0</f>
        <v>1</v>
      </c>
    </row>
    <row r="2371" spans="1:9">
      <c r="A2371" t="s">
        <v>8688</v>
      </c>
      <c r="B2371" t="s">
        <v>10</v>
      </c>
      <c r="C2371" t="s">
        <v>8689</v>
      </c>
      <c r="D2371" t="s">
        <v>1868</v>
      </c>
      <c r="E2371" t="s">
        <v>1868</v>
      </c>
      <c r="F2371" t="s">
        <v>8690</v>
      </c>
      <c r="G2371" t="s">
        <v>8691</v>
      </c>
      <c r="H2371" t="s">
        <v>30</v>
      </c>
      <c r="I2371" t="b">
        <f>COUNTIF(Estadísticas!I:I,'centraldecomunicacion.es'!H2371)&gt;0</f>
        <v>0</v>
      </c>
    </row>
    <row r="2372" spans="1:9">
      <c r="A2372" t="s">
        <v>8692</v>
      </c>
      <c r="B2372" t="s">
        <v>10</v>
      </c>
      <c r="C2372" t="s">
        <v>8693</v>
      </c>
      <c r="D2372" t="s">
        <v>1868</v>
      </c>
      <c r="E2372" t="s">
        <v>1868</v>
      </c>
      <c r="F2372" t="s">
        <v>8694</v>
      </c>
      <c r="G2372" t="s">
        <v>8695</v>
      </c>
      <c r="H2372" t="s">
        <v>8696</v>
      </c>
      <c r="I2372" t="b">
        <f>COUNTIF(Estadísticas!I:I,'centraldecomunicacion.es'!H2372)&gt;0</f>
        <v>0</v>
      </c>
    </row>
    <row r="2373" spans="1:9">
      <c r="A2373" t="s">
        <v>8697</v>
      </c>
      <c r="B2373" t="s">
        <v>10</v>
      </c>
      <c r="C2373" t="s">
        <v>8698</v>
      </c>
      <c r="D2373" t="s">
        <v>1868</v>
      </c>
      <c r="E2373" t="s">
        <v>1868</v>
      </c>
      <c r="F2373" t="s">
        <v>8699</v>
      </c>
      <c r="G2373" t="s">
        <v>8700</v>
      </c>
      <c r="H2373" t="s">
        <v>8701</v>
      </c>
      <c r="I2373" t="b">
        <f>COUNTIF(Estadísticas!I:I,'centraldecomunicacion.es'!H2373)&gt;0</f>
        <v>0</v>
      </c>
    </row>
    <row r="2374" spans="1:9">
      <c r="A2374" t="s">
        <v>8702</v>
      </c>
      <c r="B2374" t="s">
        <v>10</v>
      </c>
      <c r="C2374" t="s">
        <v>8703</v>
      </c>
      <c r="D2374" t="s">
        <v>7721</v>
      </c>
      <c r="E2374" t="s">
        <v>7721</v>
      </c>
      <c r="F2374" t="s">
        <v>8704</v>
      </c>
      <c r="G2374" t="s">
        <v>8705</v>
      </c>
      <c r="H2374" t="s">
        <v>8706</v>
      </c>
      <c r="I2374" t="b">
        <f>COUNTIF(Estadísticas!I:I,'centraldecomunicacion.es'!H2374)&gt;0</f>
        <v>0</v>
      </c>
    </row>
    <row r="2375" spans="1:9">
      <c r="A2375" t="s">
        <v>8707</v>
      </c>
      <c r="B2375" t="s">
        <v>10</v>
      </c>
      <c r="C2375" t="s">
        <v>8708</v>
      </c>
      <c r="D2375" t="s">
        <v>7721</v>
      </c>
      <c r="E2375" t="s">
        <v>7721</v>
      </c>
      <c r="F2375" t="s">
        <v>8709</v>
      </c>
      <c r="G2375" t="s">
        <v>8710</v>
      </c>
      <c r="H2375" t="s">
        <v>6187</v>
      </c>
      <c r="I2375" t="b">
        <f>COUNTIF(Estadísticas!I:I,'centraldecomunicacion.es'!H2375)&gt;0</f>
        <v>0</v>
      </c>
    </row>
    <row r="2376" spans="1:9">
      <c r="A2376" t="s">
        <v>8711</v>
      </c>
      <c r="B2376" t="s">
        <v>10</v>
      </c>
      <c r="C2376" t="s">
        <v>8712</v>
      </c>
      <c r="D2376" t="s">
        <v>7721</v>
      </c>
      <c r="E2376" t="s">
        <v>7721</v>
      </c>
      <c r="F2376" t="s">
        <v>8713</v>
      </c>
      <c r="G2376" t="s">
        <v>8714</v>
      </c>
      <c r="H2376" t="s">
        <v>8715</v>
      </c>
      <c r="I2376" t="b">
        <f>COUNTIF(Estadísticas!I:I,'centraldecomunicacion.es'!H2376)&gt;0</f>
        <v>0</v>
      </c>
    </row>
    <row r="2377" spans="1:9">
      <c r="A2377" t="s">
        <v>2170</v>
      </c>
      <c r="B2377" t="s">
        <v>10</v>
      </c>
      <c r="C2377" t="s">
        <v>8716</v>
      </c>
      <c r="D2377" t="s">
        <v>7721</v>
      </c>
      <c r="E2377" t="s">
        <v>7721</v>
      </c>
      <c r="F2377" t="s">
        <v>8717</v>
      </c>
      <c r="G2377" t="s">
        <v>8718</v>
      </c>
      <c r="H2377" t="s">
        <v>8719</v>
      </c>
      <c r="I2377" t="b">
        <f>COUNTIF(Estadísticas!I:I,'centraldecomunicacion.es'!H2377)&gt;0</f>
        <v>0</v>
      </c>
    </row>
    <row r="2378" spans="1:9">
      <c r="A2378" t="s">
        <v>8720</v>
      </c>
      <c r="B2378" t="s">
        <v>10</v>
      </c>
      <c r="C2378" t="s">
        <v>8721</v>
      </c>
      <c r="D2378" t="s">
        <v>7721</v>
      </c>
      <c r="E2378" t="s">
        <v>7721</v>
      </c>
      <c r="F2378" t="s">
        <v>8722</v>
      </c>
      <c r="G2378" t="s">
        <v>8723</v>
      </c>
      <c r="H2378" t="s">
        <v>8724</v>
      </c>
      <c r="I2378" t="b">
        <f>COUNTIF(Estadísticas!I:I,'centraldecomunicacion.es'!H2378)&gt;0</f>
        <v>1</v>
      </c>
    </row>
    <row r="2379" spans="1:9">
      <c r="A2379" t="s">
        <v>8725</v>
      </c>
      <c r="B2379" t="s">
        <v>10</v>
      </c>
      <c r="C2379" t="s">
        <v>8726</v>
      </c>
      <c r="D2379" t="s">
        <v>7721</v>
      </c>
      <c r="E2379" t="s">
        <v>7721</v>
      </c>
      <c r="F2379" t="s">
        <v>28</v>
      </c>
      <c r="G2379" t="s">
        <v>8727</v>
      </c>
      <c r="H2379" t="s">
        <v>30</v>
      </c>
      <c r="I2379" t="b">
        <f>COUNTIF(Estadísticas!I:I,'centraldecomunicacion.es'!H2379)&gt;0</f>
        <v>0</v>
      </c>
    </row>
    <row r="2380" spans="1:9">
      <c r="A2380" t="s">
        <v>8728</v>
      </c>
      <c r="B2380" t="s">
        <v>10</v>
      </c>
      <c r="C2380" t="s">
        <v>8729</v>
      </c>
      <c r="D2380" t="s">
        <v>7721</v>
      </c>
      <c r="E2380" t="s">
        <v>7721</v>
      </c>
      <c r="F2380" t="s">
        <v>8730</v>
      </c>
      <c r="G2380" t="s">
        <v>8731</v>
      </c>
      <c r="H2380" t="s">
        <v>8732</v>
      </c>
      <c r="I2380" t="b">
        <f>COUNTIF(Estadísticas!I:I,'centraldecomunicacion.es'!H2380)&gt;0</f>
        <v>1</v>
      </c>
    </row>
    <row r="2381" spans="1:9">
      <c r="A2381" t="s">
        <v>8733</v>
      </c>
      <c r="B2381" t="s">
        <v>10</v>
      </c>
      <c r="C2381" t="s">
        <v>8734</v>
      </c>
      <c r="D2381" t="s">
        <v>7721</v>
      </c>
      <c r="E2381" t="s">
        <v>7721</v>
      </c>
      <c r="F2381" t="s">
        <v>8735</v>
      </c>
      <c r="G2381" t="s">
        <v>8736</v>
      </c>
      <c r="H2381" t="s">
        <v>30</v>
      </c>
      <c r="I2381" t="b">
        <f>COUNTIF(Estadísticas!I:I,'centraldecomunicacion.es'!H2381)&gt;0</f>
        <v>0</v>
      </c>
    </row>
    <row r="2382" spans="1:9">
      <c r="A2382" t="s">
        <v>8737</v>
      </c>
      <c r="B2382" t="s">
        <v>10</v>
      </c>
      <c r="C2382" t="s">
        <v>8738</v>
      </c>
      <c r="D2382" t="s">
        <v>7721</v>
      </c>
      <c r="E2382" t="s">
        <v>7721</v>
      </c>
      <c r="F2382" t="s">
        <v>28</v>
      </c>
      <c r="G2382" t="s">
        <v>8739</v>
      </c>
      <c r="H2382" t="s">
        <v>30</v>
      </c>
      <c r="I2382" t="b">
        <f>COUNTIF(Estadísticas!I:I,'centraldecomunicacion.es'!H2382)&gt;0</f>
        <v>0</v>
      </c>
    </row>
    <row r="2383" spans="1:9">
      <c r="A2383" t="s">
        <v>8740</v>
      </c>
      <c r="B2383" t="s">
        <v>10</v>
      </c>
      <c r="C2383" t="s">
        <v>8741</v>
      </c>
      <c r="D2383" t="s">
        <v>7721</v>
      </c>
      <c r="E2383" t="s">
        <v>7721</v>
      </c>
      <c r="F2383" t="s">
        <v>2353</v>
      </c>
      <c r="G2383" t="s">
        <v>8742</v>
      </c>
      <c r="H2383" t="s">
        <v>30</v>
      </c>
      <c r="I2383" t="b">
        <f>COUNTIF(Estadísticas!I:I,'centraldecomunicacion.es'!H2383)&gt;0</f>
        <v>0</v>
      </c>
    </row>
    <row r="2384" spans="1:9">
      <c r="A2384" t="s">
        <v>8702</v>
      </c>
      <c r="B2384" t="s">
        <v>10</v>
      </c>
      <c r="C2384" t="s">
        <v>8743</v>
      </c>
      <c r="D2384" t="s">
        <v>8744</v>
      </c>
      <c r="E2384" t="s">
        <v>7721</v>
      </c>
      <c r="F2384" t="s">
        <v>8704</v>
      </c>
      <c r="G2384" t="s">
        <v>8745</v>
      </c>
      <c r="H2384" t="s">
        <v>8706</v>
      </c>
      <c r="I2384" t="b">
        <f>COUNTIF(Estadísticas!I:I,'centraldecomunicacion.es'!H2384)&gt;0</f>
        <v>0</v>
      </c>
    </row>
    <row r="2385" spans="1:9">
      <c r="A2385" t="s">
        <v>8746</v>
      </c>
      <c r="B2385" t="s">
        <v>10</v>
      </c>
      <c r="C2385" t="s">
        <v>8747</v>
      </c>
      <c r="D2385" t="s">
        <v>7721</v>
      </c>
      <c r="E2385" t="s">
        <v>7721</v>
      </c>
      <c r="F2385" t="s">
        <v>8748</v>
      </c>
      <c r="G2385" t="s">
        <v>8749</v>
      </c>
      <c r="H2385" t="s">
        <v>30</v>
      </c>
      <c r="I2385" t="b">
        <f>COUNTIF(Estadísticas!I:I,'centraldecomunicacion.es'!H2385)&gt;0</f>
        <v>0</v>
      </c>
    </row>
    <row r="2386" spans="1:9">
      <c r="A2386" t="s">
        <v>8750</v>
      </c>
      <c r="B2386" t="s">
        <v>10</v>
      </c>
      <c r="C2386" t="s">
        <v>8751</v>
      </c>
      <c r="D2386" t="s">
        <v>7721</v>
      </c>
      <c r="E2386" t="s">
        <v>7721</v>
      </c>
      <c r="F2386" t="s">
        <v>28</v>
      </c>
      <c r="G2386" t="s">
        <v>8752</v>
      </c>
      <c r="H2386" t="s">
        <v>30</v>
      </c>
      <c r="I2386" t="b">
        <f>COUNTIF(Estadísticas!I:I,'centraldecomunicacion.es'!H2386)&gt;0</f>
        <v>0</v>
      </c>
    </row>
    <row r="2387" spans="1:9">
      <c r="A2387" t="s">
        <v>8753</v>
      </c>
      <c r="B2387" t="s">
        <v>10</v>
      </c>
      <c r="C2387" t="s">
        <v>8754</v>
      </c>
      <c r="D2387" t="s">
        <v>8755</v>
      </c>
      <c r="E2387" t="s">
        <v>7721</v>
      </c>
      <c r="F2387" t="s">
        <v>8756</v>
      </c>
      <c r="G2387" t="s">
        <v>8757</v>
      </c>
      <c r="H2387" t="s">
        <v>8758</v>
      </c>
      <c r="I2387" t="b">
        <f>COUNTIF(Estadísticas!I:I,'centraldecomunicacion.es'!H2387)&gt;0</f>
        <v>0</v>
      </c>
    </row>
    <row r="2388" spans="1:9">
      <c r="A2388" t="s">
        <v>8759</v>
      </c>
      <c r="B2388" t="s">
        <v>10</v>
      </c>
      <c r="C2388" t="s">
        <v>8760</v>
      </c>
      <c r="D2388" t="s">
        <v>8761</v>
      </c>
      <c r="E2388" t="s">
        <v>7721</v>
      </c>
      <c r="F2388" t="s">
        <v>8762</v>
      </c>
      <c r="G2388" t="s">
        <v>8763</v>
      </c>
      <c r="H2388" t="s">
        <v>8764</v>
      </c>
      <c r="I2388" t="b">
        <f>COUNTIF(Estadísticas!I:I,'centraldecomunicacion.es'!H2388)&gt;0</f>
        <v>0</v>
      </c>
    </row>
    <row r="2389" spans="1:9">
      <c r="A2389" t="s">
        <v>8765</v>
      </c>
      <c r="B2389" t="s">
        <v>219</v>
      </c>
      <c r="C2389" t="s">
        <v>8766</v>
      </c>
      <c r="D2389" t="s">
        <v>7721</v>
      </c>
      <c r="E2389" t="s">
        <v>7721</v>
      </c>
      <c r="F2389" t="s">
        <v>8767</v>
      </c>
      <c r="G2389" t="s">
        <v>8745</v>
      </c>
      <c r="H2389" t="s">
        <v>30</v>
      </c>
      <c r="I2389" t="b">
        <f>COUNTIF(Estadísticas!I:I,'centraldecomunicacion.es'!H2389)&gt;0</f>
        <v>0</v>
      </c>
    </row>
    <row r="2390" spans="1:9">
      <c r="A2390" t="s">
        <v>8768</v>
      </c>
      <c r="B2390" t="s">
        <v>10</v>
      </c>
      <c r="C2390" t="s">
        <v>8769</v>
      </c>
      <c r="D2390" t="s">
        <v>8744</v>
      </c>
      <c r="E2390" t="s">
        <v>7721</v>
      </c>
      <c r="F2390" t="s">
        <v>28</v>
      </c>
      <c r="G2390" t="s">
        <v>28</v>
      </c>
      <c r="H2390" t="s">
        <v>30</v>
      </c>
      <c r="I2390" t="b">
        <f>COUNTIF(Estadísticas!I:I,'centraldecomunicacion.es'!H2390)&gt;0</f>
        <v>0</v>
      </c>
    </row>
    <row r="2391" spans="1:9">
      <c r="A2391" t="s">
        <v>8770</v>
      </c>
      <c r="B2391" t="s">
        <v>10</v>
      </c>
      <c r="C2391" t="s">
        <v>8771</v>
      </c>
      <c r="D2391" t="s">
        <v>8772</v>
      </c>
      <c r="E2391" t="s">
        <v>7721</v>
      </c>
      <c r="F2391" t="s">
        <v>8773</v>
      </c>
      <c r="G2391" t="s">
        <v>8774</v>
      </c>
      <c r="H2391" t="s">
        <v>8775</v>
      </c>
      <c r="I2391" t="b">
        <f>COUNTIF(Estadísticas!I:I,'centraldecomunicacion.es'!H2391)&gt;0</f>
        <v>1</v>
      </c>
    </row>
    <row r="2392" spans="1:9">
      <c r="A2392" t="s">
        <v>8776</v>
      </c>
      <c r="B2392" t="s">
        <v>10</v>
      </c>
      <c r="C2392" t="s">
        <v>8777</v>
      </c>
      <c r="D2392" t="s">
        <v>8778</v>
      </c>
      <c r="E2392" t="s">
        <v>7721</v>
      </c>
      <c r="F2392" t="s">
        <v>28</v>
      </c>
      <c r="G2392" t="s">
        <v>28</v>
      </c>
      <c r="H2392" t="s">
        <v>30</v>
      </c>
      <c r="I2392" t="b">
        <f>COUNTIF(Estadísticas!I:I,'centraldecomunicacion.es'!H2392)&gt;0</f>
        <v>0</v>
      </c>
    </row>
    <row r="2393" spans="1:9">
      <c r="A2393" t="s">
        <v>8779</v>
      </c>
      <c r="B2393" t="s">
        <v>10</v>
      </c>
      <c r="C2393" t="s">
        <v>8780</v>
      </c>
      <c r="D2393" t="s">
        <v>8781</v>
      </c>
      <c r="E2393" t="s">
        <v>7721</v>
      </c>
      <c r="F2393" t="s">
        <v>28</v>
      </c>
      <c r="G2393" t="s">
        <v>8782</v>
      </c>
      <c r="H2393" t="s">
        <v>30</v>
      </c>
      <c r="I2393" t="b">
        <f>COUNTIF(Estadísticas!I:I,'centraldecomunicacion.es'!H2393)&gt;0</f>
        <v>0</v>
      </c>
    </row>
    <row r="2394" spans="1:9">
      <c r="A2394" t="s">
        <v>8783</v>
      </c>
      <c r="B2394" t="s">
        <v>10</v>
      </c>
      <c r="C2394" t="s">
        <v>8784</v>
      </c>
      <c r="D2394" t="s">
        <v>8785</v>
      </c>
      <c r="E2394" t="s">
        <v>7721</v>
      </c>
      <c r="F2394" t="s">
        <v>28</v>
      </c>
      <c r="G2394" t="s">
        <v>8786</v>
      </c>
      <c r="H2394" t="s">
        <v>30</v>
      </c>
      <c r="I2394" t="b">
        <f>COUNTIF(Estadísticas!I:I,'centraldecomunicacion.es'!H2394)&gt;0</f>
        <v>0</v>
      </c>
    </row>
    <row r="2395" spans="1:9">
      <c r="A2395" t="s">
        <v>8787</v>
      </c>
      <c r="B2395" t="s">
        <v>10</v>
      </c>
      <c r="C2395" t="s">
        <v>8788</v>
      </c>
      <c r="D2395" t="s">
        <v>7720</v>
      </c>
      <c r="E2395" t="s">
        <v>7721</v>
      </c>
      <c r="F2395" t="s">
        <v>28</v>
      </c>
      <c r="G2395" t="s">
        <v>8789</v>
      </c>
      <c r="H2395" t="s">
        <v>30</v>
      </c>
      <c r="I2395" t="b">
        <f>COUNTIF(Estadísticas!I:I,'centraldecomunicacion.es'!H2395)&gt;0</f>
        <v>0</v>
      </c>
    </row>
    <row r="2396" spans="1:9">
      <c r="A2396" t="s">
        <v>8790</v>
      </c>
      <c r="B2396" t="s">
        <v>10</v>
      </c>
      <c r="C2396" t="s">
        <v>8791</v>
      </c>
      <c r="D2396" t="s">
        <v>8792</v>
      </c>
      <c r="E2396" t="s">
        <v>7721</v>
      </c>
      <c r="F2396" t="s">
        <v>28</v>
      </c>
      <c r="G2396" t="s">
        <v>28</v>
      </c>
      <c r="H2396" t="s">
        <v>30</v>
      </c>
      <c r="I2396" t="b">
        <f>COUNTIF(Estadísticas!I:I,'centraldecomunicacion.es'!H2396)&gt;0</f>
        <v>0</v>
      </c>
    </row>
    <row r="2397" spans="1:9">
      <c r="A2397" t="s">
        <v>8793</v>
      </c>
      <c r="B2397" t="s">
        <v>10</v>
      </c>
      <c r="C2397" t="s">
        <v>8794</v>
      </c>
      <c r="D2397" t="s">
        <v>8795</v>
      </c>
      <c r="E2397" t="s">
        <v>7721</v>
      </c>
      <c r="F2397" t="s">
        <v>8796</v>
      </c>
      <c r="G2397" t="s">
        <v>8797</v>
      </c>
      <c r="H2397" t="s">
        <v>1643</v>
      </c>
      <c r="I2397" t="b">
        <f>COUNTIF(Estadísticas!I:I,'centraldecomunicacion.es'!H2397)&gt;0</f>
        <v>0</v>
      </c>
    </row>
    <row r="2398" spans="1:9">
      <c r="A2398" t="s">
        <v>8798</v>
      </c>
      <c r="B2398" t="s">
        <v>10</v>
      </c>
      <c r="C2398" t="s">
        <v>8799</v>
      </c>
      <c r="D2398" t="s">
        <v>8800</v>
      </c>
      <c r="E2398" t="s">
        <v>7721</v>
      </c>
      <c r="F2398" t="s">
        <v>8801</v>
      </c>
      <c r="G2398" t="s">
        <v>8802</v>
      </c>
      <c r="H2398" t="s">
        <v>8803</v>
      </c>
      <c r="I2398" t="b">
        <f>COUNTIF(Estadísticas!I:I,'centraldecomunicacion.es'!H2398)&gt;0</f>
        <v>0</v>
      </c>
    </row>
    <row r="2399" spans="1:9">
      <c r="A2399" t="s">
        <v>8804</v>
      </c>
      <c r="B2399" t="s">
        <v>10</v>
      </c>
      <c r="C2399" t="s">
        <v>8805</v>
      </c>
      <c r="D2399" t="s">
        <v>7720</v>
      </c>
      <c r="E2399" t="s">
        <v>7721</v>
      </c>
      <c r="F2399" t="s">
        <v>8806</v>
      </c>
      <c r="G2399" t="s">
        <v>8807</v>
      </c>
      <c r="H2399" t="s">
        <v>8808</v>
      </c>
      <c r="I2399" t="b">
        <f>COUNTIF(Estadísticas!I:I,'centraldecomunicacion.es'!H2399)&gt;0</f>
        <v>0</v>
      </c>
    </row>
    <row r="2400" spans="1:9">
      <c r="A2400" t="s">
        <v>8809</v>
      </c>
      <c r="B2400" t="s">
        <v>10</v>
      </c>
      <c r="C2400" t="s">
        <v>8810</v>
      </c>
      <c r="D2400" t="s">
        <v>7720</v>
      </c>
      <c r="E2400" t="s">
        <v>7721</v>
      </c>
      <c r="F2400" t="s">
        <v>28</v>
      </c>
      <c r="G2400" t="s">
        <v>8811</v>
      </c>
      <c r="H2400" t="s">
        <v>30</v>
      </c>
      <c r="I2400" t="b">
        <f>COUNTIF(Estadísticas!I:I,'centraldecomunicacion.es'!H2400)&gt;0</f>
        <v>0</v>
      </c>
    </row>
    <row r="2401" spans="1:9">
      <c r="A2401" t="s">
        <v>8812</v>
      </c>
      <c r="B2401" t="s">
        <v>10</v>
      </c>
      <c r="C2401" t="s">
        <v>8813</v>
      </c>
      <c r="D2401" t="s">
        <v>8814</v>
      </c>
      <c r="E2401" t="s">
        <v>1868</v>
      </c>
      <c r="F2401" t="s">
        <v>28</v>
      </c>
      <c r="G2401" t="s">
        <v>8815</v>
      </c>
      <c r="H2401" t="s">
        <v>30</v>
      </c>
      <c r="I2401" t="b">
        <f>COUNTIF(Estadísticas!I:I,'centraldecomunicacion.es'!H2401)&gt;0</f>
        <v>0</v>
      </c>
    </row>
    <row r="2402" spans="1:9">
      <c r="A2402" t="s">
        <v>8816</v>
      </c>
      <c r="B2402" t="s">
        <v>10</v>
      </c>
      <c r="C2402" t="s">
        <v>8817</v>
      </c>
      <c r="D2402" t="s">
        <v>8818</v>
      </c>
      <c r="E2402" t="s">
        <v>1868</v>
      </c>
      <c r="F2402" t="s">
        <v>8819</v>
      </c>
      <c r="G2402" t="s">
        <v>8820</v>
      </c>
      <c r="H2402" t="s">
        <v>8821</v>
      </c>
      <c r="I2402" t="b">
        <f>COUNTIF(Estadísticas!I:I,'centraldecomunicacion.es'!H2402)&gt;0</f>
        <v>0</v>
      </c>
    </row>
    <row r="2403" spans="1:9">
      <c r="A2403" t="s">
        <v>8822</v>
      </c>
      <c r="B2403" t="s">
        <v>10</v>
      </c>
      <c r="C2403" t="s">
        <v>8823</v>
      </c>
      <c r="D2403" t="s">
        <v>8824</v>
      </c>
      <c r="E2403" t="s">
        <v>1868</v>
      </c>
      <c r="F2403" t="s">
        <v>8825</v>
      </c>
      <c r="G2403" t="s">
        <v>8826</v>
      </c>
      <c r="H2403" t="s">
        <v>8827</v>
      </c>
      <c r="I2403" t="b">
        <f>COUNTIF(Estadísticas!I:I,'centraldecomunicacion.es'!H2403)&gt;0</f>
        <v>1</v>
      </c>
    </row>
    <row r="2404" spans="1:9">
      <c r="A2404" t="s">
        <v>8828</v>
      </c>
      <c r="B2404" t="s">
        <v>10</v>
      </c>
      <c r="C2404" t="s">
        <v>8829</v>
      </c>
      <c r="D2404" t="s">
        <v>8830</v>
      </c>
      <c r="E2404" t="s">
        <v>1868</v>
      </c>
      <c r="F2404" t="s">
        <v>8831</v>
      </c>
      <c r="G2404" t="s">
        <v>8832</v>
      </c>
      <c r="H2404" t="s">
        <v>8833</v>
      </c>
      <c r="I2404" t="b">
        <f>COUNTIF(Estadísticas!I:I,'centraldecomunicacion.es'!H2404)&gt;0</f>
        <v>0</v>
      </c>
    </row>
    <row r="2405" spans="1:9">
      <c r="A2405" t="s">
        <v>7642</v>
      </c>
      <c r="B2405" t="s">
        <v>10</v>
      </c>
      <c r="C2405" t="s">
        <v>8834</v>
      </c>
      <c r="D2405" t="s">
        <v>8031</v>
      </c>
      <c r="E2405" t="s">
        <v>1868</v>
      </c>
      <c r="F2405" t="s">
        <v>8835</v>
      </c>
      <c r="G2405" t="s">
        <v>8836</v>
      </c>
      <c r="H2405" t="s">
        <v>8837</v>
      </c>
      <c r="I2405" t="b">
        <f>COUNTIF(Estadísticas!I:I,'centraldecomunicacion.es'!H2405)&gt;0</f>
        <v>0</v>
      </c>
    </row>
    <row r="2406" spans="1:9">
      <c r="A2406" t="s">
        <v>8838</v>
      </c>
      <c r="B2406" t="s">
        <v>10</v>
      </c>
      <c r="C2406" t="s">
        <v>8839</v>
      </c>
      <c r="D2406" t="s">
        <v>8795</v>
      </c>
      <c r="E2406" t="s">
        <v>7721</v>
      </c>
      <c r="F2406" t="s">
        <v>28</v>
      </c>
      <c r="G2406" t="s">
        <v>8840</v>
      </c>
      <c r="H2406" t="s">
        <v>30</v>
      </c>
      <c r="I2406" t="b">
        <f>COUNTIF(Estadísticas!I:I,'centraldecomunicacion.es'!H2406)&gt;0</f>
        <v>0</v>
      </c>
    </row>
    <row r="2407" spans="1:9">
      <c r="A2407" t="s">
        <v>8841</v>
      </c>
      <c r="B2407" t="s">
        <v>10</v>
      </c>
      <c r="C2407" t="s">
        <v>8842</v>
      </c>
      <c r="D2407" t="s">
        <v>1868</v>
      </c>
      <c r="E2407" t="s">
        <v>1868</v>
      </c>
      <c r="F2407" t="s">
        <v>28</v>
      </c>
      <c r="G2407" t="s">
        <v>8843</v>
      </c>
      <c r="H2407" t="s">
        <v>30</v>
      </c>
      <c r="I2407" t="b">
        <f>COUNTIF(Estadísticas!I:I,'centraldecomunicacion.es'!H2407)&gt;0</f>
        <v>0</v>
      </c>
    </row>
    <row r="2408" spans="1:9">
      <c r="A2408" t="s">
        <v>8844</v>
      </c>
      <c r="B2408" t="s">
        <v>10</v>
      </c>
      <c r="C2408" t="s">
        <v>8845</v>
      </c>
      <c r="D2408" t="s">
        <v>1868</v>
      </c>
      <c r="E2408" t="s">
        <v>1868</v>
      </c>
      <c r="F2408" t="s">
        <v>8846</v>
      </c>
      <c r="G2408" t="s">
        <v>8847</v>
      </c>
      <c r="H2408" t="s">
        <v>30</v>
      </c>
      <c r="I2408" t="b">
        <f>COUNTIF(Estadísticas!I:I,'centraldecomunicacion.es'!H2408)&gt;0</f>
        <v>0</v>
      </c>
    </row>
    <row r="2409" spans="1:9">
      <c r="A2409" t="s">
        <v>8848</v>
      </c>
      <c r="B2409" t="s">
        <v>10</v>
      </c>
      <c r="C2409" t="s">
        <v>8849</v>
      </c>
      <c r="D2409" t="s">
        <v>8850</v>
      </c>
      <c r="E2409" t="s">
        <v>1868</v>
      </c>
      <c r="F2409" t="s">
        <v>8851</v>
      </c>
      <c r="G2409" t="s">
        <v>8852</v>
      </c>
      <c r="H2409" t="s">
        <v>1242</v>
      </c>
      <c r="I2409" t="b">
        <f>COUNTIF(Estadísticas!I:I,'centraldecomunicacion.es'!H2409)&gt;0</f>
        <v>0</v>
      </c>
    </row>
    <row r="2410" spans="1:9">
      <c r="A2410" t="s">
        <v>8853</v>
      </c>
      <c r="B2410" t="s">
        <v>10</v>
      </c>
      <c r="C2410" t="s">
        <v>8854</v>
      </c>
      <c r="D2410" t="s">
        <v>1868</v>
      </c>
      <c r="E2410" t="s">
        <v>1868</v>
      </c>
      <c r="F2410" t="s">
        <v>8855</v>
      </c>
      <c r="G2410" t="s">
        <v>8856</v>
      </c>
      <c r="H2410" t="s">
        <v>8857</v>
      </c>
      <c r="I2410" t="b">
        <f>COUNTIF(Estadísticas!I:I,'centraldecomunicacion.es'!H2410)&gt;0</f>
        <v>1</v>
      </c>
    </row>
    <row r="2411" spans="1:9">
      <c r="A2411" t="s">
        <v>8858</v>
      </c>
      <c r="B2411" t="s">
        <v>10</v>
      </c>
      <c r="C2411" t="s">
        <v>8859</v>
      </c>
      <c r="D2411" t="s">
        <v>1868</v>
      </c>
      <c r="E2411" t="s">
        <v>1868</v>
      </c>
      <c r="F2411" t="s">
        <v>8860</v>
      </c>
      <c r="G2411" t="s">
        <v>8861</v>
      </c>
      <c r="H2411" t="s">
        <v>8862</v>
      </c>
      <c r="I2411" t="b">
        <f>COUNTIF(Estadísticas!I:I,'centraldecomunicacion.es'!H2411)&gt;0</f>
        <v>0</v>
      </c>
    </row>
    <row r="2412" spans="1:9">
      <c r="A2412" t="s">
        <v>8863</v>
      </c>
      <c r="B2412" t="s">
        <v>10</v>
      </c>
      <c r="C2412" t="s">
        <v>8864</v>
      </c>
      <c r="D2412" t="s">
        <v>1868</v>
      </c>
      <c r="E2412" t="s">
        <v>1868</v>
      </c>
      <c r="F2412" t="s">
        <v>6799</v>
      </c>
      <c r="G2412" t="s">
        <v>8865</v>
      </c>
      <c r="H2412" t="s">
        <v>30</v>
      </c>
      <c r="I2412" t="b">
        <f>COUNTIF(Estadísticas!I:I,'centraldecomunicacion.es'!H2412)&gt;0</f>
        <v>0</v>
      </c>
    </row>
    <row r="2413" spans="1:9">
      <c r="A2413" t="s">
        <v>8866</v>
      </c>
      <c r="B2413" t="s">
        <v>10</v>
      </c>
      <c r="C2413" t="s">
        <v>8867</v>
      </c>
      <c r="D2413" t="s">
        <v>7968</v>
      </c>
      <c r="E2413" t="s">
        <v>7968</v>
      </c>
      <c r="F2413" t="s">
        <v>8868</v>
      </c>
      <c r="G2413" t="s">
        <v>8869</v>
      </c>
      <c r="H2413" t="s">
        <v>8870</v>
      </c>
      <c r="I2413" t="b">
        <f>COUNTIF(Estadísticas!I:I,'centraldecomunicacion.es'!H2413)&gt;0</f>
        <v>0</v>
      </c>
    </row>
    <row r="2414" spans="1:9">
      <c r="A2414" t="s">
        <v>2574</v>
      </c>
      <c r="B2414" t="s">
        <v>10</v>
      </c>
      <c r="C2414" t="s">
        <v>8871</v>
      </c>
      <c r="D2414" t="s">
        <v>8872</v>
      </c>
      <c r="E2414" t="s">
        <v>1868</v>
      </c>
      <c r="F2414" t="s">
        <v>2576</v>
      </c>
      <c r="G2414" t="s">
        <v>8873</v>
      </c>
      <c r="H2414" t="s">
        <v>30</v>
      </c>
      <c r="I2414" t="b">
        <f>COUNTIF(Estadísticas!I:I,'centraldecomunicacion.es'!H2414)&gt;0</f>
        <v>0</v>
      </c>
    </row>
    <row r="2415" spans="1:9">
      <c r="A2415" t="s">
        <v>8874</v>
      </c>
      <c r="B2415" t="s">
        <v>10</v>
      </c>
      <c r="C2415" t="s">
        <v>8875</v>
      </c>
      <c r="D2415" t="s">
        <v>8876</v>
      </c>
      <c r="E2415" t="s">
        <v>1868</v>
      </c>
      <c r="F2415" t="s">
        <v>8877</v>
      </c>
      <c r="G2415" t="s">
        <v>8878</v>
      </c>
      <c r="H2415" t="s">
        <v>8879</v>
      </c>
      <c r="I2415" t="b">
        <f>COUNTIF(Estadísticas!I:I,'centraldecomunicacion.es'!H2415)&gt;0</f>
        <v>0</v>
      </c>
    </row>
    <row r="2416" spans="1:9">
      <c r="A2416" t="s">
        <v>8880</v>
      </c>
      <c r="B2416" t="s">
        <v>10</v>
      </c>
      <c r="C2416" t="s">
        <v>8881</v>
      </c>
      <c r="D2416" t="s">
        <v>1868</v>
      </c>
      <c r="E2416" t="s">
        <v>1868</v>
      </c>
      <c r="F2416" t="s">
        <v>8882</v>
      </c>
      <c r="G2416" t="s">
        <v>8883</v>
      </c>
      <c r="H2416" t="s">
        <v>8884</v>
      </c>
      <c r="I2416" t="b">
        <f>COUNTIF(Estadísticas!I:I,'centraldecomunicacion.es'!H2416)&gt;0</f>
        <v>0</v>
      </c>
    </row>
    <row r="2417" spans="1:9">
      <c r="A2417" t="s">
        <v>2574</v>
      </c>
      <c r="B2417" t="s">
        <v>10</v>
      </c>
      <c r="C2417" t="s">
        <v>8885</v>
      </c>
      <c r="D2417" t="s">
        <v>8886</v>
      </c>
      <c r="E2417" t="s">
        <v>1868</v>
      </c>
      <c r="F2417" t="s">
        <v>2576</v>
      </c>
      <c r="G2417" t="s">
        <v>8887</v>
      </c>
      <c r="H2417" t="s">
        <v>30</v>
      </c>
      <c r="I2417" t="b">
        <f>COUNTIF(Estadísticas!I:I,'centraldecomunicacion.es'!H2417)&gt;0</f>
        <v>0</v>
      </c>
    </row>
    <row r="2418" spans="1:9">
      <c r="A2418" t="s">
        <v>2574</v>
      </c>
      <c r="B2418" t="s">
        <v>10</v>
      </c>
      <c r="C2418" t="s">
        <v>8888</v>
      </c>
      <c r="D2418" t="s">
        <v>1868</v>
      </c>
      <c r="E2418" t="s">
        <v>1868</v>
      </c>
      <c r="F2418" t="s">
        <v>2576</v>
      </c>
      <c r="G2418" t="s">
        <v>8889</v>
      </c>
      <c r="H2418" t="s">
        <v>30</v>
      </c>
      <c r="I2418" t="b">
        <f>COUNTIF(Estadísticas!I:I,'centraldecomunicacion.es'!H2418)&gt;0</f>
        <v>0</v>
      </c>
    </row>
    <row r="2419" spans="1:9">
      <c r="A2419" t="s">
        <v>2574</v>
      </c>
      <c r="B2419" t="s">
        <v>10</v>
      </c>
      <c r="C2419" t="s">
        <v>8890</v>
      </c>
      <c r="D2419" t="s">
        <v>1868</v>
      </c>
      <c r="E2419" t="s">
        <v>1868</v>
      </c>
      <c r="F2419" t="s">
        <v>2576</v>
      </c>
      <c r="G2419" t="s">
        <v>8891</v>
      </c>
      <c r="H2419" t="s">
        <v>30</v>
      </c>
      <c r="I2419" t="b">
        <f>COUNTIF(Estadísticas!I:I,'centraldecomunicacion.es'!H2419)&gt;0</f>
        <v>0</v>
      </c>
    </row>
    <row r="2420" spans="1:9">
      <c r="A2420" t="s">
        <v>8892</v>
      </c>
      <c r="B2420" t="s">
        <v>219</v>
      </c>
      <c r="C2420" t="s">
        <v>8893</v>
      </c>
      <c r="D2420" t="s">
        <v>8894</v>
      </c>
      <c r="E2420" t="s">
        <v>7721</v>
      </c>
      <c r="F2420" t="s">
        <v>28</v>
      </c>
      <c r="G2420" t="s">
        <v>8895</v>
      </c>
      <c r="H2420" t="s">
        <v>30</v>
      </c>
      <c r="I2420" t="b">
        <f>COUNTIF(Estadísticas!I:I,'centraldecomunicacion.es'!H2420)&gt;0</f>
        <v>0</v>
      </c>
    </row>
    <row r="2421" spans="1:9">
      <c r="A2421" t="s">
        <v>910</v>
      </c>
      <c r="B2421" t="s">
        <v>10</v>
      </c>
      <c r="C2421" t="s">
        <v>8896</v>
      </c>
      <c r="D2421" t="s">
        <v>8897</v>
      </c>
      <c r="E2421" t="s">
        <v>732</v>
      </c>
      <c r="F2421" t="s">
        <v>28</v>
      </c>
      <c r="G2421" t="s">
        <v>8898</v>
      </c>
      <c r="H2421" t="s">
        <v>30</v>
      </c>
      <c r="I2421" t="b">
        <f>COUNTIF(Estadísticas!I:I,'centraldecomunicacion.es'!H2421)&gt;0</f>
        <v>0</v>
      </c>
    </row>
    <row r="2422" spans="1:9">
      <c r="A2422" t="s">
        <v>8899</v>
      </c>
      <c r="B2422" t="s">
        <v>10</v>
      </c>
      <c r="C2422" t="s">
        <v>8900</v>
      </c>
      <c r="D2422" t="s">
        <v>7364</v>
      </c>
      <c r="E2422" t="s">
        <v>7364</v>
      </c>
      <c r="F2422" t="s">
        <v>8901</v>
      </c>
      <c r="G2422" t="s">
        <v>8902</v>
      </c>
      <c r="H2422" t="s">
        <v>30</v>
      </c>
      <c r="I2422" t="b">
        <f>COUNTIF(Estadísticas!I:I,'centraldecomunicacion.es'!H2422)&gt;0</f>
        <v>0</v>
      </c>
    </row>
    <row r="2423" spans="1:9">
      <c r="A2423" t="s">
        <v>873</v>
      </c>
      <c r="B2423" t="s">
        <v>10</v>
      </c>
      <c r="C2423" t="s">
        <v>8903</v>
      </c>
      <c r="D2423" t="s">
        <v>7364</v>
      </c>
      <c r="E2423" t="s">
        <v>7364</v>
      </c>
      <c r="F2423" t="s">
        <v>8904</v>
      </c>
      <c r="G2423" t="s">
        <v>8905</v>
      </c>
      <c r="H2423" t="s">
        <v>30</v>
      </c>
      <c r="I2423" t="b">
        <f>COUNTIF(Estadísticas!I:I,'centraldecomunicacion.es'!H2423)&gt;0</f>
        <v>0</v>
      </c>
    </row>
    <row r="2424" spans="1:9">
      <c r="A2424" t="s">
        <v>8906</v>
      </c>
      <c r="B2424" t="s">
        <v>10</v>
      </c>
      <c r="C2424" t="s">
        <v>8907</v>
      </c>
      <c r="D2424" t="s">
        <v>7364</v>
      </c>
      <c r="E2424" t="s">
        <v>7364</v>
      </c>
      <c r="F2424" t="s">
        <v>8908</v>
      </c>
      <c r="G2424" t="s">
        <v>8909</v>
      </c>
      <c r="H2424" t="s">
        <v>8910</v>
      </c>
      <c r="I2424" t="b">
        <f>COUNTIF(Estadísticas!I:I,'centraldecomunicacion.es'!H2424)&gt;0</f>
        <v>1</v>
      </c>
    </row>
    <row r="2425" spans="1:9">
      <c r="A2425" t="s">
        <v>8911</v>
      </c>
      <c r="B2425" t="s">
        <v>10</v>
      </c>
      <c r="C2425" t="s">
        <v>8912</v>
      </c>
      <c r="D2425" t="s">
        <v>7364</v>
      </c>
      <c r="E2425" t="s">
        <v>7364</v>
      </c>
      <c r="F2425" t="s">
        <v>8904</v>
      </c>
      <c r="G2425" t="s">
        <v>8905</v>
      </c>
      <c r="H2425" t="s">
        <v>30</v>
      </c>
      <c r="I2425" t="b">
        <f>COUNTIF(Estadísticas!I:I,'centraldecomunicacion.es'!H2425)&gt;0</f>
        <v>0</v>
      </c>
    </row>
    <row r="2426" spans="1:9">
      <c r="A2426" t="s">
        <v>8913</v>
      </c>
      <c r="B2426" t="s">
        <v>10</v>
      </c>
      <c r="C2426" t="s">
        <v>8914</v>
      </c>
      <c r="D2426" t="s">
        <v>7364</v>
      </c>
      <c r="E2426" t="s">
        <v>7364</v>
      </c>
      <c r="F2426" t="s">
        <v>8915</v>
      </c>
      <c r="G2426" t="s">
        <v>8916</v>
      </c>
      <c r="H2426" t="s">
        <v>8917</v>
      </c>
      <c r="I2426" t="b">
        <f>COUNTIF(Estadísticas!I:I,'centraldecomunicacion.es'!H2426)&gt;0</f>
        <v>1</v>
      </c>
    </row>
    <row r="2427" spans="1:9">
      <c r="A2427" t="s">
        <v>8918</v>
      </c>
      <c r="B2427" t="s">
        <v>10</v>
      </c>
      <c r="C2427" t="s">
        <v>8919</v>
      </c>
      <c r="D2427" t="s">
        <v>7364</v>
      </c>
      <c r="E2427" t="s">
        <v>7364</v>
      </c>
      <c r="F2427" t="s">
        <v>8908</v>
      </c>
      <c r="G2427" t="s">
        <v>8920</v>
      </c>
      <c r="H2427" t="s">
        <v>8910</v>
      </c>
      <c r="I2427" t="b">
        <f>COUNTIF(Estadísticas!I:I,'centraldecomunicacion.es'!H2427)&gt;0</f>
        <v>1</v>
      </c>
    </row>
    <row r="2428" spans="1:9">
      <c r="A2428" t="s">
        <v>8921</v>
      </c>
      <c r="B2428" t="s">
        <v>10</v>
      </c>
      <c r="C2428" t="s">
        <v>8922</v>
      </c>
      <c r="D2428" t="s">
        <v>8923</v>
      </c>
      <c r="E2428" t="s">
        <v>7364</v>
      </c>
      <c r="F2428" t="s">
        <v>8924</v>
      </c>
      <c r="G2428" t="s">
        <v>8925</v>
      </c>
      <c r="H2428" t="s">
        <v>8926</v>
      </c>
      <c r="I2428" t="b">
        <f>COUNTIF(Estadísticas!I:I,'centraldecomunicacion.es'!H2428)&gt;0</f>
        <v>1</v>
      </c>
    </row>
    <row r="2429" spans="1:9">
      <c r="A2429" t="s">
        <v>8927</v>
      </c>
      <c r="B2429" t="s">
        <v>10</v>
      </c>
      <c r="C2429" t="s">
        <v>8928</v>
      </c>
      <c r="D2429" t="s">
        <v>8923</v>
      </c>
      <c r="E2429" t="s">
        <v>7364</v>
      </c>
      <c r="F2429" t="s">
        <v>50</v>
      </c>
      <c r="G2429" t="s">
        <v>8929</v>
      </c>
      <c r="H2429" t="s">
        <v>30</v>
      </c>
      <c r="I2429" t="b">
        <f>COUNTIF(Estadísticas!I:I,'centraldecomunicacion.es'!H2429)&gt;0</f>
        <v>0</v>
      </c>
    </row>
    <row r="2430" spans="1:9">
      <c r="A2430" t="s">
        <v>8930</v>
      </c>
      <c r="B2430" t="s">
        <v>10</v>
      </c>
      <c r="C2430" t="s">
        <v>8931</v>
      </c>
      <c r="D2430" t="s">
        <v>8932</v>
      </c>
      <c r="E2430" t="s">
        <v>7364</v>
      </c>
      <c r="F2430" t="s">
        <v>28</v>
      </c>
      <c r="G2430" t="s">
        <v>8933</v>
      </c>
      <c r="H2430" t="s">
        <v>30</v>
      </c>
      <c r="I2430" t="b">
        <f>COUNTIF(Estadísticas!I:I,'centraldecomunicacion.es'!H2430)&gt;0</f>
        <v>0</v>
      </c>
    </row>
    <row r="2431" spans="1:9">
      <c r="A2431" t="s">
        <v>8934</v>
      </c>
      <c r="B2431" t="s">
        <v>10</v>
      </c>
      <c r="C2431" t="s">
        <v>8935</v>
      </c>
      <c r="D2431" t="s">
        <v>7991</v>
      </c>
      <c r="E2431" t="s">
        <v>7364</v>
      </c>
      <c r="F2431" t="s">
        <v>28</v>
      </c>
      <c r="G2431" t="s">
        <v>8936</v>
      </c>
      <c r="H2431" t="s">
        <v>30</v>
      </c>
      <c r="I2431" t="b">
        <f>COUNTIF(Estadísticas!I:I,'centraldecomunicacion.es'!H2431)&gt;0</f>
        <v>0</v>
      </c>
    </row>
    <row r="2432" spans="1:9">
      <c r="A2432" t="s">
        <v>8937</v>
      </c>
      <c r="B2432" t="s">
        <v>10</v>
      </c>
      <c r="C2432" t="s">
        <v>8938</v>
      </c>
      <c r="D2432" t="s">
        <v>8939</v>
      </c>
      <c r="E2432" t="s">
        <v>7364</v>
      </c>
      <c r="F2432" t="s">
        <v>28</v>
      </c>
      <c r="G2432" t="s">
        <v>28</v>
      </c>
      <c r="H2432" t="s">
        <v>30</v>
      </c>
      <c r="I2432" t="b">
        <f>COUNTIF(Estadísticas!I:I,'centraldecomunicacion.es'!H2432)&gt;0</f>
        <v>0</v>
      </c>
    </row>
    <row r="2433" spans="1:9">
      <c r="A2433" t="s">
        <v>8940</v>
      </c>
      <c r="B2433" t="s">
        <v>10</v>
      </c>
      <c r="C2433" t="s">
        <v>8941</v>
      </c>
      <c r="D2433" t="s">
        <v>8942</v>
      </c>
      <c r="E2433" t="s">
        <v>7364</v>
      </c>
      <c r="F2433" t="s">
        <v>28</v>
      </c>
      <c r="G2433" t="s">
        <v>8943</v>
      </c>
      <c r="H2433" t="s">
        <v>30</v>
      </c>
      <c r="I2433" t="b">
        <f>COUNTIF(Estadísticas!I:I,'centraldecomunicacion.es'!H2433)&gt;0</f>
        <v>0</v>
      </c>
    </row>
    <row r="2434" spans="1:9">
      <c r="A2434" t="s">
        <v>8944</v>
      </c>
      <c r="B2434" t="s">
        <v>10</v>
      </c>
      <c r="C2434" t="s">
        <v>8945</v>
      </c>
      <c r="D2434" t="s">
        <v>8946</v>
      </c>
      <c r="E2434" t="s">
        <v>7364</v>
      </c>
      <c r="F2434" t="s">
        <v>8947</v>
      </c>
      <c r="G2434" t="s">
        <v>8948</v>
      </c>
      <c r="H2434" t="s">
        <v>8949</v>
      </c>
      <c r="I2434" t="b">
        <f>COUNTIF(Estadísticas!I:I,'centraldecomunicacion.es'!H2434)&gt;0</f>
        <v>1</v>
      </c>
    </row>
    <row r="2435" spans="1:9">
      <c r="A2435" t="s">
        <v>8950</v>
      </c>
      <c r="B2435" t="s">
        <v>10</v>
      </c>
      <c r="C2435" t="s">
        <v>8951</v>
      </c>
      <c r="D2435" t="s">
        <v>3540</v>
      </c>
      <c r="E2435" t="s">
        <v>3480</v>
      </c>
      <c r="F2435" t="s">
        <v>28</v>
      </c>
      <c r="G2435" t="s">
        <v>8952</v>
      </c>
      <c r="H2435" t="s">
        <v>30</v>
      </c>
      <c r="I2435" t="b">
        <f>COUNTIF(Estadísticas!I:I,'centraldecomunicacion.es'!H2435)&gt;0</f>
        <v>0</v>
      </c>
    </row>
    <row r="2436" spans="1:9">
      <c r="A2436" t="s">
        <v>8953</v>
      </c>
      <c r="B2436" t="s">
        <v>10</v>
      </c>
      <c r="C2436" t="s">
        <v>8954</v>
      </c>
      <c r="D2436" t="s">
        <v>8955</v>
      </c>
      <c r="E2436" t="s">
        <v>7364</v>
      </c>
      <c r="F2436" t="s">
        <v>8956</v>
      </c>
      <c r="G2436" t="s">
        <v>8957</v>
      </c>
      <c r="H2436" t="s">
        <v>8958</v>
      </c>
      <c r="I2436" t="b">
        <f>COUNTIF(Estadísticas!I:I,'centraldecomunicacion.es'!H2436)&gt;0</f>
        <v>0</v>
      </c>
    </row>
    <row r="2437" spans="1:9">
      <c r="A2437" t="s">
        <v>8959</v>
      </c>
      <c r="B2437" t="s">
        <v>10</v>
      </c>
      <c r="C2437" t="s">
        <v>8960</v>
      </c>
      <c r="D2437" t="s">
        <v>8961</v>
      </c>
      <c r="E2437" t="s">
        <v>7184</v>
      </c>
      <c r="F2437" t="s">
        <v>28</v>
      </c>
      <c r="G2437" t="s">
        <v>8962</v>
      </c>
      <c r="H2437" t="s">
        <v>30</v>
      </c>
      <c r="I2437" t="b">
        <f>COUNTIF(Estadísticas!I:I,'centraldecomunicacion.es'!H2437)&gt;0</f>
        <v>0</v>
      </c>
    </row>
    <row r="2438" spans="1:9">
      <c r="A2438" t="s">
        <v>8963</v>
      </c>
      <c r="B2438" t="s">
        <v>10</v>
      </c>
      <c r="C2438" t="s">
        <v>8964</v>
      </c>
      <c r="D2438" t="s">
        <v>7968</v>
      </c>
      <c r="E2438" t="s">
        <v>7968</v>
      </c>
      <c r="F2438" t="s">
        <v>8965</v>
      </c>
      <c r="G2438" t="s">
        <v>8966</v>
      </c>
      <c r="H2438" t="s">
        <v>30</v>
      </c>
      <c r="I2438" t="b">
        <f>COUNTIF(Estadísticas!I:I,'centraldecomunicacion.es'!H2438)&gt;0</f>
        <v>0</v>
      </c>
    </row>
    <row r="2439" spans="1:9">
      <c r="A2439" t="s">
        <v>8967</v>
      </c>
      <c r="B2439" t="s">
        <v>10</v>
      </c>
      <c r="C2439" t="s">
        <v>8968</v>
      </c>
      <c r="D2439" t="s">
        <v>7968</v>
      </c>
      <c r="E2439" t="s">
        <v>7968</v>
      </c>
      <c r="F2439" t="s">
        <v>8969</v>
      </c>
      <c r="G2439" t="s">
        <v>8970</v>
      </c>
      <c r="H2439" t="s">
        <v>8971</v>
      </c>
      <c r="I2439" t="b">
        <f>COUNTIF(Estadísticas!I:I,'centraldecomunicacion.es'!H2439)&gt;0</f>
        <v>0</v>
      </c>
    </row>
    <row r="2440" spans="1:9">
      <c r="A2440" t="s">
        <v>6780</v>
      </c>
      <c r="B2440" t="s">
        <v>10</v>
      </c>
      <c r="C2440" t="s">
        <v>8972</v>
      </c>
      <c r="D2440" t="s">
        <v>7968</v>
      </c>
      <c r="E2440" t="s">
        <v>7968</v>
      </c>
      <c r="F2440" t="s">
        <v>8973</v>
      </c>
      <c r="G2440" t="s">
        <v>8974</v>
      </c>
      <c r="H2440" t="s">
        <v>30</v>
      </c>
      <c r="I2440" t="b">
        <f>COUNTIF(Estadísticas!I:I,'centraldecomunicacion.es'!H2440)&gt;0</f>
        <v>0</v>
      </c>
    </row>
    <row r="2441" spans="1:9">
      <c r="A2441" t="s">
        <v>8975</v>
      </c>
      <c r="B2441" t="s">
        <v>10</v>
      </c>
      <c r="C2441" t="s">
        <v>8976</v>
      </c>
      <c r="D2441" t="s">
        <v>7968</v>
      </c>
      <c r="E2441" t="s">
        <v>7968</v>
      </c>
      <c r="F2441" t="s">
        <v>8977</v>
      </c>
      <c r="G2441" t="s">
        <v>8978</v>
      </c>
      <c r="H2441" t="s">
        <v>30</v>
      </c>
      <c r="I2441" t="b">
        <f>COUNTIF(Estadísticas!I:I,'centraldecomunicacion.es'!H2441)&gt;0</f>
        <v>0</v>
      </c>
    </row>
    <row r="2442" spans="1:9">
      <c r="A2442" t="s">
        <v>8979</v>
      </c>
      <c r="B2442" t="s">
        <v>10</v>
      </c>
      <c r="C2442" t="s">
        <v>8980</v>
      </c>
      <c r="D2442" t="s">
        <v>7968</v>
      </c>
      <c r="E2442" t="s">
        <v>7968</v>
      </c>
      <c r="F2442" t="s">
        <v>8981</v>
      </c>
      <c r="G2442" t="s">
        <v>8982</v>
      </c>
      <c r="H2442" t="s">
        <v>8983</v>
      </c>
      <c r="I2442" t="b">
        <f>COUNTIF(Estadísticas!I:I,'centraldecomunicacion.es'!H2442)&gt;0</f>
        <v>0</v>
      </c>
    </row>
    <row r="2443" spans="1:9">
      <c r="A2443" t="s">
        <v>26</v>
      </c>
      <c r="B2443" t="s">
        <v>10</v>
      </c>
      <c r="C2443" t="s">
        <v>8984</v>
      </c>
      <c r="D2443" t="s">
        <v>7968</v>
      </c>
      <c r="E2443" t="s">
        <v>7968</v>
      </c>
      <c r="F2443" t="s">
        <v>28</v>
      </c>
      <c r="G2443" t="s">
        <v>396</v>
      </c>
      <c r="H2443" t="s">
        <v>30</v>
      </c>
      <c r="I2443" t="b">
        <f>COUNTIF(Estadísticas!I:I,'centraldecomunicacion.es'!H2443)&gt;0</f>
        <v>0</v>
      </c>
    </row>
    <row r="2444" spans="1:9">
      <c r="A2444" t="s">
        <v>8963</v>
      </c>
      <c r="B2444" t="s">
        <v>10</v>
      </c>
      <c r="C2444" t="s">
        <v>8985</v>
      </c>
      <c r="D2444" t="s">
        <v>7968</v>
      </c>
      <c r="E2444" t="s">
        <v>7968</v>
      </c>
      <c r="F2444" t="s">
        <v>8965</v>
      </c>
      <c r="G2444" t="s">
        <v>8986</v>
      </c>
      <c r="H2444" t="s">
        <v>30</v>
      </c>
      <c r="I2444" t="b">
        <f>COUNTIF(Estadísticas!I:I,'centraldecomunicacion.es'!H2444)&gt;0</f>
        <v>0</v>
      </c>
    </row>
    <row r="2445" spans="1:9">
      <c r="A2445" t="s">
        <v>8987</v>
      </c>
      <c r="B2445" t="s">
        <v>10</v>
      </c>
      <c r="C2445" t="s">
        <v>8984</v>
      </c>
      <c r="D2445" t="s">
        <v>7968</v>
      </c>
      <c r="E2445" t="s">
        <v>7968</v>
      </c>
      <c r="F2445" t="s">
        <v>8988</v>
      </c>
      <c r="G2445" t="s">
        <v>8989</v>
      </c>
      <c r="H2445" t="s">
        <v>30</v>
      </c>
      <c r="I2445" t="b">
        <f>COUNTIF(Estadísticas!I:I,'centraldecomunicacion.es'!H2445)&gt;0</f>
        <v>0</v>
      </c>
    </row>
    <row r="2446" spans="1:9">
      <c r="A2446" t="s">
        <v>8990</v>
      </c>
      <c r="B2446" t="s">
        <v>10</v>
      </c>
      <c r="C2446" t="s">
        <v>8991</v>
      </c>
      <c r="D2446" t="s">
        <v>7968</v>
      </c>
      <c r="E2446" t="s">
        <v>7968</v>
      </c>
      <c r="F2446" t="s">
        <v>28</v>
      </c>
      <c r="G2446" t="s">
        <v>8992</v>
      </c>
      <c r="H2446" t="s">
        <v>30</v>
      </c>
      <c r="I2446" t="b">
        <f>COUNTIF(Estadísticas!I:I,'centraldecomunicacion.es'!H2446)&gt;0</f>
        <v>0</v>
      </c>
    </row>
    <row r="2447" spans="1:9">
      <c r="A2447" t="s">
        <v>1450</v>
      </c>
      <c r="B2447" t="s">
        <v>10</v>
      </c>
      <c r="C2447" t="s">
        <v>8993</v>
      </c>
      <c r="D2447" t="s">
        <v>7968</v>
      </c>
      <c r="E2447" t="s">
        <v>7968</v>
      </c>
      <c r="F2447" t="s">
        <v>28</v>
      </c>
      <c r="G2447" t="s">
        <v>8994</v>
      </c>
      <c r="H2447" t="s">
        <v>30</v>
      </c>
      <c r="I2447" t="b">
        <f>COUNTIF(Estadísticas!I:I,'centraldecomunicacion.es'!H2447)&gt;0</f>
        <v>0</v>
      </c>
    </row>
    <row r="2448" spans="1:9">
      <c r="A2448" t="s">
        <v>8995</v>
      </c>
      <c r="B2448" t="s">
        <v>10</v>
      </c>
      <c r="C2448" t="s">
        <v>8996</v>
      </c>
      <c r="D2448" t="s">
        <v>7968</v>
      </c>
      <c r="E2448" t="s">
        <v>7968</v>
      </c>
      <c r="F2448" t="s">
        <v>8997</v>
      </c>
      <c r="G2448" t="s">
        <v>8998</v>
      </c>
      <c r="H2448" t="s">
        <v>8999</v>
      </c>
      <c r="I2448" t="b">
        <f>COUNTIF(Estadísticas!I:I,'centraldecomunicacion.es'!H2448)&gt;0</f>
        <v>0</v>
      </c>
    </row>
    <row r="2449" spans="1:9">
      <c r="A2449" t="s">
        <v>9000</v>
      </c>
      <c r="B2449" t="s">
        <v>10</v>
      </c>
      <c r="C2449" t="s">
        <v>9001</v>
      </c>
      <c r="D2449" t="s">
        <v>7968</v>
      </c>
      <c r="E2449" t="s">
        <v>7968</v>
      </c>
      <c r="F2449" t="s">
        <v>9002</v>
      </c>
      <c r="G2449" t="s">
        <v>9003</v>
      </c>
      <c r="H2449" t="s">
        <v>9004</v>
      </c>
      <c r="I2449" t="b">
        <f>COUNTIF(Estadísticas!I:I,'centraldecomunicacion.es'!H2449)&gt;0</f>
        <v>0</v>
      </c>
    </row>
    <row r="2450" spans="1:9">
      <c r="A2450" t="s">
        <v>8987</v>
      </c>
      <c r="B2450" t="s">
        <v>219</v>
      </c>
      <c r="C2450" t="s">
        <v>9005</v>
      </c>
      <c r="D2450" t="s">
        <v>7968</v>
      </c>
      <c r="E2450" t="s">
        <v>7968</v>
      </c>
      <c r="F2450" t="s">
        <v>8988</v>
      </c>
      <c r="G2450" t="s">
        <v>9006</v>
      </c>
      <c r="H2450" t="s">
        <v>30</v>
      </c>
      <c r="I2450" t="b">
        <f>COUNTIF(Estadísticas!I:I,'centraldecomunicacion.es'!H2450)&gt;0</f>
        <v>0</v>
      </c>
    </row>
    <row r="2451" spans="1:9">
      <c r="A2451" t="s">
        <v>9007</v>
      </c>
      <c r="B2451" t="s">
        <v>10</v>
      </c>
      <c r="C2451" t="s">
        <v>9008</v>
      </c>
      <c r="D2451" t="s">
        <v>7968</v>
      </c>
      <c r="E2451" t="s">
        <v>7968</v>
      </c>
      <c r="F2451" t="s">
        <v>28</v>
      </c>
      <c r="G2451" t="s">
        <v>9009</v>
      </c>
      <c r="H2451" t="s">
        <v>30</v>
      </c>
      <c r="I2451" t="b">
        <f>COUNTIF(Estadísticas!I:I,'centraldecomunicacion.es'!H2451)&gt;0</f>
        <v>0</v>
      </c>
    </row>
    <row r="2452" spans="1:9">
      <c r="A2452" t="s">
        <v>9010</v>
      </c>
      <c r="B2452" t="s">
        <v>10</v>
      </c>
      <c r="C2452" t="s">
        <v>9011</v>
      </c>
      <c r="D2452" t="s">
        <v>7968</v>
      </c>
      <c r="E2452" t="s">
        <v>7968</v>
      </c>
      <c r="F2452" t="s">
        <v>28</v>
      </c>
      <c r="G2452" t="s">
        <v>9012</v>
      </c>
      <c r="H2452" t="s">
        <v>30</v>
      </c>
      <c r="I2452" t="b">
        <f>COUNTIF(Estadísticas!I:I,'centraldecomunicacion.es'!H2452)&gt;0</f>
        <v>0</v>
      </c>
    </row>
    <row r="2453" spans="1:9">
      <c r="A2453" t="s">
        <v>9013</v>
      </c>
      <c r="B2453" t="s">
        <v>10</v>
      </c>
      <c r="C2453" t="s">
        <v>9014</v>
      </c>
      <c r="D2453" t="s">
        <v>7968</v>
      </c>
      <c r="E2453" t="s">
        <v>7968</v>
      </c>
      <c r="F2453" t="s">
        <v>9015</v>
      </c>
      <c r="G2453" t="s">
        <v>9016</v>
      </c>
      <c r="H2453" t="s">
        <v>9017</v>
      </c>
      <c r="I2453" t="b">
        <f>COUNTIF(Estadísticas!I:I,'centraldecomunicacion.es'!H2453)&gt;0</f>
        <v>0</v>
      </c>
    </row>
    <row r="2454" spans="1:9">
      <c r="A2454" t="s">
        <v>9018</v>
      </c>
      <c r="B2454" t="s">
        <v>10</v>
      </c>
      <c r="C2454" t="s">
        <v>9019</v>
      </c>
      <c r="D2454" t="s">
        <v>7968</v>
      </c>
      <c r="E2454" t="s">
        <v>7968</v>
      </c>
      <c r="F2454" t="s">
        <v>9020</v>
      </c>
      <c r="G2454" t="s">
        <v>9021</v>
      </c>
      <c r="H2454" t="s">
        <v>9022</v>
      </c>
      <c r="I2454" t="b">
        <f>COUNTIF(Estadísticas!I:I,'centraldecomunicacion.es'!H2454)&gt;0</f>
        <v>0</v>
      </c>
    </row>
    <row r="2455" spans="1:9">
      <c r="A2455" t="s">
        <v>9023</v>
      </c>
      <c r="B2455" t="s">
        <v>10</v>
      </c>
      <c r="C2455" t="s">
        <v>9024</v>
      </c>
      <c r="D2455" t="s">
        <v>7968</v>
      </c>
      <c r="E2455" t="s">
        <v>7968</v>
      </c>
      <c r="F2455" t="s">
        <v>28</v>
      </c>
      <c r="G2455" t="s">
        <v>9025</v>
      </c>
      <c r="H2455" t="s">
        <v>30</v>
      </c>
      <c r="I2455" t="b">
        <f>COUNTIF(Estadísticas!I:I,'centraldecomunicacion.es'!H2455)&gt;0</f>
        <v>0</v>
      </c>
    </row>
    <row r="2456" spans="1:9">
      <c r="A2456" t="s">
        <v>4447</v>
      </c>
      <c r="B2456" t="s">
        <v>10</v>
      </c>
      <c r="C2456" t="s">
        <v>9026</v>
      </c>
      <c r="D2456" t="s">
        <v>7968</v>
      </c>
      <c r="E2456" t="s">
        <v>7968</v>
      </c>
      <c r="F2456" t="s">
        <v>9027</v>
      </c>
      <c r="G2456" t="s">
        <v>9028</v>
      </c>
      <c r="H2456" t="s">
        <v>30</v>
      </c>
      <c r="I2456" t="b">
        <f>COUNTIF(Estadísticas!I:I,'centraldecomunicacion.es'!H2456)&gt;0</f>
        <v>0</v>
      </c>
    </row>
    <row r="2457" spans="1:9">
      <c r="A2457" t="s">
        <v>9029</v>
      </c>
      <c r="B2457" t="s">
        <v>10</v>
      </c>
      <c r="C2457" t="s">
        <v>9030</v>
      </c>
      <c r="D2457" t="s">
        <v>7968</v>
      </c>
      <c r="E2457" t="s">
        <v>7968</v>
      </c>
      <c r="F2457" t="s">
        <v>28</v>
      </c>
      <c r="G2457" t="s">
        <v>9031</v>
      </c>
      <c r="H2457" t="s">
        <v>30</v>
      </c>
      <c r="I2457" t="b">
        <f>COUNTIF(Estadísticas!I:I,'centraldecomunicacion.es'!H2457)&gt;0</f>
        <v>0</v>
      </c>
    </row>
    <row r="2458" spans="1:9">
      <c r="A2458" t="s">
        <v>9032</v>
      </c>
      <c r="B2458" t="s">
        <v>10</v>
      </c>
      <c r="C2458" t="s">
        <v>9033</v>
      </c>
      <c r="D2458" t="s">
        <v>7968</v>
      </c>
      <c r="E2458" t="s">
        <v>7968</v>
      </c>
      <c r="F2458" t="s">
        <v>9034</v>
      </c>
      <c r="G2458" t="s">
        <v>9035</v>
      </c>
      <c r="H2458" t="s">
        <v>691</v>
      </c>
      <c r="I2458" t="b">
        <f>COUNTIF(Estadísticas!I:I,'centraldecomunicacion.es'!H2458)&gt;0</f>
        <v>0</v>
      </c>
    </row>
    <row r="2459" spans="1:9">
      <c r="A2459" t="s">
        <v>9036</v>
      </c>
      <c r="B2459" t="s">
        <v>10</v>
      </c>
      <c r="C2459" t="s">
        <v>9037</v>
      </c>
      <c r="D2459" t="s">
        <v>7968</v>
      </c>
      <c r="E2459" t="s">
        <v>7968</v>
      </c>
      <c r="F2459" t="s">
        <v>28</v>
      </c>
      <c r="G2459" t="s">
        <v>9038</v>
      </c>
      <c r="H2459" t="s">
        <v>30</v>
      </c>
      <c r="I2459" t="b">
        <f>COUNTIF(Estadísticas!I:I,'centraldecomunicacion.es'!H2459)&gt;0</f>
        <v>0</v>
      </c>
    </row>
    <row r="2460" spans="1:9">
      <c r="A2460" t="s">
        <v>9013</v>
      </c>
      <c r="B2460" t="s">
        <v>10</v>
      </c>
      <c r="C2460" t="s">
        <v>9039</v>
      </c>
      <c r="D2460" t="s">
        <v>7968</v>
      </c>
      <c r="E2460" t="s">
        <v>7968</v>
      </c>
      <c r="F2460" t="s">
        <v>9015</v>
      </c>
      <c r="G2460" t="s">
        <v>9016</v>
      </c>
      <c r="H2460" t="s">
        <v>9017</v>
      </c>
      <c r="I2460" t="b">
        <f>COUNTIF(Estadísticas!I:I,'centraldecomunicacion.es'!H2460)&gt;0</f>
        <v>0</v>
      </c>
    </row>
    <row r="2461" spans="1:9">
      <c r="A2461" t="s">
        <v>9040</v>
      </c>
      <c r="B2461" t="s">
        <v>10</v>
      </c>
      <c r="C2461" t="s">
        <v>9041</v>
      </c>
      <c r="D2461" t="s">
        <v>7968</v>
      </c>
      <c r="E2461" t="s">
        <v>7968</v>
      </c>
      <c r="F2461" t="s">
        <v>28</v>
      </c>
      <c r="G2461" t="s">
        <v>28</v>
      </c>
      <c r="H2461" t="s">
        <v>30</v>
      </c>
      <c r="I2461" t="b">
        <f>COUNTIF(Estadísticas!I:I,'centraldecomunicacion.es'!H2461)&gt;0</f>
        <v>0</v>
      </c>
    </row>
    <row r="2462" spans="1:9">
      <c r="A2462" t="s">
        <v>9042</v>
      </c>
      <c r="B2462" t="s">
        <v>10</v>
      </c>
      <c r="C2462" t="s">
        <v>9043</v>
      </c>
      <c r="D2462" t="s">
        <v>7968</v>
      </c>
      <c r="E2462" t="s">
        <v>7968</v>
      </c>
      <c r="F2462" t="s">
        <v>28</v>
      </c>
      <c r="G2462" t="s">
        <v>9044</v>
      </c>
      <c r="H2462" t="s">
        <v>30</v>
      </c>
      <c r="I2462" t="b">
        <f>COUNTIF(Estadísticas!I:I,'centraldecomunicacion.es'!H2462)&gt;0</f>
        <v>0</v>
      </c>
    </row>
    <row r="2463" spans="1:9">
      <c r="A2463" t="s">
        <v>9045</v>
      </c>
      <c r="B2463" t="s">
        <v>10</v>
      </c>
      <c r="C2463" t="s">
        <v>9046</v>
      </c>
      <c r="D2463" t="s">
        <v>7968</v>
      </c>
      <c r="E2463" t="s">
        <v>7968</v>
      </c>
      <c r="F2463" t="s">
        <v>38</v>
      </c>
      <c r="G2463" t="s">
        <v>9047</v>
      </c>
      <c r="H2463" t="s">
        <v>30</v>
      </c>
      <c r="I2463" t="b">
        <f>COUNTIF(Estadísticas!I:I,'centraldecomunicacion.es'!H2463)&gt;0</f>
        <v>0</v>
      </c>
    </row>
    <row r="2464" spans="1:9">
      <c r="A2464" t="s">
        <v>9048</v>
      </c>
      <c r="B2464" t="s">
        <v>10</v>
      </c>
      <c r="C2464" t="s">
        <v>9049</v>
      </c>
      <c r="D2464" t="s">
        <v>7968</v>
      </c>
      <c r="E2464" t="s">
        <v>7968</v>
      </c>
      <c r="F2464" t="s">
        <v>9050</v>
      </c>
      <c r="G2464" t="s">
        <v>9051</v>
      </c>
      <c r="H2464" t="s">
        <v>9052</v>
      </c>
      <c r="I2464" t="b">
        <f>COUNTIF(Estadísticas!I:I,'centraldecomunicacion.es'!H2464)&gt;0</f>
        <v>0</v>
      </c>
    </row>
    <row r="2465" spans="1:9">
      <c r="A2465" t="s">
        <v>7804</v>
      </c>
      <c r="B2465" t="s">
        <v>10</v>
      </c>
      <c r="C2465" t="s">
        <v>9053</v>
      </c>
      <c r="D2465" t="s">
        <v>7968</v>
      </c>
      <c r="E2465" t="s">
        <v>7968</v>
      </c>
      <c r="F2465" t="s">
        <v>28</v>
      </c>
      <c r="G2465" t="s">
        <v>28</v>
      </c>
      <c r="H2465" t="s">
        <v>30</v>
      </c>
      <c r="I2465" t="b">
        <f>COUNTIF(Estadísticas!I:I,'centraldecomunicacion.es'!H2465)&gt;0</f>
        <v>0</v>
      </c>
    </row>
    <row r="2466" spans="1:9">
      <c r="A2466" t="s">
        <v>9054</v>
      </c>
      <c r="B2466" t="s">
        <v>10</v>
      </c>
      <c r="C2466" t="s">
        <v>7967</v>
      </c>
      <c r="D2466" t="s">
        <v>7968</v>
      </c>
      <c r="E2466" t="s">
        <v>7968</v>
      </c>
      <c r="F2466" t="s">
        <v>28</v>
      </c>
      <c r="G2466" t="s">
        <v>9055</v>
      </c>
      <c r="H2466" t="s">
        <v>30</v>
      </c>
      <c r="I2466" t="b">
        <f>COUNTIF(Estadísticas!I:I,'centraldecomunicacion.es'!H2466)&gt;0</f>
        <v>0</v>
      </c>
    </row>
    <row r="2467" spans="1:9">
      <c r="A2467" t="s">
        <v>9056</v>
      </c>
      <c r="B2467" t="s">
        <v>10</v>
      </c>
      <c r="C2467" t="s">
        <v>9057</v>
      </c>
      <c r="D2467" t="s">
        <v>9058</v>
      </c>
      <c r="E2467" t="s">
        <v>7968</v>
      </c>
      <c r="F2467" t="s">
        <v>28</v>
      </c>
      <c r="G2467" t="s">
        <v>9059</v>
      </c>
      <c r="H2467" t="s">
        <v>30</v>
      </c>
      <c r="I2467" t="b">
        <f>COUNTIF(Estadísticas!I:I,'centraldecomunicacion.es'!H2467)&gt;0</f>
        <v>0</v>
      </c>
    </row>
    <row r="2468" spans="1:9">
      <c r="A2468" t="s">
        <v>9060</v>
      </c>
      <c r="B2468" t="s">
        <v>10</v>
      </c>
      <c r="C2468" t="s">
        <v>9061</v>
      </c>
      <c r="D2468" t="s">
        <v>7968</v>
      </c>
      <c r="E2468" t="s">
        <v>7968</v>
      </c>
      <c r="F2468" t="s">
        <v>9062</v>
      </c>
      <c r="G2468" t="s">
        <v>9063</v>
      </c>
      <c r="H2468" t="s">
        <v>9064</v>
      </c>
      <c r="I2468" t="b">
        <f>COUNTIF(Estadísticas!I:I,'centraldecomunicacion.es'!H2468)&gt;0</f>
        <v>1</v>
      </c>
    </row>
    <row r="2469" spans="1:9">
      <c r="A2469" t="s">
        <v>9065</v>
      </c>
      <c r="B2469" t="s">
        <v>10</v>
      </c>
      <c r="C2469" t="s">
        <v>9066</v>
      </c>
      <c r="D2469" t="s">
        <v>7968</v>
      </c>
      <c r="E2469" t="s">
        <v>7968</v>
      </c>
      <c r="F2469" t="s">
        <v>9067</v>
      </c>
      <c r="G2469" t="s">
        <v>9068</v>
      </c>
      <c r="H2469" t="s">
        <v>30</v>
      </c>
      <c r="I2469" t="b">
        <f>COUNTIF(Estadísticas!I:I,'centraldecomunicacion.es'!H2469)&gt;0</f>
        <v>0</v>
      </c>
    </row>
    <row r="2470" spans="1:9">
      <c r="A2470" t="s">
        <v>9069</v>
      </c>
      <c r="B2470" t="s">
        <v>10</v>
      </c>
      <c r="C2470" t="s">
        <v>9066</v>
      </c>
      <c r="D2470" t="s">
        <v>7968</v>
      </c>
      <c r="E2470" t="s">
        <v>7968</v>
      </c>
      <c r="F2470" t="s">
        <v>28</v>
      </c>
      <c r="G2470" t="s">
        <v>9068</v>
      </c>
      <c r="H2470" t="s">
        <v>30</v>
      </c>
      <c r="I2470" t="b">
        <f>COUNTIF(Estadísticas!I:I,'centraldecomunicacion.es'!H2470)&gt;0</f>
        <v>0</v>
      </c>
    </row>
    <row r="2471" spans="1:9">
      <c r="A2471" t="s">
        <v>9070</v>
      </c>
      <c r="B2471" t="s">
        <v>10</v>
      </c>
      <c r="C2471" t="s">
        <v>9071</v>
      </c>
      <c r="D2471" t="s">
        <v>9072</v>
      </c>
      <c r="E2471" t="s">
        <v>7968</v>
      </c>
      <c r="F2471" t="s">
        <v>28</v>
      </c>
      <c r="G2471" t="s">
        <v>9073</v>
      </c>
      <c r="H2471" t="s">
        <v>30</v>
      </c>
      <c r="I2471" t="b">
        <f>COUNTIF(Estadísticas!I:I,'centraldecomunicacion.es'!H2471)&gt;0</f>
        <v>0</v>
      </c>
    </row>
    <row r="2472" spans="1:9">
      <c r="A2472" t="s">
        <v>9074</v>
      </c>
      <c r="B2472" t="s">
        <v>10</v>
      </c>
      <c r="C2472" t="s">
        <v>9075</v>
      </c>
      <c r="D2472" t="s">
        <v>7968</v>
      </c>
      <c r="E2472" t="s">
        <v>7968</v>
      </c>
      <c r="F2472" t="s">
        <v>9076</v>
      </c>
      <c r="G2472" t="s">
        <v>9077</v>
      </c>
      <c r="H2472" t="s">
        <v>9078</v>
      </c>
      <c r="I2472" t="b">
        <f>COUNTIF(Estadísticas!I:I,'centraldecomunicacion.es'!H2472)&gt;0</f>
        <v>0</v>
      </c>
    </row>
    <row r="2473" spans="1:9">
      <c r="A2473" t="s">
        <v>9079</v>
      </c>
      <c r="B2473" t="s">
        <v>10</v>
      </c>
      <c r="C2473" t="s">
        <v>9080</v>
      </c>
      <c r="D2473" t="s">
        <v>7968</v>
      </c>
      <c r="E2473" t="s">
        <v>7968</v>
      </c>
      <c r="F2473" t="s">
        <v>28</v>
      </c>
      <c r="G2473" t="s">
        <v>9081</v>
      </c>
      <c r="H2473" t="s">
        <v>30</v>
      </c>
      <c r="I2473" t="b">
        <f>COUNTIF(Estadísticas!I:I,'centraldecomunicacion.es'!H2473)&gt;0</f>
        <v>0</v>
      </c>
    </row>
    <row r="2474" spans="1:9">
      <c r="A2474" t="s">
        <v>9082</v>
      </c>
      <c r="B2474" t="s">
        <v>10</v>
      </c>
      <c r="C2474" t="s">
        <v>9083</v>
      </c>
      <c r="D2474" t="s">
        <v>7968</v>
      </c>
      <c r="E2474" t="s">
        <v>7968</v>
      </c>
      <c r="F2474" t="s">
        <v>9084</v>
      </c>
      <c r="G2474" t="s">
        <v>9085</v>
      </c>
      <c r="H2474" t="s">
        <v>9086</v>
      </c>
      <c r="I2474" t="b">
        <f>COUNTIF(Estadísticas!I:I,'centraldecomunicacion.es'!H2474)&gt;0</f>
        <v>1</v>
      </c>
    </row>
    <row r="2475" spans="1:9">
      <c r="A2475" t="s">
        <v>9087</v>
      </c>
      <c r="B2475" t="s">
        <v>10</v>
      </c>
      <c r="C2475" t="s">
        <v>9088</v>
      </c>
      <c r="D2475" t="s">
        <v>7968</v>
      </c>
      <c r="E2475" t="s">
        <v>7968</v>
      </c>
      <c r="F2475" t="s">
        <v>28</v>
      </c>
      <c r="G2475" t="s">
        <v>9089</v>
      </c>
      <c r="H2475" t="s">
        <v>30</v>
      </c>
      <c r="I2475" t="b">
        <f>COUNTIF(Estadísticas!I:I,'centraldecomunicacion.es'!H2475)&gt;0</f>
        <v>0</v>
      </c>
    </row>
    <row r="2476" spans="1:9">
      <c r="A2476" t="s">
        <v>9090</v>
      </c>
      <c r="B2476" t="s">
        <v>10</v>
      </c>
      <c r="C2476" t="s">
        <v>9033</v>
      </c>
      <c r="D2476" t="s">
        <v>7968</v>
      </c>
      <c r="E2476" t="s">
        <v>7968</v>
      </c>
      <c r="F2476" t="s">
        <v>9091</v>
      </c>
      <c r="G2476" t="s">
        <v>9035</v>
      </c>
      <c r="H2476" t="s">
        <v>9092</v>
      </c>
      <c r="I2476" t="b">
        <f>COUNTIF(Estadísticas!I:I,'centraldecomunicacion.es'!H2476)&gt;0</f>
        <v>0</v>
      </c>
    </row>
    <row r="2477" spans="1:9">
      <c r="A2477" t="s">
        <v>9093</v>
      </c>
      <c r="B2477" t="s">
        <v>10</v>
      </c>
      <c r="C2477" t="s">
        <v>9094</v>
      </c>
      <c r="D2477" t="s">
        <v>9058</v>
      </c>
      <c r="E2477" t="s">
        <v>7968</v>
      </c>
      <c r="F2477" t="s">
        <v>28</v>
      </c>
      <c r="G2477" t="s">
        <v>28</v>
      </c>
      <c r="H2477" t="s">
        <v>30</v>
      </c>
      <c r="I2477" t="b">
        <f>COUNTIF(Estadísticas!I:I,'centraldecomunicacion.es'!H2477)&gt;0</f>
        <v>0</v>
      </c>
    </row>
    <row r="2478" spans="1:9">
      <c r="A2478" t="s">
        <v>9095</v>
      </c>
      <c r="B2478" t="s">
        <v>10</v>
      </c>
      <c r="C2478" t="s">
        <v>9096</v>
      </c>
      <c r="D2478" t="s">
        <v>7968</v>
      </c>
      <c r="E2478" t="s">
        <v>7968</v>
      </c>
      <c r="F2478" t="s">
        <v>28</v>
      </c>
      <c r="G2478" t="s">
        <v>9097</v>
      </c>
      <c r="H2478" t="s">
        <v>30</v>
      </c>
      <c r="I2478" t="b">
        <f>COUNTIF(Estadísticas!I:I,'centraldecomunicacion.es'!H2478)&gt;0</f>
        <v>0</v>
      </c>
    </row>
    <row r="2479" spans="1:9">
      <c r="A2479" t="s">
        <v>9098</v>
      </c>
      <c r="B2479" t="s">
        <v>10</v>
      </c>
      <c r="C2479" t="s">
        <v>9099</v>
      </c>
      <c r="D2479" t="s">
        <v>9058</v>
      </c>
      <c r="E2479" t="s">
        <v>7968</v>
      </c>
      <c r="F2479" t="s">
        <v>9100</v>
      </c>
      <c r="G2479" t="s">
        <v>9101</v>
      </c>
      <c r="H2479" t="s">
        <v>9102</v>
      </c>
      <c r="I2479" t="b">
        <f>COUNTIF(Estadísticas!I:I,'centraldecomunicacion.es'!H2479)&gt;0</f>
        <v>0</v>
      </c>
    </row>
    <row r="2480" spans="1:9">
      <c r="A2480" t="s">
        <v>9103</v>
      </c>
      <c r="B2480" t="s">
        <v>10</v>
      </c>
      <c r="C2480" t="s">
        <v>9104</v>
      </c>
      <c r="D2480" t="s">
        <v>9105</v>
      </c>
      <c r="E2480" t="s">
        <v>7968</v>
      </c>
      <c r="F2480" t="s">
        <v>9106</v>
      </c>
      <c r="G2480" t="s">
        <v>9107</v>
      </c>
      <c r="H2480" t="s">
        <v>30</v>
      </c>
      <c r="I2480" t="b">
        <f>COUNTIF(Estadísticas!I:I,'centraldecomunicacion.es'!H2480)&gt;0</f>
        <v>0</v>
      </c>
    </row>
    <row r="2481" spans="1:9">
      <c r="A2481" t="s">
        <v>9108</v>
      </c>
      <c r="B2481" t="s">
        <v>10</v>
      </c>
      <c r="C2481" t="s">
        <v>9109</v>
      </c>
      <c r="D2481" t="s">
        <v>9058</v>
      </c>
      <c r="E2481" t="s">
        <v>7968</v>
      </c>
      <c r="F2481" t="s">
        <v>28</v>
      </c>
      <c r="G2481" t="s">
        <v>9110</v>
      </c>
      <c r="H2481" t="s">
        <v>30</v>
      </c>
      <c r="I2481" t="b">
        <f>COUNTIF(Estadísticas!I:I,'centraldecomunicacion.es'!H2481)&gt;0</f>
        <v>0</v>
      </c>
    </row>
    <row r="2482" spans="1:9">
      <c r="A2482" t="s">
        <v>9111</v>
      </c>
      <c r="B2482" t="s">
        <v>10</v>
      </c>
      <c r="C2482" t="s">
        <v>9112</v>
      </c>
      <c r="D2482" t="s">
        <v>7968</v>
      </c>
      <c r="E2482" t="s">
        <v>7968</v>
      </c>
      <c r="F2482" t="s">
        <v>28</v>
      </c>
      <c r="G2482" t="s">
        <v>9113</v>
      </c>
      <c r="H2482" t="s">
        <v>30</v>
      </c>
      <c r="I2482" t="b">
        <f>COUNTIF(Estadísticas!I:I,'centraldecomunicacion.es'!H2482)&gt;0</f>
        <v>0</v>
      </c>
    </row>
    <row r="2483" spans="1:9">
      <c r="A2483" t="s">
        <v>9114</v>
      </c>
      <c r="B2483" t="s">
        <v>10</v>
      </c>
      <c r="C2483" t="s">
        <v>9115</v>
      </c>
      <c r="D2483" t="s">
        <v>7968</v>
      </c>
      <c r="E2483" t="s">
        <v>7968</v>
      </c>
      <c r="F2483" t="s">
        <v>511</v>
      </c>
      <c r="G2483" t="s">
        <v>9116</v>
      </c>
      <c r="H2483" t="s">
        <v>513</v>
      </c>
      <c r="I2483" t="b">
        <f>COUNTIF(Estadísticas!I:I,'centraldecomunicacion.es'!H2483)&gt;0</f>
        <v>1</v>
      </c>
    </row>
    <row r="2484" spans="1:9">
      <c r="A2484" t="s">
        <v>9117</v>
      </c>
      <c r="B2484" t="s">
        <v>10</v>
      </c>
      <c r="C2484" t="s">
        <v>9118</v>
      </c>
      <c r="D2484" t="s">
        <v>7968</v>
      </c>
      <c r="E2484" t="s">
        <v>7968</v>
      </c>
      <c r="F2484" t="s">
        <v>9119</v>
      </c>
      <c r="G2484" t="s">
        <v>9120</v>
      </c>
      <c r="H2484" t="s">
        <v>9121</v>
      </c>
      <c r="I2484" t="b">
        <f>COUNTIF(Estadísticas!I:I,'centraldecomunicacion.es'!H2484)&gt;0</f>
        <v>1</v>
      </c>
    </row>
    <row r="2485" spans="1:9">
      <c r="A2485" t="s">
        <v>9122</v>
      </c>
      <c r="B2485" t="s">
        <v>10</v>
      </c>
      <c r="C2485" t="s">
        <v>9123</v>
      </c>
      <c r="D2485" t="s">
        <v>9124</v>
      </c>
      <c r="E2485" t="s">
        <v>7968</v>
      </c>
      <c r="F2485" t="s">
        <v>38</v>
      </c>
      <c r="G2485" t="s">
        <v>9125</v>
      </c>
      <c r="H2485" t="s">
        <v>30</v>
      </c>
      <c r="I2485" t="b">
        <f>COUNTIF(Estadísticas!I:I,'centraldecomunicacion.es'!H2485)&gt;0</f>
        <v>0</v>
      </c>
    </row>
    <row r="2486" spans="1:9">
      <c r="A2486" t="s">
        <v>9126</v>
      </c>
      <c r="B2486" t="s">
        <v>10</v>
      </c>
      <c r="C2486" t="s">
        <v>9127</v>
      </c>
      <c r="D2486" t="s">
        <v>9128</v>
      </c>
      <c r="E2486" t="s">
        <v>7968</v>
      </c>
      <c r="F2486" t="s">
        <v>38</v>
      </c>
      <c r="G2486" t="s">
        <v>9129</v>
      </c>
      <c r="H2486" t="s">
        <v>30</v>
      </c>
      <c r="I2486" t="b">
        <f>COUNTIF(Estadísticas!I:I,'centraldecomunicacion.es'!H2486)&gt;0</f>
        <v>0</v>
      </c>
    </row>
    <row r="2487" spans="1:9">
      <c r="A2487" t="s">
        <v>9130</v>
      </c>
      <c r="B2487" t="s">
        <v>10</v>
      </c>
      <c r="C2487" t="s">
        <v>9131</v>
      </c>
      <c r="D2487" t="s">
        <v>9128</v>
      </c>
      <c r="E2487" t="s">
        <v>7968</v>
      </c>
      <c r="F2487" t="s">
        <v>9132</v>
      </c>
      <c r="G2487" t="s">
        <v>9133</v>
      </c>
      <c r="H2487" t="s">
        <v>9134</v>
      </c>
      <c r="I2487" t="b">
        <f>COUNTIF(Estadísticas!I:I,'centraldecomunicacion.es'!H2487)&gt;0</f>
        <v>0</v>
      </c>
    </row>
    <row r="2488" spans="1:9">
      <c r="A2488" t="s">
        <v>9135</v>
      </c>
      <c r="B2488" t="s">
        <v>10</v>
      </c>
      <c r="C2488" t="s">
        <v>9136</v>
      </c>
      <c r="D2488" t="s">
        <v>9137</v>
      </c>
      <c r="E2488" t="s">
        <v>7968</v>
      </c>
      <c r="F2488" t="s">
        <v>28</v>
      </c>
      <c r="G2488" t="s">
        <v>9138</v>
      </c>
      <c r="H2488" t="s">
        <v>30</v>
      </c>
      <c r="I2488" t="b">
        <f>COUNTIF(Estadísticas!I:I,'centraldecomunicacion.es'!H2488)&gt;0</f>
        <v>0</v>
      </c>
    </row>
    <row r="2489" spans="1:9">
      <c r="A2489" t="s">
        <v>9139</v>
      </c>
      <c r="B2489" t="s">
        <v>10</v>
      </c>
      <c r="C2489" t="s">
        <v>9140</v>
      </c>
      <c r="D2489" t="s">
        <v>8379</v>
      </c>
      <c r="E2489" t="s">
        <v>7968</v>
      </c>
      <c r="F2489" t="s">
        <v>9141</v>
      </c>
      <c r="G2489" t="s">
        <v>9142</v>
      </c>
      <c r="H2489" t="s">
        <v>9143</v>
      </c>
      <c r="I2489" t="b">
        <f>COUNTIF(Estadísticas!I:I,'centraldecomunicacion.es'!H2489)&gt;0</f>
        <v>0</v>
      </c>
    </row>
    <row r="2490" spans="1:9">
      <c r="A2490" t="s">
        <v>9144</v>
      </c>
      <c r="B2490" t="s">
        <v>10</v>
      </c>
      <c r="C2490" t="s">
        <v>9145</v>
      </c>
      <c r="D2490" t="s">
        <v>9146</v>
      </c>
      <c r="E2490" t="s">
        <v>7968</v>
      </c>
      <c r="F2490" t="s">
        <v>9147</v>
      </c>
      <c r="G2490" t="s">
        <v>9148</v>
      </c>
      <c r="H2490" t="s">
        <v>30</v>
      </c>
      <c r="I2490" t="b">
        <f>COUNTIF(Estadísticas!I:I,'centraldecomunicacion.es'!H2490)&gt;0</f>
        <v>0</v>
      </c>
    </row>
    <row r="2491" spans="1:9">
      <c r="A2491" t="s">
        <v>9149</v>
      </c>
      <c r="B2491" t="s">
        <v>219</v>
      </c>
      <c r="C2491" t="s">
        <v>9150</v>
      </c>
      <c r="D2491" t="s">
        <v>7968</v>
      </c>
      <c r="E2491" t="s">
        <v>7968</v>
      </c>
      <c r="F2491" t="s">
        <v>28</v>
      </c>
      <c r="G2491" t="s">
        <v>9151</v>
      </c>
      <c r="H2491" t="s">
        <v>30</v>
      </c>
      <c r="I2491" t="b">
        <f>COUNTIF(Estadísticas!I:I,'centraldecomunicacion.es'!H2491)&gt;0</f>
        <v>0</v>
      </c>
    </row>
    <row r="2492" spans="1:9">
      <c r="A2492" t="s">
        <v>9152</v>
      </c>
      <c r="B2492" t="s">
        <v>10</v>
      </c>
      <c r="C2492" t="s">
        <v>9153</v>
      </c>
      <c r="D2492" t="s">
        <v>9154</v>
      </c>
      <c r="E2492" t="s">
        <v>7968</v>
      </c>
      <c r="F2492" t="s">
        <v>9155</v>
      </c>
      <c r="G2492" t="s">
        <v>9156</v>
      </c>
      <c r="H2492" t="s">
        <v>30</v>
      </c>
      <c r="I2492" t="b">
        <f>COUNTIF(Estadísticas!I:I,'centraldecomunicacion.es'!H2492)&gt;0</f>
        <v>0</v>
      </c>
    </row>
    <row r="2493" spans="1:9">
      <c r="A2493" t="s">
        <v>9157</v>
      </c>
      <c r="B2493" t="s">
        <v>10</v>
      </c>
      <c r="C2493" t="s">
        <v>9158</v>
      </c>
      <c r="D2493" t="s">
        <v>9159</v>
      </c>
      <c r="E2493" t="s">
        <v>7968</v>
      </c>
      <c r="F2493" t="s">
        <v>28</v>
      </c>
      <c r="G2493" t="s">
        <v>9160</v>
      </c>
      <c r="H2493" t="s">
        <v>30</v>
      </c>
      <c r="I2493" t="b">
        <f>COUNTIF(Estadísticas!I:I,'centraldecomunicacion.es'!H2493)&gt;0</f>
        <v>0</v>
      </c>
    </row>
    <row r="2494" spans="1:9">
      <c r="A2494" t="s">
        <v>9161</v>
      </c>
      <c r="B2494" t="s">
        <v>10</v>
      </c>
      <c r="C2494" t="s">
        <v>9162</v>
      </c>
      <c r="D2494" t="s">
        <v>9163</v>
      </c>
      <c r="E2494" t="s">
        <v>7968</v>
      </c>
      <c r="F2494" t="s">
        <v>9164</v>
      </c>
      <c r="G2494" t="s">
        <v>9165</v>
      </c>
      <c r="H2494" t="s">
        <v>9166</v>
      </c>
      <c r="I2494" t="b">
        <f>COUNTIF(Estadísticas!I:I,'centraldecomunicacion.es'!H2494)&gt;0</f>
        <v>0</v>
      </c>
    </row>
    <row r="2495" spans="1:9">
      <c r="A2495" t="s">
        <v>9167</v>
      </c>
      <c r="B2495" t="s">
        <v>10</v>
      </c>
      <c r="C2495" t="s">
        <v>9168</v>
      </c>
      <c r="D2495" t="s">
        <v>9169</v>
      </c>
      <c r="E2495" t="s">
        <v>7968</v>
      </c>
      <c r="F2495" t="s">
        <v>28</v>
      </c>
      <c r="G2495" t="s">
        <v>9170</v>
      </c>
      <c r="H2495" t="s">
        <v>30</v>
      </c>
      <c r="I2495" t="b">
        <f>COUNTIF(Estadísticas!I:I,'centraldecomunicacion.es'!H2495)&gt;0</f>
        <v>0</v>
      </c>
    </row>
    <row r="2496" spans="1:9">
      <c r="A2496" t="s">
        <v>9171</v>
      </c>
      <c r="B2496" t="s">
        <v>10</v>
      </c>
      <c r="C2496" t="s">
        <v>9172</v>
      </c>
      <c r="D2496" t="s">
        <v>9173</v>
      </c>
      <c r="E2496" t="s">
        <v>7968</v>
      </c>
      <c r="F2496" t="s">
        <v>28</v>
      </c>
      <c r="G2496" t="s">
        <v>9174</v>
      </c>
      <c r="H2496" t="s">
        <v>30</v>
      </c>
      <c r="I2496" t="b">
        <f>COUNTIF(Estadísticas!I:I,'centraldecomunicacion.es'!H2496)&gt;0</f>
        <v>0</v>
      </c>
    </row>
    <row r="2497" spans="1:9">
      <c r="A2497" t="s">
        <v>9175</v>
      </c>
      <c r="B2497" t="s">
        <v>10</v>
      </c>
      <c r="C2497" t="s">
        <v>9176</v>
      </c>
      <c r="D2497" t="s">
        <v>9163</v>
      </c>
      <c r="E2497" t="s">
        <v>7968</v>
      </c>
      <c r="F2497" t="s">
        <v>28</v>
      </c>
      <c r="G2497" t="s">
        <v>9177</v>
      </c>
      <c r="H2497" t="s">
        <v>30</v>
      </c>
      <c r="I2497" t="b">
        <f>COUNTIF(Estadísticas!I:I,'centraldecomunicacion.es'!H2497)&gt;0</f>
        <v>0</v>
      </c>
    </row>
    <row r="2498" spans="1:9">
      <c r="A2498" t="s">
        <v>8937</v>
      </c>
      <c r="B2498" t="s">
        <v>10</v>
      </c>
      <c r="C2498" t="s">
        <v>9178</v>
      </c>
      <c r="D2498" t="s">
        <v>9163</v>
      </c>
      <c r="E2498" t="s">
        <v>7968</v>
      </c>
      <c r="F2498" t="s">
        <v>746</v>
      </c>
      <c r="G2498" t="s">
        <v>9179</v>
      </c>
      <c r="H2498" t="s">
        <v>30</v>
      </c>
      <c r="I2498" t="b">
        <f>COUNTIF(Estadísticas!I:I,'centraldecomunicacion.es'!H2498)&gt;0</f>
        <v>0</v>
      </c>
    </row>
    <row r="2499" spans="1:9">
      <c r="A2499" t="s">
        <v>8937</v>
      </c>
      <c r="B2499" t="s">
        <v>10</v>
      </c>
      <c r="C2499" t="s">
        <v>9180</v>
      </c>
      <c r="D2499" t="s">
        <v>9154</v>
      </c>
      <c r="E2499" t="s">
        <v>7968</v>
      </c>
      <c r="F2499" t="s">
        <v>50</v>
      </c>
      <c r="G2499" t="s">
        <v>9181</v>
      </c>
      <c r="H2499" t="s">
        <v>30</v>
      </c>
      <c r="I2499" t="b">
        <f>COUNTIF(Estadísticas!I:I,'centraldecomunicacion.es'!H2499)&gt;0</f>
        <v>0</v>
      </c>
    </row>
    <row r="2500" spans="1:9">
      <c r="A2500" t="s">
        <v>9182</v>
      </c>
      <c r="B2500" t="s">
        <v>10</v>
      </c>
      <c r="C2500" t="s">
        <v>9183</v>
      </c>
      <c r="D2500" t="s">
        <v>9163</v>
      </c>
      <c r="E2500" t="s">
        <v>7968</v>
      </c>
      <c r="F2500" t="s">
        <v>3856</v>
      </c>
      <c r="G2500" t="s">
        <v>9184</v>
      </c>
      <c r="H2500" t="s">
        <v>30</v>
      </c>
      <c r="I2500" t="b">
        <f>COUNTIF(Estadísticas!I:I,'centraldecomunicacion.es'!H2500)&gt;0</f>
        <v>0</v>
      </c>
    </row>
    <row r="2501" spans="1:9">
      <c r="A2501" t="s">
        <v>9185</v>
      </c>
      <c r="B2501" t="s">
        <v>10</v>
      </c>
      <c r="C2501" t="s">
        <v>9186</v>
      </c>
      <c r="D2501" t="s">
        <v>8475</v>
      </c>
      <c r="E2501" t="s">
        <v>7968</v>
      </c>
      <c r="F2501" t="s">
        <v>9187</v>
      </c>
      <c r="G2501" t="s">
        <v>9188</v>
      </c>
      <c r="H2501" t="s">
        <v>30</v>
      </c>
      <c r="I2501" t="b">
        <f>COUNTIF(Estadísticas!I:I,'centraldecomunicacion.es'!H2501)&gt;0</f>
        <v>0</v>
      </c>
    </row>
    <row r="2502" spans="1:9">
      <c r="A2502" t="s">
        <v>9189</v>
      </c>
      <c r="B2502" t="s">
        <v>10</v>
      </c>
      <c r="C2502" t="s">
        <v>9190</v>
      </c>
      <c r="D2502" t="s">
        <v>9163</v>
      </c>
      <c r="E2502" t="s">
        <v>7968</v>
      </c>
      <c r="F2502" t="s">
        <v>28</v>
      </c>
      <c r="G2502" t="s">
        <v>9191</v>
      </c>
      <c r="H2502" t="s">
        <v>30</v>
      </c>
      <c r="I2502" t="b">
        <f>COUNTIF(Estadísticas!I:I,'centraldecomunicacion.es'!H2502)&gt;0</f>
        <v>0</v>
      </c>
    </row>
    <row r="2503" spans="1:9">
      <c r="A2503" t="s">
        <v>9192</v>
      </c>
      <c r="B2503" t="s">
        <v>10</v>
      </c>
      <c r="C2503" t="s">
        <v>9193</v>
      </c>
      <c r="D2503" t="s">
        <v>9194</v>
      </c>
      <c r="E2503" t="s">
        <v>7763</v>
      </c>
      <c r="F2503" t="s">
        <v>28</v>
      </c>
      <c r="G2503" t="s">
        <v>9195</v>
      </c>
      <c r="H2503" t="s">
        <v>30</v>
      </c>
      <c r="I2503" t="b">
        <f>COUNTIF(Estadísticas!I:I,'centraldecomunicacion.es'!H2503)&gt;0</f>
        <v>0</v>
      </c>
    </row>
    <row r="2504" spans="1:9">
      <c r="A2504" t="s">
        <v>9196</v>
      </c>
      <c r="B2504" t="s">
        <v>10</v>
      </c>
      <c r="C2504" t="s">
        <v>9197</v>
      </c>
      <c r="D2504" t="s">
        <v>9198</v>
      </c>
      <c r="E2504" t="s">
        <v>1868</v>
      </c>
      <c r="F2504" t="s">
        <v>9199</v>
      </c>
      <c r="G2504" t="s">
        <v>9200</v>
      </c>
      <c r="H2504" t="s">
        <v>30</v>
      </c>
      <c r="I2504" t="b">
        <f>COUNTIF(Estadísticas!I:I,'centraldecomunicacion.es'!H2504)&gt;0</f>
        <v>0</v>
      </c>
    </row>
    <row r="2505" spans="1:9">
      <c r="A2505" t="s">
        <v>9201</v>
      </c>
      <c r="B2505" t="s">
        <v>10</v>
      </c>
      <c r="C2505" t="s">
        <v>9202</v>
      </c>
      <c r="D2505" t="s">
        <v>7762</v>
      </c>
      <c r="E2505" t="s">
        <v>7763</v>
      </c>
      <c r="F2505" t="s">
        <v>28</v>
      </c>
      <c r="G2505" t="s">
        <v>9203</v>
      </c>
      <c r="H2505" t="s">
        <v>30</v>
      </c>
      <c r="I2505" t="b">
        <f>COUNTIF(Estadísticas!I:I,'centraldecomunicacion.es'!H2505)&gt;0</f>
        <v>0</v>
      </c>
    </row>
    <row r="2506" spans="1:9">
      <c r="A2506" t="s">
        <v>9204</v>
      </c>
      <c r="B2506" t="s">
        <v>10</v>
      </c>
      <c r="C2506" t="s">
        <v>9205</v>
      </c>
      <c r="D2506" t="s">
        <v>7763</v>
      </c>
      <c r="E2506" t="s">
        <v>7763</v>
      </c>
      <c r="F2506" t="s">
        <v>9206</v>
      </c>
      <c r="G2506" t="s">
        <v>9207</v>
      </c>
      <c r="H2506" t="s">
        <v>30</v>
      </c>
      <c r="I2506" t="b">
        <f>COUNTIF(Estadísticas!I:I,'centraldecomunicacion.es'!H2506)&gt;0</f>
        <v>0</v>
      </c>
    </row>
    <row r="2507" spans="1:9">
      <c r="A2507" t="s">
        <v>9208</v>
      </c>
      <c r="B2507" t="s">
        <v>10</v>
      </c>
      <c r="C2507" t="s">
        <v>9209</v>
      </c>
      <c r="D2507" t="s">
        <v>7763</v>
      </c>
      <c r="E2507" t="s">
        <v>7763</v>
      </c>
      <c r="F2507" t="s">
        <v>9210</v>
      </c>
      <c r="G2507" t="s">
        <v>9211</v>
      </c>
      <c r="H2507" t="s">
        <v>30</v>
      </c>
      <c r="I2507" t="b">
        <f>COUNTIF(Estadísticas!I:I,'centraldecomunicacion.es'!H2507)&gt;0</f>
        <v>0</v>
      </c>
    </row>
    <row r="2508" spans="1:9">
      <c r="A2508" t="s">
        <v>9212</v>
      </c>
      <c r="B2508" t="s">
        <v>10</v>
      </c>
      <c r="C2508" t="s">
        <v>9213</v>
      </c>
      <c r="D2508" t="s">
        <v>7763</v>
      </c>
      <c r="E2508" t="s">
        <v>7763</v>
      </c>
      <c r="F2508" t="s">
        <v>28</v>
      </c>
      <c r="G2508" t="s">
        <v>9214</v>
      </c>
      <c r="H2508" t="s">
        <v>30</v>
      </c>
      <c r="I2508" t="b">
        <f>COUNTIF(Estadísticas!I:I,'centraldecomunicacion.es'!H2508)&gt;0</f>
        <v>0</v>
      </c>
    </row>
    <row r="2509" spans="1:9">
      <c r="A2509" t="s">
        <v>9215</v>
      </c>
      <c r="B2509" t="s">
        <v>10</v>
      </c>
      <c r="C2509" t="s">
        <v>9216</v>
      </c>
      <c r="D2509" t="s">
        <v>7763</v>
      </c>
      <c r="E2509" t="s">
        <v>7763</v>
      </c>
      <c r="F2509" t="s">
        <v>9217</v>
      </c>
      <c r="G2509" t="s">
        <v>9218</v>
      </c>
      <c r="H2509" t="s">
        <v>30</v>
      </c>
      <c r="I2509" t="b">
        <f>COUNTIF(Estadísticas!I:I,'centraldecomunicacion.es'!H2509)&gt;0</f>
        <v>0</v>
      </c>
    </row>
    <row r="2510" spans="1:9">
      <c r="A2510" t="s">
        <v>9219</v>
      </c>
      <c r="B2510" t="s">
        <v>10</v>
      </c>
      <c r="C2510" t="s">
        <v>9220</v>
      </c>
      <c r="D2510" t="s">
        <v>7763</v>
      </c>
      <c r="E2510" t="s">
        <v>7763</v>
      </c>
      <c r="F2510" t="s">
        <v>9221</v>
      </c>
      <c r="G2510" t="s">
        <v>9222</v>
      </c>
      <c r="H2510" t="s">
        <v>9223</v>
      </c>
      <c r="I2510" t="b">
        <f>COUNTIF(Estadísticas!I:I,'centraldecomunicacion.es'!H2510)&gt;0</f>
        <v>1</v>
      </c>
    </row>
    <row r="2511" spans="1:9">
      <c r="A2511" t="s">
        <v>9224</v>
      </c>
      <c r="B2511" t="s">
        <v>10</v>
      </c>
      <c r="C2511" t="s">
        <v>9225</v>
      </c>
      <c r="D2511" t="s">
        <v>7763</v>
      </c>
      <c r="E2511" t="s">
        <v>7763</v>
      </c>
      <c r="F2511" t="s">
        <v>28</v>
      </c>
      <c r="G2511" t="s">
        <v>9226</v>
      </c>
      <c r="H2511" t="s">
        <v>30</v>
      </c>
      <c r="I2511" t="b">
        <f>COUNTIF(Estadísticas!I:I,'centraldecomunicacion.es'!H2511)&gt;0</f>
        <v>0</v>
      </c>
    </row>
    <row r="2512" spans="1:9">
      <c r="A2512" t="s">
        <v>9227</v>
      </c>
      <c r="B2512" t="s">
        <v>10</v>
      </c>
      <c r="C2512" t="s">
        <v>9228</v>
      </c>
      <c r="D2512" t="s">
        <v>7763</v>
      </c>
      <c r="E2512" t="s">
        <v>7763</v>
      </c>
      <c r="F2512" t="s">
        <v>28</v>
      </c>
      <c r="G2512" t="s">
        <v>9229</v>
      </c>
      <c r="H2512" t="s">
        <v>30</v>
      </c>
      <c r="I2512" t="b">
        <f>COUNTIF(Estadísticas!I:I,'centraldecomunicacion.es'!H2512)&gt;0</f>
        <v>0</v>
      </c>
    </row>
    <row r="2513" spans="1:9">
      <c r="A2513" t="s">
        <v>9219</v>
      </c>
      <c r="B2513" t="s">
        <v>10</v>
      </c>
      <c r="C2513" t="s">
        <v>9230</v>
      </c>
      <c r="D2513" t="s">
        <v>7763</v>
      </c>
      <c r="E2513" t="s">
        <v>7763</v>
      </c>
      <c r="F2513" t="s">
        <v>9221</v>
      </c>
      <c r="G2513" t="s">
        <v>9231</v>
      </c>
      <c r="H2513" t="s">
        <v>9223</v>
      </c>
      <c r="I2513" t="b">
        <f>COUNTIF(Estadísticas!I:I,'centraldecomunicacion.es'!H2513)&gt;0</f>
        <v>1</v>
      </c>
    </row>
    <row r="2514" spans="1:9">
      <c r="A2514" t="s">
        <v>9232</v>
      </c>
      <c r="B2514" t="s">
        <v>10</v>
      </c>
      <c r="C2514" t="s">
        <v>9233</v>
      </c>
      <c r="D2514" t="s">
        <v>7763</v>
      </c>
      <c r="E2514" t="s">
        <v>7763</v>
      </c>
      <c r="F2514" t="s">
        <v>28</v>
      </c>
      <c r="G2514" t="s">
        <v>9234</v>
      </c>
      <c r="H2514" t="s">
        <v>30</v>
      </c>
      <c r="I2514" t="b">
        <f>COUNTIF(Estadísticas!I:I,'centraldecomunicacion.es'!H2514)&gt;0</f>
        <v>0</v>
      </c>
    </row>
    <row r="2515" spans="1:9">
      <c r="A2515" t="s">
        <v>9235</v>
      </c>
      <c r="B2515" t="s">
        <v>10</v>
      </c>
      <c r="C2515" t="s">
        <v>9236</v>
      </c>
      <c r="D2515" t="s">
        <v>7763</v>
      </c>
      <c r="E2515" t="s">
        <v>7763</v>
      </c>
      <c r="F2515" t="s">
        <v>28</v>
      </c>
      <c r="G2515" t="s">
        <v>9237</v>
      </c>
      <c r="H2515" t="s">
        <v>30</v>
      </c>
      <c r="I2515" t="b">
        <f>COUNTIF(Estadísticas!I:I,'centraldecomunicacion.es'!H2515)&gt;0</f>
        <v>0</v>
      </c>
    </row>
    <row r="2516" spans="1:9">
      <c r="A2516" t="s">
        <v>9238</v>
      </c>
      <c r="B2516" t="s">
        <v>10</v>
      </c>
      <c r="C2516" t="s">
        <v>9239</v>
      </c>
      <c r="D2516" t="s">
        <v>7763</v>
      </c>
      <c r="E2516" t="s">
        <v>7763</v>
      </c>
      <c r="F2516" t="s">
        <v>746</v>
      </c>
      <c r="G2516" t="s">
        <v>9240</v>
      </c>
      <c r="H2516" t="s">
        <v>30</v>
      </c>
      <c r="I2516" t="b">
        <f>COUNTIF(Estadísticas!I:I,'centraldecomunicacion.es'!H2516)&gt;0</f>
        <v>0</v>
      </c>
    </row>
    <row r="2517" spans="1:9">
      <c r="A2517" t="s">
        <v>9241</v>
      </c>
      <c r="B2517" t="s">
        <v>10</v>
      </c>
      <c r="C2517" t="s">
        <v>9242</v>
      </c>
      <c r="D2517" t="s">
        <v>9243</v>
      </c>
      <c r="E2517" t="s">
        <v>7763</v>
      </c>
      <c r="F2517" t="s">
        <v>28</v>
      </c>
      <c r="G2517" t="s">
        <v>9244</v>
      </c>
      <c r="H2517" t="s">
        <v>30</v>
      </c>
      <c r="I2517" t="b">
        <f>COUNTIF(Estadísticas!I:I,'centraldecomunicacion.es'!H2517)&gt;0</f>
        <v>0</v>
      </c>
    </row>
    <row r="2518" spans="1:9">
      <c r="A2518" t="s">
        <v>9245</v>
      </c>
      <c r="B2518" t="s">
        <v>10</v>
      </c>
      <c r="C2518" t="s">
        <v>9246</v>
      </c>
      <c r="D2518" t="s">
        <v>8361</v>
      </c>
      <c r="E2518" t="s">
        <v>7763</v>
      </c>
      <c r="F2518" t="s">
        <v>28</v>
      </c>
      <c r="G2518" t="s">
        <v>9247</v>
      </c>
      <c r="H2518" t="s">
        <v>30</v>
      </c>
      <c r="I2518" t="b">
        <f>COUNTIF(Estadísticas!I:I,'centraldecomunicacion.es'!H2518)&gt;0</f>
        <v>0</v>
      </c>
    </row>
    <row r="2519" spans="1:9">
      <c r="A2519" t="s">
        <v>9248</v>
      </c>
      <c r="B2519" t="s">
        <v>10</v>
      </c>
      <c r="C2519" t="s">
        <v>9249</v>
      </c>
      <c r="D2519" t="s">
        <v>9250</v>
      </c>
      <c r="E2519" t="s">
        <v>7763</v>
      </c>
      <c r="F2519" t="s">
        <v>9251</v>
      </c>
      <c r="G2519" t="s">
        <v>9252</v>
      </c>
      <c r="H2519" t="s">
        <v>9253</v>
      </c>
      <c r="I2519" t="b">
        <f>COUNTIF(Estadísticas!I:I,'centraldecomunicacion.es'!H2519)&gt;0</f>
        <v>0</v>
      </c>
    </row>
    <row r="2520" spans="1:9">
      <c r="A2520" t="s">
        <v>9254</v>
      </c>
      <c r="B2520" t="s">
        <v>10</v>
      </c>
      <c r="C2520" t="s">
        <v>9255</v>
      </c>
      <c r="D2520" t="s">
        <v>9256</v>
      </c>
      <c r="E2520" t="s">
        <v>7763</v>
      </c>
      <c r="F2520" t="s">
        <v>28</v>
      </c>
      <c r="G2520" t="s">
        <v>9257</v>
      </c>
      <c r="H2520" t="s">
        <v>30</v>
      </c>
      <c r="I2520" t="b">
        <f>COUNTIF(Estadísticas!I:I,'centraldecomunicacion.es'!H2520)&gt;0</f>
        <v>0</v>
      </c>
    </row>
    <row r="2521" spans="1:9">
      <c r="A2521" t="s">
        <v>9258</v>
      </c>
      <c r="B2521" t="s">
        <v>10</v>
      </c>
      <c r="C2521" t="s">
        <v>9259</v>
      </c>
      <c r="D2521" t="s">
        <v>9260</v>
      </c>
      <c r="E2521" t="s">
        <v>7763</v>
      </c>
      <c r="F2521" t="s">
        <v>28</v>
      </c>
      <c r="G2521" t="s">
        <v>9261</v>
      </c>
      <c r="H2521" t="s">
        <v>30</v>
      </c>
      <c r="I2521" t="b">
        <f>COUNTIF(Estadísticas!I:I,'centraldecomunicacion.es'!H2521)&gt;0</f>
        <v>0</v>
      </c>
    </row>
    <row r="2522" spans="1:9">
      <c r="A2522" t="s">
        <v>9262</v>
      </c>
      <c r="B2522" t="s">
        <v>10</v>
      </c>
      <c r="C2522" t="s">
        <v>9263</v>
      </c>
      <c r="D2522" t="s">
        <v>9243</v>
      </c>
      <c r="E2522" t="s">
        <v>7763</v>
      </c>
      <c r="F2522" t="s">
        <v>28</v>
      </c>
      <c r="G2522" t="s">
        <v>9244</v>
      </c>
      <c r="H2522" t="s">
        <v>30</v>
      </c>
      <c r="I2522" t="b">
        <f>COUNTIF(Estadísticas!I:I,'centraldecomunicacion.es'!H2522)&gt;0</f>
        <v>0</v>
      </c>
    </row>
    <row r="2523" spans="1:9">
      <c r="A2523" t="s">
        <v>9264</v>
      </c>
      <c r="B2523" t="s">
        <v>10</v>
      </c>
      <c r="C2523" t="s">
        <v>9265</v>
      </c>
      <c r="D2523" t="s">
        <v>9266</v>
      </c>
      <c r="E2523" t="s">
        <v>7763</v>
      </c>
      <c r="F2523" t="s">
        <v>9267</v>
      </c>
      <c r="G2523" t="s">
        <v>9268</v>
      </c>
      <c r="H2523" t="s">
        <v>9269</v>
      </c>
      <c r="I2523" t="b">
        <f>COUNTIF(Estadísticas!I:I,'centraldecomunicacion.es'!H2523)&gt;0</f>
        <v>0</v>
      </c>
    </row>
    <row r="2524" spans="1:9">
      <c r="A2524" t="s">
        <v>9270</v>
      </c>
      <c r="B2524" t="s">
        <v>10</v>
      </c>
      <c r="C2524" t="s">
        <v>9271</v>
      </c>
      <c r="D2524" t="s">
        <v>9272</v>
      </c>
      <c r="E2524" t="s">
        <v>9273</v>
      </c>
      <c r="F2524" t="s">
        <v>9274</v>
      </c>
      <c r="G2524" t="s">
        <v>9275</v>
      </c>
      <c r="H2524" t="s">
        <v>9276</v>
      </c>
      <c r="I2524" t="b">
        <f>COUNTIF(Estadísticas!I:I,'centraldecomunicacion.es'!H2524)&gt;0</f>
        <v>0</v>
      </c>
    </row>
    <row r="2525" spans="1:9">
      <c r="A2525" t="s">
        <v>9277</v>
      </c>
      <c r="B2525" t="s">
        <v>10</v>
      </c>
      <c r="C2525" t="s">
        <v>9278</v>
      </c>
      <c r="D2525" t="s">
        <v>1868</v>
      </c>
      <c r="E2525" t="s">
        <v>1868</v>
      </c>
      <c r="F2525" t="s">
        <v>9279</v>
      </c>
      <c r="G2525" t="s">
        <v>9280</v>
      </c>
      <c r="H2525" t="s">
        <v>30</v>
      </c>
      <c r="I2525" t="b">
        <f>COUNTIF(Estadísticas!I:I,'centraldecomunicacion.es'!H2525)&gt;0</f>
        <v>0</v>
      </c>
    </row>
    <row r="2526" spans="1:9">
      <c r="A2526" t="s">
        <v>9281</v>
      </c>
      <c r="B2526" t="s">
        <v>10</v>
      </c>
      <c r="C2526" t="s">
        <v>9282</v>
      </c>
      <c r="D2526" t="s">
        <v>1868</v>
      </c>
      <c r="E2526" t="s">
        <v>1868</v>
      </c>
      <c r="F2526" t="s">
        <v>9283</v>
      </c>
      <c r="G2526" t="s">
        <v>9284</v>
      </c>
      <c r="H2526" t="s">
        <v>9285</v>
      </c>
      <c r="I2526" t="b">
        <f>COUNTIF(Estadísticas!I:I,'centraldecomunicacion.es'!H2526)&gt;0</f>
        <v>1</v>
      </c>
    </row>
    <row r="2527" spans="1:9">
      <c r="A2527" t="s">
        <v>9286</v>
      </c>
      <c r="B2527" t="s">
        <v>10</v>
      </c>
      <c r="C2527" t="s">
        <v>9287</v>
      </c>
      <c r="D2527" t="s">
        <v>9288</v>
      </c>
      <c r="E2527" t="s">
        <v>9289</v>
      </c>
      <c r="F2527" t="s">
        <v>28</v>
      </c>
      <c r="G2527" t="s">
        <v>9290</v>
      </c>
      <c r="H2527" t="s">
        <v>30</v>
      </c>
      <c r="I2527" t="b">
        <f>COUNTIF(Estadísticas!I:I,'centraldecomunicacion.es'!H2527)&gt;0</f>
        <v>0</v>
      </c>
    </row>
    <row r="2528" spans="1:9">
      <c r="A2528" t="s">
        <v>9291</v>
      </c>
      <c r="B2528" t="s">
        <v>10</v>
      </c>
      <c r="C2528" t="s">
        <v>9292</v>
      </c>
      <c r="D2528" t="s">
        <v>9293</v>
      </c>
      <c r="E2528" t="s">
        <v>1861</v>
      </c>
      <c r="F2528" t="s">
        <v>9294</v>
      </c>
      <c r="G2528" t="s">
        <v>9295</v>
      </c>
      <c r="H2528" t="s">
        <v>9296</v>
      </c>
      <c r="I2528" t="b">
        <f>COUNTIF(Estadísticas!I:I,'centraldecomunicacion.es'!H2528)&gt;0</f>
        <v>1</v>
      </c>
    </row>
    <row r="2529" spans="1:9">
      <c r="A2529" t="s">
        <v>9297</v>
      </c>
      <c r="B2529" t="s">
        <v>10</v>
      </c>
      <c r="C2529" t="s">
        <v>9298</v>
      </c>
      <c r="D2529" t="s">
        <v>9288</v>
      </c>
      <c r="E2529" t="s">
        <v>9299</v>
      </c>
      <c r="F2529" t="s">
        <v>9300</v>
      </c>
      <c r="G2529" t="s">
        <v>9301</v>
      </c>
      <c r="H2529" t="s">
        <v>30</v>
      </c>
      <c r="I2529" t="b">
        <f>COUNTIF(Estadísticas!I:I,'centraldecomunicacion.es'!H2529)&gt;0</f>
        <v>0</v>
      </c>
    </row>
    <row r="2530" spans="1:9">
      <c r="A2530" t="s">
        <v>5197</v>
      </c>
      <c r="B2530" t="s">
        <v>10</v>
      </c>
      <c r="C2530" t="s">
        <v>9302</v>
      </c>
      <c r="D2530" t="s">
        <v>9303</v>
      </c>
      <c r="E2530" t="s">
        <v>9303</v>
      </c>
      <c r="F2530" t="s">
        <v>28</v>
      </c>
      <c r="G2530" t="s">
        <v>28</v>
      </c>
      <c r="H2530" t="s">
        <v>30</v>
      </c>
      <c r="I2530" t="b">
        <f>COUNTIF(Estadísticas!I:I,'centraldecomunicacion.es'!H2530)&gt;0</f>
        <v>0</v>
      </c>
    </row>
    <row r="2531" spans="1:9">
      <c r="A2531" t="s">
        <v>3440</v>
      </c>
      <c r="B2531" t="s">
        <v>10</v>
      </c>
      <c r="C2531" t="s">
        <v>9304</v>
      </c>
      <c r="D2531" t="s">
        <v>3427</v>
      </c>
      <c r="E2531" t="s">
        <v>3385</v>
      </c>
      <c r="F2531" t="s">
        <v>3438</v>
      </c>
      <c r="G2531" t="s">
        <v>9305</v>
      </c>
      <c r="H2531" t="s">
        <v>30</v>
      </c>
      <c r="I2531" t="b">
        <f>COUNTIF(Estadísticas!I:I,'centraldecomunicacion.es'!H2531)&gt;0</f>
        <v>0</v>
      </c>
    </row>
    <row r="2532" spans="1:9">
      <c r="A2532" t="s">
        <v>9306</v>
      </c>
      <c r="B2532" t="s">
        <v>10</v>
      </c>
      <c r="C2532" t="s">
        <v>9307</v>
      </c>
      <c r="D2532" t="s">
        <v>8057</v>
      </c>
      <c r="E2532" t="s">
        <v>8057</v>
      </c>
      <c r="F2532" t="s">
        <v>28</v>
      </c>
      <c r="G2532" t="s">
        <v>9308</v>
      </c>
      <c r="H2532" t="s">
        <v>30</v>
      </c>
      <c r="I2532" t="b">
        <f>COUNTIF(Estadísticas!I:I,'centraldecomunicacion.es'!H2532)&gt;0</f>
        <v>0</v>
      </c>
    </row>
    <row r="2533" spans="1:9">
      <c r="A2533" t="s">
        <v>9309</v>
      </c>
      <c r="B2533" t="s">
        <v>10</v>
      </c>
      <c r="C2533" t="s">
        <v>9310</v>
      </c>
      <c r="D2533" t="s">
        <v>8057</v>
      </c>
      <c r="E2533" t="s">
        <v>8057</v>
      </c>
      <c r="F2533" t="s">
        <v>9311</v>
      </c>
      <c r="G2533" t="s">
        <v>9312</v>
      </c>
      <c r="H2533" t="s">
        <v>30</v>
      </c>
      <c r="I2533" t="b">
        <f>COUNTIF(Estadísticas!I:I,'centraldecomunicacion.es'!H2533)&gt;0</f>
        <v>0</v>
      </c>
    </row>
    <row r="2534" spans="1:9">
      <c r="A2534" t="s">
        <v>9313</v>
      </c>
      <c r="B2534" t="s">
        <v>10</v>
      </c>
      <c r="C2534" t="s">
        <v>9314</v>
      </c>
      <c r="D2534" t="s">
        <v>8057</v>
      </c>
      <c r="E2534" t="s">
        <v>8057</v>
      </c>
      <c r="F2534" t="s">
        <v>9315</v>
      </c>
      <c r="G2534" t="s">
        <v>9316</v>
      </c>
      <c r="H2534" t="s">
        <v>9317</v>
      </c>
      <c r="I2534" t="b">
        <f>COUNTIF(Estadísticas!I:I,'centraldecomunicacion.es'!H2534)&gt;0</f>
        <v>0</v>
      </c>
    </row>
    <row r="2535" spans="1:9">
      <c r="A2535" t="s">
        <v>9318</v>
      </c>
      <c r="B2535" t="s">
        <v>10</v>
      </c>
      <c r="C2535" t="s">
        <v>9319</v>
      </c>
      <c r="D2535" t="s">
        <v>8057</v>
      </c>
      <c r="E2535" t="s">
        <v>8057</v>
      </c>
      <c r="F2535" t="s">
        <v>9320</v>
      </c>
      <c r="G2535" t="s">
        <v>9321</v>
      </c>
      <c r="H2535" t="s">
        <v>9322</v>
      </c>
      <c r="I2535" t="b">
        <f>COUNTIF(Estadísticas!I:I,'centraldecomunicacion.es'!H2535)&gt;0</f>
        <v>0</v>
      </c>
    </row>
    <row r="2536" spans="1:9">
      <c r="A2536" t="s">
        <v>9323</v>
      </c>
      <c r="B2536" t="s">
        <v>10</v>
      </c>
      <c r="C2536" t="s">
        <v>9324</v>
      </c>
      <c r="D2536" t="s">
        <v>8057</v>
      </c>
      <c r="E2536" t="s">
        <v>8057</v>
      </c>
      <c r="F2536" t="s">
        <v>9325</v>
      </c>
      <c r="G2536" t="s">
        <v>9326</v>
      </c>
      <c r="H2536" t="s">
        <v>9327</v>
      </c>
      <c r="I2536" t="b">
        <f>COUNTIF(Estadísticas!I:I,'centraldecomunicacion.es'!H2536)&gt;0</f>
        <v>0</v>
      </c>
    </row>
    <row r="2537" spans="1:9">
      <c r="A2537" t="s">
        <v>9328</v>
      </c>
      <c r="B2537" t="s">
        <v>10</v>
      </c>
      <c r="C2537" t="s">
        <v>9329</v>
      </c>
      <c r="D2537" t="s">
        <v>8057</v>
      </c>
      <c r="E2537" t="s">
        <v>8057</v>
      </c>
      <c r="F2537" t="s">
        <v>9330</v>
      </c>
      <c r="G2537" t="s">
        <v>9331</v>
      </c>
      <c r="H2537" t="s">
        <v>9332</v>
      </c>
      <c r="I2537" t="b">
        <f>COUNTIF(Estadísticas!I:I,'centraldecomunicacion.es'!H2537)&gt;0</f>
        <v>0</v>
      </c>
    </row>
    <row r="2538" spans="1:9">
      <c r="A2538" t="s">
        <v>9333</v>
      </c>
      <c r="B2538" t="s">
        <v>10</v>
      </c>
      <c r="C2538" t="s">
        <v>9334</v>
      </c>
      <c r="D2538" t="s">
        <v>8057</v>
      </c>
      <c r="E2538" t="s">
        <v>8057</v>
      </c>
      <c r="F2538" t="s">
        <v>9335</v>
      </c>
      <c r="G2538" t="s">
        <v>9336</v>
      </c>
      <c r="H2538" t="s">
        <v>9337</v>
      </c>
      <c r="I2538" t="b">
        <f>COUNTIF(Estadísticas!I:I,'centraldecomunicacion.es'!H2538)&gt;0</f>
        <v>0</v>
      </c>
    </row>
    <row r="2539" spans="1:9">
      <c r="A2539" t="s">
        <v>9338</v>
      </c>
      <c r="B2539" t="s">
        <v>10</v>
      </c>
      <c r="C2539" t="s">
        <v>9339</v>
      </c>
      <c r="D2539" t="s">
        <v>8057</v>
      </c>
      <c r="E2539" t="s">
        <v>8057</v>
      </c>
      <c r="F2539" t="s">
        <v>9340</v>
      </c>
      <c r="G2539" t="s">
        <v>9341</v>
      </c>
      <c r="H2539" t="s">
        <v>9342</v>
      </c>
      <c r="I2539" t="b">
        <f>COUNTIF(Estadísticas!I:I,'centraldecomunicacion.es'!H2539)&gt;0</f>
        <v>1</v>
      </c>
    </row>
    <row r="2540" spans="1:9">
      <c r="A2540" t="s">
        <v>9343</v>
      </c>
      <c r="B2540" t="s">
        <v>10</v>
      </c>
      <c r="C2540" t="s">
        <v>9344</v>
      </c>
      <c r="D2540" t="s">
        <v>8057</v>
      </c>
      <c r="E2540" t="s">
        <v>8057</v>
      </c>
      <c r="F2540" t="s">
        <v>9345</v>
      </c>
      <c r="G2540" t="s">
        <v>9346</v>
      </c>
      <c r="H2540" t="s">
        <v>9347</v>
      </c>
      <c r="I2540" t="b">
        <f>COUNTIF(Estadísticas!I:I,'centraldecomunicacion.es'!H2540)&gt;0</f>
        <v>1</v>
      </c>
    </row>
    <row r="2541" spans="1:9">
      <c r="A2541" t="s">
        <v>9348</v>
      </c>
      <c r="B2541" t="s">
        <v>10</v>
      </c>
      <c r="C2541" t="s">
        <v>9349</v>
      </c>
      <c r="D2541" t="s">
        <v>8057</v>
      </c>
      <c r="E2541" t="s">
        <v>8057</v>
      </c>
      <c r="F2541" t="s">
        <v>9350</v>
      </c>
      <c r="G2541" t="s">
        <v>9351</v>
      </c>
      <c r="H2541" t="s">
        <v>30</v>
      </c>
      <c r="I2541" t="b">
        <f>COUNTIF(Estadísticas!I:I,'centraldecomunicacion.es'!H2541)&gt;0</f>
        <v>0</v>
      </c>
    </row>
    <row r="2542" spans="1:9">
      <c r="A2542" t="s">
        <v>9352</v>
      </c>
      <c r="B2542" t="s">
        <v>10</v>
      </c>
      <c r="C2542" t="s">
        <v>9353</v>
      </c>
      <c r="D2542" t="s">
        <v>8057</v>
      </c>
      <c r="E2542" t="s">
        <v>8057</v>
      </c>
      <c r="F2542" t="s">
        <v>9354</v>
      </c>
      <c r="G2542" t="s">
        <v>9355</v>
      </c>
      <c r="H2542" t="s">
        <v>30</v>
      </c>
      <c r="I2542" t="b">
        <f>COUNTIF(Estadísticas!I:I,'centraldecomunicacion.es'!H2542)&gt;0</f>
        <v>0</v>
      </c>
    </row>
    <row r="2543" spans="1:9">
      <c r="A2543" t="s">
        <v>9356</v>
      </c>
      <c r="B2543" t="s">
        <v>10</v>
      </c>
      <c r="C2543" t="s">
        <v>9357</v>
      </c>
      <c r="D2543" t="s">
        <v>8057</v>
      </c>
      <c r="E2543" t="s">
        <v>8057</v>
      </c>
      <c r="F2543" t="s">
        <v>9358</v>
      </c>
      <c r="G2543" t="s">
        <v>9359</v>
      </c>
      <c r="H2543" t="s">
        <v>9360</v>
      </c>
      <c r="I2543" t="b">
        <f>COUNTIF(Estadísticas!I:I,'centraldecomunicacion.es'!H2543)&gt;0</f>
        <v>0</v>
      </c>
    </row>
    <row r="2544" spans="1:9">
      <c r="A2544" t="s">
        <v>9361</v>
      </c>
      <c r="B2544" t="s">
        <v>10</v>
      </c>
      <c r="C2544" t="s">
        <v>9362</v>
      </c>
      <c r="D2544" t="s">
        <v>8057</v>
      </c>
      <c r="E2544" t="s">
        <v>8057</v>
      </c>
      <c r="F2544" t="s">
        <v>9363</v>
      </c>
      <c r="G2544" t="s">
        <v>9364</v>
      </c>
      <c r="H2544" t="s">
        <v>9365</v>
      </c>
      <c r="I2544" t="b">
        <f>COUNTIF(Estadísticas!I:I,'centraldecomunicacion.es'!H2544)&gt;0</f>
        <v>0</v>
      </c>
    </row>
    <row r="2545" spans="1:9">
      <c r="A2545" t="s">
        <v>9366</v>
      </c>
      <c r="B2545" t="s">
        <v>10</v>
      </c>
      <c r="C2545" t="s">
        <v>9367</v>
      </c>
      <c r="D2545" t="s">
        <v>8057</v>
      </c>
      <c r="E2545" t="s">
        <v>8057</v>
      </c>
      <c r="F2545" t="s">
        <v>9325</v>
      </c>
      <c r="G2545" t="s">
        <v>9326</v>
      </c>
      <c r="H2545" t="s">
        <v>9327</v>
      </c>
      <c r="I2545" t="b">
        <f>COUNTIF(Estadísticas!I:I,'centraldecomunicacion.es'!H2545)&gt;0</f>
        <v>0</v>
      </c>
    </row>
    <row r="2546" spans="1:9">
      <c r="A2546" t="s">
        <v>9368</v>
      </c>
      <c r="B2546" t="s">
        <v>10</v>
      </c>
      <c r="C2546" t="s">
        <v>9369</v>
      </c>
      <c r="D2546" t="s">
        <v>8057</v>
      </c>
      <c r="E2546" t="s">
        <v>8057</v>
      </c>
      <c r="F2546" t="s">
        <v>28</v>
      </c>
      <c r="G2546" t="s">
        <v>9370</v>
      </c>
      <c r="H2546" t="s">
        <v>30</v>
      </c>
      <c r="I2546" t="b">
        <f>COUNTIF(Estadísticas!I:I,'centraldecomunicacion.es'!H2546)&gt;0</f>
        <v>0</v>
      </c>
    </row>
    <row r="2547" spans="1:9">
      <c r="A2547" t="s">
        <v>9371</v>
      </c>
      <c r="B2547" t="s">
        <v>10</v>
      </c>
      <c r="C2547" t="s">
        <v>9372</v>
      </c>
      <c r="D2547" t="s">
        <v>8057</v>
      </c>
      <c r="E2547" t="s">
        <v>8057</v>
      </c>
      <c r="F2547" t="s">
        <v>9373</v>
      </c>
      <c r="G2547" t="s">
        <v>9374</v>
      </c>
      <c r="H2547" t="s">
        <v>9375</v>
      </c>
      <c r="I2547" t="b">
        <f>COUNTIF(Estadísticas!I:I,'centraldecomunicacion.es'!H2547)&gt;0</f>
        <v>0</v>
      </c>
    </row>
    <row r="2548" spans="1:9">
      <c r="A2548" t="s">
        <v>9376</v>
      </c>
      <c r="B2548" t="s">
        <v>10</v>
      </c>
      <c r="C2548" t="s">
        <v>9377</v>
      </c>
      <c r="D2548" t="s">
        <v>8057</v>
      </c>
      <c r="E2548" t="s">
        <v>8057</v>
      </c>
      <c r="F2548" t="s">
        <v>9378</v>
      </c>
      <c r="G2548" t="s">
        <v>9379</v>
      </c>
      <c r="H2548" t="s">
        <v>9380</v>
      </c>
      <c r="I2548" t="b">
        <f>COUNTIF(Estadísticas!I:I,'centraldecomunicacion.es'!H2548)&gt;0</f>
        <v>0</v>
      </c>
    </row>
    <row r="2549" spans="1:9">
      <c r="A2549" t="s">
        <v>9381</v>
      </c>
      <c r="B2549" t="s">
        <v>10</v>
      </c>
      <c r="C2549" t="s">
        <v>9382</v>
      </c>
      <c r="D2549" t="s">
        <v>8057</v>
      </c>
      <c r="E2549" t="s">
        <v>8057</v>
      </c>
      <c r="F2549" t="s">
        <v>50</v>
      </c>
      <c r="G2549" t="s">
        <v>9383</v>
      </c>
      <c r="H2549" t="s">
        <v>30</v>
      </c>
      <c r="I2549" t="b">
        <f>COUNTIF(Estadísticas!I:I,'centraldecomunicacion.es'!H2549)&gt;0</f>
        <v>0</v>
      </c>
    </row>
    <row r="2550" spans="1:9">
      <c r="A2550" t="s">
        <v>9384</v>
      </c>
      <c r="B2550" t="s">
        <v>10</v>
      </c>
      <c r="C2550" t="s">
        <v>9385</v>
      </c>
      <c r="D2550" t="s">
        <v>8057</v>
      </c>
      <c r="E2550" t="s">
        <v>8057</v>
      </c>
      <c r="F2550" t="s">
        <v>9386</v>
      </c>
      <c r="G2550" t="s">
        <v>9387</v>
      </c>
      <c r="H2550" t="s">
        <v>9388</v>
      </c>
      <c r="I2550" t="b">
        <f>COUNTIF(Estadísticas!I:I,'centraldecomunicacion.es'!H2550)&gt;0</f>
        <v>0</v>
      </c>
    </row>
    <row r="2551" spans="1:9">
      <c r="A2551" t="s">
        <v>9389</v>
      </c>
      <c r="B2551" t="s">
        <v>10</v>
      </c>
      <c r="C2551" t="s">
        <v>9390</v>
      </c>
      <c r="D2551" t="s">
        <v>8057</v>
      </c>
      <c r="E2551" t="s">
        <v>8057</v>
      </c>
      <c r="F2551" t="s">
        <v>9325</v>
      </c>
      <c r="G2551" t="s">
        <v>9391</v>
      </c>
      <c r="H2551" t="s">
        <v>9327</v>
      </c>
      <c r="I2551" t="b">
        <f>COUNTIF(Estadísticas!I:I,'centraldecomunicacion.es'!H2551)&gt;0</f>
        <v>0</v>
      </c>
    </row>
    <row r="2552" spans="1:9">
      <c r="A2552" t="s">
        <v>9392</v>
      </c>
      <c r="B2552" t="s">
        <v>10</v>
      </c>
      <c r="C2552" t="s">
        <v>9393</v>
      </c>
      <c r="D2552" t="s">
        <v>8057</v>
      </c>
      <c r="E2552" t="s">
        <v>8057</v>
      </c>
      <c r="F2552" t="s">
        <v>9394</v>
      </c>
      <c r="G2552" t="s">
        <v>9395</v>
      </c>
      <c r="H2552" t="s">
        <v>9396</v>
      </c>
      <c r="I2552" t="b">
        <f>COUNTIF(Estadísticas!I:I,'centraldecomunicacion.es'!H2552)&gt;0</f>
        <v>0</v>
      </c>
    </row>
    <row r="2553" spans="1:9">
      <c r="A2553" t="s">
        <v>9397</v>
      </c>
      <c r="B2553" t="s">
        <v>10</v>
      </c>
      <c r="C2553" t="s">
        <v>9398</v>
      </c>
      <c r="D2553" t="s">
        <v>8057</v>
      </c>
      <c r="E2553" t="s">
        <v>8057</v>
      </c>
      <c r="F2553" t="s">
        <v>9399</v>
      </c>
      <c r="G2553" t="s">
        <v>9400</v>
      </c>
      <c r="H2553" t="s">
        <v>30</v>
      </c>
      <c r="I2553" t="b">
        <f>COUNTIF(Estadísticas!I:I,'centraldecomunicacion.es'!H2553)&gt;0</f>
        <v>0</v>
      </c>
    </row>
    <row r="2554" spans="1:9">
      <c r="A2554" t="s">
        <v>9401</v>
      </c>
      <c r="B2554" t="s">
        <v>10</v>
      </c>
      <c r="C2554" t="s">
        <v>9402</v>
      </c>
      <c r="D2554" t="s">
        <v>8057</v>
      </c>
      <c r="E2554" t="s">
        <v>8057</v>
      </c>
      <c r="F2554" t="s">
        <v>9403</v>
      </c>
      <c r="G2554" t="s">
        <v>9404</v>
      </c>
      <c r="H2554" t="s">
        <v>691</v>
      </c>
      <c r="I2554" t="b">
        <f>COUNTIF(Estadísticas!I:I,'centraldecomunicacion.es'!H2554)&gt;0</f>
        <v>0</v>
      </c>
    </row>
    <row r="2555" spans="1:9">
      <c r="A2555" t="s">
        <v>9405</v>
      </c>
      <c r="B2555" t="s">
        <v>10</v>
      </c>
      <c r="C2555" t="s">
        <v>9406</v>
      </c>
      <c r="D2555" t="s">
        <v>8057</v>
      </c>
      <c r="E2555" t="s">
        <v>8057</v>
      </c>
      <c r="F2555" t="s">
        <v>9407</v>
      </c>
      <c r="G2555" t="s">
        <v>9408</v>
      </c>
      <c r="H2555" t="s">
        <v>9409</v>
      </c>
      <c r="I2555" t="b">
        <f>COUNTIF(Estadísticas!I:I,'centraldecomunicacion.es'!H2555)&gt;0</f>
        <v>0</v>
      </c>
    </row>
    <row r="2556" spans="1:9">
      <c r="A2556" t="s">
        <v>9410</v>
      </c>
      <c r="B2556" t="s">
        <v>10</v>
      </c>
      <c r="C2556" t="s">
        <v>9411</v>
      </c>
      <c r="D2556" t="s">
        <v>8057</v>
      </c>
      <c r="E2556" t="s">
        <v>8057</v>
      </c>
      <c r="F2556" t="s">
        <v>9412</v>
      </c>
      <c r="G2556" t="s">
        <v>9413</v>
      </c>
      <c r="H2556" t="s">
        <v>30</v>
      </c>
      <c r="I2556" t="b">
        <f>COUNTIF(Estadísticas!I:I,'centraldecomunicacion.es'!H2556)&gt;0</f>
        <v>0</v>
      </c>
    </row>
    <row r="2557" spans="1:9">
      <c r="A2557" t="s">
        <v>9414</v>
      </c>
      <c r="B2557" t="s">
        <v>10</v>
      </c>
      <c r="C2557" t="s">
        <v>9415</v>
      </c>
      <c r="D2557" t="s">
        <v>8057</v>
      </c>
      <c r="E2557" t="s">
        <v>8057</v>
      </c>
      <c r="F2557" t="s">
        <v>9416</v>
      </c>
      <c r="G2557" t="s">
        <v>9417</v>
      </c>
      <c r="H2557" t="s">
        <v>30</v>
      </c>
      <c r="I2557" t="b">
        <f>COUNTIF(Estadísticas!I:I,'centraldecomunicacion.es'!H2557)&gt;0</f>
        <v>0</v>
      </c>
    </row>
    <row r="2558" spans="1:9">
      <c r="A2558" t="s">
        <v>9418</v>
      </c>
      <c r="B2558" t="s">
        <v>10</v>
      </c>
      <c r="C2558" t="s">
        <v>9419</v>
      </c>
      <c r="D2558" t="s">
        <v>8057</v>
      </c>
      <c r="E2558" t="s">
        <v>8057</v>
      </c>
      <c r="F2558" t="s">
        <v>9420</v>
      </c>
      <c r="G2558" t="s">
        <v>9421</v>
      </c>
      <c r="H2558" t="s">
        <v>9422</v>
      </c>
      <c r="I2558" t="b">
        <f>COUNTIF(Estadísticas!I:I,'centraldecomunicacion.es'!H2558)&gt;0</f>
        <v>0</v>
      </c>
    </row>
    <row r="2559" spans="1:9">
      <c r="A2559" t="s">
        <v>9423</v>
      </c>
      <c r="B2559" t="s">
        <v>10</v>
      </c>
      <c r="C2559" t="s">
        <v>9424</v>
      </c>
      <c r="D2559" t="s">
        <v>8057</v>
      </c>
      <c r="E2559" t="s">
        <v>8057</v>
      </c>
      <c r="F2559" t="s">
        <v>9425</v>
      </c>
      <c r="G2559" t="s">
        <v>9426</v>
      </c>
      <c r="H2559" t="s">
        <v>30</v>
      </c>
      <c r="I2559" t="b">
        <f>COUNTIF(Estadísticas!I:I,'centraldecomunicacion.es'!H2559)&gt;0</f>
        <v>0</v>
      </c>
    </row>
    <row r="2560" spans="1:9">
      <c r="A2560" t="s">
        <v>9427</v>
      </c>
      <c r="B2560" t="s">
        <v>10</v>
      </c>
      <c r="C2560" t="s">
        <v>9428</v>
      </c>
      <c r="D2560" t="s">
        <v>8057</v>
      </c>
      <c r="E2560" t="s">
        <v>8057</v>
      </c>
      <c r="F2560" t="s">
        <v>9429</v>
      </c>
      <c r="G2560" t="s">
        <v>9430</v>
      </c>
      <c r="H2560" t="s">
        <v>9431</v>
      </c>
      <c r="I2560" t="b">
        <f>COUNTIF(Estadísticas!I:I,'centraldecomunicacion.es'!H2560)&gt;0</f>
        <v>0</v>
      </c>
    </row>
    <row r="2561" spans="1:9">
      <c r="A2561" t="s">
        <v>9432</v>
      </c>
      <c r="B2561" t="s">
        <v>10</v>
      </c>
      <c r="C2561" t="s">
        <v>9433</v>
      </c>
      <c r="D2561" t="s">
        <v>8057</v>
      </c>
      <c r="E2561" t="s">
        <v>8057</v>
      </c>
      <c r="F2561" t="s">
        <v>9434</v>
      </c>
      <c r="G2561" t="s">
        <v>9435</v>
      </c>
      <c r="H2561" t="s">
        <v>9436</v>
      </c>
      <c r="I2561" t="b">
        <f>COUNTIF(Estadísticas!I:I,'centraldecomunicacion.es'!H2561)&gt;0</f>
        <v>0</v>
      </c>
    </row>
    <row r="2562" spans="1:9">
      <c r="A2562" t="s">
        <v>9437</v>
      </c>
      <c r="B2562" t="s">
        <v>10</v>
      </c>
      <c r="C2562" t="s">
        <v>9438</v>
      </c>
      <c r="D2562" t="s">
        <v>8057</v>
      </c>
      <c r="E2562" t="s">
        <v>8057</v>
      </c>
      <c r="F2562" t="s">
        <v>9439</v>
      </c>
      <c r="G2562" t="s">
        <v>9440</v>
      </c>
      <c r="H2562" t="s">
        <v>30</v>
      </c>
      <c r="I2562" t="b">
        <f>COUNTIF(Estadísticas!I:I,'centraldecomunicacion.es'!H2562)&gt;0</f>
        <v>0</v>
      </c>
    </row>
    <row r="2563" spans="1:9">
      <c r="A2563" t="s">
        <v>9441</v>
      </c>
      <c r="B2563" t="s">
        <v>10</v>
      </c>
      <c r="C2563" t="s">
        <v>9442</v>
      </c>
      <c r="D2563" t="s">
        <v>8057</v>
      </c>
      <c r="E2563" t="s">
        <v>8057</v>
      </c>
      <c r="F2563" t="s">
        <v>9443</v>
      </c>
      <c r="G2563" t="s">
        <v>9444</v>
      </c>
      <c r="H2563" t="s">
        <v>9445</v>
      </c>
      <c r="I2563" t="b">
        <f>COUNTIF(Estadísticas!I:I,'centraldecomunicacion.es'!H2563)&gt;0</f>
        <v>0</v>
      </c>
    </row>
    <row r="2564" spans="1:9">
      <c r="A2564" t="s">
        <v>9446</v>
      </c>
      <c r="B2564" t="s">
        <v>10</v>
      </c>
      <c r="C2564" t="s">
        <v>9447</v>
      </c>
      <c r="D2564" t="s">
        <v>8057</v>
      </c>
      <c r="E2564" t="s">
        <v>8057</v>
      </c>
      <c r="F2564" t="s">
        <v>9448</v>
      </c>
      <c r="G2564" t="s">
        <v>9449</v>
      </c>
      <c r="H2564" t="s">
        <v>691</v>
      </c>
      <c r="I2564" t="b">
        <f>COUNTIF(Estadísticas!I:I,'centraldecomunicacion.es'!H2564)&gt;0</f>
        <v>0</v>
      </c>
    </row>
    <row r="2565" spans="1:9">
      <c r="A2565" t="s">
        <v>9450</v>
      </c>
      <c r="B2565" t="s">
        <v>10</v>
      </c>
      <c r="C2565" t="s">
        <v>9451</v>
      </c>
      <c r="D2565" t="s">
        <v>8057</v>
      </c>
      <c r="E2565" t="s">
        <v>8057</v>
      </c>
      <c r="F2565" t="s">
        <v>28</v>
      </c>
      <c r="G2565" t="s">
        <v>9452</v>
      </c>
      <c r="H2565" t="s">
        <v>30</v>
      </c>
      <c r="I2565" t="b">
        <f>COUNTIF(Estadísticas!I:I,'centraldecomunicacion.es'!H2565)&gt;0</f>
        <v>0</v>
      </c>
    </row>
    <row r="2566" spans="1:9">
      <c r="A2566" t="s">
        <v>9453</v>
      </c>
      <c r="B2566" t="s">
        <v>10</v>
      </c>
      <c r="C2566" t="s">
        <v>9454</v>
      </c>
      <c r="D2566" t="s">
        <v>8057</v>
      </c>
      <c r="E2566" t="s">
        <v>8057</v>
      </c>
      <c r="F2566" t="s">
        <v>28</v>
      </c>
      <c r="G2566" t="s">
        <v>9455</v>
      </c>
      <c r="H2566" t="s">
        <v>30</v>
      </c>
      <c r="I2566" t="b">
        <f>COUNTIF(Estadísticas!I:I,'centraldecomunicacion.es'!H2566)&gt;0</f>
        <v>0</v>
      </c>
    </row>
    <row r="2567" spans="1:9">
      <c r="A2567" t="s">
        <v>9456</v>
      </c>
      <c r="B2567" t="s">
        <v>10</v>
      </c>
      <c r="C2567" t="s">
        <v>9457</v>
      </c>
      <c r="D2567" t="s">
        <v>8057</v>
      </c>
      <c r="E2567" t="s">
        <v>8057</v>
      </c>
      <c r="F2567" t="s">
        <v>642</v>
      </c>
      <c r="G2567" t="s">
        <v>9458</v>
      </c>
      <c r="H2567" t="s">
        <v>30</v>
      </c>
      <c r="I2567" t="b">
        <f>COUNTIF(Estadísticas!I:I,'centraldecomunicacion.es'!H2567)&gt;0</f>
        <v>0</v>
      </c>
    </row>
    <row r="2568" spans="1:9">
      <c r="A2568" t="s">
        <v>9459</v>
      </c>
      <c r="B2568" t="s">
        <v>10</v>
      </c>
      <c r="C2568" t="s">
        <v>9460</v>
      </c>
      <c r="D2568" t="s">
        <v>8057</v>
      </c>
      <c r="E2568" t="s">
        <v>8057</v>
      </c>
      <c r="F2568" t="s">
        <v>9461</v>
      </c>
      <c r="G2568" t="s">
        <v>9462</v>
      </c>
      <c r="H2568" t="s">
        <v>9463</v>
      </c>
      <c r="I2568" t="b">
        <f>COUNTIF(Estadísticas!I:I,'centraldecomunicacion.es'!H2568)&gt;0</f>
        <v>0</v>
      </c>
    </row>
    <row r="2569" spans="1:9">
      <c r="A2569" t="s">
        <v>9464</v>
      </c>
      <c r="B2569" t="s">
        <v>10</v>
      </c>
      <c r="C2569" t="s">
        <v>9465</v>
      </c>
      <c r="D2569" t="s">
        <v>8057</v>
      </c>
      <c r="E2569" t="s">
        <v>8057</v>
      </c>
      <c r="F2569" t="s">
        <v>9466</v>
      </c>
      <c r="G2569" t="s">
        <v>9467</v>
      </c>
      <c r="H2569" t="s">
        <v>9468</v>
      </c>
      <c r="I2569" t="b">
        <f>COUNTIF(Estadísticas!I:I,'centraldecomunicacion.es'!H2569)&gt;0</f>
        <v>0</v>
      </c>
    </row>
    <row r="2570" spans="1:9">
      <c r="A2570" t="s">
        <v>3574</v>
      </c>
      <c r="B2570" t="s">
        <v>10</v>
      </c>
      <c r="C2570" t="s">
        <v>9469</v>
      </c>
      <c r="D2570" t="s">
        <v>8057</v>
      </c>
      <c r="E2570" t="s">
        <v>8057</v>
      </c>
      <c r="F2570" t="s">
        <v>28</v>
      </c>
      <c r="G2570" t="s">
        <v>9470</v>
      </c>
      <c r="H2570" t="s">
        <v>30</v>
      </c>
      <c r="I2570" t="b">
        <f>COUNTIF(Estadísticas!I:I,'centraldecomunicacion.es'!H2570)&gt;0</f>
        <v>0</v>
      </c>
    </row>
    <row r="2571" spans="1:9">
      <c r="A2571" t="s">
        <v>9471</v>
      </c>
      <c r="B2571" t="s">
        <v>10</v>
      </c>
      <c r="C2571" t="s">
        <v>9472</v>
      </c>
      <c r="D2571" t="s">
        <v>8057</v>
      </c>
      <c r="E2571" t="s">
        <v>8057</v>
      </c>
      <c r="F2571" t="s">
        <v>87</v>
      </c>
      <c r="G2571" t="s">
        <v>9473</v>
      </c>
      <c r="H2571" t="s">
        <v>30</v>
      </c>
      <c r="I2571" t="b">
        <f>COUNTIF(Estadísticas!I:I,'centraldecomunicacion.es'!H2571)&gt;0</f>
        <v>0</v>
      </c>
    </row>
    <row r="2572" spans="1:9">
      <c r="A2572" t="s">
        <v>9474</v>
      </c>
      <c r="B2572" t="s">
        <v>10</v>
      </c>
      <c r="C2572" t="s">
        <v>9475</v>
      </c>
      <c r="D2572" t="s">
        <v>8057</v>
      </c>
      <c r="E2572" t="s">
        <v>8057</v>
      </c>
      <c r="F2572" t="s">
        <v>28</v>
      </c>
      <c r="G2572" t="s">
        <v>9476</v>
      </c>
      <c r="H2572" t="s">
        <v>30</v>
      </c>
      <c r="I2572" t="b">
        <f>COUNTIF(Estadísticas!I:I,'centraldecomunicacion.es'!H2572)&gt;0</f>
        <v>0</v>
      </c>
    </row>
    <row r="2573" spans="1:9">
      <c r="A2573" t="s">
        <v>9477</v>
      </c>
      <c r="B2573" t="s">
        <v>10</v>
      </c>
      <c r="C2573" t="s">
        <v>9478</v>
      </c>
      <c r="D2573" t="s">
        <v>8057</v>
      </c>
      <c r="E2573" t="s">
        <v>8057</v>
      </c>
      <c r="F2573" t="s">
        <v>28</v>
      </c>
      <c r="G2573" t="s">
        <v>9479</v>
      </c>
      <c r="H2573" t="s">
        <v>30</v>
      </c>
      <c r="I2573" t="b">
        <f>COUNTIF(Estadísticas!I:I,'centraldecomunicacion.es'!H2573)&gt;0</f>
        <v>0</v>
      </c>
    </row>
    <row r="2574" spans="1:9">
      <c r="A2574" t="s">
        <v>9480</v>
      </c>
      <c r="B2574" t="s">
        <v>10</v>
      </c>
      <c r="C2574" t="s">
        <v>9481</v>
      </c>
      <c r="D2574" t="s">
        <v>8057</v>
      </c>
      <c r="E2574" t="s">
        <v>8057</v>
      </c>
      <c r="F2574" t="s">
        <v>28</v>
      </c>
      <c r="G2574" t="s">
        <v>9482</v>
      </c>
      <c r="H2574" t="s">
        <v>30</v>
      </c>
      <c r="I2574" t="b">
        <f>COUNTIF(Estadísticas!I:I,'centraldecomunicacion.es'!H2574)&gt;0</f>
        <v>0</v>
      </c>
    </row>
    <row r="2575" spans="1:9">
      <c r="A2575" t="s">
        <v>9483</v>
      </c>
      <c r="B2575" t="s">
        <v>10</v>
      </c>
      <c r="C2575" t="s">
        <v>9484</v>
      </c>
      <c r="D2575" t="s">
        <v>8057</v>
      </c>
      <c r="E2575" t="s">
        <v>8057</v>
      </c>
      <c r="F2575" t="s">
        <v>9485</v>
      </c>
      <c r="G2575" t="s">
        <v>9486</v>
      </c>
      <c r="H2575" t="s">
        <v>9487</v>
      </c>
      <c r="I2575" t="b">
        <f>COUNTIF(Estadísticas!I:I,'centraldecomunicacion.es'!H2575)&gt;0</f>
        <v>0</v>
      </c>
    </row>
    <row r="2576" spans="1:9">
      <c r="A2576" t="s">
        <v>9488</v>
      </c>
      <c r="B2576" t="s">
        <v>10</v>
      </c>
      <c r="C2576" t="s">
        <v>9489</v>
      </c>
      <c r="D2576" t="s">
        <v>8057</v>
      </c>
      <c r="E2576" t="s">
        <v>8057</v>
      </c>
      <c r="F2576" t="s">
        <v>50</v>
      </c>
      <c r="G2576" t="s">
        <v>9490</v>
      </c>
      <c r="H2576" t="s">
        <v>30</v>
      </c>
      <c r="I2576" t="b">
        <f>COUNTIF(Estadísticas!I:I,'centraldecomunicacion.es'!H2576)&gt;0</f>
        <v>0</v>
      </c>
    </row>
    <row r="2577" spans="1:9">
      <c r="A2577" t="s">
        <v>9491</v>
      </c>
      <c r="B2577" t="s">
        <v>10</v>
      </c>
      <c r="C2577" t="s">
        <v>9492</v>
      </c>
      <c r="D2577" t="s">
        <v>8057</v>
      </c>
      <c r="E2577" t="s">
        <v>8057</v>
      </c>
      <c r="F2577" t="s">
        <v>9493</v>
      </c>
      <c r="G2577" t="s">
        <v>9494</v>
      </c>
      <c r="H2577" t="s">
        <v>30</v>
      </c>
      <c r="I2577" t="b">
        <f>COUNTIF(Estadísticas!I:I,'centraldecomunicacion.es'!H2577)&gt;0</f>
        <v>0</v>
      </c>
    </row>
    <row r="2578" spans="1:9">
      <c r="A2578" t="s">
        <v>6824</v>
      </c>
      <c r="B2578" t="s">
        <v>10</v>
      </c>
      <c r="C2578" t="s">
        <v>9495</v>
      </c>
      <c r="D2578" t="s">
        <v>8057</v>
      </c>
      <c r="E2578" t="s">
        <v>8057</v>
      </c>
      <c r="F2578" t="s">
        <v>9496</v>
      </c>
      <c r="G2578" t="s">
        <v>9497</v>
      </c>
      <c r="H2578" t="s">
        <v>30</v>
      </c>
      <c r="I2578" t="b">
        <f>COUNTIF(Estadísticas!I:I,'centraldecomunicacion.es'!H2578)&gt;0</f>
        <v>0</v>
      </c>
    </row>
    <row r="2579" spans="1:9">
      <c r="A2579" t="s">
        <v>9498</v>
      </c>
      <c r="B2579" t="s">
        <v>10</v>
      </c>
      <c r="C2579" t="s">
        <v>9499</v>
      </c>
      <c r="D2579" t="s">
        <v>8057</v>
      </c>
      <c r="E2579" t="s">
        <v>8057</v>
      </c>
      <c r="F2579" t="s">
        <v>9500</v>
      </c>
      <c r="G2579" t="s">
        <v>9501</v>
      </c>
      <c r="H2579" t="s">
        <v>9502</v>
      </c>
      <c r="I2579" t="b">
        <f>COUNTIF(Estadísticas!I:I,'centraldecomunicacion.es'!H2579)&gt;0</f>
        <v>0</v>
      </c>
    </row>
    <row r="2580" spans="1:9">
      <c r="A2580" t="s">
        <v>9503</v>
      </c>
      <c r="B2580" t="s">
        <v>10</v>
      </c>
      <c r="C2580" t="s">
        <v>9504</v>
      </c>
      <c r="D2580" t="s">
        <v>8057</v>
      </c>
      <c r="E2580" t="s">
        <v>8057</v>
      </c>
      <c r="F2580" t="s">
        <v>9505</v>
      </c>
      <c r="G2580" t="s">
        <v>9506</v>
      </c>
      <c r="H2580" t="s">
        <v>691</v>
      </c>
      <c r="I2580" t="b">
        <f>COUNTIF(Estadísticas!I:I,'centraldecomunicacion.es'!H2580)&gt;0</f>
        <v>0</v>
      </c>
    </row>
    <row r="2581" spans="1:9">
      <c r="A2581" t="s">
        <v>9507</v>
      </c>
      <c r="B2581" t="s">
        <v>10</v>
      </c>
      <c r="C2581" t="s">
        <v>9508</v>
      </c>
      <c r="D2581" t="s">
        <v>8057</v>
      </c>
      <c r="E2581" t="s">
        <v>8057</v>
      </c>
      <c r="F2581" t="s">
        <v>9509</v>
      </c>
      <c r="G2581" t="s">
        <v>9510</v>
      </c>
      <c r="H2581" t="s">
        <v>9511</v>
      </c>
      <c r="I2581" t="b">
        <f>COUNTIF(Estadísticas!I:I,'centraldecomunicacion.es'!H2581)&gt;0</f>
        <v>1</v>
      </c>
    </row>
    <row r="2582" spans="1:9">
      <c r="A2582" t="s">
        <v>9512</v>
      </c>
      <c r="B2582" t="s">
        <v>10</v>
      </c>
      <c r="C2582" t="s">
        <v>9513</v>
      </c>
      <c r="D2582" t="s">
        <v>8057</v>
      </c>
      <c r="E2582" t="s">
        <v>8057</v>
      </c>
      <c r="F2582" t="s">
        <v>50</v>
      </c>
      <c r="G2582" t="s">
        <v>9514</v>
      </c>
      <c r="H2582" t="s">
        <v>30</v>
      </c>
      <c r="I2582" t="b">
        <f>COUNTIF(Estadísticas!I:I,'centraldecomunicacion.es'!H2582)&gt;0</f>
        <v>0</v>
      </c>
    </row>
    <row r="2583" spans="1:9">
      <c r="A2583" t="s">
        <v>9515</v>
      </c>
      <c r="B2583" t="s">
        <v>10</v>
      </c>
      <c r="C2583" t="s">
        <v>9516</v>
      </c>
      <c r="D2583" t="s">
        <v>8057</v>
      </c>
      <c r="E2583" t="s">
        <v>8057</v>
      </c>
      <c r="F2583" t="s">
        <v>9439</v>
      </c>
      <c r="G2583" t="s">
        <v>9517</v>
      </c>
      <c r="H2583" t="s">
        <v>9518</v>
      </c>
      <c r="I2583" t="b">
        <f>COUNTIF(Estadísticas!I:I,'centraldecomunicacion.es'!H2583)&gt;0</f>
        <v>0</v>
      </c>
    </row>
    <row r="2584" spans="1:9">
      <c r="A2584" t="s">
        <v>9519</v>
      </c>
      <c r="B2584" t="s">
        <v>10</v>
      </c>
      <c r="C2584" t="s">
        <v>9520</v>
      </c>
      <c r="D2584" t="s">
        <v>8057</v>
      </c>
      <c r="E2584" t="s">
        <v>8057</v>
      </c>
      <c r="F2584" t="s">
        <v>87</v>
      </c>
      <c r="G2584" t="s">
        <v>9521</v>
      </c>
      <c r="H2584" t="s">
        <v>30</v>
      </c>
      <c r="I2584" t="b">
        <f>COUNTIF(Estadísticas!I:I,'centraldecomunicacion.es'!H2584)&gt;0</f>
        <v>0</v>
      </c>
    </row>
    <row r="2585" spans="1:9">
      <c r="A2585" t="s">
        <v>9522</v>
      </c>
      <c r="B2585" t="s">
        <v>10</v>
      </c>
      <c r="C2585" t="s">
        <v>9523</v>
      </c>
      <c r="D2585" t="s">
        <v>8057</v>
      </c>
      <c r="E2585" t="s">
        <v>8057</v>
      </c>
      <c r="F2585" t="s">
        <v>38</v>
      </c>
      <c r="G2585" t="s">
        <v>9524</v>
      </c>
      <c r="H2585" t="s">
        <v>30</v>
      </c>
      <c r="I2585" t="b">
        <f>COUNTIF(Estadísticas!I:I,'centraldecomunicacion.es'!H2585)&gt;0</f>
        <v>0</v>
      </c>
    </row>
    <row r="2586" spans="1:9">
      <c r="A2586" t="s">
        <v>9525</v>
      </c>
      <c r="B2586" t="s">
        <v>10</v>
      </c>
      <c r="C2586" t="s">
        <v>9526</v>
      </c>
      <c r="D2586" t="s">
        <v>8057</v>
      </c>
      <c r="E2586" t="s">
        <v>8057</v>
      </c>
      <c r="F2586" t="s">
        <v>28</v>
      </c>
      <c r="G2586" t="s">
        <v>9527</v>
      </c>
      <c r="H2586" t="s">
        <v>30</v>
      </c>
      <c r="I2586" t="b">
        <f>COUNTIF(Estadísticas!I:I,'centraldecomunicacion.es'!H2586)&gt;0</f>
        <v>0</v>
      </c>
    </row>
    <row r="2587" spans="1:9">
      <c r="A2587" t="s">
        <v>9528</v>
      </c>
      <c r="B2587" t="s">
        <v>10</v>
      </c>
      <c r="C2587" t="s">
        <v>9529</v>
      </c>
      <c r="D2587" t="s">
        <v>8057</v>
      </c>
      <c r="E2587" t="s">
        <v>8057</v>
      </c>
      <c r="F2587" t="s">
        <v>38</v>
      </c>
      <c r="G2587" t="s">
        <v>9530</v>
      </c>
      <c r="H2587" t="s">
        <v>30</v>
      </c>
      <c r="I2587" t="b">
        <f>COUNTIF(Estadísticas!I:I,'centraldecomunicacion.es'!H2587)&gt;0</f>
        <v>0</v>
      </c>
    </row>
    <row r="2588" spans="1:9">
      <c r="A2588" t="s">
        <v>9531</v>
      </c>
      <c r="B2588" t="s">
        <v>10</v>
      </c>
      <c r="C2588" t="s">
        <v>9532</v>
      </c>
      <c r="D2588" t="s">
        <v>8057</v>
      </c>
      <c r="E2588" t="s">
        <v>8057</v>
      </c>
      <c r="F2588" t="s">
        <v>28</v>
      </c>
      <c r="G2588" t="s">
        <v>9533</v>
      </c>
      <c r="H2588" t="s">
        <v>30</v>
      </c>
      <c r="I2588" t="b">
        <f>COUNTIF(Estadísticas!I:I,'centraldecomunicacion.es'!H2588)&gt;0</f>
        <v>0</v>
      </c>
    </row>
    <row r="2589" spans="1:9">
      <c r="A2589" t="s">
        <v>9534</v>
      </c>
      <c r="B2589" t="s">
        <v>10</v>
      </c>
      <c r="C2589" t="s">
        <v>9535</v>
      </c>
      <c r="D2589" t="s">
        <v>8057</v>
      </c>
      <c r="E2589" t="s">
        <v>8057</v>
      </c>
      <c r="F2589" t="s">
        <v>28</v>
      </c>
      <c r="G2589" t="s">
        <v>9536</v>
      </c>
      <c r="H2589" t="s">
        <v>30</v>
      </c>
      <c r="I2589" t="b">
        <f>COUNTIF(Estadísticas!I:I,'centraldecomunicacion.es'!H2589)&gt;0</f>
        <v>0</v>
      </c>
    </row>
    <row r="2590" spans="1:9">
      <c r="A2590" t="s">
        <v>9537</v>
      </c>
      <c r="B2590" t="s">
        <v>10</v>
      </c>
      <c r="C2590" t="s">
        <v>9538</v>
      </c>
      <c r="D2590" t="s">
        <v>8057</v>
      </c>
      <c r="E2590" t="s">
        <v>8057</v>
      </c>
      <c r="F2590" t="s">
        <v>9539</v>
      </c>
      <c r="G2590" t="s">
        <v>9540</v>
      </c>
      <c r="H2590" t="s">
        <v>30</v>
      </c>
      <c r="I2590" t="b">
        <f>COUNTIF(Estadísticas!I:I,'centraldecomunicacion.es'!H2590)&gt;0</f>
        <v>0</v>
      </c>
    </row>
    <row r="2591" spans="1:9">
      <c r="A2591" t="s">
        <v>9541</v>
      </c>
      <c r="B2591" t="s">
        <v>10</v>
      </c>
      <c r="C2591" t="s">
        <v>9542</v>
      </c>
      <c r="D2591" t="s">
        <v>9543</v>
      </c>
      <c r="E2591" t="s">
        <v>8057</v>
      </c>
      <c r="F2591" t="s">
        <v>9544</v>
      </c>
      <c r="G2591" t="s">
        <v>9545</v>
      </c>
      <c r="H2591" t="s">
        <v>9546</v>
      </c>
      <c r="I2591" t="b">
        <f>COUNTIF(Estadísticas!I:I,'centraldecomunicacion.es'!H2591)&gt;0</f>
        <v>0</v>
      </c>
    </row>
    <row r="2592" spans="1:9">
      <c r="A2592" t="s">
        <v>9547</v>
      </c>
      <c r="B2592" t="s">
        <v>10</v>
      </c>
      <c r="C2592" t="s">
        <v>9548</v>
      </c>
      <c r="D2592" t="s">
        <v>8057</v>
      </c>
      <c r="E2592" t="s">
        <v>8057</v>
      </c>
      <c r="F2592" t="s">
        <v>9549</v>
      </c>
      <c r="G2592" t="s">
        <v>9550</v>
      </c>
      <c r="H2592" t="s">
        <v>9551</v>
      </c>
      <c r="I2592" t="b">
        <f>COUNTIF(Estadísticas!I:I,'centraldecomunicacion.es'!H2592)&gt;0</f>
        <v>1</v>
      </c>
    </row>
    <row r="2593" spans="1:9">
      <c r="A2593" t="s">
        <v>9552</v>
      </c>
      <c r="B2593" t="s">
        <v>10</v>
      </c>
      <c r="C2593" t="s">
        <v>9553</v>
      </c>
      <c r="D2593" t="s">
        <v>8057</v>
      </c>
      <c r="E2593" t="s">
        <v>8057</v>
      </c>
      <c r="F2593" t="s">
        <v>28</v>
      </c>
      <c r="G2593" t="s">
        <v>9554</v>
      </c>
      <c r="H2593" t="s">
        <v>30</v>
      </c>
      <c r="I2593" t="b">
        <f>COUNTIF(Estadísticas!I:I,'centraldecomunicacion.es'!H2593)&gt;0</f>
        <v>0</v>
      </c>
    </row>
    <row r="2594" spans="1:9">
      <c r="A2594" t="s">
        <v>9555</v>
      </c>
      <c r="B2594" t="s">
        <v>10</v>
      </c>
      <c r="C2594" t="s">
        <v>9556</v>
      </c>
      <c r="D2594" t="s">
        <v>8057</v>
      </c>
      <c r="E2594" t="s">
        <v>8057</v>
      </c>
      <c r="F2594" t="s">
        <v>9557</v>
      </c>
      <c r="G2594" t="s">
        <v>9558</v>
      </c>
      <c r="H2594" t="s">
        <v>9559</v>
      </c>
      <c r="I2594" t="b">
        <f>COUNTIF(Estadísticas!I:I,'centraldecomunicacion.es'!H2594)&gt;0</f>
        <v>0</v>
      </c>
    </row>
    <row r="2595" spans="1:9">
      <c r="A2595" t="s">
        <v>9560</v>
      </c>
      <c r="B2595" t="s">
        <v>10</v>
      </c>
      <c r="C2595" t="s">
        <v>9561</v>
      </c>
      <c r="D2595" t="s">
        <v>8057</v>
      </c>
      <c r="E2595" t="s">
        <v>8057</v>
      </c>
      <c r="F2595" t="s">
        <v>28</v>
      </c>
      <c r="G2595" t="s">
        <v>9562</v>
      </c>
      <c r="H2595" t="s">
        <v>30</v>
      </c>
      <c r="I2595" t="b">
        <f>COUNTIF(Estadísticas!I:I,'centraldecomunicacion.es'!H2595)&gt;0</f>
        <v>0</v>
      </c>
    </row>
    <row r="2596" spans="1:9">
      <c r="A2596" t="s">
        <v>9563</v>
      </c>
      <c r="B2596" t="s">
        <v>10</v>
      </c>
      <c r="C2596" t="s">
        <v>9564</v>
      </c>
      <c r="D2596" t="s">
        <v>8057</v>
      </c>
      <c r="E2596" t="s">
        <v>8057</v>
      </c>
      <c r="F2596" t="s">
        <v>9565</v>
      </c>
      <c r="G2596" t="s">
        <v>9566</v>
      </c>
      <c r="H2596" t="s">
        <v>30</v>
      </c>
      <c r="I2596" t="b">
        <f>COUNTIF(Estadísticas!I:I,'centraldecomunicacion.es'!H2596)&gt;0</f>
        <v>0</v>
      </c>
    </row>
    <row r="2597" spans="1:9">
      <c r="A2597" t="s">
        <v>2616</v>
      </c>
      <c r="B2597" t="s">
        <v>10</v>
      </c>
      <c r="C2597" t="s">
        <v>9567</v>
      </c>
      <c r="D2597" t="s">
        <v>8057</v>
      </c>
      <c r="E2597" t="s">
        <v>8057</v>
      </c>
      <c r="F2597" t="s">
        <v>9412</v>
      </c>
      <c r="G2597" t="s">
        <v>9568</v>
      </c>
      <c r="H2597" t="s">
        <v>30</v>
      </c>
      <c r="I2597" t="b">
        <f>COUNTIF(Estadísticas!I:I,'centraldecomunicacion.es'!H2597)&gt;0</f>
        <v>0</v>
      </c>
    </row>
    <row r="2598" spans="1:9">
      <c r="A2598" t="s">
        <v>9569</v>
      </c>
      <c r="B2598" t="s">
        <v>10</v>
      </c>
      <c r="C2598" t="s">
        <v>9570</v>
      </c>
      <c r="D2598" t="s">
        <v>8057</v>
      </c>
      <c r="E2598" t="s">
        <v>8057</v>
      </c>
      <c r="F2598" t="s">
        <v>28</v>
      </c>
      <c r="G2598" t="s">
        <v>9571</v>
      </c>
      <c r="H2598" t="s">
        <v>30</v>
      </c>
      <c r="I2598" t="b">
        <f>COUNTIF(Estadísticas!I:I,'centraldecomunicacion.es'!H2598)&gt;0</f>
        <v>0</v>
      </c>
    </row>
    <row r="2599" spans="1:9">
      <c r="A2599" t="s">
        <v>9572</v>
      </c>
      <c r="B2599" t="s">
        <v>10</v>
      </c>
      <c r="C2599" t="s">
        <v>9573</v>
      </c>
      <c r="D2599" t="s">
        <v>8057</v>
      </c>
      <c r="E2599" t="s">
        <v>8057</v>
      </c>
      <c r="F2599" t="s">
        <v>28</v>
      </c>
      <c r="G2599" t="s">
        <v>9574</v>
      </c>
      <c r="H2599" t="s">
        <v>30</v>
      </c>
      <c r="I2599" t="b">
        <f>COUNTIF(Estadísticas!I:I,'centraldecomunicacion.es'!H2599)&gt;0</f>
        <v>0</v>
      </c>
    </row>
    <row r="2600" spans="1:9">
      <c r="A2600" t="s">
        <v>9575</v>
      </c>
      <c r="B2600" t="s">
        <v>10</v>
      </c>
      <c r="C2600" t="s">
        <v>9576</v>
      </c>
      <c r="D2600" t="s">
        <v>8057</v>
      </c>
      <c r="E2600" t="s">
        <v>8057</v>
      </c>
      <c r="F2600" t="s">
        <v>28</v>
      </c>
      <c r="G2600" t="s">
        <v>9577</v>
      </c>
      <c r="H2600" t="s">
        <v>30</v>
      </c>
      <c r="I2600" t="b">
        <f>COUNTIF(Estadísticas!I:I,'centraldecomunicacion.es'!H2600)&gt;0</f>
        <v>0</v>
      </c>
    </row>
    <row r="2601" spans="1:9">
      <c r="A2601" t="s">
        <v>9578</v>
      </c>
      <c r="B2601" t="s">
        <v>10</v>
      </c>
      <c r="C2601" t="s">
        <v>9579</v>
      </c>
      <c r="D2601" t="s">
        <v>8057</v>
      </c>
      <c r="E2601" t="s">
        <v>8057</v>
      </c>
      <c r="F2601" t="s">
        <v>28</v>
      </c>
      <c r="G2601" t="s">
        <v>9580</v>
      </c>
      <c r="H2601" t="s">
        <v>30</v>
      </c>
      <c r="I2601" t="b">
        <f>COUNTIF(Estadísticas!I:I,'centraldecomunicacion.es'!H2601)&gt;0</f>
        <v>0</v>
      </c>
    </row>
    <row r="2602" spans="1:9">
      <c r="A2602" t="s">
        <v>9581</v>
      </c>
      <c r="B2602" t="s">
        <v>10</v>
      </c>
      <c r="C2602" t="s">
        <v>9582</v>
      </c>
      <c r="D2602" t="s">
        <v>8057</v>
      </c>
      <c r="E2602" t="s">
        <v>8057</v>
      </c>
      <c r="F2602" t="s">
        <v>9583</v>
      </c>
      <c r="G2602" t="s">
        <v>9584</v>
      </c>
      <c r="H2602" t="s">
        <v>9585</v>
      </c>
      <c r="I2602" t="b">
        <f>COUNTIF(Estadísticas!I:I,'centraldecomunicacion.es'!H2602)&gt;0</f>
        <v>0</v>
      </c>
    </row>
    <row r="2603" spans="1:9">
      <c r="A2603" t="s">
        <v>9586</v>
      </c>
      <c r="B2603" t="s">
        <v>10</v>
      </c>
      <c r="C2603" t="s">
        <v>9587</v>
      </c>
      <c r="D2603" t="s">
        <v>8057</v>
      </c>
      <c r="E2603" t="s">
        <v>8057</v>
      </c>
      <c r="F2603" t="s">
        <v>9588</v>
      </c>
      <c r="G2603" t="s">
        <v>9589</v>
      </c>
      <c r="H2603" t="s">
        <v>9590</v>
      </c>
      <c r="I2603" t="b">
        <f>COUNTIF(Estadísticas!I:I,'centraldecomunicacion.es'!H2603)&gt;0</f>
        <v>0</v>
      </c>
    </row>
    <row r="2604" spans="1:9">
      <c r="A2604" t="s">
        <v>9591</v>
      </c>
      <c r="B2604" t="s">
        <v>10</v>
      </c>
      <c r="C2604" t="s">
        <v>9592</v>
      </c>
      <c r="D2604" t="s">
        <v>9543</v>
      </c>
      <c r="E2604" t="s">
        <v>8057</v>
      </c>
      <c r="F2604" t="s">
        <v>9593</v>
      </c>
      <c r="G2604" t="s">
        <v>9594</v>
      </c>
      <c r="H2604" t="s">
        <v>30</v>
      </c>
      <c r="I2604" t="b">
        <f>COUNTIF(Estadísticas!I:I,'centraldecomunicacion.es'!H2604)&gt;0</f>
        <v>0</v>
      </c>
    </row>
    <row r="2605" spans="1:9">
      <c r="A2605" t="s">
        <v>9595</v>
      </c>
      <c r="B2605" t="s">
        <v>10</v>
      </c>
      <c r="C2605" t="s">
        <v>9596</v>
      </c>
      <c r="D2605" t="s">
        <v>8057</v>
      </c>
      <c r="E2605" t="s">
        <v>8057</v>
      </c>
      <c r="F2605" t="s">
        <v>9597</v>
      </c>
      <c r="G2605" t="s">
        <v>9598</v>
      </c>
      <c r="H2605" t="s">
        <v>9599</v>
      </c>
      <c r="I2605" t="b">
        <f>COUNTIF(Estadísticas!I:I,'centraldecomunicacion.es'!H2605)&gt;0</f>
        <v>0</v>
      </c>
    </row>
    <row r="2606" spans="1:9">
      <c r="A2606" t="s">
        <v>9600</v>
      </c>
      <c r="B2606" t="s">
        <v>10</v>
      </c>
      <c r="C2606" t="s">
        <v>9601</v>
      </c>
      <c r="D2606" t="s">
        <v>8057</v>
      </c>
      <c r="E2606" t="s">
        <v>8057</v>
      </c>
      <c r="F2606" t="s">
        <v>87</v>
      </c>
      <c r="G2606" t="s">
        <v>9602</v>
      </c>
      <c r="H2606" t="s">
        <v>30</v>
      </c>
      <c r="I2606" t="b">
        <f>COUNTIF(Estadísticas!I:I,'centraldecomunicacion.es'!H2606)&gt;0</f>
        <v>0</v>
      </c>
    </row>
    <row r="2607" spans="1:9">
      <c r="A2607" t="s">
        <v>9603</v>
      </c>
      <c r="B2607" t="s">
        <v>10</v>
      </c>
      <c r="C2607" t="s">
        <v>9604</v>
      </c>
      <c r="D2607" t="s">
        <v>8057</v>
      </c>
      <c r="E2607" t="s">
        <v>8057</v>
      </c>
      <c r="F2607" t="s">
        <v>28</v>
      </c>
      <c r="G2607" t="s">
        <v>9605</v>
      </c>
      <c r="H2607" t="s">
        <v>30</v>
      </c>
      <c r="I2607" t="b">
        <f>COUNTIF(Estadísticas!I:I,'centraldecomunicacion.es'!H2607)&gt;0</f>
        <v>0</v>
      </c>
    </row>
    <row r="2608" spans="1:9">
      <c r="A2608" t="s">
        <v>9606</v>
      </c>
      <c r="B2608" t="s">
        <v>10</v>
      </c>
      <c r="C2608" t="s">
        <v>9607</v>
      </c>
      <c r="D2608" t="s">
        <v>9608</v>
      </c>
      <c r="E2608" t="s">
        <v>8057</v>
      </c>
      <c r="F2608" t="s">
        <v>28</v>
      </c>
      <c r="G2608" t="s">
        <v>9609</v>
      </c>
      <c r="H2608" t="s">
        <v>30</v>
      </c>
      <c r="I2608" t="b">
        <f>COUNTIF(Estadísticas!I:I,'centraldecomunicacion.es'!H2608)&gt;0</f>
        <v>0</v>
      </c>
    </row>
    <row r="2609" spans="1:9">
      <c r="A2609" t="s">
        <v>9610</v>
      </c>
      <c r="B2609" t="s">
        <v>10</v>
      </c>
      <c r="C2609" t="s">
        <v>9611</v>
      </c>
      <c r="D2609" t="s">
        <v>8057</v>
      </c>
      <c r="E2609" t="s">
        <v>8057</v>
      </c>
      <c r="F2609" t="s">
        <v>9612</v>
      </c>
      <c r="G2609" t="s">
        <v>9613</v>
      </c>
      <c r="H2609" t="s">
        <v>30</v>
      </c>
      <c r="I2609" t="b">
        <f>COUNTIF(Estadísticas!I:I,'centraldecomunicacion.es'!H2609)&gt;0</f>
        <v>0</v>
      </c>
    </row>
    <row r="2610" spans="1:9">
      <c r="A2610" t="s">
        <v>9578</v>
      </c>
      <c r="B2610" t="s">
        <v>10</v>
      </c>
      <c r="C2610" t="s">
        <v>9614</v>
      </c>
      <c r="D2610" t="s">
        <v>8057</v>
      </c>
      <c r="E2610" t="s">
        <v>8057</v>
      </c>
      <c r="F2610" t="s">
        <v>9615</v>
      </c>
      <c r="G2610" t="s">
        <v>9616</v>
      </c>
      <c r="H2610" t="s">
        <v>9617</v>
      </c>
      <c r="I2610" t="b">
        <f>COUNTIF(Estadísticas!I:I,'centraldecomunicacion.es'!H2610)&gt;0</f>
        <v>0</v>
      </c>
    </row>
    <row r="2611" spans="1:9">
      <c r="A2611" t="s">
        <v>9618</v>
      </c>
      <c r="B2611" t="s">
        <v>10</v>
      </c>
      <c r="C2611" t="s">
        <v>9619</v>
      </c>
      <c r="D2611" t="s">
        <v>9543</v>
      </c>
      <c r="E2611" t="s">
        <v>8057</v>
      </c>
      <c r="F2611" t="s">
        <v>28</v>
      </c>
      <c r="G2611" t="s">
        <v>9620</v>
      </c>
      <c r="H2611" t="s">
        <v>30</v>
      </c>
      <c r="I2611" t="b">
        <f>COUNTIF(Estadísticas!I:I,'centraldecomunicacion.es'!H2611)&gt;0</f>
        <v>0</v>
      </c>
    </row>
    <row r="2612" spans="1:9">
      <c r="A2612" t="s">
        <v>9621</v>
      </c>
      <c r="B2612" t="s">
        <v>10</v>
      </c>
      <c r="C2612" t="s">
        <v>9622</v>
      </c>
      <c r="D2612" t="s">
        <v>8057</v>
      </c>
      <c r="E2612" t="s">
        <v>8057</v>
      </c>
      <c r="F2612" t="s">
        <v>9623</v>
      </c>
      <c r="G2612" t="s">
        <v>9624</v>
      </c>
      <c r="H2612" t="s">
        <v>9625</v>
      </c>
      <c r="I2612" t="b">
        <f>COUNTIF(Estadísticas!I:I,'centraldecomunicacion.es'!H2612)&gt;0</f>
        <v>0</v>
      </c>
    </row>
    <row r="2613" spans="1:9">
      <c r="A2613" t="s">
        <v>9626</v>
      </c>
      <c r="B2613" t="s">
        <v>10</v>
      </c>
      <c r="C2613" t="s">
        <v>9627</v>
      </c>
      <c r="D2613" t="s">
        <v>8057</v>
      </c>
      <c r="E2613" t="s">
        <v>8057</v>
      </c>
      <c r="F2613" t="s">
        <v>9628</v>
      </c>
      <c r="G2613" t="s">
        <v>9629</v>
      </c>
      <c r="H2613" t="s">
        <v>9630</v>
      </c>
      <c r="I2613" t="b">
        <f>COUNTIF(Estadísticas!I:I,'centraldecomunicacion.es'!H2613)&gt;0</f>
        <v>1</v>
      </c>
    </row>
    <row r="2614" spans="1:9">
      <c r="A2614" t="s">
        <v>9631</v>
      </c>
      <c r="B2614" t="s">
        <v>10</v>
      </c>
      <c r="C2614" t="s">
        <v>9632</v>
      </c>
      <c r="D2614" t="s">
        <v>8057</v>
      </c>
      <c r="E2614" t="s">
        <v>8057</v>
      </c>
      <c r="F2614" t="s">
        <v>9633</v>
      </c>
      <c r="G2614" t="s">
        <v>9634</v>
      </c>
      <c r="H2614" t="s">
        <v>30</v>
      </c>
      <c r="I2614" t="b">
        <f>COUNTIF(Estadísticas!I:I,'centraldecomunicacion.es'!H2614)&gt;0</f>
        <v>0</v>
      </c>
    </row>
    <row r="2615" spans="1:9">
      <c r="A2615" t="s">
        <v>9635</v>
      </c>
      <c r="B2615" t="s">
        <v>10</v>
      </c>
      <c r="C2615" t="s">
        <v>9636</v>
      </c>
      <c r="D2615" t="s">
        <v>8057</v>
      </c>
      <c r="E2615" t="s">
        <v>8057</v>
      </c>
      <c r="F2615" t="s">
        <v>28</v>
      </c>
      <c r="G2615" t="s">
        <v>9637</v>
      </c>
      <c r="H2615" t="s">
        <v>30</v>
      </c>
      <c r="I2615" t="b">
        <f>COUNTIF(Estadísticas!I:I,'centraldecomunicacion.es'!H2615)&gt;0</f>
        <v>0</v>
      </c>
    </row>
    <row r="2616" spans="1:9">
      <c r="A2616" t="s">
        <v>9638</v>
      </c>
      <c r="B2616" t="s">
        <v>10</v>
      </c>
      <c r="C2616" t="s">
        <v>9639</v>
      </c>
      <c r="D2616" t="s">
        <v>8057</v>
      </c>
      <c r="E2616" t="s">
        <v>8057</v>
      </c>
      <c r="F2616" t="s">
        <v>28</v>
      </c>
      <c r="G2616" t="s">
        <v>9640</v>
      </c>
      <c r="H2616" t="s">
        <v>30</v>
      </c>
      <c r="I2616" t="b">
        <f>COUNTIF(Estadísticas!I:I,'centraldecomunicacion.es'!H2616)&gt;0</f>
        <v>0</v>
      </c>
    </row>
    <row r="2617" spans="1:9">
      <c r="A2617" t="s">
        <v>7204</v>
      </c>
      <c r="B2617" t="s">
        <v>10</v>
      </c>
      <c r="C2617" t="s">
        <v>9641</v>
      </c>
      <c r="D2617" t="s">
        <v>8057</v>
      </c>
      <c r="E2617" t="s">
        <v>8057</v>
      </c>
      <c r="F2617" t="s">
        <v>28</v>
      </c>
      <c r="G2617" t="s">
        <v>9642</v>
      </c>
      <c r="H2617" t="s">
        <v>30</v>
      </c>
      <c r="I2617" t="b">
        <f>COUNTIF(Estadísticas!I:I,'centraldecomunicacion.es'!H2617)&gt;0</f>
        <v>0</v>
      </c>
    </row>
    <row r="2618" spans="1:9">
      <c r="A2618" t="s">
        <v>9643</v>
      </c>
      <c r="B2618" t="s">
        <v>10</v>
      </c>
      <c r="C2618" t="s">
        <v>9644</v>
      </c>
      <c r="D2618" t="s">
        <v>8057</v>
      </c>
      <c r="E2618" t="s">
        <v>8057</v>
      </c>
      <c r="F2618" t="s">
        <v>9645</v>
      </c>
      <c r="G2618" t="s">
        <v>9646</v>
      </c>
      <c r="H2618" t="s">
        <v>9647</v>
      </c>
      <c r="I2618" t="b">
        <f>COUNTIF(Estadísticas!I:I,'centraldecomunicacion.es'!H2618)&gt;0</f>
        <v>0</v>
      </c>
    </row>
    <row r="2619" spans="1:9">
      <c r="A2619" t="s">
        <v>9648</v>
      </c>
      <c r="B2619" t="s">
        <v>10</v>
      </c>
      <c r="C2619" t="s">
        <v>9649</v>
      </c>
      <c r="D2619" t="s">
        <v>9650</v>
      </c>
      <c r="E2619" t="s">
        <v>8057</v>
      </c>
      <c r="F2619" t="s">
        <v>9651</v>
      </c>
      <c r="G2619" t="s">
        <v>9652</v>
      </c>
      <c r="H2619" t="s">
        <v>9653</v>
      </c>
      <c r="I2619" t="b">
        <f>COUNTIF(Estadísticas!I:I,'centraldecomunicacion.es'!H2619)&gt;0</f>
        <v>0</v>
      </c>
    </row>
    <row r="2620" spans="1:9">
      <c r="A2620" t="s">
        <v>9654</v>
      </c>
      <c r="B2620" t="s">
        <v>10</v>
      </c>
      <c r="C2620" t="s">
        <v>9655</v>
      </c>
      <c r="D2620" t="s">
        <v>9543</v>
      </c>
      <c r="E2620" t="s">
        <v>8057</v>
      </c>
      <c r="F2620" t="s">
        <v>28</v>
      </c>
      <c r="G2620" t="s">
        <v>9656</v>
      </c>
      <c r="H2620" t="s">
        <v>30</v>
      </c>
      <c r="I2620" t="b">
        <f>COUNTIF(Estadísticas!I:I,'centraldecomunicacion.es'!H2620)&gt;0</f>
        <v>0</v>
      </c>
    </row>
    <row r="2621" spans="1:9">
      <c r="A2621" t="s">
        <v>9657</v>
      </c>
      <c r="B2621" t="s">
        <v>10</v>
      </c>
      <c r="C2621" t="s">
        <v>9658</v>
      </c>
      <c r="D2621" t="s">
        <v>8057</v>
      </c>
      <c r="E2621" t="s">
        <v>8057</v>
      </c>
      <c r="F2621" t="s">
        <v>9659</v>
      </c>
      <c r="G2621" t="s">
        <v>9660</v>
      </c>
      <c r="H2621" t="s">
        <v>30</v>
      </c>
      <c r="I2621" t="b">
        <f>COUNTIF(Estadísticas!I:I,'centraldecomunicacion.es'!H2621)&gt;0</f>
        <v>0</v>
      </c>
    </row>
    <row r="2622" spans="1:9">
      <c r="A2622" t="s">
        <v>9661</v>
      </c>
      <c r="B2622" t="s">
        <v>10</v>
      </c>
      <c r="C2622" t="s">
        <v>9662</v>
      </c>
      <c r="D2622" t="s">
        <v>8057</v>
      </c>
      <c r="E2622" t="s">
        <v>8057</v>
      </c>
      <c r="F2622" t="s">
        <v>28</v>
      </c>
      <c r="G2622" t="s">
        <v>9663</v>
      </c>
      <c r="H2622" t="s">
        <v>30</v>
      </c>
      <c r="I2622" t="b">
        <f>COUNTIF(Estadísticas!I:I,'centraldecomunicacion.es'!H2622)&gt;0</f>
        <v>0</v>
      </c>
    </row>
    <row r="2623" spans="1:9">
      <c r="A2623" t="s">
        <v>9664</v>
      </c>
      <c r="B2623" t="s">
        <v>10</v>
      </c>
      <c r="C2623" t="s">
        <v>9665</v>
      </c>
      <c r="D2623" t="s">
        <v>8057</v>
      </c>
      <c r="E2623" t="s">
        <v>8057</v>
      </c>
      <c r="F2623" t="s">
        <v>28</v>
      </c>
      <c r="G2623" t="s">
        <v>9666</v>
      </c>
      <c r="H2623" t="s">
        <v>30</v>
      </c>
      <c r="I2623" t="b">
        <f>COUNTIF(Estadísticas!I:I,'centraldecomunicacion.es'!H2623)&gt;0</f>
        <v>0</v>
      </c>
    </row>
    <row r="2624" spans="1:9">
      <c r="A2624" t="s">
        <v>9667</v>
      </c>
      <c r="B2624" t="s">
        <v>10</v>
      </c>
      <c r="C2624" t="s">
        <v>9668</v>
      </c>
      <c r="D2624" t="s">
        <v>8057</v>
      </c>
      <c r="E2624" t="s">
        <v>8057</v>
      </c>
      <c r="F2624" t="s">
        <v>9669</v>
      </c>
      <c r="G2624" t="s">
        <v>9670</v>
      </c>
      <c r="H2624" t="s">
        <v>9671</v>
      </c>
      <c r="I2624" t="b">
        <f>COUNTIF(Estadísticas!I:I,'centraldecomunicacion.es'!H2624)&gt;0</f>
        <v>0</v>
      </c>
    </row>
    <row r="2625" spans="1:9">
      <c r="A2625" t="s">
        <v>9672</v>
      </c>
      <c r="B2625" t="s">
        <v>10</v>
      </c>
      <c r="C2625" t="s">
        <v>9673</v>
      </c>
      <c r="D2625" t="s">
        <v>8057</v>
      </c>
      <c r="E2625" t="s">
        <v>8057</v>
      </c>
      <c r="F2625" t="s">
        <v>6799</v>
      </c>
      <c r="G2625" t="s">
        <v>9674</v>
      </c>
      <c r="H2625" t="s">
        <v>30</v>
      </c>
      <c r="I2625" t="b">
        <f>COUNTIF(Estadísticas!I:I,'centraldecomunicacion.es'!H2625)&gt;0</f>
        <v>0</v>
      </c>
    </row>
    <row r="2626" spans="1:9">
      <c r="A2626" t="s">
        <v>9675</v>
      </c>
      <c r="B2626" t="s">
        <v>10</v>
      </c>
      <c r="C2626" t="s">
        <v>9676</v>
      </c>
      <c r="D2626" t="s">
        <v>8057</v>
      </c>
      <c r="E2626" t="s">
        <v>8057</v>
      </c>
      <c r="F2626" t="s">
        <v>28</v>
      </c>
      <c r="G2626" t="s">
        <v>9677</v>
      </c>
      <c r="H2626" t="s">
        <v>30</v>
      </c>
      <c r="I2626" t="b">
        <f>COUNTIF(Estadísticas!I:I,'centraldecomunicacion.es'!H2626)&gt;0</f>
        <v>0</v>
      </c>
    </row>
    <row r="2627" spans="1:9">
      <c r="A2627" t="s">
        <v>9678</v>
      </c>
      <c r="B2627" t="s">
        <v>10</v>
      </c>
      <c r="C2627" t="s">
        <v>9679</v>
      </c>
      <c r="D2627" t="s">
        <v>8057</v>
      </c>
      <c r="E2627" t="s">
        <v>8057</v>
      </c>
      <c r="F2627" t="s">
        <v>28</v>
      </c>
      <c r="G2627" t="s">
        <v>9680</v>
      </c>
      <c r="H2627" t="s">
        <v>30</v>
      </c>
      <c r="I2627" t="b">
        <f>COUNTIF(Estadísticas!I:I,'centraldecomunicacion.es'!H2627)&gt;0</f>
        <v>0</v>
      </c>
    </row>
    <row r="2628" spans="1:9">
      <c r="A2628" t="s">
        <v>9681</v>
      </c>
      <c r="B2628" t="s">
        <v>10</v>
      </c>
      <c r="C2628" t="s">
        <v>9682</v>
      </c>
      <c r="D2628" t="s">
        <v>8057</v>
      </c>
      <c r="E2628" t="s">
        <v>8057</v>
      </c>
      <c r="F2628" t="s">
        <v>9683</v>
      </c>
      <c r="G2628" t="s">
        <v>9684</v>
      </c>
      <c r="H2628" t="s">
        <v>9685</v>
      </c>
      <c r="I2628" t="b">
        <f>COUNTIF(Estadísticas!I:I,'centraldecomunicacion.es'!H2628)&gt;0</f>
        <v>0</v>
      </c>
    </row>
    <row r="2629" spans="1:9">
      <c r="A2629" t="s">
        <v>9686</v>
      </c>
      <c r="B2629" t="s">
        <v>10</v>
      </c>
      <c r="C2629" t="s">
        <v>9687</v>
      </c>
      <c r="D2629" t="s">
        <v>8057</v>
      </c>
      <c r="E2629" t="s">
        <v>8057</v>
      </c>
      <c r="F2629" t="s">
        <v>9688</v>
      </c>
      <c r="G2629" t="s">
        <v>9689</v>
      </c>
      <c r="H2629" t="s">
        <v>9690</v>
      </c>
      <c r="I2629" t="b">
        <f>COUNTIF(Estadísticas!I:I,'centraldecomunicacion.es'!H2629)&gt;0</f>
        <v>0</v>
      </c>
    </row>
    <row r="2630" spans="1:9">
      <c r="A2630" t="s">
        <v>9691</v>
      </c>
      <c r="B2630" t="s">
        <v>10</v>
      </c>
      <c r="C2630" t="s">
        <v>9692</v>
      </c>
      <c r="D2630" t="s">
        <v>9693</v>
      </c>
      <c r="E2630" t="s">
        <v>8057</v>
      </c>
      <c r="F2630" t="s">
        <v>9694</v>
      </c>
      <c r="G2630" t="s">
        <v>9695</v>
      </c>
      <c r="H2630" t="s">
        <v>9696</v>
      </c>
      <c r="I2630" t="b">
        <f>COUNTIF(Estadísticas!I:I,'centraldecomunicacion.es'!H2630)&gt;0</f>
        <v>1</v>
      </c>
    </row>
    <row r="2631" spans="1:9">
      <c r="A2631" t="s">
        <v>9697</v>
      </c>
      <c r="B2631" t="s">
        <v>10</v>
      </c>
      <c r="C2631" t="s">
        <v>9698</v>
      </c>
      <c r="D2631" t="s">
        <v>8057</v>
      </c>
      <c r="E2631" t="s">
        <v>8057</v>
      </c>
      <c r="F2631" t="s">
        <v>9699</v>
      </c>
      <c r="G2631" t="s">
        <v>9700</v>
      </c>
      <c r="H2631" t="s">
        <v>30</v>
      </c>
      <c r="I2631" t="b">
        <f>COUNTIF(Estadísticas!I:I,'centraldecomunicacion.es'!H2631)&gt;0</f>
        <v>0</v>
      </c>
    </row>
    <row r="2632" spans="1:9">
      <c r="A2632" t="s">
        <v>9701</v>
      </c>
      <c r="B2632" t="s">
        <v>10</v>
      </c>
      <c r="C2632" t="s">
        <v>9702</v>
      </c>
      <c r="D2632" t="s">
        <v>8057</v>
      </c>
      <c r="E2632" t="s">
        <v>8057</v>
      </c>
      <c r="F2632" t="s">
        <v>9557</v>
      </c>
      <c r="G2632" t="s">
        <v>9703</v>
      </c>
      <c r="H2632" t="s">
        <v>9559</v>
      </c>
      <c r="I2632" t="b">
        <f>COUNTIF(Estadísticas!I:I,'centraldecomunicacion.es'!H2632)&gt;0</f>
        <v>0</v>
      </c>
    </row>
    <row r="2633" spans="1:9">
      <c r="A2633" t="s">
        <v>9704</v>
      </c>
      <c r="B2633" t="s">
        <v>10</v>
      </c>
      <c r="C2633" t="s">
        <v>9705</v>
      </c>
      <c r="D2633" t="s">
        <v>8057</v>
      </c>
      <c r="E2633" t="s">
        <v>8057</v>
      </c>
      <c r="F2633" t="s">
        <v>9706</v>
      </c>
      <c r="G2633" t="s">
        <v>9707</v>
      </c>
      <c r="H2633" t="s">
        <v>9708</v>
      </c>
      <c r="I2633" t="b">
        <f>COUNTIF(Estadísticas!I:I,'centraldecomunicacion.es'!H2633)&gt;0</f>
        <v>0</v>
      </c>
    </row>
    <row r="2634" spans="1:9">
      <c r="A2634" t="s">
        <v>9709</v>
      </c>
      <c r="B2634" t="s">
        <v>10</v>
      </c>
      <c r="C2634" t="s">
        <v>9710</v>
      </c>
      <c r="D2634" t="s">
        <v>8057</v>
      </c>
      <c r="E2634" t="s">
        <v>8057</v>
      </c>
      <c r="F2634" t="s">
        <v>28</v>
      </c>
      <c r="G2634" t="s">
        <v>9711</v>
      </c>
      <c r="H2634" t="s">
        <v>30</v>
      </c>
      <c r="I2634" t="b">
        <f>COUNTIF(Estadísticas!I:I,'centraldecomunicacion.es'!H2634)&gt;0</f>
        <v>0</v>
      </c>
    </row>
    <row r="2635" spans="1:9">
      <c r="A2635" t="s">
        <v>9712</v>
      </c>
      <c r="B2635" t="s">
        <v>10</v>
      </c>
      <c r="C2635" t="s">
        <v>9713</v>
      </c>
      <c r="D2635" t="s">
        <v>8057</v>
      </c>
      <c r="E2635" t="s">
        <v>8057</v>
      </c>
      <c r="F2635" t="s">
        <v>9714</v>
      </c>
      <c r="G2635" t="s">
        <v>9715</v>
      </c>
      <c r="H2635" t="s">
        <v>30</v>
      </c>
      <c r="I2635" t="b">
        <f>COUNTIF(Estadísticas!I:I,'centraldecomunicacion.es'!H2635)&gt;0</f>
        <v>0</v>
      </c>
    </row>
    <row r="2636" spans="1:9">
      <c r="A2636" t="s">
        <v>9716</v>
      </c>
      <c r="B2636" t="s">
        <v>10</v>
      </c>
      <c r="C2636" t="s">
        <v>9717</v>
      </c>
      <c r="D2636" t="s">
        <v>8057</v>
      </c>
      <c r="E2636" t="s">
        <v>8057</v>
      </c>
      <c r="F2636" t="s">
        <v>9718</v>
      </c>
      <c r="G2636" t="s">
        <v>9719</v>
      </c>
      <c r="H2636" t="s">
        <v>691</v>
      </c>
      <c r="I2636" t="b">
        <f>COUNTIF(Estadísticas!I:I,'centraldecomunicacion.es'!H2636)&gt;0</f>
        <v>0</v>
      </c>
    </row>
    <row r="2637" spans="1:9">
      <c r="A2637" t="s">
        <v>9720</v>
      </c>
      <c r="B2637" t="s">
        <v>10</v>
      </c>
      <c r="C2637" t="s">
        <v>9721</v>
      </c>
      <c r="D2637" t="s">
        <v>8057</v>
      </c>
      <c r="E2637" t="s">
        <v>8057</v>
      </c>
      <c r="F2637" t="s">
        <v>28</v>
      </c>
      <c r="G2637" t="s">
        <v>28</v>
      </c>
      <c r="H2637" t="s">
        <v>30</v>
      </c>
      <c r="I2637" t="b">
        <f>COUNTIF(Estadísticas!I:I,'centraldecomunicacion.es'!H2637)&gt;0</f>
        <v>0</v>
      </c>
    </row>
    <row r="2638" spans="1:9">
      <c r="A2638" t="s">
        <v>9722</v>
      </c>
      <c r="B2638" t="s">
        <v>10</v>
      </c>
      <c r="C2638" t="s">
        <v>9723</v>
      </c>
      <c r="D2638" t="s">
        <v>8057</v>
      </c>
      <c r="E2638" t="s">
        <v>8057</v>
      </c>
      <c r="F2638" t="s">
        <v>9724</v>
      </c>
      <c r="G2638" t="s">
        <v>9725</v>
      </c>
      <c r="H2638" t="s">
        <v>9726</v>
      </c>
      <c r="I2638" t="b">
        <f>COUNTIF(Estadísticas!I:I,'centraldecomunicacion.es'!H2638)&gt;0</f>
        <v>0</v>
      </c>
    </row>
    <row r="2639" spans="1:9">
      <c r="A2639" t="s">
        <v>9727</v>
      </c>
      <c r="B2639" t="s">
        <v>10</v>
      </c>
      <c r="C2639" t="s">
        <v>9728</v>
      </c>
      <c r="D2639" t="s">
        <v>8057</v>
      </c>
      <c r="E2639" t="s">
        <v>8057</v>
      </c>
      <c r="F2639" t="s">
        <v>9729</v>
      </c>
      <c r="G2639" t="s">
        <v>9730</v>
      </c>
      <c r="H2639" t="s">
        <v>9731</v>
      </c>
      <c r="I2639" t="b">
        <f>COUNTIF(Estadísticas!I:I,'centraldecomunicacion.es'!H2639)&gt;0</f>
        <v>0</v>
      </c>
    </row>
    <row r="2640" spans="1:9">
      <c r="A2640" t="s">
        <v>9732</v>
      </c>
      <c r="B2640" t="s">
        <v>10</v>
      </c>
      <c r="C2640" t="s">
        <v>9733</v>
      </c>
      <c r="D2640" t="s">
        <v>9693</v>
      </c>
      <c r="E2640" t="s">
        <v>8057</v>
      </c>
      <c r="F2640" t="s">
        <v>28</v>
      </c>
      <c r="G2640" t="s">
        <v>9734</v>
      </c>
      <c r="H2640" t="s">
        <v>30</v>
      </c>
      <c r="I2640" t="b">
        <f>COUNTIF(Estadísticas!I:I,'centraldecomunicacion.es'!H2640)&gt;0</f>
        <v>0</v>
      </c>
    </row>
    <row r="2641" spans="1:9">
      <c r="A2641" t="s">
        <v>9735</v>
      </c>
      <c r="B2641" t="s">
        <v>10</v>
      </c>
      <c r="C2641" t="s">
        <v>9736</v>
      </c>
      <c r="D2641" t="s">
        <v>8057</v>
      </c>
      <c r="E2641" t="s">
        <v>8057</v>
      </c>
      <c r="F2641" t="s">
        <v>28</v>
      </c>
      <c r="G2641" t="s">
        <v>9737</v>
      </c>
      <c r="H2641" t="s">
        <v>30</v>
      </c>
      <c r="I2641" t="b">
        <f>COUNTIF(Estadísticas!I:I,'centraldecomunicacion.es'!H2641)&gt;0</f>
        <v>0</v>
      </c>
    </row>
    <row r="2642" spans="1:9">
      <c r="A2642" t="s">
        <v>9738</v>
      </c>
      <c r="B2642" t="s">
        <v>10</v>
      </c>
      <c r="C2642" t="s">
        <v>9739</v>
      </c>
      <c r="D2642" t="s">
        <v>8057</v>
      </c>
      <c r="E2642" t="s">
        <v>8057</v>
      </c>
      <c r="F2642" t="s">
        <v>9740</v>
      </c>
      <c r="G2642" t="s">
        <v>9741</v>
      </c>
      <c r="H2642" t="s">
        <v>9742</v>
      </c>
      <c r="I2642" t="b">
        <f>COUNTIF(Estadísticas!I:I,'centraldecomunicacion.es'!H2642)&gt;0</f>
        <v>0</v>
      </c>
    </row>
    <row r="2643" spans="1:9">
      <c r="A2643" t="s">
        <v>9743</v>
      </c>
      <c r="B2643" t="s">
        <v>10</v>
      </c>
      <c r="C2643" t="s">
        <v>9744</v>
      </c>
      <c r="D2643" t="s">
        <v>8057</v>
      </c>
      <c r="E2643" t="s">
        <v>8057</v>
      </c>
      <c r="F2643" t="s">
        <v>28</v>
      </c>
      <c r="G2643" t="s">
        <v>9745</v>
      </c>
      <c r="H2643" t="s">
        <v>30</v>
      </c>
      <c r="I2643" t="b">
        <f>COUNTIF(Estadísticas!I:I,'centraldecomunicacion.es'!H2643)&gt;0</f>
        <v>0</v>
      </c>
    </row>
    <row r="2644" spans="1:9">
      <c r="A2644" t="s">
        <v>9746</v>
      </c>
      <c r="B2644" t="s">
        <v>10</v>
      </c>
      <c r="C2644" t="s">
        <v>9747</v>
      </c>
      <c r="D2644" t="s">
        <v>8057</v>
      </c>
      <c r="E2644" t="s">
        <v>8057</v>
      </c>
      <c r="F2644" t="s">
        <v>28</v>
      </c>
      <c r="G2644" t="s">
        <v>9748</v>
      </c>
      <c r="H2644" t="s">
        <v>30</v>
      </c>
      <c r="I2644" t="b">
        <f>COUNTIF(Estadísticas!I:I,'centraldecomunicacion.es'!H2644)&gt;0</f>
        <v>0</v>
      </c>
    </row>
    <row r="2645" spans="1:9">
      <c r="A2645" t="s">
        <v>9749</v>
      </c>
      <c r="B2645" t="s">
        <v>10</v>
      </c>
      <c r="C2645" t="s">
        <v>9750</v>
      </c>
      <c r="D2645" t="s">
        <v>8057</v>
      </c>
      <c r="E2645" t="s">
        <v>8057</v>
      </c>
      <c r="F2645" t="s">
        <v>9751</v>
      </c>
      <c r="G2645" t="s">
        <v>9752</v>
      </c>
      <c r="H2645" t="s">
        <v>30</v>
      </c>
      <c r="I2645" t="b">
        <f>COUNTIF(Estadísticas!I:I,'centraldecomunicacion.es'!H2645)&gt;0</f>
        <v>0</v>
      </c>
    </row>
    <row r="2646" spans="1:9">
      <c r="A2646" t="s">
        <v>9753</v>
      </c>
      <c r="B2646" t="s">
        <v>10</v>
      </c>
      <c r="C2646" t="s">
        <v>9754</v>
      </c>
      <c r="D2646" t="s">
        <v>8057</v>
      </c>
      <c r="E2646" t="s">
        <v>8057</v>
      </c>
      <c r="F2646" t="s">
        <v>9755</v>
      </c>
      <c r="G2646" t="s">
        <v>9756</v>
      </c>
      <c r="H2646" t="s">
        <v>9757</v>
      </c>
      <c r="I2646" t="b">
        <f>COUNTIF(Estadísticas!I:I,'centraldecomunicacion.es'!H2646)&gt;0</f>
        <v>0</v>
      </c>
    </row>
    <row r="2647" spans="1:9">
      <c r="A2647" t="s">
        <v>9758</v>
      </c>
      <c r="B2647" t="s">
        <v>10</v>
      </c>
      <c r="C2647" t="s">
        <v>9759</v>
      </c>
      <c r="D2647" t="s">
        <v>8057</v>
      </c>
      <c r="E2647" t="s">
        <v>8057</v>
      </c>
      <c r="F2647" t="s">
        <v>28</v>
      </c>
      <c r="G2647" t="s">
        <v>9760</v>
      </c>
      <c r="H2647" t="s">
        <v>30</v>
      </c>
      <c r="I2647" t="b">
        <f>COUNTIF(Estadísticas!I:I,'centraldecomunicacion.es'!H2647)&gt;0</f>
        <v>0</v>
      </c>
    </row>
    <row r="2648" spans="1:9">
      <c r="A2648" t="s">
        <v>9761</v>
      </c>
      <c r="B2648" t="s">
        <v>10</v>
      </c>
      <c r="C2648" t="s">
        <v>9762</v>
      </c>
      <c r="D2648" t="s">
        <v>8057</v>
      </c>
      <c r="E2648" t="s">
        <v>8057</v>
      </c>
      <c r="F2648" t="s">
        <v>28</v>
      </c>
      <c r="G2648" t="s">
        <v>9763</v>
      </c>
      <c r="H2648" t="s">
        <v>30</v>
      </c>
      <c r="I2648" t="b">
        <f>COUNTIF(Estadísticas!I:I,'centraldecomunicacion.es'!H2648)&gt;0</f>
        <v>0</v>
      </c>
    </row>
    <row r="2649" spans="1:9">
      <c r="A2649" t="s">
        <v>9764</v>
      </c>
      <c r="B2649" t="s">
        <v>10</v>
      </c>
      <c r="C2649" t="s">
        <v>9765</v>
      </c>
      <c r="D2649" t="s">
        <v>8057</v>
      </c>
      <c r="E2649" t="s">
        <v>8057</v>
      </c>
      <c r="F2649" t="s">
        <v>28</v>
      </c>
      <c r="G2649" t="s">
        <v>9766</v>
      </c>
      <c r="H2649" t="s">
        <v>30</v>
      </c>
      <c r="I2649" t="b">
        <f>COUNTIF(Estadísticas!I:I,'centraldecomunicacion.es'!H2649)&gt;0</f>
        <v>0</v>
      </c>
    </row>
    <row r="2650" spans="1:9">
      <c r="A2650" t="s">
        <v>9767</v>
      </c>
      <c r="B2650" t="s">
        <v>10</v>
      </c>
      <c r="C2650" t="s">
        <v>9768</v>
      </c>
      <c r="D2650" t="s">
        <v>8057</v>
      </c>
      <c r="E2650" t="s">
        <v>8057</v>
      </c>
      <c r="F2650" t="s">
        <v>9769</v>
      </c>
      <c r="G2650" t="s">
        <v>9770</v>
      </c>
      <c r="H2650" t="s">
        <v>9771</v>
      </c>
      <c r="I2650" t="b">
        <f>COUNTIF(Estadísticas!I:I,'centraldecomunicacion.es'!H2650)&gt;0</f>
        <v>1</v>
      </c>
    </row>
    <row r="2651" spans="1:9">
      <c r="A2651" t="s">
        <v>9772</v>
      </c>
      <c r="B2651" t="s">
        <v>10</v>
      </c>
      <c r="C2651" t="s">
        <v>9773</v>
      </c>
      <c r="D2651" t="s">
        <v>8057</v>
      </c>
      <c r="E2651" t="s">
        <v>8057</v>
      </c>
      <c r="F2651" t="s">
        <v>28</v>
      </c>
      <c r="G2651" t="s">
        <v>9774</v>
      </c>
      <c r="H2651" t="s">
        <v>30</v>
      </c>
      <c r="I2651" t="b">
        <f>COUNTIF(Estadísticas!I:I,'centraldecomunicacion.es'!H2651)&gt;0</f>
        <v>0</v>
      </c>
    </row>
    <row r="2652" spans="1:9">
      <c r="A2652" t="s">
        <v>9775</v>
      </c>
      <c r="B2652" t="s">
        <v>10</v>
      </c>
      <c r="C2652" t="s">
        <v>9776</v>
      </c>
      <c r="D2652" t="s">
        <v>8057</v>
      </c>
      <c r="E2652" t="s">
        <v>8057</v>
      </c>
      <c r="F2652" t="s">
        <v>9777</v>
      </c>
      <c r="G2652" t="s">
        <v>9778</v>
      </c>
      <c r="H2652" t="s">
        <v>30</v>
      </c>
      <c r="I2652" t="b">
        <f>COUNTIF(Estadísticas!I:I,'centraldecomunicacion.es'!H2652)&gt;0</f>
        <v>0</v>
      </c>
    </row>
    <row r="2653" spans="1:9">
      <c r="A2653" t="s">
        <v>9779</v>
      </c>
      <c r="B2653" t="s">
        <v>10</v>
      </c>
      <c r="C2653" t="s">
        <v>9780</v>
      </c>
      <c r="D2653" t="s">
        <v>8057</v>
      </c>
      <c r="E2653" t="s">
        <v>8057</v>
      </c>
      <c r="F2653" t="s">
        <v>9781</v>
      </c>
      <c r="G2653" t="s">
        <v>9782</v>
      </c>
      <c r="H2653" t="s">
        <v>30</v>
      </c>
      <c r="I2653" t="b">
        <f>COUNTIF(Estadísticas!I:I,'centraldecomunicacion.es'!H2653)&gt;0</f>
        <v>0</v>
      </c>
    </row>
    <row r="2654" spans="1:9">
      <c r="A2654" t="s">
        <v>9783</v>
      </c>
      <c r="B2654" t="s">
        <v>10</v>
      </c>
      <c r="C2654" t="s">
        <v>9784</v>
      </c>
      <c r="D2654" t="s">
        <v>8057</v>
      </c>
      <c r="E2654" t="s">
        <v>8057</v>
      </c>
      <c r="F2654" t="s">
        <v>28</v>
      </c>
      <c r="G2654" t="s">
        <v>9785</v>
      </c>
      <c r="H2654" t="s">
        <v>30</v>
      </c>
      <c r="I2654" t="b">
        <f>COUNTIF(Estadísticas!I:I,'centraldecomunicacion.es'!H2654)&gt;0</f>
        <v>0</v>
      </c>
    </row>
    <row r="2655" spans="1:9">
      <c r="A2655" t="s">
        <v>9786</v>
      </c>
      <c r="B2655" t="s">
        <v>10</v>
      </c>
      <c r="C2655" t="s">
        <v>9787</v>
      </c>
      <c r="D2655" t="s">
        <v>8057</v>
      </c>
      <c r="E2655" t="s">
        <v>8057</v>
      </c>
      <c r="F2655" t="s">
        <v>9788</v>
      </c>
      <c r="G2655" t="s">
        <v>9789</v>
      </c>
      <c r="H2655" t="s">
        <v>9790</v>
      </c>
      <c r="I2655" t="b">
        <f>COUNTIF(Estadísticas!I:I,'centraldecomunicacion.es'!H2655)&gt;0</f>
        <v>0</v>
      </c>
    </row>
    <row r="2656" spans="1:9">
      <c r="A2656" t="s">
        <v>9791</v>
      </c>
      <c r="B2656" t="s">
        <v>10</v>
      </c>
      <c r="C2656" t="s">
        <v>9792</v>
      </c>
      <c r="D2656" t="s">
        <v>8057</v>
      </c>
      <c r="E2656" t="s">
        <v>8057</v>
      </c>
      <c r="F2656" t="s">
        <v>9793</v>
      </c>
      <c r="G2656" t="s">
        <v>9794</v>
      </c>
      <c r="H2656" t="s">
        <v>30</v>
      </c>
      <c r="I2656" t="b">
        <f>COUNTIF(Estadísticas!I:I,'centraldecomunicacion.es'!H2656)&gt;0</f>
        <v>0</v>
      </c>
    </row>
    <row r="2657" spans="1:9">
      <c r="A2657" t="s">
        <v>9795</v>
      </c>
      <c r="B2657" t="s">
        <v>10</v>
      </c>
      <c r="C2657" t="s">
        <v>9796</v>
      </c>
      <c r="D2657" t="s">
        <v>8057</v>
      </c>
      <c r="E2657" t="s">
        <v>8057</v>
      </c>
      <c r="F2657" t="s">
        <v>28</v>
      </c>
      <c r="G2657" t="s">
        <v>9797</v>
      </c>
      <c r="H2657" t="s">
        <v>30</v>
      </c>
      <c r="I2657" t="b">
        <f>COUNTIF(Estadísticas!I:I,'centraldecomunicacion.es'!H2657)&gt;0</f>
        <v>0</v>
      </c>
    </row>
    <row r="2658" spans="1:9">
      <c r="A2658" t="s">
        <v>9798</v>
      </c>
      <c r="B2658" t="s">
        <v>10</v>
      </c>
      <c r="C2658" t="s">
        <v>9799</v>
      </c>
      <c r="D2658" t="s">
        <v>8057</v>
      </c>
      <c r="E2658" t="s">
        <v>8057</v>
      </c>
      <c r="F2658" t="s">
        <v>50</v>
      </c>
      <c r="G2658" t="s">
        <v>9800</v>
      </c>
      <c r="H2658" t="s">
        <v>30</v>
      </c>
      <c r="I2658" t="b">
        <f>COUNTIF(Estadísticas!I:I,'centraldecomunicacion.es'!H2658)&gt;0</f>
        <v>0</v>
      </c>
    </row>
    <row r="2659" spans="1:9">
      <c r="A2659" t="s">
        <v>9801</v>
      </c>
      <c r="B2659" t="s">
        <v>10</v>
      </c>
      <c r="C2659" t="s">
        <v>9802</v>
      </c>
      <c r="D2659" t="s">
        <v>8057</v>
      </c>
      <c r="E2659" t="s">
        <v>8057</v>
      </c>
      <c r="F2659" t="s">
        <v>9803</v>
      </c>
      <c r="G2659" t="s">
        <v>9804</v>
      </c>
      <c r="H2659" t="s">
        <v>30</v>
      </c>
      <c r="I2659" t="b">
        <f>COUNTIF(Estadísticas!I:I,'centraldecomunicacion.es'!H2659)&gt;0</f>
        <v>0</v>
      </c>
    </row>
    <row r="2660" spans="1:9">
      <c r="A2660" t="s">
        <v>9805</v>
      </c>
      <c r="B2660" t="s">
        <v>10</v>
      </c>
      <c r="C2660" t="s">
        <v>28</v>
      </c>
      <c r="D2660" t="s">
        <v>9806</v>
      </c>
      <c r="E2660" t="s">
        <v>28</v>
      </c>
      <c r="F2660" t="s">
        <v>9807</v>
      </c>
      <c r="G2660" t="s">
        <v>9808</v>
      </c>
      <c r="H2660" t="s">
        <v>30</v>
      </c>
      <c r="I2660" t="b">
        <f>COUNTIF(Estadísticas!I:I,'centraldecomunicacion.es'!H2660)&gt;0</f>
        <v>0</v>
      </c>
    </row>
    <row r="2661" spans="1:9">
      <c r="A2661" t="s">
        <v>9809</v>
      </c>
      <c r="B2661" t="s">
        <v>10</v>
      </c>
      <c r="C2661" t="s">
        <v>9810</v>
      </c>
      <c r="D2661" t="s">
        <v>8057</v>
      </c>
      <c r="E2661" t="s">
        <v>8057</v>
      </c>
      <c r="F2661" t="s">
        <v>9769</v>
      </c>
      <c r="G2661" t="s">
        <v>9770</v>
      </c>
      <c r="H2661" t="s">
        <v>9771</v>
      </c>
      <c r="I2661" t="b">
        <f>COUNTIF(Estadísticas!I:I,'centraldecomunicacion.es'!H2661)&gt;0</f>
        <v>1</v>
      </c>
    </row>
    <row r="2662" spans="1:9">
      <c r="A2662" t="s">
        <v>9811</v>
      </c>
      <c r="B2662" t="s">
        <v>10</v>
      </c>
      <c r="C2662" t="s">
        <v>9812</v>
      </c>
      <c r="D2662" t="s">
        <v>8057</v>
      </c>
      <c r="E2662" t="s">
        <v>8057</v>
      </c>
      <c r="F2662" t="s">
        <v>28</v>
      </c>
      <c r="G2662" t="s">
        <v>9813</v>
      </c>
      <c r="H2662" t="s">
        <v>30</v>
      </c>
      <c r="I2662" t="b">
        <f>COUNTIF(Estadísticas!I:I,'centraldecomunicacion.es'!H2662)&gt;0</f>
        <v>0</v>
      </c>
    </row>
    <row r="2663" spans="1:9">
      <c r="A2663" t="s">
        <v>9814</v>
      </c>
      <c r="B2663" t="s">
        <v>10</v>
      </c>
      <c r="C2663" t="s">
        <v>9815</v>
      </c>
      <c r="D2663" t="s">
        <v>8057</v>
      </c>
      <c r="E2663" t="s">
        <v>8057</v>
      </c>
      <c r="F2663" t="s">
        <v>28</v>
      </c>
      <c r="G2663" t="s">
        <v>9816</v>
      </c>
      <c r="H2663" t="s">
        <v>30</v>
      </c>
      <c r="I2663" t="b">
        <f>COUNTIF(Estadísticas!I:I,'centraldecomunicacion.es'!H2663)&gt;0</f>
        <v>0</v>
      </c>
    </row>
    <row r="2664" spans="1:9">
      <c r="A2664" t="s">
        <v>9817</v>
      </c>
      <c r="B2664" t="s">
        <v>10</v>
      </c>
      <c r="C2664" t="s">
        <v>9818</v>
      </c>
      <c r="D2664" t="s">
        <v>8057</v>
      </c>
      <c r="E2664" t="s">
        <v>8057</v>
      </c>
      <c r="F2664" t="s">
        <v>9819</v>
      </c>
      <c r="G2664" t="s">
        <v>9820</v>
      </c>
      <c r="H2664" t="s">
        <v>30</v>
      </c>
      <c r="I2664" t="b">
        <f>COUNTIF(Estadísticas!I:I,'centraldecomunicacion.es'!H2664)&gt;0</f>
        <v>0</v>
      </c>
    </row>
    <row r="2665" spans="1:9">
      <c r="A2665" t="s">
        <v>9821</v>
      </c>
      <c r="B2665" t="s">
        <v>10</v>
      </c>
      <c r="C2665" t="s">
        <v>9822</v>
      </c>
      <c r="D2665" t="s">
        <v>8057</v>
      </c>
      <c r="E2665" t="s">
        <v>8057</v>
      </c>
      <c r="F2665" t="s">
        <v>28</v>
      </c>
      <c r="G2665" t="s">
        <v>28</v>
      </c>
      <c r="H2665" t="s">
        <v>30</v>
      </c>
      <c r="I2665" t="b">
        <f>COUNTIF(Estadísticas!I:I,'centraldecomunicacion.es'!H2665)&gt;0</f>
        <v>0</v>
      </c>
    </row>
    <row r="2666" spans="1:9">
      <c r="A2666" t="s">
        <v>9823</v>
      </c>
      <c r="B2666" t="s">
        <v>10</v>
      </c>
      <c r="C2666" t="s">
        <v>9824</v>
      </c>
      <c r="D2666" t="s">
        <v>8057</v>
      </c>
      <c r="E2666" t="s">
        <v>8057</v>
      </c>
      <c r="F2666" t="s">
        <v>9825</v>
      </c>
      <c r="G2666" t="s">
        <v>9826</v>
      </c>
      <c r="H2666" t="s">
        <v>30</v>
      </c>
      <c r="I2666" t="b">
        <f>COUNTIF(Estadísticas!I:I,'centraldecomunicacion.es'!H2666)&gt;0</f>
        <v>0</v>
      </c>
    </row>
    <row r="2667" spans="1:9">
      <c r="A2667" t="s">
        <v>9827</v>
      </c>
      <c r="B2667" t="s">
        <v>10</v>
      </c>
      <c r="C2667" t="s">
        <v>9828</v>
      </c>
      <c r="D2667" t="s">
        <v>9608</v>
      </c>
      <c r="E2667" t="s">
        <v>8057</v>
      </c>
      <c r="F2667" t="s">
        <v>28</v>
      </c>
      <c r="G2667" t="s">
        <v>9829</v>
      </c>
      <c r="H2667" t="s">
        <v>30</v>
      </c>
      <c r="I2667" t="b">
        <f>COUNTIF(Estadísticas!I:I,'centraldecomunicacion.es'!H2667)&gt;0</f>
        <v>0</v>
      </c>
    </row>
    <row r="2668" spans="1:9">
      <c r="A2668" t="s">
        <v>9830</v>
      </c>
      <c r="B2668" t="s">
        <v>10</v>
      </c>
      <c r="C2668" t="s">
        <v>9831</v>
      </c>
      <c r="D2668" t="s">
        <v>8057</v>
      </c>
      <c r="E2668" t="s">
        <v>8057</v>
      </c>
      <c r="F2668" t="s">
        <v>28</v>
      </c>
      <c r="G2668" t="s">
        <v>9832</v>
      </c>
      <c r="H2668" t="s">
        <v>30</v>
      </c>
      <c r="I2668" t="b">
        <f>COUNTIF(Estadísticas!I:I,'centraldecomunicacion.es'!H2668)&gt;0</f>
        <v>0</v>
      </c>
    </row>
    <row r="2669" spans="1:9">
      <c r="A2669" t="s">
        <v>9833</v>
      </c>
      <c r="B2669" t="s">
        <v>10</v>
      </c>
      <c r="C2669" t="s">
        <v>9834</v>
      </c>
      <c r="D2669" t="s">
        <v>8057</v>
      </c>
      <c r="E2669" t="s">
        <v>8057</v>
      </c>
      <c r="F2669" t="s">
        <v>9835</v>
      </c>
      <c r="G2669" t="s">
        <v>9836</v>
      </c>
      <c r="H2669" t="s">
        <v>691</v>
      </c>
      <c r="I2669" t="b">
        <f>COUNTIF(Estadísticas!I:I,'centraldecomunicacion.es'!H2669)&gt;0</f>
        <v>0</v>
      </c>
    </row>
    <row r="2670" spans="1:9">
      <c r="A2670" t="s">
        <v>9837</v>
      </c>
      <c r="B2670" t="s">
        <v>10</v>
      </c>
      <c r="C2670" t="s">
        <v>9838</v>
      </c>
      <c r="D2670" t="s">
        <v>8057</v>
      </c>
      <c r="E2670" t="s">
        <v>8057</v>
      </c>
      <c r="F2670" t="s">
        <v>9839</v>
      </c>
      <c r="G2670" t="s">
        <v>9840</v>
      </c>
      <c r="H2670" t="s">
        <v>9841</v>
      </c>
      <c r="I2670" t="b">
        <f>COUNTIF(Estadísticas!I:I,'centraldecomunicacion.es'!H2670)&gt;0</f>
        <v>1</v>
      </c>
    </row>
    <row r="2671" spans="1:9">
      <c r="A2671" t="s">
        <v>9842</v>
      </c>
      <c r="B2671" t="s">
        <v>10</v>
      </c>
      <c r="C2671" t="s">
        <v>9843</v>
      </c>
      <c r="D2671" t="s">
        <v>8057</v>
      </c>
      <c r="E2671" t="s">
        <v>8057</v>
      </c>
      <c r="F2671" t="s">
        <v>28</v>
      </c>
      <c r="G2671" t="s">
        <v>28</v>
      </c>
      <c r="H2671" t="s">
        <v>30</v>
      </c>
      <c r="I2671" t="b">
        <f>COUNTIF(Estadísticas!I:I,'centraldecomunicacion.es'!H2671)&gt;0</f>
        <v>0</v>
      </c>
    </row>
    <row r="2672" spans="1:9">
      <c r="A2672" t="s">
        <v>10</v>
      </c>
      <c r="B2672" t="s">
        <v>10</v>
      </c>
      <c r="C2672" t="s">
        <v>9844</v>
      </c>
      <c r="D2672" t="s">
        <v>9693</v>
      </c>
      <c r="E2672" t="s">
        <v>8057</v>
      </c>
      <c r="F2672" t="s">
        <v>28</v>
      </c>
      <c r="G2672" t="s">
        <v>28</v>
      </c>
      <c r="H2672" t="s">
        <v>30</v>
      </c>
      <c r="I2672" t="b">
        <f>COUNTIF(Estadísticas!I:I,'centraldecomunicacion.es'!H2672)&gt;0</f>
        <v>0</v>
      </c>
    </row>
    <row r="2673" spans="1:9">
      <c r="A2673" t="s">
        <v>9845</v>
      </c>
      <c r="B2673" t="s">
        <v>10</v>
      </c>
      <c r="C2673" t="s">
        <v>9846</v>
      </c>
      <c r="D2673" t="s">
        <v>8057</v>
      </c>
      <c r="E2673" t="s">
        <v>8057</v>
      </c>
      <c r="F2673" t="s">
        <v>28</v>
      </c>
      <c r="G2673" t="s">
        <v>9847</v>
      </c>
      <c r="H2673" t="s">
        <v>30</v>
      </c>
      <c r="I2673" t="b">
        <f>COUNTIF(Estadísticas!I:I,'centraldecomunicacion.es'!H2673)&gt;0</f>
        <v>0</v>
      </c>
    </row>
    <row r="2674" spans="1:9">
      <c r="A2674" t="s">
        <v>9848</v>
      </c>
      <c r="B2674" t="s">
        <v>10</v>
      </c>
      <c r="C2674" t="s">
        <v>9849</v>
      </c>
      <c r="D2674" t="s">
        <v>9543</v>
      </c>
      <c r="E2674" t="s">
        <v>8057</v>
      </c>
      <c r="F2674" t="s">
        <v>9850</v>
      </c>
      <c r="G2674" t="s">
        <v>9851</v>
      </c>
      <c r="H2674" t="s">
        <v>30</v>
      </c>
      <c r="I2674" t="b">
        <f>COUNTIF(Estadísticas!I:I,'centraldecomunicacion.es'!H2674)&gt;0</f>
        <v>0</v>
      </c>
    </row>
    <row r="2675" spans="1:9">
      <c r="A2675" t="s">
        <v>9852</v>
      </c>
      <c r="B2675" t="s">
        <v>10</v>
      </c>
      <c r="C2675" t="s">
        <v>9853</v>
      </c>
      <c r="D2675" t="s">
        <v>9693</v>
      </c>
      <c r="E2675" t="s">
        <v>8057</v>
      </c>
      <c r="F2675" t="s">
        <v>28</v>
      </c>
      <c r="G2675" t="s">
        <v>9854</v>
      </c>
      <c r="H2675" t="s">
        <v>30</v>
      </c>
      <c r="I2675" t="b">
        <f>COUNTIF(Estadísticas!I:I,'centraldecomunicacion.es'!H2675)&gt;0</f>
        <v>0</v>
      </c>
    </row>
    <row r="2676" spans="1:9">
      <c r="A2676" t="s">
        <v>9855</v>
      </c>
      <c r="B2676" t="s">
        <v>10</v>
      </c>
      <c r="C2676" t="s">
        <v>9856</v>
      </c>
      <c r="D2676" t="s">
        <v>8057</v>
      </c>
      <c r="E2676" t="s">
        <v>8057</v>
      </c>
      <c r="F2676" t="s">
        <v>9857</v>
      </c>
      <c r="G2676" t="s">
        <v>9858</v>
      </c>
      <c r="H2676" t="s">
        <v>9859</v>
      </c>
      <c r="I2676" t="b">
        <f>COUNTIF(Estadísticas!I:I,'centraldecomunicacion.es'!H2676)&gt;0</f>
        <v>1</v>
      </c>
    </row>
    <row r="2677" spans="1:9">
      <c r="A2677" t="s">
        <v>9860</v>
      </c>
      <c r="B2677" t="s">
        <v>10</v>
      </c>
      <c r="C2677" t="s">
        <v>9861</v>
      </c>
      <c r="D2677" t="s">
        <v>8057</v>
      </c>
      <c r="E2677" t="s">
        <v>8057</v>
      </c>
      <c r="F2677" t="s">
        <v>28</v>
      </c>
      <c r="G2677" t="s">
        <v>9862</v>
      </c>
      <c r="H2677" t="s">
        <v>30</v>
      </c>
      <c r="I2677" t="b">
        <f>COUNTIF(Estadísticas!I:I,'centraldecomunicacion.es'!H2677)&gt;0</f>
        <v>0</v>
      </c>
    </row>
    <row r="2678" spans="1:9">
      <c r="A2678" t="s">
        <v>9863</v>
      </c>
      <c r="B2678" t="s">
        <v>10</v>
      </c>
      <c r="C2678" t="s">
        <v>9864</v>
      </c>
      <c r="D2678" t="s">
        <v>8057</v>
      </c>
      <c r="E2678" t="s">
        <v>8057</v>
      </c>
      <c r="F2678" t="s">
        <v>50</v>
      </c>
      <c r="G2678" t="s">
        <v>9865</v>
      </c>
      <c r="H2678" t="s">
        <v>30</v>
      </c>
      <c r="I2678" t="b">
        <f>COUNTIF(Estadísticas!I:I,'centraldecomunicacion.es'!H2678)&gt;0</f>
        <v>0</v>
      </c>
    </row>
    <row r="2679" spans="1:9">
      <c r="A2679" t="s">
        <v>9866</v>
      </c>
      <c r="B2679" t="s">
        <v>10</v>
      </c>
      <c r="C2679" t="s">
        <v>9867</v>
      </c>
      <c r="D2679" t="s">
        <v>8057</v>
      </c>
      <c r="E2679" t="s">
        <v>8057</v>
      </c>
      <c r="F2679" t="s">
        <v>9868</v>
      </c>
      <c r="G2679" t="s">
        <v>9869</v>
      </c>
      <c r="H2679" t="s">
        <v>9870</v>
      </c>
      <c r="I2679" t="b">
        <f>COUNTIF(Estadísticas!I:I,'centraldecomunicacion.es'!H2679)&gt;0</f>
        <v>0</v>
      </c>
    </row>
    <row r="2680" spans="1:9">
      <c r="A2680" t="s">
        <v>9871</v>
      </c>
      <c r="B2680" t="s">
        <v>10</v>
      </c>
      <c r="C2680" t="s">
        <v>9872</v>
      </c>
      <c r="D2680" t="s">
        <v>8057</v>
      </c>
      <c r="E2680" t="s">
        <v>8057</v>
      </c>
      <c r="F2680" t="s">
        <v>9873</v>
      </c>
      <c r="G2680" t="s">
        <v>9874</v>
      </c>
      <c r="H2680" t="s">
        <v>9875</v>
      </c>
      <c r="I2680" t="b">
        <f>COUNTIF(Estadísticas!I:I,'centraldecomunicacion.es'!H2680)&gt;0</f>
        <v>0</v>
      </c>
    </row>
    <row r="2681" spans="1:9">
      <c r="A2681" t="s">
        <v>9876</v>
      </c>
      <c r="B2681" t="s">
        <v>10</v>
      </c>
      <c r="C2681" t="s">
        <v>9877</v>
      </c>
      <c r="D2681" t="s">
        <v>8057</v>
      </c>
      <c r="E2681" t="s">
        <v>8057</v>
      </c>
      <c r="F2681" t="s">
        <v>9878</v>
      </c>
      <c r="G2681" t="s">
        <v>9879</v>
      </c>
      <c r="H2681" t="s">
        <v>9880</v>
      </c>
      <c r="I2681" t="b">
        <f>COUNTIF(Estadísticas!I:I,'centraldecomunicacion.es'!H2681)&gt;0</f>
        <v>0</v>
      </c>
    </row>
    <row r="2682" spans="1:9">
      <c r="A2682" t="s">
        <v>9881</v>
      </c>
      <c r="B2682" t="s">
        <v>10</v>
      </c>
      <c r="C2682" t="s">
        <v>9882</v>
      </c>
      <c r="D2682" t="s">
        <v>8057</v>
      </c>
      <c r="E2682" t="s">
        <v>8057</v>
      </c>
      <c r="F2682" t="s">
        <v>9883</v>
      </c>
      <c r="G2682" t="s">
        <v>28</v>
      </c>
      <c r="H2682" t="s">
        <v>9884</v>
      </c>
      <c r="I2682" t="b">
        <f>COUNTIF(Estadísticas!I:I,'centraldecomunicacion.es'!H2682)&gt;0</f>
        <v>0</v>
      </c>
    </row>
    <row r="2683" spans="1:9">
      <c r="A2683" t="s">
        <v>9885</v>
      </c>
      <c r="B2683" t="s">
        <v>10</v>
      </c>
      <c r="C2683" t="s">
        <v>9886</v>
      </c>
      <c r="D2683" t="s">
        <v>8057</v>
      </c>
      <c r="E2683" t="s">
        <v>8057</v>
      </c>
      <c r="F2683" t="s">
        <v>9887</v>
      </c>
      <c r="G2683" t="s">
        <v>9888</v>
      </c>
      <c r="H2683" t="s">
        <v>9889</v>
      </c>
      <c r="I2683" t="b">
        <f>COUNTIF(Estadísticas!I:I,'centraldecomunicacion.es'!H2683)&gt;0</f>
        <v>1</v>
      </c>
    </row>
    <row r="2684" spans="1:9">
      <c r="A2684" t="s">
        <v>9890</v>
      </c>
      <c r="B2684" t="s">
        <v>10</v>
      </c>
      <c r="C2684" t="s">
        <v>9891</v>
      </c>
      <c r="D2684" t="s">
        <v>8057</v>
      </c>
      <c r="E2684" t="s">
        <v>8057</v>
      </c>
      <c r="F2684" t="s">
        <v>9892</v>
      </c>
      <c r="G2684" t="s">
        <v>9893</v>
      </c>
      <c r="H2684" t="s">
        <v>691</v>
      </c>
      <c r="I2684" t="b">
        <f>COUNTIF(Estadísticas!I:I,'centraldecomunicacion.es'!H2684)&gt;0</f>
        <v>0</v>
      </c>
    </row>
    <row r="2685" spans="1:9">
      <c r="A2685" t="s">
        <v>9894</v>
      </c>
      <c r="B2685" t="s">
        <v>10</v>
      </c>
      <c r="C2685" t="s">
        <v>9895</v>
      </c>
      <c r="D2685" t="s">
        <v>8057</v>
      </c>
      <c r="E2685" t="s">
        <v>8057</v>
      </c>
      <c r="F2685" t="s">
        <v>28</v>
      </c>
      <c r="G2685" t="s">
        <v>28</v>
      </c>
      <c r="H2685" t="s">
        <v>30</v>
      </c>
      <c r="I2685" t="b">
        <f>COUNTIF(Estadísticas!I:I,'centraldecomunicacion.es'!H2685)&gt;0</f>
        <v>0</v>
      </c>
    </row>
    <row r="2686" spans="1:9">
      <c r="A2686" t="s">
        <v>9896</v>
      </c>
      <c r="B2686" t="s">
        <v>10</v>
      </c>
      <c r="C2686" t="s">
        <v>9897</v>
      </c>
      <c r="D2686" t="s">
        <v>8057</v>
      </c>
      <c r="E2686" t="s">
        <v>8057</v>
      </c>
      <c r="F2686" t="s">
        <v>28</v>
      </c>
      <c r="G2686" t="s">
        <v>28</v>
      </c>
      <c r="H2686" t="s">
        <v>30</v>
      </c>
      <c r="I2686" t="b">
        <f>COUNTIF(Estadísticas!I:I,'centraldecomunicacion.es'!H2686)&gt;0</f>
        <v>0</v>
      </c>
    </row>
    <row r="2687" spans="1:9">
      <c r="A2687" t="s">
        <v>9898</v>
      </c>
      <c r="B2687" t="s">
        <v>10</v>
      </c>
      <c r="C2687" t="s">
        <v>28</v>
      </c>
      <c r="D2687" t="s">
        <v>9806</v>
      </c>
      <c r="E2687" t="s">
        <v>28</v>
      </c>
      <c r="F2687" t="s">
        <v>9899</v>
      </c>
      <c r="G2687" t="s">
        <v>9400</v>
      </c>
      <c r="H2687" t="s">
        <v>9900</v>
      </c>
      <c r="I2687" t="b">
        <f>COUNTIF(Estadísticas!I:I,'centraldecomunicacion.es'!H2687)&gt;0</f>
        <v>0</v>
      </c>
    </row>
    <row r="2688" spans="1:9">
      <c r="A2688" t="s">
        <v>9901</v>
      </c>
      <c r="B2688" t="s">
        <v>10</v>
      </c>
      <c r="C2688" t="s">
        <v>9902</v>
      </c>
      <c r="D2688" t="s">
        <v>8057</v>
      </c>
      <c r="E2688" t="s">
        <v>8057</v>
      </c>
      <c r="F2688" t="s">
        <v>28</v>
      </c>
      <c r="G2688" t="s">
        <v>8509</v>
      </c>
      <c r="H2688" t="s">
        <v>30</v>
      </c>
      <c r="I2688" t="b">
        <f>COUNTIF(Estadísticas!I:I,'centraldecomunicacion.es'!H2688)&gt;0</f>
        <v>0</v>
      </c>
    </row>
    <row r="2689" spans="1:9">
      <c r="A2689" t="s">
        <v>9903</v>
      </c>
      <c r="B2689" t="s">
        <v>10</v>
      </c>
      <c r="C2689" t="s">
        <v>9454</v>
      </c>
      <c r="D2689" t="s">
        <v>8057</v>
      </c>
      <c r="E2689" t="s">
        <v>8057</v>
      </c>
      <c r="F2689" t="s">
        <v>9904</v>
      </c>
      <c r="G2689" t="s">
        <v>9455</v>
      </c>
      <c r="H2689" t="s">
        <v>9905</v>
      </c>
      <c r="I2689" t="b">
        <f>COUNTIF(Estadísticas!I:I,'centraldecomunicacion.es'!H2689)&gt;0</f>
        <v>1</v>
      </c>
    </row>
    <row r="2690" spans="1:9">
      <c r="A2690" t="s">
        <v>9906</v>
      </c>
      <c r="B2690" t="s">
        <v>10</v>
      </c>
      <c r="C2690" t="s">
        <v>9907</v>
      </c>
      <c r="D2690" t="s">
        <v>8057</v>
      </c>
      <c r="E2690" t="s">
        <v>8057</v>
      </c>
      <c r="F2690" t="s">
        <v>9908</v>
      </c>
      <c r="G2690" t="s">
        <v>9909</v>
      </c>
      <c r="H2690" t="s">
        <v>9910</v>
      </c>
      <c r="I2690" t="b">
        <f>COUNTIF(Estadísticas!I:I,'centraldecomunicacion.es'!H2690)&gt;0</f>
        <v>1</v>
      </c>
    </row>
    <row r="2691" spans="1:9">
      <c r="A2691" t="s">
        <v>9911</v>
      </c>
      <c r="B2691" t="s">
        <v>10</v>
      </c>
      <c r="C2691" t="s">
        <v>9912</v>
      </c>
      <c r="D2691" t="s">
        <v>8057</v>
      </c>
      <c r="E2691" t="s">
        <v>8057</v>
      </c>
      <c r="F2691" t="s">
        <v>28</v>
      </c>
      <c r="G2691" t="s">
        <v>9913</v>
      </c>
      <c r="H2691" t="s">
        <v>30</v>
      </c>
      <c r="I2691" t="b">
        <f>COUNTIF(Estadísticas!I:I,'centraldecomunicacion.es'!H2691)&gt;0</f>
        <v>0</v>
      </c>
    </row>
    <row r="2692" spans="1:9">
      <c r="A2692" t="s">
        <v>9914</v>
      </c>
      <c r="B2692" t="s">
        <v>10</v>
      </c>
      <c r="C2692" t="s">
        <v>28</v>
      </c>
      <c r="D2692" t="s">
        <v>9806</v>
      </c>
      <c r="E2692" t="s">
        <v>28</v>
      </c>
      <c r="F2692" t="s">
        <v>9439</v>
      </c>
      <c r="G2692" t="s">
        <v>9517</v>
      </c>
      <c r="H2692" t="s">
        <v>30</v>
      </c>
      <c r="I2692" t="b">
        <f>COUNTIF(Estadísticas!I:I,'centraldecomunicacion.es'!H2692)&gt;0</f>
        <v>0</v>
      </c>
    </row>
    <row r="2693" spans="1:9">
      <c r="A2693" t="s">
        <v>9915</v>
      </c>
      <c r="B2693" t="s">
        <v>10</v>
      </c>
      <c r="C2693" t="s">
        <v>9916</v>
      </c>
      <c r="D2693" t="s">
        <v>8057</v>
      </c>
      <c r="E2693" t="s">
        <v>8057</v>
      </c>
      <c r="F2693" t="s">
        <v>9917</v>
      </c>
      <c r="G2693" t="s">
        <v>9918</v>
      </c>
      <c r="H2693" t="s">
        <v>9919</v>
      </c>
      <c r="I2693" t="b">
        <f>COUNTIF(Estadísticas!I:I,'centraldecomunicacion.es'!H2693)&gt;0</f>
        <v>1</v>
      </c>
    </row>
    <row r="2694" spans="1:9">
      <c r="A2694" t="s">
        <v>9920</v>
      </c>
      <c r="B2694" t="s">
        <v>10</v>
      </c>
      <c r="C2694" t="s">
        <v>9921</v>
      </c>
      <c r="D2694" t="s">
        <v>9608</v>
      </c>
      <c r="E2694" t="s">
        <v>8057</v>
      </c>
      <c r="F2694" t="s">
        <v>28</v>
      </c>
      <c r="G2694" t="s">
        <v>9922</v>
      </c>
      <c r="H2694" t="s">
        <v>30</v>
      </c>
      <c r="I2694" t="b">
        <f>COUNTIF(Estadísticas!I:I,'centraldecomunicacion.es'!H2694)&gt;0</f>
        <v>0</v>
      </c>
    </row>
    <row r="2695" spans="1:9">
      <c r="A2695" t="s">
        <v>9923</v>
      </c>
      <c r="B2695" t="s">
        <v>10</v>
      </c>
      <c r="C2695" t="s">
        <v>9924</v>
      </c>
      <c r="D2695" t="s">
        <v>8057</v>
      </c>
      <c r="E2695" t="s">
        <v>8057</v>
      </c>
      <c r="F2695" t="s">
        <v>9925</v>
      </c>
      <c r="G2695" t="s">
        <v>28</v>
      </c>
      <c r="H2695" t="s">
        <v>30</v>
      </c>
      <c r="I2695" t="b">
        <f>COUNTIF(Estadísticas!I:I,'centraldecomunicacion.es'!H2695)&gt;0</f>
        <v>0</v>
      </c>
    </row>
    <row r="2696" spans="1:9">
      <c r="A2696" t="s">
        <v>9926</v>
      </c>
      <c r="B2696" t="s">
        <v>10</v>
      </c>
      <c r="C2696" t="s">
        <v>9927</v>
      </c>
      <c r="D2696" t="s">
        <v>9608</v>
      </c>
      <c r="E2696" t="s">
        <v>8057</v>
      </c>
      <c r="F2696" t="s">
        <v>9928</v>
      </c>
      <c r="G2696" t="s">
        <v>9929</v>
      </c>
      <c r="H2696" t="s">
        <v>9930</v>
      </c>
      <c r="I2696" t="b">
        <f>COUNTIF(Estadísticas!I:I,'centraldecomunicacion.es'!H2696)&gt;0</f>
        <v>0</v>
      </c>
    </row>
    <row r="2697" spans="1:9">
      <c r="A2697" t="s">
        <v>9931</v>
      </c>
      <c r="B2697" t="s">
        <v>10</v>
      </c>
      <c r="C2697" t="s">
        <v>9932</v>
      </c>
      <c r="D2697" t="s">
        <v>9933</v>
      </c>
      <c r="E2697" t="s">
        <v>8057</v>
      </c>
      <c r="F2697" t="s">
        <v>9934</v>
      </c>
      <c r="G2697" t="s">
        <v>9935</v>
      </c>
      <c r="H2697" t="s">
        <v>30</v>
      </c>
      <c r="I2697" t="b">
        <f>COUNTIF(Estadísticas!I:I,'centraldecomunicacion.es'!H2697)&gt;0</f>
        <v>0</v>
      </c>
    </row>
    <row r="2698" spans="1:9">
      <c r="A2698" t="s">
        <v>9936</v>
      </c>
      <c r="B2698" t="s">
        <v>10</v>
      </c>
      <c r="C2698" t="s">
        <v>9937</v>
      </c>
      <c r="D2698" t="s">
        <v>9938</v>
      </c>
      <c r="E2698" t="s">
        <v>8057</v>
      </c>
      <c r="F2698" t="s">
        <v>28</v>
      </c>
      <c r="G2698" t="s">
        <v>9939</v>
      </c>
      <c r="H2698" t="s">
        <v>30</v>
      </c>
      <c r="I2698" t="b">
        <f>COUNTIF(Estadísticas!I:I,'centraldecomunicacion.es'!H2698)&gt;0</f>
        <v>0</v>
      </c>
    </row>
    <row r="2699" spans="1:9">
      <c r="A2699" t="s">
        <v>9940</v>
      </c>
      <c r="B2699" t="s">
        <v>10</v>
      </c>
      <c r="C2699" t="s">
        <v>9941</v>
      </c>
      <c r="D2699" t="s">
        <v>9942</v>
      </c>
      <c r="E2699" t="s">
        <v>8057</v>
      </c>
      <c r="F2699" t="s">
        <v>9943</v>
      </c>
      <c r="G2699" t="s">
        <v>9944</v>
      </c>
      <c r="H2699" t="s">
        <v>30</v>
      </c>
      <c r="I2699" t="b">
        <f>COUNTIF(Estadísticas!I:I,'centraldecomunicacion.es'!H2699)&gt;0</f>
        <v>0</v>
      </c>
    </row>
    <row r="2700" spans="1:9">
      <c r="A2700" t="s">
        <v>9945</v>
      </c>
      <c r="B2700" t="s">
        <v>10</v>
      </c>
      <c r="C2700" t="s">
        <v>9946</v>
      </c>
      <c r="D2700" t="s">
        <v>9947</v>
      </c>
      <c r="E2700" t="s">
        <v>8057</v>
      </c>
      <c r="F2700" t="s">
        <v>50</v>
      </c>
      <c r="G2700" t="s">
        <v>9948</v>
      </c>
      <c r="H2700" t="s">
        <v>30</v>
      </c>
      <c r="I2700" t="b">
        <f>COUNTIF(Estadísticas!I:I,'centraldecomunicacion.es'!H2700)&gt;0</f>
        <v>0</v>
      </c>
    </row>
    <row r="2701" spans="1:9">
      <c r="A2701" t="s">
        <v>9949</v>
      </c>
      <c r="B2701" t="s">
        <v>10</v>
      </c>
      <c r="C2701" t="s">
        <v>9950</v>
      </c>
      <c r="D2701" t="s">
        <v>8057</v>
      </c>
      <c r="E2701" t="s">
        <v>8057</v>
      </c>
      <c r="F2701" t="s">
        <v>9951</v>
      </c>
      <c r="G2701" t="s">
        <v>9952</v>
      </c>
      <c r="H2701" t="s">
        <v>30</v>
      </c>
      <c r="I2701" t="b">
        <f>COUNTIF(Estadísticas!I:I,'centraldecomunicacion.es'!H2701)&gt;0</f>
        <v>0</v>
      </c>
    </row>
    <row r="2702" spans="1:9">
      <c r="A2702" t="s">
        <v>9953</v>
      </c>
      <c r="B2702" t="s">
        <v>10</v>
      </c>
      <c r="C2702" t="s">
        <v>9954</v>
      </c>
      <c r="D2702" t="s">
        <v>9933</v>
      </c>
      <c r="E2702" t="s">
        <v>8057</v>
      </c>
      <c r="F2702" t="s">
        <v>28</v>
      </c>
      <c r="G2702" t="s">
        <v>9955</v>
      </c>
      <c r="H2702" t="s">
        <v>30</v>
      </c>
      <c r="I2702" t="b">
        <f>COUNTIF(Estadísticas!I:I,'centraldecomunicacion.es'!H2702)&gt;0</f>
        <v>0</v>
      </c>
    </row>
    <row r="2703" spans="1:9">
      <c r="A2703" t="s">
        <v>2000</v>
      </c>
      <c r="B2703" t="s">
        <v>10</v>
      </c>
      <c r="C2703" t="s">
        <v>9956</v>
      </c>
      <c r="D2703" t="s">
        <v>9947</v>
      </c>
      <c r="E2703" t="s">
        <v>8057</v>
      </c>
      <c r="F2703" t="s">
        <v>28</v>
      </c>
      <c r="G2703" t="s">
        <v>9957</v>
      </c>
      <c r="H2703" t="s">
        <v>30</v>
      </c>
      <c r="I2703" t="b">
        <f>COUNTIF(Estadísticas!I:I,'centraldecomunicacion.es'!H2703)&gt;0</f>
        <v>0</v>
      </c>
    </row>
    <row r="2704" spans="1:9">
      <c r="A2704" t="s">
        <v>9958</v>
      </c>
      <c r="B2704" t="s">
        <v>10</v>
      </c>
      <c r="C2704" t="s">
        <v>9959</v>
      </c>
      <c r="D2704" t="s">
        <v>9608</v>
      </c>
      <c r="E2704" t="s">
        <v>8057</v>
      </c>
      <c r="F2704" t="s">
        <v>9960</v>
      </c>
      <c r="G2704" t="s">
        <v>9961</v>
      </c>
      <c r="H2704" t="s">
        <v>9962</v>
      </c>
      <c r="I2704" t="b">
        <f>COUNTIF(Estadísticas!I:I,'centraldecomunicacion.es'!H2704)&gt;0</f>
        <v>0</v>
      </c>
    </row>
    <row r="2705" spans="1:9">
      <c r="A2705" t="s">
        <v>9963</v>
      </c>
      <c r="B2705" t="s">
        <v>10</v>
      </c>
      <c r="C2705" t="s">
        <v>9964</v>
      </c>
      <c r="D2705" t="s">
        <v>9965</v>
      </c>
      <c r="E2705" t="s">
        <v>8057</v>
      </c>
      <c r="F2705" t="s">
        <v>28</v>
      </c>
      <c r="G2705" t="s">
        <v>9966</v>
      </c>
      <c r="H2705" t="s">
        <v>30</v>
      </c>
      <c r="I2705" t="b">
        <f>COUNTIF(Estadísticas!I:I,'centraldecomunicacion.es'!H2705)&gt;0</f>
        <v>0</v>
      </c>
    </row>
    <row r="2706" spans="1:9">
      <c r="A2706" t="s">
        <v>9967</v>
      </c>
      <c r="B2706" t="s">
        <v>10</v>
      </c>
      <c r="C2706" t="s">
        <v>9968</v>
      </c>
      <c r="D2706" t="s">
        <v>9969</v>
      </c>
      <c r="E2706" t="s">
        <v>8057</v>
      </c>
      <c r="F2706" t="s">
        <v>9970</v>
      </c>
      <c r="G2706" t="s">
        <v>9971</v>
      </c>
      <c r="H2706" t="s">
        <v>9972</v>
      </c>
      <c r="I2706" t="b">
        <f>COUNTIF(Estadísticas!I:I,'centraldecomunicacion.es'!H2706)&gt;0</f>
        <v>0</v>
      </c>
    </row>
    <row r="2707" spans="1:9">
      <c r="A2707" t="s">
        <v>9973</v>
      </c>
      <c r="B2707" t="s">
        <v>10</v>
      </c>
      <c r="C2707" t="s">
        <v>9974</v>
      </c>
      <c r="D2707" t="s">
        <v>9608</v>
      </c>
      <c r="E2707" t="s">
        <v>8057</v>
      </c>
      <c r="F2707" t="s">
        <v>9975</v>
      </c>
      <c r="G2707" t="s">
        <v>9976</v>
      </c>
      <c r="H2707" t="s">
        <v>30</v>
      </c>
      <c r="I2707" t="b">
        <f>COUNTIF(Estadísticas!I:I,'centraldecomunicacion.es'!H2707)&gt;0</f>
        <v>0</v>
      </c>
    </row>
    <row r="2708" spans="1:9">
      <c r="A2708" t="s">
        <v>9977</v>
      </c>
      <c r="B2708" t="s">
        <v>10</v>
      </c>
      <c r="C2708" t="s">
        <v>9978</v>
      </c>
      <c r="D2708" t="s">
        <v>8056</v>
      </c>
      <c r="E2708" t="s">
        <v>8057</v>
      </c>
      <c r="F2708" t="s">
        <v>28</v>
      </c>
      <c r="G2708" t="s">
        <v>9979</v>
      </c>
      <c r="H2708" t="s">
        <v>30</v>
      </c>
      <c r="I2708" t="b">
        <f>COUNTIF(Estadísticas!I:I,'centraldecomunicacion.es'!H2708)&gt;0</f>
        <v>0</v>
      </c>
    </row>
    <row r="2709" spans="1:9">
      <c r="A2709" t="s">
        <v>7212</v>
      </c>
      <c r="B2709" t="s">
        <v>10</v>
      </c>
      <c r="C2709" t="s">
        <v>9980</v>
      </c>
      <c r="D2709" t="s">
        <v>9608</v>
      </c>
      <c r="E2709" t="s">
        <v>8057</v>
      </c>
      <c r="F2709" t="s">
        <v>28</v>
      </c>
      <c r="G2709" t="s">
        <v>9981</v>
      </c>
      <c r="H2709" t="s">
        <v>30</v>
      </c>
      <c r="I2709" t="b">
        <f>COUNTIF(Estadísticas!I:I,'centraldecomunicacion.es'!H2709)&gt;0</f>
        <v>0</v>
      </c>
    </row>
    <row r="2710" spans="1:9">
      <c r="A2710" t="s">
        <v>9982</v>
      </c>
      <c r="B2710" t="s">
        <v>10</v>
      </c>
      <c r="C2710" t="s">
        <v>9983</v>
      </c>
      <c r="D2710" t="s">
        <v>9608</v>
      </c>
      <c r="E2710" t="s">
        <v>8057</v>
      </c>
      <c r="F2710" t="s">
        <v>9984</v>
      </c>
      <c r="G2710" t="s">
        <v>9985</v>
      </c>
      <c r="H2710" t="s">
        <v>30</v>
      </c>
      <c r="I2710" t="b">
        <f>COUNTIF(Estadísticas!I:I,'centraldecomunicacion.es'!H2710)&gt;0</f>
        <v>0</v>
      </c>
    </row>
    <row r="2711" spans="1:9">
      <c r="A2711" t="s">
        <v>9986</v>
      </c>
      <c r="B2711" t="s">
        <v>10</v>
      </c>
      <c r="C2711" t="s">
        <v>9987</v>
      </c>
      <c r="D2711" t="s">
        <v>8056</v>
      </c>
      <c r="E2711" t="s">
        <v>8057</v>
      </c>
      <c r="F2711" t="s">
        <v>28</v>
      </c>
      <c r="G2711" t="s">
        <v>9988</v>
      </c>
      <c r="H2711" t="s">
        <v>30</v>
      </c>
      <c r="I2711" t="b">
        <f>COUNTIF(Estadísticas!I:I,'centraldecomunicacion.es'!H2711)&gt;0</f>
        <v>0</v>
      </c>
    </row>
    <row r="2712" spans="1:9">
      <c r="A2712" t="s">
        <v>9989</v>
      </c>
      <c r="B2712" t="s">
        <v>10</v>
      </c>
      <c r="C2712" t="s">
        <v>9990</v>
      </c>
      <c r="D2712" t="s">
        <v>9991</v>
      </c>
      <c r="E2712" t="s">
        <v>8057</v>
      </c>
      <c r="F2712" t="s">
        <v>9992</v>
      </c>
      <c r="G2712" t="s">
        <v>9993</v>
      </c>
      <c r="H2712" t="s">
        <v>30</v>
      </c>
      <c r="I2712" t="b">
        <f>COUNTIF(Estadísticas!I:I,'centraldecomunicacion.es'!H2712)&gt;0</f>
        <v>0</v>
      </c>
    </row>
    <row r="2713" spans="1:9">
      <c r="A2713" t="s">
        <v>9994</v>
      </c>
      <c r="B2713" t="s">
        <v>10</v>
      </c>
      <c r="C2713" t="s">
        <v>9995</v>
      </c>
      <c r="D2713" t="s">
        <v>9996</v>
      </c>
      <c r="E2713" t="s">
        <v>8057</v>
      </c>
      <c r="F2713" t="s">
        <v>9997</v>
      </c>
      <c r="G2713" t="s">
        <v>9998</v>
      </c>
      <c r="H2713" t="s">
        <v>9999</v>
      </c>
      <c r="I2713" t="b">
        <f>COUNTIF(Estadísticas!I:I,'centraldecomunicacion.es'!H2713)&gt;0</f>
        <v>0</v>
      </c>
    </row>
    <row r="2714" spans="1:9">
      <c r="A2714" t="s">
        <v>10000</v>
      </c>
      <c r="B2714" t="s">
        <v>10</v>
      </c>
      <c r="C2714" t="s">
        <v>10001</v>
      </c>
      <c r="D2714" t="s">
        <v>9991</v>
      </c>
      <c r="E2714" t="s">
        <v>8057</v>
      </c>
      <c r="F2714" t="s">
        <v>10002</v>
      </c>
      <c r="G2714" t="s">
        <v>10003</v>
      </c>
      <c r="H2714" t="s">
        <v>10004</v>
      </c>
      <c r="I2714" t="b">
        <f>COUNTIF(Estadísticas!I:I,'centraldecomunicacion.es'!H2714)&gt;0</f>
        <v>1</v>
      </c>
    </row>
    <row r="2715" spans="1:9">
      <c r="A2715" t="s">
        <v>10005</v>
      </c>
      <c r="B2715" t="s">
        <v>10</v>
      </c>
      <c r="C2715" t="s">
        <v>10006</v>
      </c>
      <c r="D2715" t="s">
        <v>10007</v>
      </c>
      <c r="E2715" t="s">
        <v>8057</v>
      </c>
      <c r="F2715" t="s">
        <v>28</v>
      </c>
      <c r="G2715" t="s">
        <v>10008</v>
      </c>
      <c r="H2715" t="s">
        <v>30</v>
      </c>
      <c r="I2715" t="b">
        <f>COUNTIF(Estadísticas!I:I,'centraldecomunicacion.es'!H2715)&gt;0</f>
        <v>0</v>
      </c>
    </row>
    <row r="2716" spans="1:9">
      <c r="A2716" t="s">
        <v>10009</v>
      </c>
      <c r="B2716" t="s">
        <v>10</v>
      </c>
      <c r="C2716" t="s">
        <v>10010</v>
      </c>
      <c r="D2716" t="s">
        <v>10007</v>
      </c>
      <c r="E2716" t="s">
        <v>8057</v>
      </c>
      <c r="F2716" t="s">
        <v>10011</v>
      </c>
      <c r="G2716" t="s">
        <v>10012</v>
      </c>
      <c r="H2716" t="s">
        <v>10013</v>
      </c>
      <c r="I2716" t="b">
        <f>COUNTIF(Estadísticas!I:I,'centraldecomunicacion.es'!H2716)&gt;0</f>
        <v>0</v>
      </c>
    </row>
    <row r="2717" spans="1:9">
      <c r="A2717" t="s">
        <v>10014</v>
      </c>
      <c r="B2717" t="s">
        <v>10</v>
      </c>
      <c r="C2717" t="s">
        <v>10015</v>
      </c>
      <c r="D2717" t="s">
        <v>9996</v>
      </c>
      <c r="E2717" t="s">
        <v>8057</v>
      </c>
      <c r="F2717" t="s">
        <v>10016</v>
      </c>
      <c r="G2717" t="s">
        <v>10017</v>
      </c>
      <c r="H2717" t="s">
        <v>30</v>
      </c>
      <c r="I2717" t="b">
        <f>COUNTIF(Estadísticas!I:I,'centraldecomunicacion.es'!H2717)&gt;0</f>
        <v>0</v>
      </c>
    </row>
    <row r="2718" spans="1:9">
      <c r="A2718" t="s">
        <v>10018</v>
      </c>
      <c r="B2718" t="s">
        <v>10</v>
      </c>
      <c r="C2718" t="s">
        <v>10019</v>
      </c>
      <c r="D2718" t="s">
        <v>10020</v>
      </c>
      <c r="E2718" t="s">
        <v>8057</v>
      </c>
      <c r="F2718" t="s">
        <v>28</v>
      </c>
      <c r="G2718" t="s">
        <v>10021</v>
      </c>
      <c r="H2718" t="s">
        <v>30</v>
      </c>
      <c r="I2718" t="b">
        <f>COUNTIF(Estadísticas!I:I,'centraldecomunicacion.es'!H2718)&gt;0</f>
        <v>0</v>
      </c>
    </row>
    <row r="2719" spans="1:9">
      <c r="A2719" t="s">
        <v>10022</v>
      </c>
      <c r="B2719" t="s">
        <v>10</v>
      </c>
      <c r="C2719" t="s">
        <v>10023</v>
      </c>
      <c r="D2719" t="s">
        <v>10024</v>
      </c>
      <c r="E2719" t="s">
        <v>8057</v>
      </c>
      <c r="F2719" t="s">
        <v>9615</v>
      </c>
      <c r="G2719" t="s">
        <v>10025</v>
      </c>
      <c r="H2719" t="s">
        <v>9617</v>
      </c>
      <c r="I2719" t="b">
        <f>COUNTIF(Estadísticas!I:I,'centraldecomunicacion.es'!H2719)&gt;0</f>
        <v>0</v>
      </c>
    </row>
    <row r="2720" spans="1:9">
      <c r="A2720" t="s">
        <v>10026</v>
      </c>
      <c r="B2720" t="s">
        <v>10</v>
      </c>
      <c r="C2720" t="s">
        <v>10027</v>
      </c>
      <c r="D2720" t="s">
        <v>10020</v>
      </c>
      <c r="E2720" t="s">
        <v>8057</v>
      </c>
      <c r="F2720" t="s">
        <v>10028</v>
      </c>
      <c r="G2720" t="s">
        <v>10029</v>
      </c>
      <c r="H2720" t="s">
        <v>10030</v>
      </c>
      <c r="I2720" t="b">
        <f>COUNTIF(Estadísticas!I:I,'centraldecomunicacion.es'!H2720)&gt;0</f>
        <v>1</v>
      </c>
    </row>
    <row r="2721" spans="1:9">
      <c r="A2721" t="s">
        <v>10031</v>
      </c>
      <c r="B2721" t="s">
        <v>10</v>
      </c>
      <c r="C2721" t="s">
        <v>10032</v>
      </c>
      <c r="D2721" t="s">
        <v>9991</v>
      </c>
      <c r="E2721" t="s">
        <v>8057</v>
      </c>
      <c r="F2721" t="s">
        <v>10033</v>
      </c>
      <c r="G2721" t="s">
        <v>10034</v>
      </c>
      <c r="H2721" t="s">
        <v>30</v>
      </c>
      <c r="I2721" t="b">
        <f>COUNTIF(Estadísticas!I:I,'centraldecomunicacion.es'!H2721)&gt;0</f>
        <v>0</v>
      </c>
    </row>
    <row r="2722" spans="1:9">
      <c r="A2722" t="s">
        <v>10035</v>
      </c>
      <c r="B2722" t="s">
        <v>10</v>
      </c>
      <c r="C2722" t="s">
        <v>10036</v>
      </c>
      <c r="D2722" t="s">
        <v>10007</v>
      </c>
      <c r="E2722" t="s">
        <v>8057</v>
      </c>
      <c r="F2722" t="s">
        <v>28</v>
      </c>
      <c r="G2722" t="s">
        <v>10037</v>
      </c>
      <c r="H2722" t="s">
        <v>30</v>
      </c>
      <c r="I2722" t="b">
        <f>COUNTIF(Estadísticas!I:I,'centraldecomunicacion.es'!H2722)&gt;0</f>
        <v>0</v>
      </c>
    </row>
    <row r="2723" spans="1:9">
      <c r="A2723" t="s">
        <v>10038</v>
      </c>
      <c r="B2723" t="s">
        <v>10</v>
      </c>
      <c r="C2723" t="s">
        <v>10039</v>
      </c>
      <c r="D2723" t="s">
        <v>10040</v>
      </c>
      <c r="E2723" t="s">
        <v>8057</v>
      </c>
      <c r="F2723" t="s">
        <v>10041</v>
      </c>
      <c r="G2723" t="s">
        <v>10042</v>
      </c>
      <c r="H2723" t="s">
        <v>30</v>
      </c>
      <c r="I2723" t="b">
        <f>COUNTIF(Estadísticas!I:I,'centraldecomunicacion.es'!H2723)&gt;0</f>
        <v>0</v>
      </c>
    </row>
    <row r="2724" spans="1:9">
      <c r="A2724" t="s">
        <v>52</v>
      </c>
      <c r="B2724" t="s">
        <v>10</v>
      </c>
      <c r="C2724" t="s">
        <v>10043</v>
      </c>
      <c r="D2724" t="s">
        <v>10007</v>
      </c>
      <c r="E2724" t="s">
        <v>8057</v>
      </c>
      <c r="F2724" t="s">
        <v>28</v>
      </c>
      <c r="G2724" t="s">
        <v>10044</v>
      </c>
      <c r="H2724" t="s">
        <v>30</v>
      </c>
      <c r="I2724" t="b">
        <f>COUNTIF(Estadísticas!I:I,'centraldecomunicacion.es'!H2724)&gt;0</f>
        <v>0</v>
      </c>
    </row>
    <row r="2725" spans="1:9">
      <c r="A2725" t="s">
        <v>10045</v>
      </c>
      <c r="B2725" t="s">
        <v>482</v>
      </c>
      <c r="C2725" t="s">
        <v>10046</v>
      </c>
      <c r="D2725" t="s">
        <v>8057</v>
      </c>
      <c r="E2725" t="s">
        <v>8057</v>
      </c>
      <c r="F2725" t="s">
        <v>9325</v>
      </c>
      <c r="G2725" t="s">
        <v>10047</v>
      </c>
      <c r="H2725" t="s">
        <v>9327</v>
      </c>
      <c r="I2725" t="b">
        <f>COUNTIF(Estadísticas!I:I,'centraldecomunicacion.es'!H2725)&gt;0</f>
        <v>0</v>
      </c>
    </row>
    <row r="2726" spans="1:9">
      <c r="A2726" t="s">
        <v>10048</v>
      </c>
      <c r="B2726" t="s">
        <v>10</v>
      </c>
      <c r="C2726" t="s">
        <v>10049</v>
      </c>
      <c r="D2726" t="s">
        <v>10007</v>
      </c>
      <c r="E2726" t="s">
        <v>8057</v>
      </c>
      <c r="F2726" t="s">
        <v>28</v>
      </c>
      <c r="G2726" t="s">
        <v>10050</v>
      </c>
      <c r="H2726" t="s">
        <v>30</v>
      </c>
      <c r="I2726" t="b">
        <f>COUNTIF(Estadísticas!I:I,'centraldecomunicacion.es'!H2726)&gt;0</f>
        <v>0</v>
      </c>
    </row>
    <row r="2727" spans="1:9">
      <c r="A2727" t="s">
        <v>10051</v>
      </c>
      <c r="B2727" t="s">
        <v>10</v>
      </c>
      <c r="C2727" t="s">
        <v>10052</v>
      </c>
      <c r="D2727" t="s">
        <v>10007</v>
      </c>
      <c r="E2727" t="s">
        <v>8057</v>
      </c>
      <c r="F2727" t="s">
        <v>10053</v>
      </c>
      <c r="G2727" t="s">
        <v>10054</v>
      </c>
      <c r="H2727" t="s">
        <v>10055</v>
      </c>
      <c r="I2727" t="b">
        <f>COUNTIF(Estadísticas!I:I,'centraldecomunicacion.es'!H2727)&gt;0</f>
        <v>0</v>
      </c>
    </row>
    <row r="2728" spans="1:9">
      <c r="A2728" t="s">
        <v>10056</v>
      </c>
      <c r="B2728" t="s">
        <v>10</v>
      </c>
      <c r="C2728" t="s">
        <v>10057</v>
      </c>
      <c r="D2728" t="s">
        <v>10024</v>
      </c>
      <c r="E2728" t="s">
        <v>8057</v>
      </c>
      <c r="F2728" t="s">
        <v>28</v>
      </c>
      <c r="G2728" t="s">
        <v>10058</v>
      </c>
      <c r="H2728" t="s">
        <v>30</v>
      </c>
      <c r="I2728" t="b">
        <f>COUNTIF(Estadísticas!I:I,'centraldecomunicacion.es'!H2728)&gt;0</f>
        <v>0</v>
      </c>
    </row>
    <row r="2729" spans="1:9">
      <c r="A2729" t="s">
        <v>10059</v>
      </c>
      <c r="B2729" t="s">
        <v>10</v>
      </c>
      <c r="C2729" t="s">
        <v>10060</v>
      </c>
      <c r="D2729" t="s">
        <v>10061</v>
      </c>
      <c r="E2729" t="s">
        <v>8057</v>
      </c>
      <c r="F2729" t="s">
        <v>50</v>
      </c>
      <c r="G2729" t="s">
        <v>10062</v>
      </c>
      <c r="H2729" t="s">
        <v>30</v>
      </c>
      <c r="I2729" t="b">
        <f>COUNTIF(Estadísticas!I:I,'centraldecomunicacion.es'!H2729)&gt;0</f>
        <v>0</v>
      </c>
    </row>
    <row r="2730" spans="1:9">
      <c r="A2730" t="s">
        <v>10063</v>
      </c>
      <c r="B2730" t="s">
        <v>10</v>
      </c>
      <c r="C2730" t="s">
        <v>10064</v>
      </c>
      <c r="D2730" t="s">
        <v>10065</v>
      </c>
      <c r="E2730" t="s">
        <v>8057</v>
      </c>
      <c r="F2730" t="s">
        <v>10066</v>
      </c>
      <c r="G2730" t="s">
        <v>10067</v>
      </c>
      <c r="H2730" t="s">
        <v>10068</v>
      </c>
      <c r="I2730" t="b">
        <f>COUNTIF(Estadísticas!I:I,'centraldecomunicacion.es'!H2730)&gt;0</f>
        <v>1</v>
      </c>
    </row>
    <row r="2731" spans="1:9">
      <c r="A2731" t="s">
        <v>10069</v>
      </c>
      <c r="B2731" t="s">
        <v>10</v>
      </c>
      <c r="C2731" t="s">
        <v>10043</v>
      </c>
      <c r="D2731" t="s">
        <v>10007</v>
      </c>
      <c r="E2731" t="s">
        <v>8057</v>
      </c>
      <c r="F2731" t="s">
        <v>28</v>
      </c>
      <c r="G2731" t="s">
        <v>10044</v>
      </c>
      <c r="H2731" t="s">
        <v>30</v>
      </c>
      <c r="I2731" t="b">
        <f>COUNTIF(Estadísticas!I:I,'centraldecomunicacion.es'!H2731)&gt;0</f>
        <v>0</v>
      </c>
    </row>
    <row r="2732" spans="1:9">
      <c r="A2732" t="s">
        <v>10070</v>
      </c>
      <c r="B2732" t="s">
        <v>10</v>
      </c>
      <c r="C2732" t="s">
        <v>10071</v>
      </c>
      <c r="D2732" t="s">
        <v>10072</v>
      </c>
      <c r="E2732" t="s">
        <v>8057</v>
      </c>
      <c r="F2732" t="s">
        <v>10073</v>
      </c>
      <c r="G2732" t="s">
        <v>10074</v>
      </c>
      <c r="H2732" t="s">
        <v>30</v>
      </c>
      <c r="I2732" t="b">
        <f>COUNTIF(Estadísticas!I:I,'centraldecomunicacion.es'!H2732)&gt;0</f>
        <v>0</v>
      </c>
    </row>
    <row r="2733" spans="1:9">
      <c r="A2733" t="s">
        <v>10075</v>
      </c>
      <c r="B2733" t="s">
        <v>10</v>
      </c>
      <c r="C2733" t="s">
        <v>10076</v>
      </c>
      <c r="D2733" t="s">
        <v>10077</v>
      </c>
      <c r="E2733" t="s">
        <v>8057</v>
      </c>
      <c r="F2733" t="s">
        <v>10078</v>
      </c>
      <c r="G2733" t="s">
        <v>10079</v>
      </c>
      <c r="H2733" t="s">
        <v>10080</v>
      </c>
      <c r="I2733" t="b">
        <f>COUNTIF(Estadísticas!I:I,'centraldecomunicacion.es'!H2733)&gt;0</f>
        <v>1</v>
      </c>
    </row>
    <row r="2734" spans="1:9">
      <c r="A2734" t="s">
        <v>10081</v>
      </c>
      <c r="B2734" t="s">
        <v>10</v>
      </c>
      <c r="C2734" t="s">
        <v>10082</v>
      </c>
      <c r="D2734" t="s">
        <v>10083</v>
      </c>
      <c r="E2734" t="s">
        <v>8057</v>
      </c>
      <c r="F2734" t="s">
        <v>10084</v>
      </c>
      <c r="G2734" t="s">
        <v>10085</v>
      </c>
      <c r="H2734" t="s">
        <v>10086</v>
      </c>
      <c r="I2734" t="b">
        <f>COUNTIF(Estadísticas!I:I,'centraldecomunicacion.es'!H2734)&gt;0</f>
        <v>0</v>
      </c>
    </row>
    <row r="2735" spans="1:9">
      <c r="A2735" t="s">
        <v>10087</v>
      </c>
      <c r="B2735" t="s">
        <v>10</v>
      </c>
      <c r="C2735" t="s">
        <v>10088</v>
      </c>
      <c r="D2735" t="s">
        <v>10077</v>
      </c>
      <c r="E2735" t="s">
        <v>8057</v>
      </c>
      <c r="F2735" t="s">
        <v>28</v>
      </c>
      <c r="G2735" t="s">
        <v>10089</v>
      </c>
      <c r="H2735" t="s">
        <v>30</v>
      </c>
      <c r="I2735" t="b">
        <f>COUNTIF(Estadísticas!I:I,'centraldecomunicacion.es'!H2735)&gt;0</f>
        <v>0</v>
      </c>
    </row>
    <row r="2736" spans="1:9">
      <c r="A2736" t="s">
        <v>10090</v>
      </c>
      <c r="B2736" t="s">
        <v>10</v>
      </c>
      <c r="C2736" t="s">
        <v>10091</v>
      </c>
      <c r="D2736" t="s">
        <v>10092</v>
      </c>
      <c r="E2736" t="s">
        <v>8057</v>
      </c>
      <c r="F2736" t="s">
        <v>10093</v>
      </c>
      <c r="G2736" t="s">
        <v>10094</v>
      </c>
      <c r="H2736" t="s">
        <v>10095</v>
      </c>
      <c r="I2736" t="b">
        <f>COUNTIF(Estadísticas!I:I,'centraldecomunicacion.es'!H2736)&gt;0</f>
        <v>0</v>
      </c>
    </row>
    <row r="2737" spans="1:9">
      <c r="A2737" t="s">
        <v>10096</v>
      </c>
      <c r="B2737" t="s">
        <v>10</v>
      </c>
      <c r="C2737" t="s">
        <v>10097</v>
      </c>
      <c r="D2737" t="s">
        <v>10077</v>
      </c>
      <c r="E2737" t="s">
        <v>8057</v>
      </c>
      <c r="F2737" t="s">
        <v>10098</v>
      </c>
      <c r="G2737" t="s">
        <v>10099</v>
      </c>
      <c r="H2737" t="s">
        <v>10100</v>
      </c>
      <c r="I2737" t="b">
        <f>COUNTIF(Estadísticas!I:I,'centraldecomunicacion.es'!H2737)&gt;0</f>
        <v>0</v>
      </c>
    </row>
    <row r="2738" spans="1:9">
      <c r="A2738" t="s">
        <v>10101</v>
      </c>
      <c r="B2738" t="s">
        <v>10</v>
      </c>
      <c r="C2738" t="s">
        <v>10102</v>
      </c>
      <c r="D2738" t="s">
        <v>10103</v>
      </c>
      <c r="E2738" t="s">
        <v>8057</v>
      </c>
      <c r="F2738" t="s">
        <v>28</v>
      </c>
      <c r="G2738" t="s">
        <v>28</v>
      </c>
      <c r="H2738" t="s">
        <v>30</v>
      </c>
      <c r="I2738" t="b">
        <f>COUNTIF(Estadísticas!I:I,'centraldecomunicacion.es'!H2738)&gt;0</f>
        <v>0</v>
      </c>
    </row>
    <row r="2739" spans="1:9">
      <c r="A2739" t="s">
        <v>10104</v>
      </c>
      <c r="B2739" t="s">
        <v>10</v>
      </c>
      <c r="C2739" t="s">
        <v>10105</v>
      </c>
      <c r="D2739" t="s">
        <v>10083</v>
      </c>
      <c r="E2739" t="s">
        <v>8057</v>
      </c>
      <c r="F2739" t="s">
        <v>10106</v>
      </c>
      <c r="G2739" t="s">
        <v>10085</v>
      </c>
      <c r="H2739" t="s">
        <v>10107</v>
      </c>
      <c r="I2739" t="b">
        <f>COUNTIF(Estadísticas!I:I,'centraldecomunicacion.es'!H2739)&gt;0</f>
        <v>0</v>
      </c>
    </row>
    <row r="2740" spans="1:9">
      <c r="A2740" t="s">
        <v>10108</v>
      </c>
      <c r="B2740" t="s">
        <v>10</v>
      </c>
      <c r="C2740" t="s">
        <v>10109</v>
      </c>
      <c r="D2740" t="s">
        <v>10083</v>
      </c>
      <c r="E2740" t="s">
        <v>8057</v>
      </c>
      <c r="F2740" t="s">
        <v>10110</v>
      </c>
      <c r="G2740" t="s">
        <v>10111</v>
      </c>
      <c r="H2740" t="s">
        <v>10112</v>
      </c>
      <c r="I2740" t="b">
        <f>COUNTIF(Estadísticas!I:I,'centraldecomunicacion.es'!H2740)&gt;0</f>
        <v>0</v>
      </c>
    </row>
    <row r="2741" spans="1:9">
      <c r="A2741" t="s">
        <v>10113</v>
      </c>
      <c r="B2741" t="s">
        <v>10</v>
      </c>
      <c r="C2741" t="s">
        <v>10114</v>
      </c>
      <c r="D2741" t="s">
        <v>10083</v>
      </c>
      <c r="E2741" t="s">
        <v>8057</v>
      </c>
      <c r="F2741" t="s">
        <v>10115</v>
      </c>
      <c r="G2741" t="s">
        <v>10116</v>
      </c>
      <c r="H2741" t="s">
        <v>10117</v>
      </c>
      <c r="I2741" t="b">
        <f>COUNTIF(Estadísticas!I:I,'centraldecomunicacion.es'!H2741)&gt;0</f>
        <v>0</v>
      </c>
    </row>
    <row r="2742" spans="1:9">
      <c r="A2742" t="s">
        <v>10118</v>
      </c>
      <c r="B2742" t="s">
        <v>10</v>
      </c>
      <c r="C2742" t="s">
        <v>10119</v>
      </c>
      <c r="D2742" t="s">
        <v>10120</v>
      </c>
      <c r="E2742" t="s">
        <v>8057</v>
      </c>
      <c r="F2742" t="s">
        <v>10121</v>
      </c>
      <c r="G2742" t="s">
        <v>10122</v>
      </c>
      <c r="H2742" t="s">
        <v>10123</v>
      </c>
      <c r="I2742" t="b">
        <f>COUNTIF(Estadísticas!I:I,'centraldecomunicacion.es'!H2742)&gt;0</f>
        <v>0</v>
      </c>
    </row>
    <row r="2743" spans="1:9">
      <c r="A2743" t="s">
        <v>10124</v>
      </c>
      <c r="B2743" t="s">
        <v>10</v>
      </c>
      <c r="C2743" t="s">
        <v>10125</v>
      </c>
      <c r="D2743" t="s">
        <v>10126</v>
      </c>
      <c r="E2743" t="s">
        <v>8057</v>
      </c>
      <c r="F2743" t="s">
        <v>10127</v>
      </c>
      <c r="G2743" t="s">
        <v>10128</v>
      </c>
      <c r="H2743" t="s">
        <v>10129</v>
      </c>
      <c r="I2743" t="b">
        <f>COUNTIF(Estadísticas!I:I,'centraldecomunicacion.es'!H2743)&gt;0</f>
        <v>0</v>
      </c>
    </row>
    <row r="2744" spans="1:9">
      <c r="A2744" t="s">
        <v>10130</v>
      </c>
      <c r="B2744" t="s">
        <v>10</v>
      </c>
      <c r="C2744" t="s">
        <v>28</v>
      </c>
      <c r="D2744" t="s">
        <v>9806</v>
      </c>
      <c r="E2744" t="s">
        <v>28</v>
      </c>
      <c r="F2744" t="s">
        <v>10131</v>
      </c>
      <c r="G2744" t="s">
        <v>10132</v>
      </c>
      <c r="H2744" t="s">
        <v>10133</v>
      </c>
      <c r="I2744" t="b">
        <f>COUNTIF(Estadísticas!I:I,'centraldecomunicacion.es'!H2744)&gt;0</f>
        <v>0</v>
      </c>
    </row>
    <row r="2745" spans="1:9">
      <c r="A2745" t="s">
        <v>10134</v>
      </c>
      <c r="B2745" t="s">
        <v>10</v>
      </c>
      <c r="C2745" t="s">
        <v>10135</v>
      </c>
      <c r="D2745" t="s">
        <v>10120</v>
      </c>
      <c r="E2745" t="s">
        <v>8057</v>
      </c>
      <c r="F2745" t="s">
        <v>10136</v>
      </c>
      <c r="G2745" t="s">
        <v>10137</v>
      </c>
      <c r="H2745" t="s">
        <v>10138</v>
      </c>
      <c r="I2745" t="b">
        <f>COUNTIF(Estadísticas!I:I,'centraldecomunicacion.es'!H2745)&gt;0</f>
        <v>0</v>
      </c>
    </row>
    <row r="2746" spans="1:9">
      <c r="A2746" t="s">
        <v>10139</v>
      </c>
      <c r="B2746" t="s">
        <v>10</v>
      </c>
      <c r="C2746" t="s">
        <v>10140</v>
      </c>
      <c r="D2746" t="s">
        <v>10141</v>
      </c>
      <c r="E2746" t="s">
        <v>8057</v>
      </c>
      <c r="F2746" t="s">
        <v>10142</v>
      </c>
      <c r="G2746" t="s">
        <v>10143</v>
      </c>
      <c r="H2746" t="s">
        <v>30</v>
      </c>
      <c r="I2746" t="b">
        <f>COUNTIF(Estadísticas!I:I,'centraldecomunicacion.es'!H2746)&gt;0</f>
        <v>0</v>
      </c>
    </row>
    <row r="2747" spans="1:9">
      <c r="A2747" t="s">
        <v>10144</v>
      </c>
      <c r="B2747" t="s">
        <v>10</v>
      </c>
      <c r="C2747" t="s">
        <v>10145</v>
      </c>
      <c r="D2747" t="s">
        <v>10146</v>
      </c>
      <c r="E2747" t="s">
        <v>8057</v>
      </c>
      <c r="F2747" t="s">
        <v>50</v>
      </c>
      <c r="G2747" t="s">
        <v>10147</v>
      </c>
      <c r="H2747" t="s">
        <v>30</v>
      </c>
      <c r="I2747" t="b">
        <f>COUNTIF(Estadísticas!I:I,'centraldecomunicacion.es'!H2747)&gt;0</f>
        <v>0</v>
      </c>
    </row>
    <row r="2748" spans="1:9">
      <c r="A2748" t="s">
        <v>10148</v>
      </c>
      <c r="B2748" t="s">
        <v>10</v>
      </c>
      <c r="C2748" t="s">
        <v>10149</v>
      </c>
      <c r="D2748" t="s">
        <v>10150</v>
      </c>
      <c r="E2748" t="s">
        <v>8057</v>
      </c>
      <c r="F2748" t="s">
        <v>28</v>
      </c>
      <c r="G2748" t="s">
        <v>10151</v>
      </c>
      <c r="H2748" t="s">
        <v>30</v>
      </c>
      <c r="I2748" t="b">
        <f>COUNTIF(Estadísticas!I:I,'centraldecomunicacion.es'!H2748)&gt;0</f>
        <v>0</v>
      </c>
    </row>
    <row r="2749" spans="1:9">
      <c r="A2749" t="s">
        <v>10152</v>
      </c>
      <c r="B2749" t="s">
        <v>10</v>
      </c>
      <c r="C2749" t="s">
        <v>10153</v>
      </c>
      <c r="D2749" t="s">
        <v>10141</v>
      </c>
      <c r="E2749" t="s">
        <v>8057</v>
      </c>
      <c r="F2749" t="s">
        <v>10154</v>
      </c>
      <c r="G2749" t="s">
        <v>10155</v>
      </c>
      <c r="H2749" t="s">
        <v>30</v>
      </c>
      <c r="I2749" t="b">
        <f>COUNTIF(Estadísticas!I:I,'centraldecomunicacion.es'!H2749)&gt;0</f>
        <v>0</v>
      </c>
    </row>
    <row r="2750" spans="1:9">
      <c r="A2750" t="s">
        <v>10156</v>
      </c>
      <c r="B2750" t="s">
        <v>482</v>
      </c>
      <c r="C2750" t="s">
        <v>10157</v>
      </c>
      <c r="D2750" t="s">
        <v>10007</v>
      </c>
      <c r="E2750" t="s">
        <v>8057</v>
      </c>
      <c r="F2750" t="s">
        <v>10158</v>
      </c>
      <c r="G2750" t="s">
        <v>10159</v>
      </c>
      <c r="H2750" t="s">
        <v>30</v>
      </c>
      <c r="I2750" t="b">
        <f>COUNTIF(Estadísticas!I:I,'centraldecomunicacion.es'!H2750)&gt;0</f>
        <v>0</v>
      </c>
    </row>
    <row r="2751" spans="1:9">
      <c r="A2751" t="s">
        <v>10160</v>
      </c>
      <c r="B2751" t="s">
        <v>10</v>
      </c>
      <c r="C2751" t="s">
        <v>10161</v>
      </c>
      <c r="D2751" t="s">
        <v>10162</v>
      </c>
      <c r="E2751" t="s">
        <v>10163</v>
      </c>
      <c r="F2751" t="s">
        <v>10164</v>
      </c>
      <c r="G2751" t="s">
        <v>10165</v>
      </c>
      <c r="H2751" t="s">
        <v>10166</v>
      </c>
      <c r="I2751" t="b">
        <f>COUNTIF(Estadísticas!I:I,'centraldecomunicacion.es'!H2751)&gt;0</f>
        <v>1</v>
      </c>
    </row>
    <row r="2752" spans="1:9">
      <c r="A2752" t="s">
        <v>10167</v>
      </c>
      <c r="B2752" t="s">
        <v>10</v>
      </c>
      <c r="C2752" t="s">
        <v>10168</v>
      </c>
      <c r="D2752" t="s">
        <v>10162</v>
      </c>
      <c r="E2752" t="s">
        <v>10163</v>
      </c>
      <c r="F2752" t="s">
        <v>10169</v>
      </c>
      <c r="G2752" t="s">
        <v>10170</v>
      </c>
      <c r="H2752" t="s">
        <v>30</v>
      </c>
      <c r="I2752" t="b">
        <f>COUNTIF(Estadísticas!I:I,'centraldecomunicacion.es'!H2752)&gt;0</f>
        <v>0</v>
      </c>
    </row>
    <row r="2753" spans="1:9">
      <c r="A2753" t="s">
        <v>10171</v>
      </c>
      <c r="B2753" t="s">
        <v>10</v>
      </c>
      <c r="C2753" t="s">
        <v>10172</v>
      </c>
      <c r="D2753" t="s">
        <v>10162</v>
      </c>
      <c r="E2753" t="s">
        <v>10163</v>
      </c>
      <c r="F2753" t="s">
        <v>10173</v>
      </c>
      <c r="G2753" t="s">
        <v>10174</v>
      </c>
      <c r="H2753" t="s">
        <v>691</v>
      </c>
      <c r="I2753" t="b">
        <f>COUNTIF(Estadísticas!I:I,'centraldecomunicacion.es'!H2753)&gt;0</f>
        <v>0</v>
      </c>
    </row>
    <row r="2754" spans="1:9">
      <c r="A2754" t="s">
        <v>10175</v>
      </c>
      <c r="B2754" t="s">
        <v>10</v>
      </c>
      <c r="C2754" t="s">
        <v>10176</v>
      </c>
      <c r="D2754" t="s">
        <v>10162</v>
      </c>
      <c r="E2754" t="s">
        <v>10163</v>
      </c>
      <c r="F2754" t="s">
        <v>10177</v>
      </c>
      <c r="G2754" t="s">
        <v>10178</v>
      </c>
      <c r="H2754" t="s">
        <v>10179</v>
      </c>
      <c r="I2754" t="b">
        <f>COUNTIF(Estadísticas!I:I,'centraldecomunicacion.es'!H2754)&gt;0</f>
        <v>0</v>
      </c>
    </row>
    <row r="2755" spans="1:9">
      <c r="A2755" t="s">
        <v>10180</v>
      </c>
      <c r="B2755" t="s">
        <v>10</v>
      </c>
      <c r="C2755" t="s">
        <v>10181</v>
      </c>
      <c r="D2755" t="s">
        <v>10162</v>
      </c>
      <c r="E2755" t="s">
        <v>10163</v>
      </c>
      <c r="F2755" t="s">
        <v>28</v>
      </c>
      <c r="G2755" t="s">
        <v>10182</v>
      </c>
      <c r="H2755" t="s">
        <v>30</v>
      </c>
      <c r="I2755" t="b">
        <f>COUNTIF(Estadísticas!I:I,'centraldecomunicacion.es'!H2755)&gt;0</f>
        <v>0</v>
      </c>
    </row>
    <row r="2756" spans="1:9">
      <c r="A2756" t="s">
        <v>10183</v>
      </c>
      <c r="B2756" t="s">
        <v>10</v>
      </c>
      <c r="C2756" t="s">
        <v>10184</v>
      </c>
      <c r="D2756" t="s">
        <v>10162</v>
      </c>
      <c r="E2756" t="s">
        <v>10163</v>
      </c>
      <c r="F2756" t="s">
        <v>10185</v>
      </c>
      <c r="G2756" t="s">
        <v>10186</v>
      </c>
      <c r="H2756" t="s">
        <v>10187</v>
      </c>
      <c r="I2756" t="b">
        <f>COUNTIF(Estadísticas!I:I,'centraldecomunicacion.es'!H2756)&gt;0</f>
        <v>1</v>
      </c>
    </row>
    <row r="2757" spans="1:9">
      <c r="A2757" t="s">
        <v>10188</v>
      </c>
      <c r="B2757" t="s">
        <v>10</v>
      </c>
      <c r="C2757" t="s">
        <v>10189</v>
      </c>
      <c r="D2757" t="s">
        <v>10162</v>
      </c>
      <c r="E2757" t="s">
        <v>10163</v>
      </c>
      <c r="F2757" t="s">
        <v>10190</v>
      </c>
      <c r="G2757" t="s">
        <v>10191</v>
      </c>
      <c r="H2757" t="s">
        <v>10192</v>
      </c>
      <c r="I2757" t="b">
        <f>COUNTIF(Estadísticas!I:I,'centraldecomunicacion.es'!H2757)&gt;0</f>
        <v>0</v>
      </c>
    </row>
    <row r="2758" spans="1:9">
      <c r="A2758" t="s">
        <v>10193</v>
      </c>
      <c r="B2758" t="s">
        <v>10</v>
      </c>
      <c r="C2758" t="s">
        <v>10194</v>
      </c>
      <c r="D2758" t="s">
        <v>10162</v>
      </c>
      <c r="E2758" t="s">
        <v>10163</v>
      </c>
      <c r="F2758" t="s">
        <v>28</v>
      </c>
      <c r="G2758" t="s">
        <v>10195</v>
      </c>
      <c r="H2758" t="s">
        <v>30</v>
      </c>
      <c r="I2758" t="b">
        <f>COUNTIF(Estadísticas!I:I,'centraldecomunicacion.es'!H2758)&gt;0</f>
        <v>0</v>
      </c>
    </row>
    <row r="2759" spans="1:9">
      <c r="A2759" t="s">
        <v>10196</v>
      </c>
      <c r="B2759" t="s">
        <v>10</v>
      </c>
      <c r="C2759" t="s">
        <v>10197</v>
      </c>
      <c r="D2759" t="s">
        <v>10162</v>
      </c>
      <c r="E2759" t="s">
        <v>10163</v>
      </c>
      <c r="F2759" t="s">
        <v>28</v>
      </c>
      <c r="G2759" t="s">
        <v>10198</v>
      </c>
      <c r="H2759" t="s">
        <v>30</v>
      </c>
      <c r="I2759" t="b">
        <f>COUNTIF(Estadísticas!I:I,'centraldecomunicacion.es'!H2759)&gt;0</f>
        <v>0</v>
      </c>
    </row>
    <row r="2760" spans="1:9">
      <c r="A2760" t="s">
        <v>10199</v>
      </c>
      <c r="B2760" t="s">
        <v>10</v>
      </c>
      <c r="C2760" t="s">
        <v>10200</v>
      </c>
      <c r="D2760" t="s">
        <v>10162</v>
      </c>
      <c r="E2760" t="s">
        <v>10163</v>
      </c>
      <c r="F2760" t="s">
        <v>38</v>
      </c>
      <c r="G2760" t="s">
        <v>10201</v>
      </c>
      <c r="H2760" t="s">
        <v>30</v>
      </c>
      <c r="I2760" t="b">
        <f>COUNTIF(Estadísticas!I:I,'centraldecomunicacion.es'!H2760)&gt;0</f>
        <v>0</v>
      </c>
    </row>
    <row r="2761" spans="1:9">
      <c r="A2761" t="s">
        <v>10202</v>
      </c>
      <c r="B2761" t="s">
        <v>10</v>
      </c>
      <c r="C2761" t="s">
        <v>10203</v>
      </c>
      <c r="D2761" t="s">
        <v>10162</v>
      </c>
      <c r="E2761" t="s">
        <v>10163</v>
      </c>
      <c r="F2761" t="s">
        <v>10204</v>
      </c>
      <c r="G2761" t="s">
        <v>28</v>
      </c>
      <c r="H2761" t="s">
        <v>10205</v>
      </c>
      <c r="I2761" t="b">
        <f>COUNTIF(Estadísticas!I:I,'centraldecomunicacion.es'!H2761)&gt;0</f>
        <v>0</v>
      </c>
    </row>
    <row r="2762" spans="1:9">
      <c r="A2762" t="s">
        <v>10206</v>
      </c>
      <c r="B2762" t="s">
        <v>10</v>
      </c>
      <c r="C2762" t="s">
        <v>10207</v>
      </c>
      <c r="D2762" t="s">
        <v>10162</v>
      </c>
      <c r="E2762" t="s">
        <v>10163</v>
      </c>
      <c r="F2762" t="s">
        <v>642</v>
      </c>
      <c r="G2762" t="s">
        <v>10208</v>
      </c>
      <c r="H2762" t="s">
        <v>30</v>
      </c>
      <c r="I2762" t="b">
        <f>COUNTIF(Estadísticas!I:I,'centraldecomunicacion.es'!H2762)&gt;0</f>
        <v>0</v>
      </c>
    </row>
    <row r="2763" spans="1:9">
      <c r="A2763" t="s">
        <v>10209</v>
      </c>
      <c r="B2763" t="s">
        <v>10</v>
      </c>
      <c r="C2763" t="s">
        <v>10210</v>
      </c>
      <c r="D2763" t="s">
        <v>10162</v>
      </c>
      <c r="E2763" t="s">
        <v>10163</v>
      </c>
      <c r="F2763" t="s">
        <v>10211</v>
      </c>
      <c r="G2763" t="s">
        <v>10212</v>
      </c>
      <c r="H2763" t="s">
        <v>10213</v>
      </c>
      <c r="I2763" t="b">
        <f>COUNTIF(Estadísticas!I:I,'centraldecomunicacion.es'!H2763)&gt;0</f>
        <v>0</v>
      </c>
    </row>
    <row r="2764" spans="1:9">
      <c r="A2764" t="s">
        <v>10214</v>
      </c>
      <c r="B2764" t="s">
        <v>10</v>
      </c>
      <c r="C2764" t="s">
        <v>10215</v>
      </c>
      <c r="D2764" t="s">
        <v>10162</v>
      </c>
      <c r="E2764" t="s">
        <v>10163</v>
      </c>
      <c r="F2764" t="s">
        <v>28</v>
      </c>
      <c r="G2764" t="s">
        <v>10216</v>
      </c>
      <c r="H2764" t="s">
        <v>30</v>
      </c>
      <c r="I2764" t="b">
        <f>COUNTIF(Estadísticas!I:I,'centraldecomunicacion.es'!H2764)&gt;0</f>
        <v>0</v>
      </c>
    </row>
    <row r="2765" spans="1:9">
      <c r="A2765" t="s">
        <v>10217</v>
      </c>
      <c r="B2765" t="s">
        <v>10</v>
      </c>
      <c r="C2765" t="s">
        <v>10218</v>
      </c>
      <c r="D2765" t="s">
        <v>10162</v>
      </c>
      <c r="E2765" t="s">
        <v>10163</v>
      </c>
      <c r="F2765" t="s">
        <v>10219</v>
      </c>
      <c r="G2765" t="s">
        <v>10220</v>
      </c>
      <c r="H2765" t="s">
        <v>10221</v>
      </c>
      <c r="I2765" t="b">
        <f>COUNTIF(Estadísticas!I:I,'centraldecomunicacion.es'!H2765)&gt;0</f>
        <v>0</v>
      </c>
    </row>
    <row r="2766" spans="1:9">
      <c r="A2766" t="s">
        <v>10222</v>
      </c>
      <c r="B2766" t="s">
        <v>10</v>
      </c>
      <c r="C2766" t="s">
        <v>10223</v>
      </c>
      <c r="D2766" t="s">
        <v>10162</v>
      </c>
      <c r="E2766" t="s">
        <v>10163</v>
      </c>
      <c r="F2766" t="s">
        <v>28</v>
      </c>
      <c r="G2766" t="s">
        <v>28</v>
      </c>
      <c r="H2766" t="s">
        <v>30</v>
      </c>
      <c r="I2766" t="b">
        <f>COUNTIF(Estadísticas!I:I,'centraldecomunicacion.es'!H2766)&gt;0</f>
        <v>0</v>
      </c>
    </row>
    <row r="2767" spans="1:9">
      <c r="A2767" t="s">
        <v>10224</v>
      </c>
      <c r="B2767" t="s">
        <v>10</v>
      </c>
      <c r="C2767" t="s">
        <v>10225</v>
      </c>
      <c r="D2767" t="s">
        <v>10226</v>
      </c>
      <c r="E2767" t="s">
        <v>10163</v>
      </c>
      <c r="F2767" t="s">
        <v>10227</v>
      </c>
      <c r="G2767" t="s">
        <v>10228</v>
      </c>
      <c r="H2767" t="s">
        <v>10229</v>
      </c>
      <c r="I2767" t="b">
        <f>COUNTIF(Estadísticas!I:I,'centraldecomunicacion.es'!H2767)&gt;0</f>
        <v>0</v>
      </c>
    </row>
    <row r="2768" spans="1:9">
      <c r="A2768" t="s">
        <v>10230</v>
      </c>
      <c r="B2768" t="s">
        <v>10</v>
      </c>
      <c r="C2768" t="s">
        <v>10231</v>
      </c>
      <c r="D2768" t="s">
        <v>10162</v>
      </c>
      <c r="E2768" t="s">
        <v>10163</v>
      </c>
      <c r="F2768" t="s">
        <v>28</v>
      </c>
      <c r="G2768" t="s">
        <v>10232</v>
      </c>
      <c r="H2768" t="s">
        <v>30</v>
      </c>
      <c r="I2768" t="b">
        <f>COUNTIF(Estadísticas!I:I,'centraldecomunicacion.es'!H2768)&gt;0</f>
        <v>0</v>
      </c>
    </row>
    <row r="2769" spans="1:9">
      <c r="A2769" t="s">
        <v>10233</v>
      </c>
      <c r="B2769" t="s">
        <v>10</v>
      </c>
      <c r="C2769" t="s">
        <v>10234</v>
      </c>
      <c r="D2769" t="s">
        <v>10162</v>
      </c>
      <c r="E2769" t="s">
        <v>10163</v>
      </c>
      <c r="F2769" t="s">
        <v>10235</v>
      </c>
      <c r="G2769" t="s">
        <v>10236</v>
      </c>
      <c r="H2769" t="s">
        <v>30</v>
      </c>
      <c r="I2769" t="b">
        <f>COUNTIF(Estadísticas!I:I,'centraldecomunicacion.es'!H2769)&gt;0</f>
        <v>0</v>
      </c>
    </row>
    <row r="2770" spans="1:9">
      <c r="A2770" t="s">
        <v>10237</v>
      </c>
      <c r="B2770" t="s">
        <v>10</v>
      </c>
      <c r="C2770" t="s">
        <v>10238</v>
      </c>
      <c r="D2770" t="s">
        <v>10239</v>
      </c>
      <c r="E2770" t="s">
        <v>10163</v>
      </c>
      <c r="F2770" t="s">
        <v>50</v>
      </c>
      <c r="G2770" t="s">
        <v>10240</v>
      </c>
      <c r="H2770" t="s">
        <v>30</v>
      </c>
      <c r="I2770" t="b">
        <f>COUNTIF(Estadísticas!I:I,'centraldecomunicacion.es'!H2770)&gt;0</f>
        <v>0</v>
      </c>
    </row>
    <row r="2771" spans="1:9">
      <c r="A2771" t="s">
        <v>10241</v>
      </c>
      <c r="B2771" t="s">
        <v>10</v>
      </c>
      <c r="C2771" t="s">
        <v>10242</v>
      </c>
      <c r="D2771" t="s">
        <v>10239</v>
      </c>
      <c r="E2771" t="s">
        <v>10163</v>
      </c>
      <c r="F2771" t="s">
        <v>50</v>
      </c>
      <c r="G2771" t="s">
        <v>10243</v>
      </c>
      <c r="H2771" t="s">
        <v>30</v>
      </c>
      <c r="I2771" t="b">
        <f>COUNTIF(Estadísticas!I:I,'centraldecomunicacion.es'!H2771)&gt;0</f>
        <v>0</v>
      </c>
    </row>
    <row r="2772" spans="1:9">
      <c r="A2772" t="s">
        <v>10244</v>
      </c>
      <c r="B2772" t="s">
        <v>10</v>
      </c>
      <c r="C2772" t="s">
        <v>10245</v>
      </c>
      <c r="D2772" t="s">
        <v>10239</v>
      </c>
      <c r="E2772" t="s">
        <v>10163</v>
      </c>
      <c r="F2772" t="s">
        <v>28</v>
      </c>
      <c r="G2772" t="s">
        <v>10246</v>
      </c>
      <c r="H2772" t="s">
        <v>30</v>
      </c>
      <c r="I2772" t="b">
        <f>COUNTIF(Estadísticas!I:I,'centraldecomunicacion.es'!H2772)&gt;0</f>
        <v>0</v>
      </c>
    </row>
    <row r="2773" spans="1:9">
      <c r="A2773" t="s">
        <v>10247</v>
      </c>
      <c r="B2773" t="s">
        <v>10</v>
      </c>
      <c r="C2773" t="s">
        <v>10248</v>
      </c>
      <c r="D2773" t="s">
        <v>10239</v>
      </c>
      <c r="E2773" t="s">
        <v>10163</v>
      </c>
      <c r="F2773" t="s">
        <v>28</v>
      </c>
      <c r="G2773" t="s">
        <v>28</v>
      </c>
      <c r="H2773" t="s">
        <v>30</v>
      </c>
      <c r="I2773" t="b">
        <f>COUNTIF(Estadísticas!I:I,'centraldecomunicacion.es'!H2773)&gt;0</f>
        <v>0</v>
      </c>
    </row>
    <row r="2774" spans="1:9">
      <c r="A2774" t="s">
        <v>10249</v>
      </c>
      <c r="B2774" t="s">
        <v>10</v>
      </c>
      <c r="C2774" t="s">
        <v>10250</v>
      </c>
      <c r="D2774" t="s">
        <v>10239</v>
      </c>
      <c r="E2774" t="s">
        <v>10163</v>
      </c>
      <c r="F2774" t="s">
        <v>10251</v>
      </c>
      <c r="G2774" t="s">
        <v>10252</v>
      </c>
      <c r="H2774" t="s">
        <v>10253</v>
      </c>
      <c r="I2774" t="b">
        <f>COUNTIF(Estadísticas!I:I,'centraldecomunicacion.es'!H2774)&gt;0</f>
        <v>0</v>
      </c>
    </row>
    <row r="2775" spans="1:9">
      <c r="A2775" t="s">
        <v>10254</v>
      </c>
      <c r="B2775" t="s">
        <v>6504</v>
      </c>
      <c r="C2775" t="s">
        <v>10255</v>
      </c>
      <c r="D2775" t="s">
        <v>10162</v>
      </c>
      <c r="E2775" t="s">
        <v>10163</v>
      </c>
      <c r="F2775" t="s">
        <v>10256</v>
      </c>
      <c r="G2775" t="s">
        <v>28</v>
      </c>
      <c r="H2775" t="s">
        <v>10257</v>
      </c>
      <c r="I2775" t="b">
        <f>COUNTIF(Estadísticas!I:I,'centraldecomunicacion.es'!H2775)&gt;0</f>
        <v>0</v>
      </c>
    </row>
    <row r="2776" spans="1:9">
      <c r="A2776" t="s">
        <v>10258</v>
      </c>
      <c r="B2776" t="s">
        <v>10</v>
      </c>
      <c r="C2776" t="s">
        <v>10259</v>
      </c>
      <c r="D2776" t="s">
        <v>10260</v>
      </c>
      <c r="E2776" t="s">
        <v>10163</v>
      </c>
      <c r="F2776" t="s">
        <v>28</v>
      </c>
      <c r="G2776" t="s">
        <v>10261</v>
      </c>
      <c r="H2776" t="s">
        <v>30</v>
      </c>
      <c r="I2776" t="b">
        <f>COUNTIF(Estadísticas!I:I,'centraldecomunicacion.es'!H2776)&gt;0</f>
        <v>0</v>
      </c>
    </row>
    <row r="2777" spans="1:9">
      <c r="A2777" t="s">
        <v>10262</v>
      </c>
      <c r="B2777" t="s">
        <v>10</v>
      </c>
      <c r="C2777" t="s">
        <v>10263</v>
      </c>
      <c r="D2777" t="s">
        <v>10264</v>
      </c>
      <c r="E2777" t="s">
        <v>10163</v>
      </c>
      <c r="F2777" t="s">
        <v>28</v>
      </c>
      <c r="G2777" t="s">
        <v>28</v>
      </c>
      <c r="H2777" t="s">
        <v>30</v>
      </c>
      <c r="I2777" t="b">
        <f>COUNTIF(Estadísticas!I:I,'centraldecomunicacion.es'!H2777)&gt;0</f>
        <v>0</v>
      </c>
    </row>
    <row r="2778" spans="1:9">
      <c r="A2778" t="s">
        <v>10265</v>
      </c>
      <c r="B2778" t="s">
        <v>10</v>
      </c>
      <c r="C2778" t="s">
        <v>10266</v>
      </c>
      <c r="D2778" t="s">
        <v>10267</v>
      </c>
      <c r="E2778" t="s">
        <v>10163</v>
      </c>
      <c r="F2778" t="s">
        <v>28</v>
      </c>
      <c r="G2778" t="s">
        <v>10268</v>
      </c>
      <c r="H2778" t="s">
        <v>30</v>
      </c>
      <c r="I2778" t="b">
        <f>COUNTIF(Estadísticas!I:I,'centraldecomunicacion.es'!H2778)&gt;0</f>
        <v>0</v>
      </c>
    </row>
    <row r="2779" spans="1:9">
      <c r="A2779" t="s">
        <v>10269</v>
      </c>
      <c r="B2779" t="s">
        <v>10</v>
      </c>
      <c r="C2779" t="s">
        <v>10270</v>
      </c>
      <c r="D2779" t="s">
        <v>10271</v>
      </c>
      <c r="E2779" t="s">
        <v>10163</v>
      </c>
      <c r="F2779" t="s">
        <v>10272</v>
      </c>
      <c r="G2779" t="s">
        <v>10273</v>
      </c>
      <c r="H2779" t="s">
        <v>10274</v>
      </c>
      <c r="I2779" t="b">
        <f>COUNTIF(Estadísticas!I:I,'centraldecomunicacion.es'!H2779)&gt;0</f>
        <v>0</v>
      </c>
    </row>
    <row r="2780" spans="1:9">
      <c r="A2780" t="s">
        <v>10275</v>
      </c>
      <c r="B2780" t="s">
        <v>10</v>
      </c>
      <c r="C2780" t="s">
        <v>10276</v>
      </c>
      <c r="D2780" t="s">
        <v>10271</v>
      </c>
      <c r="E2780" t="s">
        <v>10163</v>
      </c>
      <c r="F2780" t="s">
        <v>28</v>
      </c>
      <c r="G2780" t="s">
        <v>10277</v>
      </c>
      <c r="H2780" t="s">
        <v>30</v>
      </c>
      <c r="I2780" t="b">
        <f>COUNTIF(Estadísticas!I:I,'centraldecomunicacion.es'!H2780)&gt;0</f>
        <v>0</v>
      </c>
    </row>
    <row r="2781" spans="1:9">
      <c r="A2781" t="s">
        <v>10278</v>
      </c>
      <c r="B2781" t="s">
        <v>10</v>
      </c>
      <c r="C2781" t="s">
        <v>10279</v>
      </c>
      <c r="D2781" t="s">
        <v>3569</v>
      </c>
      <c r="E2781" t="s">
        <v>3570</v>
      </c>
      <c r="F2781" t="s">
        <v>10280</v>
      </c>
      <c r="G2781" t="s">
        <v>10281</v>
      </c>
      <c r="H2781" t="s">
        <v>30</v>
      </c>
      <c r="I2781" t="b">
        <f>COUNTIF(Estadísticas!I:I,'centraldecomunicacion.es'!H2781)&gt;0</f>
        <v>0</v>
      </c>
    </row>
    <row r="2782" spans="1:9">
      <c r="A2782" t="s">
        <v>10282</v>
      </c>
      <c r="B2782" t="s">
        <v>10</v>
      </c>
      <c r="C2782" t="s">
        <v>10283</v>
      </c>
      <c r="D2782" t="s">
        <v>3569</v>
      </c>
      <c r="E2782" t="s">
        <v>3570</v>
      </c>
      <c r="F2782" t="s">
        <v>10284</v>
      </c>
      <c r="G2782" t="s">
        <v>10285</v>
      </c>
      <c r="H2782" t="s">
        <v>10286</v>
      </c>
      <c r="I2782" t="b">
        <f>COUNTIF(Estadísticas!I:I,'centraldecomunicacion.es'!H2782)&gt;0</f>
        <v>1</v>
      </c>
    </row>
    <row r="2783" spans="1:9">
      <c r="A2783" t="s">
        <v>10287</v>
      </c>
      <c r="B2783" t="s">
        <v>10</v>
      </c>
      <c r="C2783" t="s">
        <v>10288</v>
      </c>
      <c r="D2783" t="s">
        <v>3569</v>
      </c>
      <c r="E2783" t="s">
        <v>3570</v>
      </c>
      <c r="F2783" t="s">
        <v>10289</v>
      </c>
      <c r="G2783" t="s">
        <v>10290</v>
      </c>
      <c r="H2783" t="s">
        <v>10291</v>
      </c>
      <c r="I2783" t="b">
        <f>COUNTIF(Estadísticas!I:I,'centraldecomunicacion.es'!H2783)&gt;0</f>
        <v>0</v>
      </c>
    </row>
    <row r="2784" spans="1:9">
      <c r="A2784" t="s">
        <v>10292</v>
      </c>
      <c r="B2784" t="s">
        <v>10</v>
      </c>
      <c r="C2784" t="s">
        <v>10293</v>
      </c>
      <c r="D2784" t="s">
        <v>3569</v>
      </c>
      <c r="E2784" t="s">
        <v>3570</v>
      </c>
      <c r="F2784" t="s">
        <v>10294</v>
      </c>
      <c r="G2784" t="s">
        <v>10295</v>
      </c>
      <c r="H2784" t="s">
        <v>10296</v>
      </c>
      <c r="I2784" t="b">
        <f>COUNTIF(Estadísticas!I:I,'centraldecomunicacion.es'!H2784)&gt;0</f>
        <v>1</v>
      </c>
    </row>
    <row r="2785" spans="1:9">
      <c r="A2785" t="s">
        <v>10297</v>
      </c>
      <c r="B2785" t="s">
        <v>10</v>
      </c>
      <c r="C2785" t="s">
        <v>10298</v>
      </c>
      <c r="D2785" t="s">
        <v>3569</v>
      </c>
      <c r="E2785" t="s">
        <v>3570</v>
      </c>
      <c r="F2785" t="s">
        <v>10299</v>
      </c>
      <c r="G2785" t="s">
        <v>10300</v>
      </c>
      <c r="H2785" t="s">
        <v>10301</v>
      </c>
      <c r="I2785" t="b">
        <f>COUNTIF(Estadísticas!I:I,'centraldecomunicacion.es'!H2785)&gt;0</f>
        <v>1</v>
      </c>
    </row>
    <row r="2786" spans="1:9">
      <c r="A2786" t="s">
        <v>10302</v>
      </c>
      <c r="B2786" t="s">
        <v>10</v>
      </c>
      <c r="C2786" t="s">
        <v>10303</v>
      </c>
      <c r="D2786" t="s">
        <v>3569</v>
      </c>
      <c r="E2786" t="s">
        <v>3570</v>
      </c>
      <c r="F2786" t="s">
        <v>10304</v>
      </c>
      <c r="G2786" t="s">
        <v>10305</v>
      </c>
      <c r="H2786" t="s">
        <v>30</v>
      </c>
      <c r="I2786" t="b">
        <f>COUNTIF(Estadísticas!I:I,'centraldecomunicacion.es'!H2786)&gt;0</f>
        <v>0</v>
      </c>
    </row>
    <row r="2787" spans="1:9">
      <c r="A2787" t="s">
        <v>10306</v>
      </c>
      <c r="B2787" t="s">
        <v>10</v>
      </c>
      <c r="C2787" t="s">
        <v>10307</v>
      </c>
      <c r="D2787" t="s">
        <v>3569</v>
      </c>
      <c r="E2787" t="s">
        <v>3570</v>
      </c>
      <c r="F2787" t="s">
        <v>50</v>
      </c>
      <c r="G2787" t="s">
        <v>10308</v>
      </c>
      <c r="H2787" t="s">
        <v>30</v>
      </c>
      <c r="I2787" t="b">
        <f>COUNTIF(Estadísticas!I:I,'centraldecomunicacion.es'!H2787)&gt;0</f>
        <v>0</v>
      </c>
    </row>
    <row r="2788" spans="1:9">
      <c r="A2788" t="s">
        <v>10309</v>
      </c>
      <c r="B2788" t="s">
        <v>10</v>
      </c>
      <c r="C2788" t="s">
        <v>10310</v>
      </c>
      <c r="D2788" t="s">
        <v>3569</v>
      </c>
      <c r="E2788" t="s">
        <v>3570</v>
      </c>
      <c r="F2788" t="s">
        <v>28</v>
      </c>
      <c r="G2788" t="s">
        <v>10311</v>
      </c>
      <c r="H2788" t="s">
        <v>30</v>
      </c>
      <c r="I2788" t="b">
        <f>COUNTIF(Estadísticas!I:I,'centraldecomunicacion.es'!H2788)&gt;0</f>
        <v>0</v>
      </c>
    </row>
    <row r="2789" spans="1:9">
      <c r="A2789" t="s">
        <v>10312</v>
      </c>
      <c r="B2789" t="s">
        <v>10</v>
      </c>
      <c r="C2789" t="s">
        <v>10313</v>
      </c>
      <c r="D2789" t="s">
        <v>3569</v>
      </c>
      <c r="E2789" t="s">
        <v>3570</v>
      </c>
      <c r="F2789" t="s">
        <v>10314</v>
      </c>
      <c r="G2789" t="s">
        <v>10315</v>
      </c>
      <c r="H2789" t="s">
        <v>10316</v>
      </c>
      <c r="I2789" t="b">
        <f>COUNTIF(Estadísticas!I:I,'centraldecomunicacion.es'!H2789)&gt;0</f>
        <v>1</v>
      </c>
    </row>
    <row r="2790" spans="1:9">
      <c r="A2790" t="s">
        <v>10317</v>
      </c>
      <c r="B2790" t="s">
        <v>10</v>
      </c>
      <c r="C2790" t="s">
        <v>10318</v>
      </c>
      <c r="D2790" t="s">
        <v>3569</v>
      </c>
      <c r="E2790" t="s">
        <v>3570</v>
      </c>
      <c r="F2790" t="s">
        <v>10319</v>
      </c>
      <c r="G2790" t="s">
        <v>10320</v>
      </c>
      <c r="H2790" t="s">
        <v>30</v>
      </c>
      <c r="I2790" t="b">
        <f>COUNTIF(Estadísticas!I:I,'centraldecomunicacion.es'!H2790)&gt;0</f>
        <v>0</v>
      </c>
    </row>
    <row r="2791" spans="1:9">
      <c r="A2791" t="s">
        <v>10321</v>
      </c>
      <c r="B2791" t="s">
        <v>10</v>
      </c>
      <c r="C2791" t="s">
        <v>10322</v>
      </c>
      <c r="D2791" t="s">
        <v>3569</v>
      </c>
      <c r="E2791" t="s">
        <v>3570</v>
      </c>
      <c r="F2791" t="s">
        <v>10323</v>
      </c>
      <c r="G2791" t="s">
        <v>10324</v>
      </c>
      <c r="H2791" t="s">
        <v>30</v>
      </c>
      <c r="I2791" t="b">
        <f>COUNTIF(Estadísticas!I:I,'centraldecomunicacion.es'!H2791)&gt;0</f>
        <v>0</v>
      </c>
    </row>
    <row r="2792" spans="1:9">
      <c r="A2792" t="s">
        <v>10325</v>
      </c>
      <c r="B2792" t="s">
        <v>10</v>
      </c>
      <c r="C2792" t="s">
        <v>10326</v>
      </c>
      <c r="D2792" t="s">
        <v>3569</v>
      </c>
      <c r="E2792" t="s">
        <v>3570</v>
      </c>
      <c r="F2792" t="s">
        <v>28</v>
      </c>
      <c r="G2792" t="s">
        <v>10327</v>
      </c>
      <c r="H2792" t="s">
        <v>30</v>
      </c>
      <c r="I2792" t="b">
        <f>COUNTIF(Estadísticas!I:I,'centraldecomunicacion.es'!H2792)&gt;0</f>
        <v>0</v>
      </c>
    </row>
    <row r="2793" spans="1:9">
      <c r="A2793" t="s">
        <v>10328</v>
      </c>
      <c r="B2793" t="s">
        <v>10</v>
      </c>
      <c r="C2793" t="s">
        <v>10329</v>
      </c>
      <c r="D2793" t="s">
        <v>3569</v>
      </c>
      <c r="E2793" t="s">
        <v>3570</v>
      </c>
      <c r="F2793" t="s">
        <v>10330</v>
      </c>
      <c r="G2793" t="s">
        <v>10331</v>
      </c>
      <c r="H2793" t="s">
        <v>30</v>
      </c>
      <c r="I2793" t="b">
        <f>COUNTIF(Estadísticas!I:I,'centraldecomunicacion.es'!H2793)&gt;0</f>
        <v>0</v>
      </c>
    </row>
    <row r="2794" spans="1:9">
      <c r="A2794" t="s">
        <v>10160</v>
      </c>
      <c r="B2794" t="s">
        <v>10</v>
      </c>
      <c r="C2794" t="s">
        <v>10332</v>
      </c>
      <c r="D2794" t="s">
        <v>3569</v>
      </c>
      <c r="E2794" t="s">
        <v>3570</v>
      </c>
      <c r="F2794" t="s">
        <v>28</v>
      </c>
      <c r="G2794" t="s">
        <v>10333</v>
      </c>
      <c r="H2794" t="s">
        <v>30</v>
      </c>
      <c r="I2794" t="b">
        <f>COUNTIF(Estadísticas!I:I,'centraldecomunicacion.es'!H2794)&gt;0</f>
        <v>0</v>
      </c>
    </row>
    <row r="2795" spans="1:9">
      <c r="A2795" t="s">
        <v>10334</v>
      </c>
      <c r="B2795" t="s">
        <v>10</v>
      </c>
      <c r="C2795" t="s">
        <v>10335</v>
      </c>
      <c r="D2795" t="s">
        <v>3569</v>
      </c>
      <c r="E2795" t="s">
        <v>3570</v>
      </c>
      <c r="F2795" t="s">
        <v>28</v>
      </c>
      <c r="G2795" t="s">
        <v>10336</v>
      </c>
      <c r="H2795" t="s">
        <v>30</v>
      </c>
      <c r="I2795" t="b">
        <f>COUNTIF(Estadísticas!I:I,'centraldecomunicacion.es'!H2795)&gt;0</f>
        <v>0</v>
      </c>
    </row>
    <row r="2796" spans="1:9">
      <c r="A2796" t="s">
        <v>10337</v>
      </c>
      <c r="B2796" t="s">
        <v>10</v>
      </c>
      <c r="C2796" t="s">
        <v>10338</v>
      </c>
      <c r="D2796" t="s">
        <v>3569</v>
      </c>
      <c r="E2796" t="s">
        <v>3570</v>
      </c>
      <c r="F2796" t="s">
        <v>10339</v>
      </c>
      <c r="G2796" t="s">
        <v>10340</v>
      </c>
      <c r="H2796" t="s">
        <v>30</v>
      </c>
      <c r="I2796" t="b">
        <f>COUNTIF(Estadísticas!I:I,'centraldecomunicacion.es'!H2796)&gt;0</f>
        <v>0</v>
      </c>
    </row>
    <row r="2797" spans="1:9">
      <c r="A2797" t="s">
        <v>10341</v>
      </c>
      <c r="B2797" t="s">
        <v>10</v>
      </c>
      <c r="C2797" t="s">
        <v>10342</v>
      </c>
      <c r="D2797" t="s">
        <v>3569</v>
      </c>
      <c r="E2797" t="s">
        <v>3570</v>
      </c>
      <c r="F2797" t="s">
        <v>28</v>
      </c>
      <c r="G2797" t="s">
        <v>10343</v>
      </c>
      <c r="H2797" t="s">
        <v>30</v>
      </c>
      <c r="I2797" t="b">
        <f>COUNTIF(Estadísticas!I:I,'centraldecomunicacion.es'!H2797)&gt;0</f>
        <v>0</v>
      </c>
    </row>
    <row r="2798" spans="1:9">
      <c r="A2798" t="s">
        <v>10344</v>
      </c>
      <c r="B2798" t="s">
        <v>10</v>
      </c>
      <c r="C2798" t="s">
        <v>10345</v>
      </c>
      <c r="D2798" t="s">
        <v>3569</v>
      </c>
      <c r="E2798" t="s">
        <v>3570</v>
      </c>
      <c r="F2798" t="s">
        <v>10346</v>
      </c>
      <c r="G2798" t="s">
        <v>10347</v>
      </c>
      <c r="H2798" t="s">
        <v>30</v>
      </c>
      <c r="I2798" t="b">
        <f>COUNTIF(Estadísticas!I:I,'centraldecomunicacion.es'!H2798)&gt;0</f>
        <v>0</v>
      </c>
    </row>
    <row r="2799" spans="1:9">
      <c r="A2799" t="s">
        <v>10317</v>
      </c>
      <c r="B2799" t="s">
        <v>10</v>
      </c>
      <c r="C2799" t="s">
        <v>10348</v>
      </c>
      <c r="D2799" t="s">
        <v>3569</v>
      </c>
      <c r="E2799" t="s">
        <v>3570</v>
      </c>
      <c r="F2799" t="s">
        <v>28</v>
      </c>
      <c r="G2799" t="s">
        <v>10349</v>
      </c>
      <c r="H2799" t="s">
        <v>30</v>
      </c>
      <c r="I2799" t="b">
        <f>COUNTIF(Estadísticas!I:I,'centraldecomunicacion.es'!H2799)&gt;0</f>
        <v>0</v>
      </c>
    </row>
    <row r="2800" spans="1:9">
      <c r="A2800" t="s">
        <v>10350</v>
      </c>
      <c r="B2800" t="s">
        <v>10</v>
      </c>
      <c r="C2800" t="s">
        <v>10351</v>
      </c>
      <c r="D2800" t="s">
        <v>3569</v>
      </c>
      <c r="E2800" t="s">
        <v>3570</v>
      </c>
      <c r="F2800" t="s">
        <v>10352</v>
      </c>
      <c r="G2800" t="s">
        <v>10353</v>
      </c>
      <c r="H2800" t="s">
        <v>30</v>
      </c>
      <c r="I2800" t="b">
        <f>COUNTIF(Estadísticas!I:I,'centraldecomunicacion.es'!H2800)&gt;0</f>
        <v>0</v>
      </c>
    </row>
    <row r="2801" spans="1:9">
      <c r="A2801" t="s">
        <v>10354</v>
      </c>
      <c r="B2801" t="s">
        <v>10</v>
      </c>
      <c r="C2801" t="s">
        <v>10355</v>
      </c>
      <c r="D2801" t="s">
        <v>3569</v>
      </c>
      <c r="E2801" t="s">
        <v>3570</v>
      </c>
      <c r="F2801" t="s">
        <v>10356</v>
      </c>
      <c r="G2801" t="s">
        <v>10357</v>
      </c>
      <c r="H2801" t="s">
        <v>30</v>
      </c>
      <c r="I2801" t="b">
        <f>COUNTIF(Estadísticas!I:I,'centraldecomunicacion.es'!H2801)&gt;0</f>
        <v>0</v>
      </c>
    </row>
    <row r="2802" spans="1:9">
      <c r="A2802" t="s">
        <v>10358</v>
      </c>
      <c r="B2802" t="s">
        <v>10</v>
      </c>
      <c r="C2802" t="s">
        <v>10359</v>
      </c>
      <c r="D2802" t="s">
        <v>3569</v>
      </c>
      <c r="E2802" t="s">
        <v>3570</v>
      </c>
      <c r="F2802" t="s">
        <v>28</v>
      </c>
      <c r="G2802" t="s">
        <v>28</v>
      </c>
      <c r="H2802" t="s">
        <v>30</v>
      </c>
      <c r="I2802" t="b">
        <f>COUNTIF(Estadísticas!I:I,'centraldecomunicacion.es'!H2802)&gt;0</f>
        <v>0</v>
      </c>
    </row>
    <row r="2803" spans="1:9">
      <c r="A2803" t="s">
        <v>10360</v>
      </c>
      <c r="B2803" t="s">
        <v>10</v>
      </c>
      <c r="C2803" t="s">
        <v>10361</v>
      </c>
      <c r="D2803" t="s">
        <v>3569</v>
      </c>
      <c r="E2803" t="s">
        <v>3570</v>
      </c>
      <c r="F2803" t="s">
        <v>28</v>
      </c>
      <c r="G2803" t="s">
        <v>10362</v>
      </c>
      <c r="H2803" t="s">
        <v>30</v>
      </c>
      <c r="I2803" t="b">
        <f>COUNTIF(Estadísticas!I:I,'centraldecomunicacion.es'!H2803)&gt;0</f>
        <v>0</v>
      </c>
    </row>
    <row r="2804" spans="1:9">
      <c r="A2804" t="s">
        <v>10363</v>
      </c>
      <c r="B2804" t="s">
        <v>10</v>
      </c>
      <c r="C2804" t="s">
        <v>10364</v>
      </c>
      <c r="D2804" t="s">
        <v>3569</v>
      </c>
      <c r="E2804" t="s">
        <v>3570</v>
      </c>
      <c r="F2804" t="s">
        <v>28</v>
      </c>
      <c r="G2804" t="s">
        <v>10365</v>
      </c>
      <c r="H2804" t="s">
        <v>30</v>
      </c>
      <c r="I2804" t="b">
        <f>COUNTIF(Estadísticas!I:I,'centraldecomunicacion.es'!H2804)&gt;0</f>
        <v>0</v>
      </c>
    </row>
    <row r="2805" spans="1:9">
      <c r="A2805" t="s">
        <v>10366</v>
      </c>
      <c r="B2805" t="s">
        <v>10</v>
      </c>
      <c r="C2805" t="s">
        <v>10367</v>
      </c>
      <c r="D2805" t="s">
        <v>3569</v>
      </c>
      <c r="E2805" t="s">
        <v>3570</v>
      </c>
      <c r="F2805" t="s">
        <v>28</v>
      </c>
      <c r="G2805" t="s">
        <v>10368</v>
      </c>
      <c r="H2805" t="s">
        <v>30</v>
      </c>
      <c r="I2805" t="b">
        <f>COUNTIF(Estadísticas!I:I,'centraldecomunicacion.es'!H2805)&gt;0</f>
        <v>0</v>
      </c>
    </row>
    <row r="2806" spans="1:9">
      <c r="A2806" t="s">
        <v>10369</v>
      </c>
      <c r="B2806" t="s">
        <v>10</v>
      </c>
      <c r="C2806" t="s">
        <v>10370</v>
      </c>
      <c r="D2806" t="s">
        <v>3569</v>
      </c>
      <c r="E2806" t="s">
        <v>3570</v>
      </c>
      <c r="F2806" t="s">
        <v>50</v>
      </c>
      <c r="G2806" t="s">
        <v>10371</v>
      </c>
      <c r="H2806" t="s">
        <v>30</v>
      </c>
      <c r="I2806" t="b">
        <f>COUNTIF(Estadísticas!I:I,'centraldecomunicacion.es'!H2806)&gt;0</f>
        <v>0</v>
      </c>
    </row>
    <row r="2807" spans="1:9">
      <c r="A2807" t="s">
        <v>10372</v>
      </c>
      <c r="B2807" t="s">
        <v>10</v>
      </c>
      <c r="C2807" t="s">
        <v>10373</v>
      </c>
      <c r="D2807" t="s">
        <v>3569</v>
      </c>
      <c r="E2807" t="s">
        <v>3570</v>
      </c>
      <c r="F2807" t="s">
        <v>50</v>
      </c>
      <c r="G2807" t="s">
        <v>10374</v>
      </c>
      <c r="H2807" t="s">
        <v>30</v>
      </c>
      <c r="I2807" t="b">
        <f>COUNTIF(Estadísticas!I:I,'centraldecomunicacion.es'!H2807)&gt;0</f>
        <v>0</v>
      </c>
    </row>
    <row r="2808" spans="1:9">
      <c r="A2808" t="s">
        <v>10375</v>
      </c>
      <c r="B2808" t="s">
        <v>10</v>
      </c>
      <c r="C2808" t="s">
        <v>10376</v>
      </c>
      <c r="D2808" t="s">
        <v>3569</v>
      </c>
      <c r="E2808" t="s">
        <v>3570</v>
      </c>
      <c r="F2808" t="s">
        <v>28</v>
      </c>
      <c r="G2808" t="s">
        <v>10377</v>
      </c>
      <c r="H2808" t="s">
        <v>30</v>
      </c>
      <c r="I2808" t="b">
        <f>COUNTIF(Estadísticas!I:I,'centraldecomunicacion.es'!H2808)&gt;0</f>
        <v>0</v>
      </c>
    </row>
    <row r="2809" spans="1:9">
      <c r="A2809" t="s">
        <v>10378</v>
      </c>
      <c r="B2809" t="s">
        <v>10</v>
      </c>
      <c r="C2809" t="s">
        <v>10379</v>
      </c>
      <c r="D2809" t="s">
        <v>3569</v>
      </c>
      <c r="E2809" t="s">
        <v>3570</v>
      </c>
      <c r="F2809" t="s">
        <v>28</v>
      </c>
      <c r="G2809" t="s">
        <v>10380</v>
      </c>
      <c r="H2809" t="s">
        <v>30</v>
      </c>
      <c r="I2809" t="b">
        <f>COUNTIF(Estadísticas!I:I,'centraldecomunicacion.es'!H2809)&gt;0</f>
        <v>0</v>
      </c>
    </row>
    <row r="2810" spans="1:9">
      <c r="A2810" t="s">
        <v>10381</v>
      </c>
      <c r="B2810" t="s">
        <v>10</v>
      </c>
      <c r="C2810" t="s">
        <v>10326</v>
      </c>
      <c r="D2810" t="s">
        <v>3569</v>
      </c>
      <c r="E2810" t="s">
        <v>3570</v>
      </c>
      <c r="F2810" t="s">
        <v>28</v>
      </c>
      <c r="G2810" t="s">
        <v>10327</v>
      </c>
      <c r="H2810" t="s">
        <v>30</v>
      </c>
      <c r="I2810" t="b">
        <f>COUNTIF(Estadísticas!I:I,'centraldecomunicacion.es'!H2810)&gt;0</f>
        <v>0</v>
      </c>
    </row>
    <row r="2811" spans="1:9">
      <c r="A2811" t="s">
        <v>10382</v>
      </c>
      <c r="B2811" t="s">
        <v>10</v>
      </c>
      <c r="C2811" t="s">
        <v>10383</v>
      </c>
      <c r="D2811" t="s">
        <v>3569</v>
      </c>
      <c r="E2811" t="s">
        <v>3570</v>
      </c>
      <c r="F2811" t="s">
        <v>28</v>
      </c>
      <c r="G2811" t="s">
        <v>10384</v>
      </c>
      <c r="H2811" t="s">
        <v>30</v>
      </c>
      <c r="I2811" t="b">
        <f>COUNTIF(Estadísticas!I:I,'centraldecomunicacion.es'!H2811)&gt;0</f>
        <v>0</v>
      </c>
    </row>
    <row r="2812" spans="1:9">
      <c r="A2812" t="s">
        <v>10385</v>
      </c>
      <c r="B2812" t="s">
        <v>10</v>
      </c>
      <c r="C2812" t="s">
        <v>10386</v>
      </c>
      <c r="D2812" t="s">
        <v>3569</v>
      </c>
      <c r="E2812" t="s">
        <v>3570</v>
      </c>
      <c r="F2812" t="s">
        <v>28</v>
      </c>
      <c r="G2812" t="s">
        <v>10387</v>
      </c>
      <c r="H2812" t="s">
        <v>30</v>
      </c>
      <c r="I2812" t="b">
        <f>COUNTIF(Estadísticas!I:I,'centraldecomunicacion.es'!H2812)&gt;0</f>
        <v>0</v>
      </c>
    </row>
    <row r="2813" spans="1:9">
      <c r="A2813" t="s">
        <v>10388</v>
      </c>
      <c r="B2813" t="s">
        <v>10</v>
      </c>
      <c r="C2813" t="s">
        <v>10389</v>
      </c>
      <c r="D2813" t="s">
        <v>3569</v>
      </c>
      <c r="E2813" t="s">
        <v>3570</v>
      </c>
      <c r="F2813" t="s">
        <v>28</v>
      </c>
      <c r="G2813" t="s">
        <v>10390</v>
      </c>
      <c r="H2813" t="s">
        <v>30</v>
      </c>
      <c r="I2813" t="b">
        <f>COUNTIF(Estadísticas!I:I,'centraldecomunicacion.es'!H2813)&gt;0</f>
        <v>0</v>
      </c>
    </row>
    <row r="2814" spans="1:9">
      <c r="A2814" t="s">
        <v>10391</v>
      </c>
      <c r="B2814" t="s">
        <v>10</v>
      </c>
      <c r="C2814" t="s">
        <v>10392</v>
      </c>
      <c r="D2814" t="s">
        <v>3569</v>
      </c>
      <c r="E2814" t="s">
        <v>3570</v>
      </c>
      <c r="F2814" t="s">
        <v>10393</v>
      </c>
      <c r="G2814" t="s">
        <v>10394</v>
      </c>
      <c r="H2814" t="s">
        <v>10395</v>
      </c>
      <c r="I2814" t="b">
        <f>COUNTIF(Estadísticas!I:I,'centraldecomunicacion.es'!H2814)&gt;0</f>
        <v>0</v>
      </c>
    </row>
    <row r="2815" spans="1:9">
      <c r="A2815" t="s">
        <v>10396</v>
      </c>
      <c r="B2815" t="s">
        <v>10</v>
      </c>
      <c r="C2815" t="s">
        <v>10397</v>
      </c>
      <c r="D2815" t="s">
        <v>3569</v>
      </c>
      <c r="E2815" t="s">
        <v>3570</v>
      </c>
      <c r="F2815" t="s">
        <v>50</v>
      </c>
      <c r="G2815" t="s">
        <v>10398</v>
      </c>
      <c r="H2815" t="s">
        <v>30</v>
      </c>
      <c r="I2815" t="b">
        <f>COUNTIF(Estadísticas!I:I,'centraldecomunicacion.es'!H2815)&gt;0</f>
        <v>0</v>
      </c>
    </row>
    <row r="2816" spans="1:9">
      <c r="A2816" t="s">
        <v>10399</v>
      </c>
      <c r="B2816" t="s">
        <v>10</v>
      </c>
      <c r="C2816" t="s">
        <v>10400</v>
      </c>
      <c r="D2816" t="s">
        <v>3569</v>
      </c>
      <c r="E2816" t="s">
        <v>3570</v>
      </c>
      <c r="F2816" t="s">
        <v>10401</v>
      </c>
      <c r="G2816" t="s">
        <v>10402</v>
      </c>
      <c r="H2816" t="s">
        <v>10403</v>
      </c>
      <c r="I2816" t="b">
        <f>COUNTIF(Estadísticas!I:I,'centraldecomunicacion.es'!H2816)&gt;0</f>
        <v>0</v>
      </c>
    </row>
    <row r="2817" spans="1:9">
      <c r="A2817" t="s">
        <v>10404</v>
      </c>
      <c r="B2817" t="s">
        <v>10</v>
      </c>
      <c r="C2817" t="s">
        <v>10405</v>
      </c>
      <c r="D2817" t="s">
        <v>10406</v>
      </c>
      <c r="E2817" t="s">
        <v>3570</v>
      </c>
      <c r="F2817" t="s">
        <v>28</v>
      </c>
      <c r="G2817" t="s">
        <v>10407</v>
      </c>
      <c r="H2817" t="s">
        <v>30</v>
      </c>
      <c r="I2817" t="b">
        <f>COUNTIF(Estadísticas!I:I,'centraldecomunicacion.es'!H2817)&gt;0</f>
        <v>0</v>
      </c>
    </row>
    <row r="2818" spans="1:9">
      <c r="A2818" t="s">
        <v>10408</v>
      </c>
      <c r="B2818" t="s">
        <v>10</v>
      </c>
      <c r="C2818" t="s">
        <v>10409</v>
      </c>
      <c r="D2818" t="s">
        <v>10410</v>
      </c>
      <c r="E2818" t="s">
        <v>3570</v>
      </c>
      <c r="F2818" t="s">
        <v>28</v>
      </c>
      <c r="G2818" t="s">
        <v>10411</v>
      </c>
      <c r="H2818" t="s">
        <v>30</v>
      </c>
      <c r="I2818" t="b">
        <f>COUNTIF(Estadísticas!I:I,'centraldecomunicacion.es'!H2818)&gt;0</f>
        <v>0</v>
      </c>
    </row>
    <row r="2819" spans="1:9">
      <c r="A2819" t="s">
        <v>10412</v>
      </c>
      <c r="B2819" t="s">
        <v>10</v>
      </c>
      <c r="C2819" t="s">
        <v>10413</v>
      </c>
      <c r="D2819" t="s">
        <v>10414</v>
      </c>
      <c r="E2819" t="s">
        <v>3570</v>
      </c>
      <c r="F2819" t="s">
        <v>28</v>
      </c>
      <c r="G2819" t="s">
        <v>10415</v>
      </c>
      <c r="H2819" t="s">
        <v>30</v>
      </c>
      <c r="I2819" t="b">
        <f>COUNTIF(Estadísticas!I:I,'centraldecomunicacion.es'!H2819)&gt;0</f>
        <v>0</v>
      </c>
    </row>
    <row r="2820" spans="1:9">
      <c r="A2820" t="s">
        <v>10416</v>
      </c>
      <c r="B2820" t="s">
        <v>10</v>
      </c>
      <c r="C2820" t="s">
        <v>10417</v>
      </c>
      <c r="D2820" t="s">
        <v>10418</v>
      </c>
      <c r="E2820" t="s">
        <v>3570</v>
      </c>
      <c r="F2820" t="s">
        <v>50</v>
      </c>
      <c r="G2820" t="s">
        <v>10419</v>
      </c>
      <c r="H2820" t="s">
        <v>30</v>
      </c>
      <c r="I2820" t="b">
        <f>COUNTIF(Estadísticas!I:I,'centraldecomunicacion.es'!H2820)&gt;0</f>
        <v>0</v>
      </c>
    </row>
    <row r="2821" spans="1:9">
      <c r="A2821" t="s">
        <v>10420</v>
      </c>
      <c r="B2821" t="s">
        <v>10</v>
      </c>
      <c r="C2821" t="s">
        <v>10421</v>
      </c>
      <c r="D2821" t="s">
        <v>10418</v>
      </c>
      <c r="E2821" t="s">
        <v>3570</v>
      </c>
      <c r="F2821" t="s">
        <v>28</v>
      </c>
      <c r="G2821" t="s">
        <v>10422</v>
      </c>
      <c r="H2821" t="s">
        <v>30</v>
      </c>
      <c r="I2821" t="b">
        <f>COUNTIF(Estadísticas!I:I,'centraldecomunicacion.es'!H2821)&gt;0</f>
        <v>0</v>
      </c>
    </row>
    <row r="2822" spans="1:9">
      <c r="A2822" t="s">
        <v>10423</v>
      </c>
      <c r="B2822" t="s">
        <v>10</v>
      </c>
      <c r="C2822" t="s">
        <v>10424</v>
      </c>
      <c r="D2822" t="s">
        <v>10425</v>
      </c>
      <c r="E2822" t="s">
        <v>3570</v>
      </c>
      <c r="F2822" t="s">
        <v>746</v>
      </c>
      <c r="G2822" t="s">
        <v>10426</v>
      </c>
      <c r="H2822" t="s">
        <v>30</v>
      </c>
      <c r="I2822" t="b">
        <f>COUNTIF(Estadísticas!I:I,'centraldecomunicacion.es'!H2822)&gt;0</f>
        <v>0</v>
      </c>
    </row>
    <row r="2823" spans="1:9">
      <c r="A2823" t="s">
        <v>10427</v>
      </c>
      <c r="B2823" t="s">
        <v>10</v>
      </c>
      <c r="C2823" t="s">
        <v>10428</v>
      </c>
      <c r="D2823" t="s">
        <v>10410</v>
      </c>
      <c r="E2823" t="s">
        <v>3570</v>
      </c>
      <c r="F2823" t="s">
        <v>28</v>
      </c>
      <c r="G2823" t="s">
        <v>10429</v>
      </c>
      <c r="H2823" t="s">
        <v>30</v>
      </c>
      <c r="I2823" t="b">
        <f>COUNTIF(Estadísticas!I:I,'centraldecomunicacion.es'!H2823)&gt;0</f>
        <v>0</v>
      </c>
    </row>
    <row r="2824" spans="1:9">
      <c r="A2824" t="s">
        <v>10430</v>
      </c>
      <c r="B2824" t="s">
        <v>10</v>
      </c>
      <c r="C2824" t="s">
        <v>10431</v>
      </c>
      <c r="D2824" t="s">
        <v>10432</v>
      </c>
      <c r="E2824" t="s">
        <v>3570</v>
      </c>
      <c r="F2824" t="s">
        <v>10433</v>
      </c>
      <c r="G2824" t="s">
        <v>10434</v>
      </c>
      <c r="H2824" t="s">
        <v>30</v>
      </c>
      <c r="I2824" t="b">
        <f>COUNTIF(Estadísticas!I:I,'centraldecomunicacion.es'!H2824)&gt;0</f>
        <v>0</v>
      </c>
    </row>
    <row r="2825" spans="1:9">
      <c r="A2825" t="s">
        <v>10435</v>
      </c>
      <c r="B2825" t="s">
        <v>10</v>
      </c>
      <c r="C2825" t="s">
        <v>10436</v>
      </c>
      <c r="D2825" t="s">
        <v>10432</v>
      </c>
      <c r="E2825" t="s">
        <v>3570</v>
      </c>
      <c r="F2825" t="s">
        <v>3856</v>
      </c>
      <c r="G2825" t="s">
        <v>10437</v>
      </c>
      <c r="H2825" t="s">
        <v>30</v>
      </c>
      <c r="I2825" t="b">
        <f>COUNTIF(Estadísticas!I:I,'centraldecomunicacion.es'!H2825)&gt;0</f>
        <v>0</v>
      </c>
    </row>
    <row r="2826" spans="1:9">
      <c r="A2826" t="s">
        <v>10438</v>
      </c>
      <c r="B2826" t="s">
        <v>10</v>
      </c>
      <c r="C2826" t="s">
        <v>10439</v>
      </c>
      <c r="D2826" t="s">
        <v>10425</v>
      </c>
      <c r="E2826" t="s">
        <v>3570</v>
      </c>
      <c r="F2826" t="s">
        <v>87</v>
      </c>
      <c r="G2826" t="s">
        <v>10440</v>
      </c>
      <c r="H2826" t="s">
        <v>30</v>
      </c>
      <c r="I2826" t="b">
        <f>COUNTIF(Estadísticas!I:I,'centraldecomunicacion.es'!H2826)&gt;0</f>
        <v>0</v>
      </c>
    </row>
    <row r="2827" spans="1:9">
      <c r="A2827" t="s">
        <v>10441</v>
      </c>
      <c r="B2827" t="s">
        <v>10</v>
      </c>
      <c r="C2827" t="s">
        <v>10442</v>
      </c>
      <c r="D2827" t="s">
        <v>10432</v>
      </c>
      <c r="E2827" t="s">
        <v>3570</v>
      </c>
      <c r="F2827" t="s">
        <v>28</v>
      </c>
      <c r="G2827" t="s">
        <v>10443</v>
      </c>
      <c r="H2827" t="s">
        <v>30</v>
      </c>
      <c r="I2827" t="b">
        <f>COUNTIF(Estadísticas!I:I,'centraldecomunicacion.es'!H2827)&gt;0</f>
        <v>0</v>
      </c>
    </row>
    <row r="2828" spans="1:9">
      <c r="A2828" t="s">
        <v>10444</v>
      </c>
      <c r="B2828" t="s">
        <v>10</v>
      </c>
      <c r="C2828" t="s">
        <v>10445</v>
      </c>
      <c r="D2828" t="s">
        <v>10406</v>
      </c>
      <c r="E2828" t="s">
        <v>3570</v>
      </c>
      <c r="F2828" t="s">
        <v>10446</v>
      </c>
      <c r="G2828" t="s">
        <v>10447</v>
      </c>
      <c r="H2828" t="s">
        <v>30</v>
      </c>
      <c r="I2828" t="b">
        <f>COUNTIF(Estadísticas!I:I,'centraldecomunicacion.es'!H2828)&gt;0</f>
        <v>0</v>
      </c>
    </row>
    <row r="2829" spans="1:9">
      <c r="A2829" t="s">
        <v>10448</v>
      </c>
      <c r="B2829" t="s">
        <v>10</v>
      </c>
      <c r="C2829" t="s">
        <v>10449</v>
      </c>
      <c r="D2829" t="s">
        <v>10450</v>
      </c>
      <c r="E2829" t="s">
        <v>3570</v>
      </c>
      <c r="F2829" t="s">
        <v>28</v>
      </c>
      <c r="G2829" t="s">
        <v>10451</v>
      </c>
      <c r="H2829" t="s">
        <v>30</v>
      </c>
      <c r="I2829" t="b">
        <f>COUNTIF(Estadísticas!I:I,'centraldecomunicacion.es'!H2829)&gt;0</f>
        <v>0</v>
      </c>
    </row>
    <row r="2830" spans="1:9">
      <c r="A2830" t="s">
        <v>10452</v>
      </c>
      <c r="B2830" t="s">
        <v>10</v>
      </c>
      <c r="C2830" t="s">
        <v>10453</v>
      </c>
      <c r="D2830" t="s">
        <v>10454</v>
      </c>
      <c r="E2830" t="s">
        <v>3570</v>
      </c>
      <c r="F2830" t="s">
        <v>28</v>
      </c>
      <c r="G2830" t="s">
        <v>10455</v>
      </c>
      <c r="H2830" t="s">
        <v>30</v>
      </c>
      <c r="I2830" t="b">
        <f>COUNTIF(Estadísticas!I:I,'centraldecomunicacion.es'!H2830)&gt;0</f>
        <v>0</v>
      </c>
    </row>
    <row r="2831" spans="1:9">
      <c r="A2831" t="s">
        <v>10456</v>
      </c>
      <c r="B2831" t="s">
        <v>10</v>
      </c>
      <c r="C2831" t="s">
        <v>10457</v>
      </c>
      <c r="D2831" t="s">
        <v>10458</v>
      </c>
      <c r="E2831" t="s">
        <v>3570</v>
      </c>
      <c r="F2831" t="s">
        <v>10459</v>
      </c>
      <c r="G2831" t="s">
        <v>10460</v>
      </c>
      <c r="H2831" t="s">
        <v>10461</v>
      </c>
      <c r="I2831" t="b">
        <f>COUNTIF(Estadísticas!I:I,'centraldecomunicacion.es'!H2831)&gt;0</f>
        <v>0</v>
      </c>
    </row>
    <row r="2832" spans="1:9">
      <c r="A2832" t="s">
        <v>10462</v>
      </c>
      <c r="B2832" t="s">
        <v>10</v>
      </c>
      <c r="C2832" t="s">
        <v>10463</v>
      </c>
      <c r="D2832" t="s">
        <v>10458</v>
      </c>
      <c r="E2832" t="s">
        <v>3570</v>
      </c>
      <c r="F2832" t="s">
        <v>28</v>
      </c>
      <c r="G2832" t="s">
        <v>10464</v>
      </c>
      <c r="H2832" t="s">
        <v>30</v>
      </c>
      <c r="I2832" t="b">
        <f>COUNTIF(Estadísticas!I:I,'centraldecomunicacion.es'!H2832)&gt;0</f>
        <v>0</v>
      </c>
    </row>
    <row r="2833" spans="1:9">
      <c r="A2833" t="s">
        <v>10465</v>
      </c>
      <c r="B2833" t="s">
        <v>10</v>
      </c>
      <c r="C2833" t="s">
        <v>10466</v>
      </c>
      <c r="D2833" t="s">
        <v>10467</v>
      </c>
      <c r="E2833" t="s">
        <v>3570</v>
      </c>
      <c r="F2833" t="s">
        <v>50</v>
      </c>
      <c r="G2833" t="s">
        <v>10468</v>
      </c>
      <c r="H2833" t="s">
        <v>30</v>
      </c>
      <c r="I2833" t="b">
        <f>COUNTIF(Estadísticas!I:I,'centraldecomunicacion.es'!H2833)&gt;0</f>
        <v>0</v>
      </c>
    </row>
    <row r="2834" spans="1:9">
      <c r="A2834" t="s">
        <v>10469</v>
      </c>
      <c r="B2834" t="s">
        <v>10</v>
      </c>
      <c r="C2834" t="s">
        <v>10470</v>
      </c>
      <c r="D2834" t="s">
        <v>10471</v>
      </c>
      <c r="E2834" t="s">
        <v>3570</v>
      </c>
      <c r="F2834" t="s">
        <v>10472</v>
      </c>
      <c r="G2834" t="s">
        <v>10473</v>
      </c>
      <c r="H2834" t="s">
        <v>10474</v>
      </c>
      <c r="I2834" t="b">
        <f>COUNTIF(Estadísticas!I:I,'centraldecomunicacion.es'!H2834)&gt;0</f>
        <v>1</v>
      </c>
    </row>
    <row r="2835" spans="1:9">
      <c r="A2835" t="s">
        <v>10475</v>
      </c>
      <c r="B2835" t="s">
        <v>10</v>
      </c>
      <c r="C2835" t="s">
        <v>10476</v>
      </c>
      <c r="D2835" t="s">
        <v>10471</v>
      </c>
      <c r="E2835" t="s">
        <v>3570</v>
      </c>
      <c r="F2835" t="s">
        <v>10477</v>
      </c>
      <c r="G2835" t="s">
        <v>10478</v>
      </c>
      <c r="H2835" t="s">
        <v>10479</v>
      </c>
      <c r="I2835" t="b">
        <f>COUNTIF(Estadísticas!I:I,'centraldecomunicacion.es'!H2835)&gt;0</f>
        <v>0</v>
      </c>
    </row>
    <row r="2836" spans="1:9">
      <c r="A2836" t="s">
        <v>10480</v>
      </c>
      <c r="B2836" t="s">
        <v>10</v>
      </c>
      <c r="C2836" t="s">
        <v>10481</v>
      </c>
      <c r="D2836" t="s">
        <v>10432</v>
      </c>
      <c r="E2836" t="s">
        <v>3570</v>
      </c>
      <c r="F2836" t="s">
        <v>28</v>
      </c>
      <c r="G2836" t="s">
        <v>28</v>
      </c>
      <c r="H2836" t="s">
        <v>30</v>
      </c>
      <c r="I2836" t="b">
        <f>COUNTIF(Estadísticas!I:I,'centraldecomunicacion.es'!H2836)&gt;0</f>
        <v>0</v>
      </c>
    </row>
    <row r="2837" spans="1:9">
      <c r="A2837" t="s">
        <v>10482</v>
      </c>
      <c r="B2837" t="s">
        <v>10</v>
      </c>
      <c r="C2837" t="s">
        <v>10483</v>
      </c>
      <c r="D2837" t="s">
        <v>10425</v>
      </c>
      <c r="E2837" t="s">
        <v>3570</v>
      </c>
      <c r="F2837" t="s">
        <v>10484</v>
      </c>
      <c r="G2837" t="s">
        <v>10485</v>
      </c>
      <c r="H2837" t="s">
        <v>30</v>
      </c>
      <c r="I2837" t="b">
        <f>COUNTIF(Estadísticas!I:I,'centraldecomunicacion.es'!H2837)&gt;0</f>
        <v>0</v>
      </c>
    </row>
    <row r="2838" spans="1:9">
      <c r="A2838" t="s">
        <v>10486</v>
      </c>
      <c r="B2838" t="s">
        <v>10</v>
      </c>
      <c r="C2838" t="s">
        <v>10487</v>
      </c>
      <c r="D2838" t="s">
        <v>10471</v>
      </c>
      <c r="E2838" t="s">
        <v>3570</v>
      </c>
      <c r="F2838" t="s">
        <v>10488</v>
      </c>
      <c r="G2838" t="s">
        <v>10489</v>
      </c>
      <c r="H2838" t="s">
        <v>10490</v>
      </c>
      <c r="I2838" t="b">
        <f>COUNTIF(Estadísticas!I:I,'centraldecomunicacion.es'!H2838)&gt;0</f>
        <v>1</v>
      </c>
    </row>
    <row r="2839" spans="1:9">
      <c r="A2839" t="s">
        <v>10491</v>
      </c>
      <c r="B2839" t="s">
        <v>10</v>
      </c>
      <c r="C2839" t="s">
        <v>10492</v>
      </c>
      <c r="D2839" t="s">
        <v>10450</v>
      </c>
      <c r="E2839" t="s">
        <v>3570</v>
      </c>
      <c r="F2839" t="s">
        <v>28</v>
      </c>
      <c r="G2839" t="s">
        <v>10493</v>
      </c>
      <c r="H2839" t="s">
        <v>30</v>
      </c>
      <c r="I2839" t="b">
        <f>COUNTIF(Estadísticas!I:I,'centraldecomunicacion.es'!H2839)&gt;0</f>
        <v>0</v>
      </c>
    </row>
    <row r="2840" spans="1:9">
      <c r="A2840" t="s">
        <v>10494</v>
      </c>
      <c r="B2840" t="s">
        <v>10</v>
      </c>
      <c r="C2840" t="s">
        <v>10495</v>
      </c>
      <c r="D2840" t="s">
        <v>10496</v>
      </c>
      <c r="E2840" t="s">
        <v>3570</v>
      </c>
      <c r="F2840" t="s">
        <v>28</v>
      </c>
      <c r="G2840" t="s">
        <v>10497</v>
      </c>
      <c r="H2840" t="s">
        <v>30</v>
      </c>
      <c r="I2840" t="b">
        <f>COUNTIF(Estadísticas!I:I,'centraldecomunicacion.es'!H2840)&gt;0</f>
        <v>0</v>
      </c>
    </row>
    <row r="2841" spans="1:9">
      <c r="A2841" t="s">
        <v>10498</v>
      </c>
      <c r="B2841" t="s">
        <v>10</v>
      </c>
      <c r="C2841" t="s">
        <v>10499</v>
      </c>
      <c r="D2841" t="s">
        <v>10500</v>
      </c>
      <c r="E2841" t="s">
        <v>3570</v>
      </c>
      <c r="F2841" t="s">
        <v>10501</v>
      </c>
      <c r="G2841" t="s">
        <v>10502</v>
      </c>
      <c r="H2841" t="s">
        <v>10503</v>
      </c>
      <c r="I2841" t="b">
        <f>COUNTIF(Estadísticas!I:I,'centraldecomunicacion.es'!H2841)&gt;0</f>
        <v>0</v>
      </c>
    </row>
    <row r="2842" spans="1:9">
      <c r="A2842" t="s">
        <v>10504</v>
      </c>
      <c r="B2842" t="s">
        <v>219</v>
      </c>
      <c r="C2842" t="s">
        <v>10505</v>
      </c>
      <c r="D2842" t="s">
        <v>3569</v>
      </c>
      <c r="E2842" t="s">
        <v>3570</v>
      </c>
      <c r="F2842" t="s">
        <v>10506</v>
      </c>
      <c r="G2842" t="s">
        <v>10507</v>
      </c>
      <c r="H2842" t="s">
        <v>10508</v>
      </c>
      <c r="I2842" t="b">
        <f>COUNTIF(Estadísticas!I:I,'centraldecomunicacion.es'!H2842)&gt;0</f>
        <v>0</v>
      </c>
    </row>
    <row r="2843" spans="1:9">
      <c r="A2843" t="s">
        <v>10509</v>
      </c>
      <c r="B2843" t="s">
        <v>10</v>
      </c>
      <c r="C2843" t="s">
        <v>10510</v>
      </c>
      <c r="D2843" t="s">
        <v>10511</v>
      </c>
      <c r="E2843" t="s">
        <v>3570</v>
      </c>
      <c r="F2843" t="s">
        <v>28</v>
      </c>
      <c r="G2843" t="s">
        <v>10512</v>
      </c>
      <c r="H2843" t="s">
        <v>30</v>
      </c>
      <c r="I2843" t="b">
        <f>COUNTIF(Estadísticas!I:I,'centraldecomunicacion.es'!H2843)&gt;0</f>
        <v>0</v>
      </c>
    </row>
    <row r="2844" spans="1:9">
      <c r="A2844" t="s">
        <v>10513</v>
      </c>
      <c r="B2844" t="s">
        <v>10</v>
      </c>
      <c r="C2844" t="s">
        <v>10514</v>
      </c>
      <c r="D2844" t="s">
        <v>10515</v>
      </c>
      <c r="E2844" t="s">
        <v>3570</v>
      </c>
      <c r="F2844" t="s">
        <v>28</v>
      </c>
      <c r="G2844" t="s">
        <v>10516</v>
      </c>
      <c r="H2844" t="s">
        <v>30</v>
      </c>
      <c r="I2844" t="b">
        <f>COUNTIF(Estadísticas!I:I,'centraldecomunicacion.es'!H2844)&gt;0</f>
        <v>0</v>
      </c>
    </row>
    <row r="2845" spans="1:9">
      <c r="A2845" t="s">
        <v>10517</v>
      </c>
      <c r="B2845" t="s">
        <v>10</v>
      </c>
      <c r="C2845" t="s">
        <v>10518</v>
      </c>
      <c r="D2845" t="s">
        <v>10519</v>
      </c>
      <c r="E2845" t="s">
        <v>3570</v>
      </c>
      <c r="F2845" t="s">
        <v>50</v>
      </c>
      <c r="G2845" t="s">
        <v>10520</v>
      </c>
      <c r="H2845" t="s">
        <v>30</v>
      </c>
      <c r="I2845" t="b">
        <f>COUNTIF(Estadísticas!I:I,'centraldecomunicacion.es'!H2845)&gt;0</f>
        <v>0</v>
      </c>
    </row>
    <row r="2846" spans="1:9">
      <c r="A2846" t="s">
        <v>10521</v>
      </c>
      <c r="B2846" t="s">
        <v>10</v>
      </c>
      <c r="C2846" t="s">
        <v>10522</v>
      </c>
      <c r="D2846" t="s">
        <v>10523</v>
      </c>
      <c r="E2846" t="s">
        <v>3570</v>
      </c>
      <c r="F2846" t="s">
        <v>28</v>
      </c>
      <c r="G2846" t="s">
        <v>28</v>
      </c>
      <c r="H2846" t="s">
        <v>30</v>
      </c>
      <c r="I2846" t="b">
        <f>COUNTIF(Estadísticas!I:I,'centraldecomunicacion.es'!H2846)&gt;0</f>
        <v>0</v>
      </c>
    </row>
    <row r="2847" spans="1:9">
      <c r="A2847" t="s">
        <v>10524</v>
      </c>
      <c r="B2847" t="s">
        <v>10</v>
      </c>
      <c r="C2847" t="s">
        <v>10525</v>
      </c>
      <c r="D2847" t="s">
        <v>10432</v>
      </c>
      <c r="E2847" t="s">
        <v>3570</v>
      </c>
      <c r="F2847" t="s">
        <v>28</v>
      </c>
      <c r="G2847" t="s">
        <v>10526</v>
      </c>
      <c r="H2847" t="s">
        <v>30</v>
      </c>
      <c r="I2847" t="b">
        <f>COUNTIF(Estadísticas!I:I,'centraldecomunicacion.es'!H2847)&gt;0</f>
        <v>0</v>
      </c>
    </row>
    <row r="2848" spans="1:9">
      <c r="A2848" t="s">
        <v>10527</v>
      </c>
      <c r="B2848" t="s">
        <v>10</v>
      </c>
      <c r="C2848" t="s">
        <v>10528</v>
      </c>
      <c r="D2848" t="s">
        <v>10511</v>
      </c>
      <c r="E2848" t="s">
        <v>3570</v>
      </c>
      <c r="F2848" t="s">
        <v>28</v>
      </c>
      <c r="G2848" t="s">
        <v>10529</v>
      </c>
      <c r="H2848" t="s">
        <v>30</v>
      </c>
      <c r="I2848" t="b">
        <f>COUNTIF(Estadísticas!I:I,'centraldecomunicacion.es'!H2848)&gt;0</f>
        <v>0</v>
      </c>
    </row>
    <row r="2849" spans="1:9">
      <c r="A2849" t="s">
        <v>10530</v>
      </c>
      <c r="B2849" t="s">
        <v>10</v>
      </c>
      <c r="C2849" t="s">
        <v>10531</v>
      </c>
      <c r="D2849" t="s">
        <v>10532</v>
      </c>
      <c r="E2849" t="s">
        <v>3570</v>
      </c>
      <c r="F2849" t="s">
        <v>10533</v>
      </c>
      <c r="G2849" t="s">
        <v>10534</v>
      </c>
      <c r="H2849" t="s">
        <v>10535</v>
      </c>
      <c r="I2849" t="b">
        <f>COUNTIF(Estadísticas!I:I,'centraldecomunicacion.es'!H2849)&gt;0</f>
        <v>0</v>
      </c>
    </row>
    <row r="2850" spans="1:9">
      <c r="A2850" t="s">
        <v>10536</v>
      </c>
      <c r="B2850" t="s">
        <v>10</v>
      </c>
      <c r="C2850" t="s">
        <v>10537</v>
      </c>
      <c r="D2850" t="s">
        <v>10532</v>
      </c>
      <c r="E2850" t="s">
        <v>3570</v>
      </c>
      <c r="F2850" t="s">
        <v>28</v>
      </c>
      <c r="G2850" t="s">
        <v>10538</v>
      </c>
      <c r="H2850" t="s">
        <v>30</v>
      </c>
      <c r="I2850" t="b">
        <f>COUNTIF(Estadísticas!I:I,'centraldecomunicacion.es'!H2850)&gt;0</f>
        <v>0</v>
      </c>
    </row>
    <row r="2851" spans="1:9">
      <c r="A2851" t="s">
        <v>10539</v>
      </c>
      <c r="B2851" t="s">
        <v>10</v>
      </c>
      <c r="C2851" t="s">
        <v>10540</v>
      </c>
      <c r="D2851" t="s">
        <v>10541</v>
      </c>
      <c r="E2851" t="s">
        <v>3570</v>
      </c>
      <c r="F2851" t="s">
        <v>28</v>
      </c>
      <c r="G2851" t="s">
        <v>10542</v>
      </c>
      <c r="H2851" t="s">
        <v>30</v>
      </c>
      <c r="I2851" t="b">
        <f>COUNTIF(Estadísticas!I:I,'centraldecomunicacion.es'!H2851)&gt;0</f>
        <v>0</v>
      </c>
    </row>
    <row r="2852" spans="1:9">
      <c r="A2852" t="s">
        <v>10543</v>
      </c>
      <c r="B2852" t="s">
        <v>10</v>
      </c>
      <c r="C2852" t="s">
        <v>10544</v>
      </c>
      <c r="D2852" t="s">
        <v>10541</v>
      </c>
      <c r="E2852" t="s">
        <v>3570</v>
      </c>
      <c r="F2852" t="s">
        <v>28</v>
      </c>
      <c r="G2852" t="s">
        <v>10545</v>
      </c>
      <c r="H2852" t="s">
        <v>30</v>
      </c>
      <c r="I2852" t="b">
        <f>COUNTIF(Estadísticas!I:I,'centraldecomunicacion.es'!H2852)&gt;0</f>
        <v>0</v>
      </c>
    </row>
    <row r="2853" spans="1:9">
      <c r="A2853" t="s">
        <v>10546</v>
      </c>
      <c r="B2853" t="s">
        <v>10</v>
      </c>
      <c r="C2853" t="s">
        <v>10547</v>
      </c>
      <c r="D2853" t="s">
        <v>10548</v>
      </c>
      <c r="E2853" t="s">
        <v>3570</v>
      </c>
      <c r="F2853" t="s">
        <v>28</v>
      </c>
      <c r="G2853" t="s">
        <v>10549</v>
      </c>
      <c r="H2853" t="s">
        <v>30</v>
      </c>
      <c r="I2853" t="b">
        <f>COUNTIF(Estadísticas!I:I,'centraldecomunicacion.es'!H2853)&gt;0</f>
        <v>0</v>
      </c>
    </row>
    <row r="2854" spans="1:9">
      <c r="A2854" t="s">
        <v>10550</v>
      </c>
      <c r="B2854" t="s">
        <v>10</v>
      </c>
      <c r="C2854" t="s">
        <v>10551</v>
      </c>
      <c r="D2854" t="s">
        <v>10552</v>
      </c>
      <c r="E2854" t="s">
        <v>3570</v>
      </c>
      <c r="F2854" t="s">
        <v>746</v>
      </c>
      <c r="G2854" t="s">
        <v>10553</v>
      </c>
      <c r="H2854" t="s">
        <v>30</v>
      </c>
      <c r="I2854" t="b">
        <f>COUNTIF(Estadísticas!I:I,'centraldecomunicacion.es'!H2854)&gt;0</f>
        <v>0</v>
      </c>
    </row>
    <row r="2855" spans="1:9">
      <c r="A2855" t="s">
        <v>10554</v>
      </c>
      <c r="B2855" t="s">
        <v>10</v>
      </c>
      <c r="C2855" t="s">
        <v>10555</v>
      </c>
      <c r="D2855" t="s">
        <v>10471</v>
      </c>
      <c r="E2855" t="s">
        <v>3570</v>
      </c>
      <c r="F2855" t="s">
        <v>28</v>
      </c>
      <c r="G2855" t="s">
        <v>10556</v>
      </c>
      <c r="H2855" t="s">
        <v>30</v>
      </c>
      <c r="I2855" t="b">
        <f>COUNTIF(Estadísticas!I:I,'centraldecomunicacion.es'!H2855)&gt;0</f>
        <v>0</v>
      </c>
    </row>
    <row r="2856" spans="1:9">
      <c r="A2856" t="s">
        <v>10557</v>
      </c>
      <c r="B2856" t="s">
        <v>10</v>
      </c>
      <c r="C2856" t="s">
        <v>10558</v>
      </c>
      <c r="D2856" t="s">
        <v>10471</v>
      </c>
      <c r="E2856" t="s">
        <v>3570</v>
      </c>
      <c r="F2856" t="s">
        <v>10559</v>
      </c>
      <c r="G2856" t="s">
        <v>10560</v>
      </c>
      <c r="H2856" t="s">
        <v>10561</v>
      </c>
      <c r="I2856" t="b">
        <f>COUNTIF(Estadísticas!I:I,'centraldecomunicacion.es'!H2856)&gt;0</f>
        <v>0</v>
      </c>
    </row>
    <row r="2857" spans="1:9">
      <c r="A2857" t="s">
        <v>10562</v>
      </c>
      <c r="B2857" t="s">
        <v>10</v>
      </c>
      <c r="C2857" t="s">
        <v>10563</v>
      </c>
      <c r="D2857" t="s">
        <v>10541</v>
      </c>
      <c r="E2857" t="s">
        <v>3570</v>
      </c>
      <c r="F2857" t="s">
        <v>10564</v>
      </c>
      <c r="G2857" t="s">
        <v>10565</v>
      </c>
      <c r="H2857" t="s">
        <v>10566</v>
      </c>
      <c r="I2857" t="b">
        <f>COUNTIF(Estadísticas!I:I,'centraldecomunicacion.es'!H2857)&gt;0</f>
        <v>0</v>
      </c>
    </row>
    <row r="2858" spans="1:9">
      <c r="A2858" t="s">
        <v>10567</v>
      </c>
      <c r="B2858" t="s">
        <v>10</v>
      </c>
      <c r="C2858" t="s">
        <v>10568</v>
      </c>
      <c r="D2858" t="s">
        <v>10569</v>
      </c>
      <c r="E2858" t="s">
        <v>3570</v>
      </c>
      <c r="F2858" t="s">
        <v>28</v>
      </c>
      <c r="G2858" t="s">
        <v>10570</v>
      </c>
      <c r="H2858" t="s">
        <v>30</v>
      </c>
      <c r="I2858" t="b">
        <f>COUNTIF(Estadísticas!I:I,'centraldecomunicacion.es'!H2858)&gt;0</f>
        <v>0</v>
      </c>
    </row>
    <row r="2859" spans="1:9">
      <c r="A2859" t="s">
        <v>10571</v>
      </c>
      <c r="B2859" t="s">
        <v>10</v>
      </c>
      <c r="C2859" t="s">
        <v>10572</v>
      </c>
      <c r="D2859" t="s">
        <v>10573</v>
      </c>
      <c r="E2859" t="s">
        <v>3570</v>
      </c>
      <c r="F2859" t="s">
        <v>28</v>
      </c>
      <c r="G2859" t="s">
        <v>10574</v>
      </c>
      <c r="H2859" t="s">
        <v>30</v>
      </c>
      <c r="I2859" t="b">
        <f>COUNTIF(Estadísticas!I:I,'centraldecomunicacion.es'!H2859)&gt;0</f>
        <v>0</v>
      </c>
    </row>
    <row r="2860" spans="1:9">
      <c r="A2860" t="s">
        <v>10575</v>
      </c>
      <c r="B2860" t="s">
        <v>10</v>
      </c>
      <c r="C2860" t="s">
        <v>10576</v>
      </c>
      <c r="D2860" t="s">
        <v>10577</v>
      </c>
      <c r="E2860" t="s">
        <v>3570</v>
      </c>
      <c r="F2860" t="s">
        <v>10578</v>
      </c>
      <c r="G2860" t="s">
        <v>10579</v>
      </c>
      <c r="H2860" t="s">
        <v>10580</v>
      </c>
      <c r="I2860" t="b">
        <f>COUNTIF(Estadísticas!I:I,'centraldecomunicacion.es'!H2860)&gt;0</f>
        <v>0</v>
      </c>
    </row>
    <row r="2861" spans="1:9">
      <c r="A2861" t="s">
        <v>10581</v>
      </c>
      <c r="B2861" t="s">
        <v>10</v>
      </c>
      <c r="C2861" t="s">
        <v>10582</v>
      </c>
      <c r="D2861" t="s">
        <v>10450</v>
      </c>
      <c r="E2861" t="s">
        <v>3570</v>
      </c>
      <c r="F2861" t="s">
        <v>28</v>
      </c>
      <c r="G2861" t="s">
        <v>10583</v>
      </c>
      <c r="H2861" t="s">
        <v>30</v>
      </c>
      <c r="I2861" t="b">
        <f>COUNTIF(Estadísticas!I:I,'centraldecomunicacion.es'!H2861)&gt;0</f>
        <v>0</v>
      </c>
    </row>
    <row r="2862" spans="1:9">
      <c r="A2862" t="s">
        <v>10584</v>
      </c>
      <c r="B2862" t="s">
        <v>10</v>
      </c>
      <c r="C2862" t="s">
        <v>10585</v>
      </c>
      <c r="D2862" t="s">
        <v>10541</v>
      </c>
      <c r="E2862" t="s">
        <v>3570</v>
      </c>
      <c r="F2862" t="s">
        <v>10586</v>
      </c>
      <c r="G2862" t="s">
        <v>10587</v>
      </c>
      <c r="H2862" t="s">
        <v>10588</v>
      </c>
      <c r="I2862" t="b">
        <f>COUNTIF(Estadísticas!I:I,'centraldecomunicacion.es'!H2862)&gt;0</f>
        <v>0</v>
      </c>
    </row>
    <row r="2863" spans="1:9">
      <c r="A2863" t="s">
        <v>10589</v>
      </c>
      <c r="B2863" t="s">
        <v>10</v>
      </c>
      <c r="C2863" t="s">
        <v>10590</v>
      </c>
      <c r="D2863" t="s">
        <v>10591</v>
      </c>
      <c r="E2863" t="s">
        <v>10592</v>
      </c>
      <c r="F2863" t="s">
        <v>10593</v>
      </c>
      <c r="G2863" t="s">
        <v>10594</v>
      </c>
      <c r="H2863" t="s">
        <v>10595</v>
      </c>
      <c r="I2863" t="b">
        <f>COUNTIF(Estadísticas!I:I,'centraldecomunicacion.es'!H2863)&gt;0</f>
        <v>0</v>
      </c>
    </row>
    <row r="2864" spans="1:9">
      <c r="A2864" t="s">
        <v>10596</v>
      </c>
      <c r="B2864" t="s">
        <v>10</v>
      </c>
      <c r="C2864" t="s">
        <v>10597</v>
      </c>
      <c r="D2864" t="s">
        <v>10598</v>
      </c>
      <c r="E2864" t="s">
        <v>3570</v>
      </c>
      <c r="F2864" t="s">
        <v>50</v>
      </c>
      <c r="G2864" t="s">
        <v>10599</v>
      </c>
      <c r="H2864" t="s">
        <v>30</v>
      </c>
      <c r="I2864" t="b">
        <f>COUNTIF(Estadísticas!I:I,'centraldecomunicacion.es'!H2864)&gt;0</f>
        <v>0</v>
      </c>
    </row>
    <row r="2865" spans="1:9">
      <c r="A2865" t="s">
        <v>10600</v>
      </c>
      <c r="B2865" t="s">
        <v>10</v>
      </c>
      <c r="C2865" t="s">
        <v>10601</v>
      </c>
      <c r="D2865" t="s">
        <v>10602</v>
      </c>
      <c r="E2865" t="s">
        <v>3570</v>
      </c>
      <c r="F2865" t="s">
        <v>10603</v>
      </c>
      <c r="G2865" t="s">
        <v>10604</v>
      </c>
      <c r="H2865" t="s">
        <v>10605</v>
      </c>
      <c r="I2865" t="b">
        <f>COUNTIF(Estadísticas!I:I,'centraldecomunicacion.es'!H2865)&gt;0</f>
        <v>1</v>
      </c>
    </row>
    <row r="2866" spans="1:9">
      <c r="A2866" t="s">
        <v>10606</v>
      </c>
      <c r="B2866" t="s">
        <v>10</v>
      </c>
      <c r="C2866" t="s">
        <v>10607</v>
      </c>
      <c r="D2866" t="s">
        <v>10608</v>
      </c>
      <c r="E2866" t="s">
        <v>3570</v>
      </c>
      <c r="F2866" t="s">
        <v>28</v>
      </c>
      <c r="G2866" t="s">
        <v>10609</v>
      </c>
      <c r="H2866" t="s">
        <v>30</v>
      </c>
      <c r="I2866" t="b">
        <f>COUNTIF(Estadísticas!I:I,'centraldecomunicacion.es'!H2866)&gt;0</f>
        <v>0</v>
      </c>
    </row>
    <row r="2867" spans="1:9">
      <c r="A2867" t="s">
        <v>10610</v>
      </c>
      <c r="B2867" t="s">
        <v>10</v>
      </c>
      <c r="C2867" t="s">
        <v>10611</v>
      </c>
      <c r="D2867" t="s">
        <v>10548</v>
      </c>
      <c r="E2867" t="s">
        <v>3570</v>
      </c>
      <c r="F2867" t="s">
        <v>28</v>
      </c>
      <c r="G2867" t="s">
        <v>10612</v>
      </c>
      <c r="H2867" t="s">
        <v>30</v>
      </c>
      <c r="I2867" t="b">
        <f>COUNTIF(Estadísticas!I:I,'centraldecomunicacion.es'!H2867)&gt;0</f>
        <v>0</v>
      </c>
    </row>
    <row r="2868" spans="1:9">
      <c r="A2868" t="s">
        <v>10613</v>
      </c>
      <c r="B2868" t="s">
        <v>10</v>
      </c>
      <c r="C2868" t="s">
        <v>10614</v>
      </c>
      <c r="D2868" t="s">
        <v>10615</v>
      </c>
      <c r="E2868" t="s">
        <v>3570</v>
      </c>
      <c r="F2868" t="s">
        <v>10616</v>
      </c>
      <c r="G2868" t="s">
        <v>10617</v>
      </c>
      <c r="H2868" t="s">
        <v>30</v>
      </c>
      <c r="I2868" t="b">
        <f>COUNTIF(Estadísticas!I:I,'centraldecomunicacion.es'!H2868)&gt;0</f>
        <v>0</v>
      </c>
    </row>
    <row r="2869" spans="1:9">
      <c r="A2869" t="s">
        <v>10618</v>
      </c>
      <c r="B2869" t="s">
        <v>10</v>
      </c>
      <c r="C2869" t="s">
        <v>10619</v>
      </c>
      <c r="D2869" t="s">
        <v>10620</v>
      </c>
      <c r="E2869" t="s">
        <v>3570</v>
      </c>
      <c r="F2869" t="s">
        <v>28</v>
      </c>
      <c r="G2869" t="s">
        <v>28</v>
      </c>
      <c r="H2869" t="s">
        <v>30</v>
      </c>
      <c r="I2869" t="b">
        <f>COUNTIF(Estadísticas!I:I,'centraldecomunicacion.es'!H2869)&gt;0</f>
        <v>0</v>
      </c>
    </row>
    <row r="2870" spans="1:9">
      <c r="A2870" t="s">
        <v>10621</v>
      </c>
      <c r="B2870" t="s">
        <v>10</v>
      </c>
      <c r="C2870" t="s">
        <v>10622</v>
      </c>
      <c r="D2870" t="s">
        <v>10623</v>
      </c>
      <c r="E2870" t="s">
        <v>3570</v>
      </c>
      <c r="F2870" t="s">
        <v>28</v>
      </c>
      <c r="G2870" t="s">
        <v>10624</v>
      </c>
      <c r="H2870" t="s">
        <v>30</v>
      </c>
      <c r="I2870" t="b">
        <f>COUNTIF(Estadísticas!I:I,'centraldecomunicacion.es'!H2870)&gt;0</f>
        <v>0</v>
      </c>
    </row>
    <row r="2871" spans="1:9">
      <c r="A2871" t="s">
        <v>10625</v>
      </c>
      <c r="B2871" t="s">
        <v>10</v>
      </c>
      <c r="C2871" t="s">
        <v>10626</v>
      </c>
      <c r="D2871" t="s">
        <v>10620</v>
      </c>
      <c r="E2871" t="s">
        <v>3570</v>
      </c>
      <c r="F2871" t="s">
        <v>28</v>
      </c>
      <c r="G2871" t="s">
        <v>10627</v>
      </c>
      <c r="H2871" t="s">
        <v>30</v>
      </c>
      <c r="I2871" t="b">
        <f>COUNTIF(Estadísticas!I:I,'centraldecomunicacion.es'!H2871)&gt;0</f>
        <v>0</v>
      </c>
    </row>
    <row r="2872" spans="1:9">
      <c r="A2872" t="s">
        <v>10628</v>
      </c>
      <c r="B2872" t="s">
        <v>10</v>
      </c>
      <c r="C2872" t="s">
        <v>10629</v>
      </c>
      <c r="D2872" t="s">
        <v>10623</v>
      </c>
      <c r="E2872" t="s">
        <v>3570</v>
      </c>
      <c r="F2872" t="s">
        <v>10630</v>
      </c>
      <c r="G2872" t="s">
        <v>10631</v>
      </c>
      <c r="H2872" t="s">
        <v>10632</v>
      </c>
      <c r="I2872" t="b">
        <f>COUNTIF(Estadísticas!I:I,'centraldecomunicacion.es'!H2872)&gt;0</f>
        <v>0</v>
      </c>
    </row>
    <row r="2873" spans="1:9">
      <c r="A2873" t="s">
        <v>10633</v>
      </c>
      <c r="B2873" t="s">
        <v>10</v>
      </c>
      <c r="C2873" t="s">
        <v>10634</v>
      </c>
      <c r="D2873" t="s">
        <v>10577</v>
      </c>
      <c r="E2873" t="s">
        <v>3570</v>
      </c>
      <c r="F2873" t="s">
        <v>28</v>
      </c>
      <c r="G2873" t="s">
        <v>10635</v>
      </c>
      <c r="H2873" t="s">
        <v>30</v>
      </c>
      <c r="I2873" t="b">
        <f>COUNTIF(Estadísticas!I:I,'centraldecomunicacion.es'!H2873)&gt;0</f>
        <v>0</v>
      </c>
    </row>
    <row r="2874" spans="1:9">
      <c r="A2874" t="s">
        <v>10636</v>
      </c>
      <c r="B2874" t="s">
        <v>10</v>
      </c>
      <c r="C2874" t="s">
        <v>10637</v>
      </c>
      <c r="D2874" t="s">
        <v>10638</v>
      </c>
      <c r="E2874" t="s">
        <v>10592</v>
      </c>
      <c r="F2874" t="s">
        <v>10639</v>
      </c>
      <c r="G2874" t="s">
        <v>10640</v>
      </c>
      <c r="H2874" t="s">
        <v>10641</v>
      </c>
      <c r="I2874" t="b">
        <f>COUNTIF(Estadísticas!I:I,'centraldecomunicacion.es'!H2874)&gt;0</f>
        <v>1</v>
      </c>
    </row>
    <row r="2875" spans="1:9">
      <c r="A2875" t="s">
        <v>10642</v>
      </c>
      <c r="B2875" t="s">
        <v>10</v>
      </c>
      <c r="C2875" t="s">
        <v>10643</v>
      </c>
      <c r="D2875" t="s">
        <v>10644</v>
      </c>
      <c r="E2875" t="s">
        <v>3570</v>
      </c>
      <c r="F2875" t="s">
        <v>28</v>
      </c>
      <c r="G2875" t="s">
        <v>10645</v>
      </c>
      <c r="H2875" t="s">
        <v>30</v>
      </c>
      <c r="I2875" t="b">
        <f>COUNTIF(Estadísticas!I:I,'centraldecomunicacion.es'!H2875)&gt;0</f>
        <v>0</v>
      </c>
    </row>
    <row r="2876" spans="1:9">
      <c r="A2876" t="s">
        <v>10646</v>
      </c>
      <c r="B2876" t="s">
        <v>10</v>
      </c>
      <c r="C2876" t="s">
        <v>10647</v>
      </c>
      <c r="D2876" t="s">
        <v>10648</v>
      </c>
      <c r="E2876" t="s">
        <v>3570</v>
      </c>
      <c r="F2876" t="s">
        <v>50</v>
      </c>
      <c r="G2876" t="s">
        <v>10649</v>
      </c>
      <c r="H2876" t="s">
        <v>30</v>
      </c>
      <c r="I2876" t="b">
        <f>COUNTIF(Estadísticas!I:I,'centraldecomunicacion.es'!H2876)&gt;0</f>
        <v>0</v>
      </c>
    </row>
    <row r="2877" spans="1:9">
      <c r="A2877" t="s">
        <v>10650</v>
      </c>
      <c r="B2877" t="s">
        <v>10</v>
      </c>
      <c r="C2877" t="s">
        <v>10651</v>
      </c>
      <c r="D2877" t="s">
        <v>10652</v>
      </c>
      <c r="E2877" t="s">
        <v>10592</v>
      </c>
      <c r="F2877" t="s">
        <v>28</v>
      </c>
      <c r="G2877" t="s">
        <v>10653</v>
      </c>
      <c r="H2877" t="s">
        <v>30</v>
      </c>
      <c r="I2877" t="b">
        <f>COUNTIF(Estadísticas!I:I,'centraldecomunicacion.es'!H2877)&gt;0</f>
        <v>0</v>
      </c>
    </row>
    <row r="2878" spans="1:9">
      <c r="A2878" t="s">
        <v>10654</v>
      </c>
      <c r="B2878" t="s">
        <v>10</v>
      </c>
      <c r="C2878" t="s">
        <v>10655</v>
      </c>
      <c r="D2878" t="s">
        <v>10656</v>
      </c>
      <c r="E2878" t="s">
        <v>3385</v>
      </c>
      <c r="F2878" t="s">
        <v>3571</v>
      </c>
      <c r="G2878" t="s">
        <v>10657</v>
      </c>
      <c r="H2878" t="s">
        <v>3573</v>
      </c>
      <c r="I2878" t="b">
        <f>COUNTIF(Estadísticas!I:I,'centraldecomunicacion.es'!H2878)&gt;0</f>
        <v>0</v>
      </c>
    </row>
    <row r="2879" spans="1:9">
      <c r="A2879" t="s">
        <v>10658</v>
      </c>
      <c r="B2879" t="s">
        <v>10</v>
      </c>
      <c r="C2879" t="s">
        <v>10659</v>
      </c>
      <c r="D2879" t="s">
        <v>10660</v>
      </c>
      <c r="E2879" t="s">
        <v>10592</v>
      </c>
      <c r="F2879" t="s">
        <v>10639</v>
      </c>
      <c r="G2879" t="s">
        <v>10661</v>
      </c>
      <c r="H2879" t="s">
        <v>10641</v>
      </c>
      <c r="I2879" t="b">
        <f>COUNTIF(Estadísticas!I:I,'centraldecomunicacion.es'!H2879)&gt;0</f>
        <v>1</v>
      </c>
    </row>
    <row r="2880" spans="1:9">
      <c r="A2880" t="s">
        <v>10662</v>
      </c>
      <c r="B2880" t="s">
        <v>10</v>
      </c>
      <c r="C2880" t="s">
        <v>28</v>
      </c>
      <c r="D2880" t="s">
        <v>10450</v>
      </c>
      <c r="E2880" t="s">
        <v>28</v>
      </c>
      <c r="F2880" t="s">
        <v>28</v>
      </c>
      <c r="G2880" t="s">
        <v>10663</v>
      </c>
      <c r="H2880" t="s">
        <v>30</v>
      </c>
      <c r="I2880" t="b">
        <f>COUNTIF(Estadísticas!I:I,'centraldecomunicacion.es'!H2880)&gt;0</f>
        <v>0</v>
      </c>
    </row>
    <row r="2881" spans="1:9">
      <c r="A2881" t="s">
        <v>10664</v>
      </c>
      <c r="B2881" t="s">
        <v>10</v>
      </c>
      <c r="C2881" t="s">
        <v>10665</v>
      </c>
      <c r="D2881" t="s">
        <v>10666</v>
      </c>
      <c r="E2881" t="s">
        <v>3570</v>
      </c>
      <c r="F2881" t="s">
        <v>28</v>
      </c>
      <c r="G2881" t="s">
        <v>10667</v>
      </c>
      <c r="H2881" t="s">
        <v>30</v>
      </c>
      <c r="I2881" t="b">
        <f>COUNTIF(Estadísticas!I:I,'centraldecomunicacion.es'!H2881)&gt;0</f>
        <v>0</v>
      </c>
    </row>
    <row r="2882" spans="1:9">
      <c r="A2882" t="s">
        <v>10668</v>
      </c>
      <c r="B2882" t="s">
        <v>10</v>
      </c>
      <c r="C2882" t="s">
        <v>10669</v>
      </c>
      <c r="D2882" t="s">
        <v>10670</v>
      </c>
      <c r="E2882" t="s">
        <v>3570</v>
      </c>
      <c r="F2882" t="s">
        <v>28</v>
      </c>
      <c r="G2882" t="s">
        <v>10671</v>
      </c>
      <c r="H2882" t="s">
        <v>30</v>
      </c>
      <c r="I2882" t="b">
        <f>COUNTIF(Estadísticas!I:I,'centraldecomunicacion.es'!H2882)&gt;0</f>
        <v>0</v>
      </c>
    </row>
    <row r="2883" spans="1:9">
      <c r="A2883" t="s">
        <v>10672</v>
      </c>
      <c r="B2883" t="s">
        <v>10</v>
      </c>
      <c r="C2883" t="s">
        <v>28</v>
      </c>
      <c r="D2883" t="s">
        <v>10450</v>
      </c>
      <c r="E2883" t="s">
        <v>28</v>
      </c>
      <c r="F2883" t="s">
        <v>10673</v>
      </c>
      <c r="G2883" t="s">
        <v>10674</v>
      </c>
      <c r="H2883" t="s">
        <v>10675</v>
      </c>
      <c r="I2883" t="b">
        <f>COUNTIF(Estadísticas!I:I,'centraldecomunicacion.es'!H2883)&gt;0</f>
        <v>0</v>
      </c>
    </row>
    <row r="2884" spans="1:9">
      <c r="A2884" t="s">
        <v>10676</v>
      </c>
      <c r="B2884" t="s">
        <v>10</v>
      </c>
      <c r="C2884" t="s">
        <v>10677</v>
      </c>
      <c r="D2884" t="s">
        <v>10678</v>
      </c>
      <c r="E2884" t="s">
        <v>10163</v>
      </c>
      <c r="F2884" t="s">
        <v>28</v>
      </c>
      <c r="G2884" t="s">
        <v>10679</v>
      </c>
      <c r="H2884" t="s">
        <v>30</v>
      </c>
      <c r="I2884" t="b">
        <f>COUNTIF(Estadísticas!I:I,'centraldecomunicacion.es'!H2884)&gt;0</f>
        <v>0</v>
      </c>
    </row>
    <row r="2885" spans="1:9">
      <c r="A2885" t="s">
        <v>10680</v>
      </c>
      <c r="B2885" t="s">
        <v>10</v>
      </c>
      <c r="C2885" t="s">
        <v>10681</v>
      </c>
      <c r="D2885" t="s">
        <v>10682</v>
      </c>
      <c r="E2885" t="s">
        <v>8057</v>
      </c>
      <c r="F2885" t="s">
        <v>10683</v>
      </c>
      <c r="G2885" t="s">
        <v>10684</v>
      </c>
      <c r="H2885" t="s">
        <v>30</v>
      </c>
      <c r="I2885" t="b">
        <f>COUNTIF(Estadísticas!I:I,'centraldecomunicacion.es'!H2885)&gt;0</f>
        <v>0</v>
      </c>
    </row>
    <row r="2886" spans="1:9">
      <c r="A2886" t="s">
        <v>10685</v>
      </c>
      <c r="B2886" t="s">
        <v>10</v>
      </c>
      <c r="C2886" t="s">
        <v>10686</v>
      </c>
      <c r="D2886" t="s">
        <v>10687</v>
      </c>
      <c r="E2886" t="s">
        <v>8057</v>
      </c>
      <c r="F2886" t="s">
        <v>10688</v>
      </c>
      <c r="G2886" t="s">
        <v>10689</v>
      </c>
      <c r="H2886" t="s">
        <v>10690</v>
      </c>
      <c r="I2886" t="b">
        <f>COUNTIF(Estadísticas!I:I,'centraldecomunicacion.es'!H2886)&gt;0</f>
        <v>0</v>
      </c>
    </row>
    <row r="2887" spans="1:9">
      <c r="A2887" t="s">
        <v>10691</v>
      </c>
      <c r="B2887" t="s">
        <v>10</v>
      </c>
      <c r="C2887" t="s">
        <v>10692</v>
      </c>
      <c r="D2887" t="s">
        <v>10693</v>
      </c>
      <c r="E2887" t="s">
        <v>1879</v>
      </c>
      <c r="F2887" t="s">
        <v>10694</v>
      </c>
      <c r="G2887" t="s">
        <v>10695</v>
      </c>
      <c r="H2887" t="s">
        <v>10696</v>
      </c>
      <c r="I2887" t="b">
        <f>COUNTIF(Estadísticas!I:I,'centraldecomunicacion.es'!H2887)&gt;0</f>
        <v>0</v>
      </c>
    </row>
    <row r="2888" spans="1:9">
      <c r="A2888" t="s">
        <v>10697</v>
      </c>
      <c r="B2888" t="s">
        <v>10</v>
      </c>
      <c r="C2888" t="s">
        <v>10698</v>
      </c>
      <c r="D2888" t="s">
        <v>3569</v>
      </c>
      <c r="E2888" t="s">
        <v>3570</v>
      </c>
      <c r="F2888" t="s">
        <v>87</v>
      </c>
      <c r="G2888" t="s">
        <v>10699</v>
      </c>
      <c r="H2888" t="s">
        <v>30</v>
      </c>
      <c r="I2888" t="b">
        <f>COUNTIF(Estadísticas!I:I,'centraldecomunicacion.es'!H2888)&gt;0</f>
        <v>0</v>
      </c>
    </row>
    <row r="2889" spans="1:9">
      <c r="A2889" t="s">
        <v>10700</v>
      </c>
      <c r="B2889" t="s">
        <v>10</v>
      </c>
      <c r="C2889" t="s">
        <v>10701</v>
      </c>
      <c r="D2889" t="s">
        <v>10592</v>
      </c>
      <c r="E2889" t="s">
        <v>10592</v>
      </c>
      <c r="F2889" t="s">
        <v>10702</v>
      </c>
      <c r="G2889" t="s">
        <v>10703</v>
      </c>
      <c r="H2889" t="s">
        <v>10704</v>
      </c>
      <c r="I2889" t="b">
        <f>COUNTIF(Estadísticas!I:I,'centraldecomunicacion.es'!H2889)&gt;0</f>
        <v>0</v>
      </c>
    </row>
    <row r="2890" spans="1:9">
      <c r="A2890" t="s">
        <v>10705</v>
      </c>
      <c r="B2890" t="s">
        <v>10</v>
      </c>
      <c r="C2890" t="s">
        <v>10706</v>
      </c>
      <c r="D2890" t="s">
        <v>10592</v>
      </c>
      <c r="E2890" t="s">
        <v>10592</v>
      </c>
      <c r="F2890" t="s">
        <v>10707</v>
      </c>
      <c r="G2890" t="s">
        <v>10708</v>
      </c>
      <c r="H2890" t="s">
        <v>30</v>
      </c>
      <c r="I2890" t="b">
        <f>COUNTIF(Estadísticas!I:I,'centraldecomunicacion.es'!H2890)&gt;0</f>
        <v>0</v>
      </c>
    </row>
    <row r="2891" spans="1:9">
      <c r="A2891" t="s">
        <v>10709</v>
      </c>
      <c r="B2891" t="s">
        <v>10</v>
      </c>
      <c r="C2891" t="s">
        <v>10710</v>
      </c>
      <c r="D2891" t="s">
        <v>10592</v>
      </c>
      <c r="E2891" t="s">
        <v>10592</v>
      </c>
      <c r="F2891" t="s">
        <v>10711</v>
      </c>
      <c r="G2891" t="s">
        <v>10712</v>
      </c>
      <c r="H2891" t="s">
        <v>30</v>
      </c>
      <c r="I2891" t="b">
        <f>COUNTIF(Estadísticas!I:I,'centraldecomunicacion.es'!H2891)&gt;0</f>
        <v>0</v>
      </c>
    </row>
    <row r="2892" spans="1:9">
      <c r="A2892" t="s">
        <v>10713</v>
      </c>
      <c r="B2892" t="s">
        <v>10</v>
      </c>
      <c r="C2892" t="s">
        <v>10714</v>
      </c>
      <c r="D2892" t="s">
        <v>10592</v>
      </c>
      <c r="E2892" t="s">
        <v>10592</v>
      </c>
      <c r="F2892" t="s">
        <v>10715</v>
      </c>
      <c r="G2892" t="s">
        <v>10716</v>
      </c>
      <c r="H2892" t="s">
        <v>10717</v>
      </c>
      <c r="I2892" t="b">
        <f>COUNTIF(Estadísticas!I:I,'centraldecomunicacion.es'!H2892)&gt;0</f>
        <v>0</v>
      </c>
    </row>
    <row r="2893" spans="1:9">
      <c r="A2893" t="s">
        <v>10718</v>
      </c>
      <c r="B2893" t="s">
        <v>10</v>
      </c>
      <c r="C2893" t="s">
        <v>10719</v>
      </c>
      <c r="D2893" t="s">
        <v>10592</v>
      </c>
      <c r="E2893" t="s">
        <v>10592</v>
      </c>
      <c r="F2893" t="s">
        <v>10720</v>
      </c>
      <c r="G2893" t="s">
        <v>10721</v>
      </c>
      <c r="H2893" t="s">
        <v>10722</v>
      </c>
      <c r="I2893" t="b">
        <f>COUNTIF(Estadísticas!I:I,'centraldecomunicacion.es'!H2893)&gt;0</f>
        <v>1</v>
      </c>
    </row>
    <row r="2894" spans="1:9">
      <c r="A2894" t="s">
        <v>10723</v>
      </c>
      <c r="B2894" t="s">
        <v>10</v>
      </c>
      <c r="C2894" t="s">
        <v>10724</v>
      </c>
      <c r="D2894" t="s">
        <v>10592</v>
      </c>
      <c r="E2894" t="s">
        <v>10592</v>
      </c>
      <c r="F2894" t="s">
        <v>28</v>
      </c>
      <c r="G2894" t="s">
        <v>10725</v>
      </c>
      <c r="H2894" t="s">
        <v>30</v>
      </c>
      <c r="I2894" t="b">
        <f>COUNTIF(Estadísticas!I:I,'centraldecomunicacion.es'!H2894)&gt;0</f>
        <v>0</v>
      </c>
    </row>
    <row r="2895" spans="1:9">
      <c r="A2895" t="s">
        <v>10726</v>
      </c>
      <c r="B2895" t="s">
        <v>10</v>
      </c>
      <c r="C2895" t="s">
        <v>10727</v>
      </c>
      <c r="D2895" t="s">
        <v>10592</v>
      </c>
      <c r="E2895" t="s">
        <v>10592</v>
      </c>
      <c r="F2895" t="s">
        <v>10728</v>
      </c>
      <c r="G2895" t="s">
        <v>10729</v>
      </c>
      <c r="H2895" t="s">
        <v>10730</v>
      </c>
      <c r="I2895" t="b">
        <f>COUNTIF(Estadísticas!I:I,'centraldecomunicacion.es'!H2895)&gt;0</f>
        <v>1</v>
      </c>
    </row>
    <row r="2896" spans="1:9">
      <c r="A2896" t="s">
        <v>10731</v>
      </c>
      <c r="B2896" t="s">
        <v>10</v>
      </c>
      <c r="C2896" t="s">
        <v>10732</v>
      </c>
      <c r="D2896" t="s">
        <v>10592</v>
      </c>
      <c r="E2896" t="s">
        <v>10592</v>
      </c>
      <c r="F2896" t="s">
        <v>10733</v>
      </c>
      <c r="G2896" t="s">
        <v>10734</v>
      </c>
      <c r="H2896" t="s">
        <v>10735</v>
      </c>
      <c r="I2896" t="b">
        <f>COUNTIF(Estadísticas!I:I,'centraldecomunicacion.es'!H2896)&gt;0</f>
        <v>0</v>
      </c>
    </row>
    <row r="2897" spans="1:9">
      <c r="A2897" t="s">
        <v>10736</v>
      </c>
      <c r="B2897" t="s">
        <v>10</v>
      </c>
      <c r="C2897" t="s">
        <v>10737</v>
      </c>
      <c r="D2897" t="s">
        <v>10592</v>
      </c>
      <c r="E2897" t="s">
        <v>10592</v>
      </c>
      <c r="F2897" t="s">
        <v>10738</v>
      </c>
      <c r="G2897" t="s">
        <v>10739</v>
      </c>
      <c r="H2897" t="s">
        <v>30</v>
      </c>
      <c r="I2897" t="b">
        <f>COUNTIF(Estadísticas!I:I,'centraldecomunicacion.es'!H2897)&gt;0</f>
        <v>0</v>
      </c>
    </row>
    <row r="2898" spans="1:9">
      <c r="A2898" t="s">
        <v>10740</v>
      </c>
      <c r="B2898" t="s">
        <v>10</v>
      </c>
      <c r="C2898" t="s">
        <v>10741</v>
      </c>
      <c r="D2898" t="s">
        <v>10592</v>
      </c>
      <c r="E2898" t="s">
        <v>10592</v>
      </c>
      <c r="F2898" t="s">
        <v>28</v>
      </c>
      <c r="G2898" t="s">
        <v>10742</v>
      </c>
      <c r="H2898" t="s">
        <v>30</v>
      </c>
      <c r="I2898" t="b">
        <f>COUNTIF(Estadísticas!I:I,'centraldecomunicacion.es'!H2898)&gt;0</f>
        <v>0</v>
      </c>
    </row>
    <row r="2899" spans="1:9">
      <c r="A2899" t="s">
        <v>10743</v>
      </c>
      <c r="B2899" t="s">
        <v>10</v>
      </c>
      <c r="C2899" t="s">
        <v>10744</v>
      </c>
      <c r="D2899" t="s">
        <v>10592</v>
      </c>
      <c r="E2899" t="s">
        <v>10592</v>
      </c>
      <c r="F2899" t="s">
        <v>28</v>
      </c>
      <c r="G2899" t="s">
        <v>10745</v>
      </c>
      <c r="H2899" t="s">
        <v>30</v>
      </c>
      <c r="I2899" t="b">
        <f>COUNTIF(Estadísticas!I:I,'centraldecomunicacion.es'!H2899)&gt;0</f>
        <v>0</v>
      </c>
    </row>
    <row r="2900" spans="1:9">
      <c r="A2900" t="s">
        <v>10731</v>
      </c>
      <c r="B2900" t="s">
        <v>10</v>
      </c>
      <c r="C2900" t="s">
        <v>10746</v>
      </c>
      <c r="D2900" t="s">
        <v>10592</v>
      </c>
      <c r="E2900" t="s">
        <v>10592</v>
      </c>
      <c r="F2900" t="s">
        <v>10747</v>
      </c>
      <c r="G2900" t="s">
        <v>10748</v>
      </c>
      <c r="H2900" t="s">
        <v>30</v>
      </c>
      <c r="I2900" t="b">
        <f>COUNTIF(Estadísticas!I:I,'centraldecomunicacion.es'!H2900)&gt;0</f>
        <v>0</v>
      </c>
    </row>
    <row r="2901" spans="1:9">
      <c r="A2901" t="s">
        <v>10749</v>
      </c>
      <c r="B2901" t="s">
        <v>10</v>
      </c>
      <c r="C2901" t="s">
        <v>10750</v>
      </c>
      <c r="D2901" t="s">
        <v>10751</v>
      </c>
      <c r="E2901" t="s">
        <v>10592</v>
      </c>
      <c r="F2901" t="s">
        <v>10752</v>
      </c>
      <c r="G2901" t="s">
        <v>10753</v>
      </c>
      <c r="H2901" t="s">
        <v>691</v>
      </c>
      <c r="I2901" t="b">
        <f>COUNTIF(Estadísticas!I:I,'centraldecomunicacion.es'!H2901)&gt;0</f>
        <v>0</v>
      </c>
    </row>
    <row r="2902" spans="1:9">
      <c r="A2902" t="s">
        <v>10754</v>
      </c>
      <c r="B2902" t="s">
        <v>10</v>
      </c>
      <c r="C2902" t="s">
        <v>10755</v>
      </c>
      <c r="D2902" t="s">
        <v>10592</v>
      </c>
      <c r="E2902" t="s">
        <v>10592</v>
      </c>
      <c r="F2902" t="s">
        <v>9557</v>
      </c>
      <c r="G2902" t="s">
        <v>10756</v>
      </c>
      <c r="H2902" t="s">
        <v>9559</v>
      </c>
      <c r="I2902" t="b">
        <f>COUNTIF(Estadísticas!I:I,'centraldecomunicacion.es'!H2902)&gt;0</f>
        <v>0</v>
      </c>
    </row>
    <row r="2903" spans="1:9">
      <c r="A2903" t="s">
        <v>10757</v>
      </c>
      <c r="B2903" t="s">
        <v>10</v>
      </c>
      <c r="C2903" t="s">
        <v>10758</v>
      </c>
      <c r="D2903" t="s">
        <v>10592</v>
      </c>
      <c r="E2903" t="s">
        <v>10592</v>
      </c>
      <c r="F2903" t="s">
        <v>28</v>
      </c>
      <c r="G2903" t="s">
        <v>28</v>
      </c>
      <c r="H2903" t="s">
        <v>30</v>
      </c>
      <c r="I2903" t="b">
        <f>COUNTIF(Estadísticas!I:I,'centraldecomunicacion.es'!H2903)&gt;0</f>
        <v>0</v>
      </c>
    </row>
    <row r="2904" spans="1:9">
      <c r="A2904" t="s">
        <v>10759</v>
      </c>
      <c r="B2904" t="s">
        <v>10</v>
      </c>
      <c r="C2904" t="s">
        <v>10760</v>
      </c>
      <c r="D2904" t="s">
        <v>10592</v>
      </c>
      <c r="E2904" t="s">
        <v>10592</v>
      </c>
      <c r="F2904" t="s">
        <v>28</v>
      </c>
      <c r="G2904" t="s">
        <v>10761</v>
      </c>
      <c r="H2904" t="s">
        <v>30</v>
      </c>
      <c r="I2904" t="b">
        <f>COUNTIF(Estadísticas!I:I,'centraldecomunicacion.es'!H2904)&gt;0</f>
        <v>0</v>
      </c>
    </row>
    <row r="2905" spans="1:9">
      <c r="A2905" t="s">
        <v>10762</v>
      </c>
      <c r="B2905" t="s">
        <v>10</v>
      </c>
      <c r="C2905" t="s">
        <v>10763</v>
      </c>
      <c r="D2905" t="s">
        <v>10592</v>
      </c>
      <c r="E2905" t="s">
        <v>10592</v>
      </c>
      <c r="F2905" t="s">
        <v>28</v>
      </c>
      <c r="G2905" t="s">
        <v>28</v>
      </c>
      <c r="H2905" t="s">
        <v>30</v>
      </c>
      <c r="I2905" t="b">
        <f>COUNTIF(Estadísticas!I:I,'centraldecomunicacion.es'!H2905)&gt;0</f>
        <v>0</v>
      </c>
    </row>
    <row r="2906" spans="1:9">
      <c r="A2906" t="s">
        <v>10764</v>
      </c>
      <c r="B2906" t="s">
        <v>10</v>
      </c>
      <c r="C2906" t="s">
        <v>10765</v>
      </c>
      <c r="D2906" t="s">
        <v>10592</v>
      </c>
      <c r="E2906" t="s">
        <v>10592</v>
      </c>
      <c r="F2906" t="s">
        <v>28</v>
      </c>
      <c r="G2906" t="s">
        <v>28</v>
      </c>
      <c r="H2906" t="s">
        <v>30</v>
      </c>
      <c r="I2906" t="b">
        <f>COUNTIF(Estadísticas!I:I,'centraldecomunicacion.es'!H2906)&gt;0</f>
        <v>0</v>
      </c>
    </row>
    <row r="2907" spans="1:9">
      <c r="A2907" t="s">
        <v>10766</v>
      </c>
      <c r="B2907" t="s">
        <v>10</v>
      </c>
      <c r="C2907" t="s">
        <v>10767</v>
      </c>
      <c r="D2907" t="s">
        <v>10592</v>
      </c>
      <c r="E2907" t="s">
        <v>10592</v>
      </c>
      <c r="F2907" t="s">
        <v>28</v>
      </c>
      <c r="G2907" t="s">
        <v>28</v>
      </c>
      <c r="H2907" t="s">
        <v>30</v>
      </c>
      <c r="I2907" t="b">
        <f>COUNTIF(Estadísticas!I:I,'centraldecomunicacion.es'!H2907)&gt;0</f>
        <v>0</v>
      </c>
    </row>
    <row r="2908" spans="1:9">
      <c r="A2908" t="s">
        <v>10768</v>
      </c>
      <c r="B2908" t="s">
        <v>10</v>
      </c>
      <c r="C2908" t="s">
        <v>10769</v>
      </c>
      <c r="D2908" t="s">
        <v>10592</v>
      </c>
      <c r="E2908" t="s">
        <v>10592</v>
      </c>
      <c r="F2908" t="s">
        <v>10770</v>
      </c>
      <c r="G2908" t="s">
        <v>10771</v>
      </c>
      <c r="H2908" t="s">
        <v>30</v>
      </c>
      <c r="I2908" t="b">
        <f>COUNTIF(Estadísticas!I:I,'centraldecomunicacion.es'!H2908)&gt;0</f>
        <v>0</v>
      </c>
    </row>
    <row r="2909" spans="1:9">
      <c r="A2909" t="s">
        <v>10772</v>
      </c>
      <c r="B2909" t="s">
        <v>10</v>
      </c>
      <c r="C2909" t="s">
        <v>10773</v>
      </c>
      <c r="D2909" t="s">
        <v>10592</v>
      </c>
      <c r="E2909" t="s">
        <v>10592</v>
      </c>
      <c r="F2909" t="s">
        <v>28</v>
      </c>
      <c r="G2909" t="s">
        <v>28</v>
      </c>
      <c r="H2909" t="s">
        <v>30</v>
      </c>
      <c r="I2909" t="b">
        <f>COUNTIF(Estadísticas!I:I,'centraldecomunicacion.es'!H2909)&gt;0</f>
        <v>0</v>
      </c>
    </row>
    <row r="2910" spans="1:9">
      <c r="A2910" t="s">
        <v>10774</v>
      </c>
      <c r="B2910" t="s">
        <v>10</v>
      </c>
      <c r="C2910" t="s">
        <v>10775</v>
      </c>
      <c r="D2910" t="s">
        <v>10776</v>
      </c>
      <c r="E2910" t="s">
        <v>10592</v>
      </c>
      <c r="F2910" t="s">
        <v>10777</v>
      </c>
      <c r="G2910" t="s">
        <v>10778</v>
      </c>
      <c r="H2910" t="s">
        <v>10779</v>
      </c>
      <c r="I2910" t="b">
        <f>COUNTIF(Estadísticas!I:I,'centraldecomunicacion.es'!H2910)&gt;0</f>
        <v>1</v>
      </c>
    </row>
    <row r="2911" spans="1:9">
      <c r="A2911" t="s">
        <v>10780</v>
      </c>
      <c r="B2911" t="s">
        <v>10</v>
      </c>
      <c r="C2911" t="s">
        <v>10781</v>
      </c>
      <c r="D2911" t="s">
        <v>10592</v>
      </c>
      <c r="E2911" t="s">
        <v>10592</v>
      </c>
      <c r="F2911" t="s">
        <v>28</v>
      </c>
      <c r="G2911" t="s">
        <v>28</v>
      </c>
      <c r="H2911" t="s">
        <v>30</v>
      </c>
      <c r="I2911" t="b">
        <f>COUNTIF(Estadísticas!I:I,'centraldecomunicacion.es'!H2911)&gt;0</f>
        <v>0</v>
      </c>
    </row>
    <row r="2912" spans="1:9">
      <c r="A2912" t="s">
        <v>10782</v>
      </c>
      <c r="B2912" t="s">
        <v>10</v>
      </c>
      <c r="C2912" t="s">
        <v>10783</v>
      </c>
      <c r="D2912" t="s">
        <v>10592</v>
      </c>
      <c r="E2912" t="s">
        <v>10592</v>
      </c>
      <c r="F2912" t="s">
        <v>10784</v>
      </c>
      <c r="G2912" t="s">
        <v>10785</v>
      </c>
      <c r="H2912" t="s">
        <v>30</v>
      </c>
      <c r="I2912" t="b">
        <f>COUNTIF(Estadísticas!I:I,'centraldecomunicacion.es'!H2912)&gt;0</f>
        <v>0</v>
      </c>
    </row>
    <row r="2913" spans="1:9">
      <c r="A2913" t="s">
        <v>10786</v>
      </c>
      <c r="B2913" t="s">
        <v>10</v>
      </c>
      <c r="C2913" t="s">
        <v>10787</v>
      </c>
      <c r="D2913" t="s">
        <v>10776</v>
      </c>
      <c r="E2913" t="s">
        <v>10592</v>
      </c>
      <c r="F2913" t="s">
        <v>10788</v>
      </c>
      <c r="G2913" t="s">
        <v>10789</v>
      </c>
      <c r="H2913" t="s">
        <v>6306</v>
      </c>
      <c r="I2913" t="b">
        <f>COUNTIF(Estadísticas!I:I,'centraldecomunicacion.es'!H2913)&gt;0</f>
        <v>0</v>
      </c>
    </row>
    <row r="2914" spans="1:9">
      <c r="A2914" t="s">
        <v>10790</v>
      </c>
      <c r="B2914" t="s">
        <v>10</v>
      </c>
      <c r="C2914" t="s">
        <v>10791</v>
      </c>
      <c r="D2914" t="s">
        <v>10592</v>
      </c>
      <c r="E2914" t="s">
        <v>10592</v>
      </c>
      <c r="F2914" t="s">
        <v>28</v>
      </c>
      <c r="G2914" t="s">
        <v>10792</v>
      </c>
      <c r="H2914" t="s">
        <v>30</v>
      </c>
      <c r="I2914" t="b">
        <f>COUNTIF(Estadísticas!I:I,'centraldecomunicacion.es'!H2914)&gt;0</f>
        <v>0</v>
      </c>
    </row>
    <row r="2915" spans="1:9">
      <c r="A2915" t="s">
        <v>10793</v>
      </c>
      <c r="B2915" t="s">
        <v>10</v>
      </c>
      <c r="C2915" t="s">
        <v>10794</v>
      </c>
      <c r="D2915" t="s">
        <v>10592</v>
      </c>
      <c r="E2915" t="s">
        <v>10592</v>
      </c>
      <c r="F2915" t="s">
        <v>28</v>
      </c>
      <c r="G2915" t="s">
        <v>10795</v>
      </c>
      <c r="H2915" t="s">
        <v>30</v>
      </c>
      <c r="I2915" t="b">
        <f>COUNTIF(Estadísticas!I:I,'centraldecomunicacion.es'!H2915)&gt;0</f>
        <v>0</v>
      </c>
    </row>
    <row r="2916" spans="1:9">
      <c r="A2916" t="s">
        <v>10796</v>
      </c>
      <c r="B2916" t="s">
        <v>10</v>
      </c>
      <c r="C2916" t="s">
        <v>10797</v>
      </c>
      <c r="D2916" t="s">
        <v>10660</v>
      </c>
      <c r="E2916" t="s">
        <v>10592</v>
      </c>
      <c r="F2916" t="s">
        <v>28</v>
      </c>
      <c r="G2916" t="s">
        <v>10798</v>
      </c>
      <c r="H2916" t="s">
        <v>30</v>
      </c>
      <c r="I2916" t="b">
        <f>COUNTIF(Estadísticas!I:I,'centraldecomunicacion.es'!H2916)&gt;0</f>
        <v>0</v>
      </c>
    </row>
    <row r="2917" spans="1:9">
      <c r="A2917" t="s">
        <v>10799</v>
      </c>
      <c r="B2917" t="s">
        <v>10</v>
      </c>
      <c r="C2917" t="s">
        <v>10800</v>
      </c>
      <c r="D2917" t="s">
        <v>10660</v>
      </c>
      <c r="E2917" t="s">
        <v>10592</v>
      </c>
      <c r="F2917" t="s">
        <v>10801</v>
      </c>
      <c r="G2917" t="s">
        <v>10802</v>
      </c>
      <c r="H2917" t="s">
        <v>10803</v>
      </c>
      <c r="I2917" t="b">
        <f>COUNTIF(Estadísticas!I:I,'centraldecomunicacion.es'!H2917)&gt;0</f>
        <v>0</v>
      </c>
    </row>
    <row r="2918" spans="1:9">
      <c r="A2918" t="s">
        <v>10804</v>
      </c>
      <c r="B2918" t="s">
        <v>10</v>
      </c>
      <c r="C2918" t="s">
        <v>10805</v>
      </c>
      <c r="D2918" t="s">
        <v>10806</v>
      </c>
      <c r="E2918" t="s">
        <v>10592</v>
      </c>
      <c r="F2918" t="s">
        <v>28</v>
      </c>
      <c r="G2918" t="s">
        <v>10807</v>
      </c>
      <c r="H2918" t="s">
        <v>30</v>
      </c>
      <c r="I2918" t="b">
        <f>COUNTIF(Estadísticas!I:I,'centraldecomunicacion.es'!H2918)&gt;0</f>
        <v>0</v>
      </c>
    </row>
    <row r="2919" spans="1:9">
      <c r="A2919" t="s">
        <v>10808</v>
      </c>
      <c r="B2919" t="s">
        <v>10</v>
      </c>
      <c r="C2919" t="s">
        <v>10809</v>
      </c>
      <c r="D2919" t="s">
        <v>10638</v>
      </c>
      <c r="E2919" t="s">
        <v>10592</v>
      </c>
      <c r="F2919" t="s">
        <v>10810</v>
      </c>
      <c r="G2919" t="s">
        <v>10811</v>
      </c>
      <c r="H2919" t="s">
        <v>10812</v>
      </c>
      <c r="I2919" t="b">
        <f>COUNTIF(Estadísticas!I:I,'centraldecomunicacion.es'!H2919)&gt;0</f>
        <v>0</v>
      </c>
    </row>
    <row r="2920" spans="1:9">
      <c r="A2920" t="s">
        <v>10813</v>
      </c>
      <c r="B2920" t="s">
        <v>10</v>
      </c>
      <c r="C2920" t="s">
        <v>10814</v>
      </c>
      <c r="D2920" t="s">
        <v>10638</v>
      </c>
      <c r="E2920" t="s">
        <v>10592</v>
      </c>
      <c r="F2920" t="s">
        <v>10815</v>
      </c>
      <c r="G2920" t="s">
        <v>10816</v>
      </c>
      <c r="H2920" t="s">
        <v>10817</v>
      </c>
      <c r="I2920" t="b">
        <f>COUNTIF(Estadísticas!I:I,'centraldecomunicacion.es'!H2920)&gt;0</f>
        <v>0</v>
      </c>
    </row>
    <row r="2921" spans="1:9">
      <c r="A2921" t="s">
        <v>10818</v>
      </c>
      <c r="B2921" t="s">
        <v>10</v>
      </c>
      <c r="C2921" t="s">
        <v>10819</v>
      </c>
      <c r="D2921" t="s">
        <v>10638</v>
      </c>
      <c r="E2921" t="s">
        <v>10592</v>
      </c>
      <c r="F2921" t="s">
        <v>38</v>
      </c>
      <c r="G2921" t="s">
        <v>10820</v>
      </c>
      <c r="H2921" t="s">
        <v>30</v>
      </c>
      <c r="I2921" t="b">
        <f>COUNTIF(Estadísticas!I:I,'centraldecomunicacion.es'!H2921)&gt;0</f>
        <v>0</v>
      </c>
    </row>
    <row r="2922" spans="1:9">
      <c r="A2922" t="s">
        <v>10821</v>
      </c>
      <c r="B2922" t="s">
        <v>10</v>
      </c>
      <c r="C2922" t="s">
        <v>10822</v>
      </c>
      <c r="D2922" t="s">
        <v>10638</v>
      </c>
      <c r="E2922" t="s">
        <v>10592</v>
      </c>
      <c r="F2922" t="s">
        <v>10823</v>
      </c>
      <c r="G2922" t="s">
        <v>10824</v>
      </c>
      <c r="H2922" t="s">
        <v>30</v>
      </c>
      <c r="I2922" t="b">
        <f>COUNTIF(Estadísticas!I:I,'centraldecomunicacion.es'!H2922)&gt;0</f>
        <v>0</v>
      </c>
    </row>
    <row r="2923" spans="1:9">
      <c r="A2923" t="s">
        <v>10825</v>
      </c>
      <c r="B2923" t="s">
        <v>10</v>
      </c>
      <c r="C2923" t="s">
        <v>10826</v>
      </c>
      <c r="D2923" t="s">
        <v>10638</v>
      </c>
      <c r="E2923" t="s">
        <v>10592</v>
      </c>
      <c r="F2923" t="s">
        <v>10827</v>
      </c>
      <c r="G2923" t="s">
        <v>10828</v>
      </c>
      <c r="H2923" t="s">
        <v>10829</v>
      </c>
      <c r="I2923" t="b">
        <f>COUNTIF(Estadísticas!I:I,'centraldecomunicacion.es'!H2923)&gt;0</f>
        <v>0</v>
      </c>
    </row>
    <row r="2924" spans="1:9">
      <c r="A2924" t="s">
        <v>10830</v>
      </c>
      <c r="B2924" t="s">
        <v>10</v>
      </c>
      <c r="C2924" t="s">
        <v>10831</v>
      </c>
      <c r="D2924" t="s">
        <v>10638</v>
      </c>
      <c r="E2924" t="s">
        <v>10592</v>
      </c>
      <c r="F2924" t="s">
        <v>10832</v>
      </c>
      <c r="G2924" t="s">
        <v>10833</v>
      </c>
      <c r="H2924" t="s">
        <v>10834</v>
      </c>
      <c r="I2924" t="b">
        <f>COUNTIF(Estadísticas!I:I,'centraldecomunicacion.es'!H2924)&gt;0</f>
        <v>0</v>
      </c>
    </row>
    <row r="2925" spans="1:9">
      <c r="A2925" t="s">
        <v>10835</v>
      </c>
      <c r="B2925" t="s">
        <v>10</v>
      </c>
      <c r="C2925" t="s">
        <v>10836</v>
      </c>
      <c r="D2925" t="s">
        <v>10638</v>
      </c>
      <c r="E2925" t="s">
        <v>10592</v>
      </c>
      <c r="F2925" t="s">
        <v>10827</v>
      </c>
      <c r="G2925" t="s">
        <v>10828</v>
      </c>
      <c r="H2925" t="s">
        <v>10829</v>
      </c>
      <c r="I2925" t="b">
        <f>COUNTIF(Estadísticas!I:I,'centraldecomunicacion.es'!H2925)&gt;0</f>
        <v>0</v>
      </c>
    </row>
    <row r="2926" spans="1:9">
      <c r="A2926" t="s">
        <v>10837</v>
      </c>
      <c r="B2926" t="s">
        <v>10</v>
      </c>
      <c r="C2926" t="s">
        <v>10838</v>
      </c>
      <c r="D2926" t="s">
        <v>10638</v>
      </c>
      <c r="E2926" t="s">
        <v>10592</v>
      </c>
      <c r="F2926" t="s">
        <v>10839</v>
      </c>
      <c r="G2926" t="s">
        <v>10840</v>
      </c>
      <c r="H2926" t="s">
        <v>10841</v>
      </c>
      <c r="I2926" t="b">
        <f>COUNTIF(Estadísticas!I:I,'centraldecomunicacion.es'!H2926)&gt;0</f>
        <v>1</v>
      </c>
    </row>
    <row r="2927" spans="1:9">
      <c r="A2927" t="s">
        <v>10842</v>
      </c>
      <c r="B2927" t="s">
        <v>10</v>
      </c>
      <c r="C2927" t="s">
        <v>10843</v>
      </c>
      <c r="D2927" t="s">
        <v>10751</v>
      </c>
      <c r="E2927" t="s">
        <v>10592</v>
      </c>
      <c r="F2927" t="s">
        <v>28</v>
      </c>
      <c r="G2927" t="s">
        <v>10844</v>
      </c>
      <c r="H2927" t="s">
        <v>30</v>
      </c>
      <c r="I2927" t="b">
        <f>COUNTIF(Estadísticas!I:I,'centraldecomunicacion.es'!H2927)&gt;0</f>
        <v>0</v>
      </c>
    </row>
    <row r="2928" spans="1:9">
      <c r="A2928" t="s">
        <v>10845</v>
      </c>
      <c r="B2928" t="s">
        <v>10</v>
      </c>
      <c r="C2928" t="s">
        <v>10846</v>
      </c>
      <c r="D2928" t="s">
        <v>10806</v>
      </c>
      <c r="E2928" t="s">
        <v>10592</v>
      </c>
      <c r="F2928" t="s">
        <v>28</v>
      </c>
      <c r="G2928" t="s">
        <v>10847</v>
      </c>
      <c r="H2928" t="s">
        <v>30</v>
      </c>
      <c r="I2928" t="b">
        <f>COUNTIF(Estadísticas!I:I,'centraldecomunicacion.es'!H2928)&gt;0</f>
        <v>0</v>
      </c>
    </row>
    <row r="2929" spans="1:9">
      <c r="A2929" t="s">
        <v>10848</v>
      </c>
      <c r="B2929" t="s">
        <v>10</v>
      </c>
      <c r="C2929" t="s">
        <v>10849</v>
      </c>
      <c r="D2929" t="s">
        <v>10638</v>
      </c>
      <c r="E2929" t="s">
        <v>10592</v>
      </c>
      <c r="F2929" t="s">
        <v>10850</v>
      </c>
      <c r="G2929" t="s">
        <v>10851</v>
      </c>
      <c r="H2929" t="s">
        <v>10852</v>
      </c>
      <c r="I2929" t="b">
        <f>COUNTIF(Estadísticas!I:I,'centraldecomunicacion.es'!H2929)&gt;0</f>
        <v>1</v>
      </c>
    </row>
    <row r="2930" spans="1:9">
      <c r="A2930" t="s">
        <v>10853</v>
      </c>
      <c r="B2930" t="s">
        <v>10</v>
      </c>
      <c r="C2930" t="s">
        <v>10854</v>
      </c>
      <c r="D2930" t="s">
        <v>10638</v>
      </c>
      <c r="E2930" t="s">
        <v>10592</v>
      </c>
      <c r="F2930" t="s">
        <v>10855</v>
      </c>
      <c r="G2930" t="s">
        <v>10856</v>
      </c>
      <c r="H2930" t="s">
        <v>30</v>
      </c>
      <c r="I2930" t="b">
        <f>COUNTIF(Estadísticas!I:I,'centraldecomunicacion.es'!H2930)&gt;0</f>
        <v>0</v>
      </c>
    </row>
    <row r="2931" spans="1:9">
      <c r="A2931" t="s">
        <v>10857</v>
      </c>
      <c r="B2931" t="s">
        <v>10</v>
      </c>
      <c r="C2931" t="s">
        <v>10809</v>
      </c>
      <c r="D2931" t="s">
        <v>10638</v>
      </c>
      <c r="E2931" t="s">
        <v>10592</v>
      </c>
      <c r="F2931" t="s">
        <v>28</v>
      </c>
      <c r="G2931" t="s">
        <v>10858</v>
      </c>
      <c r="H2931" t="s">
        <v>30</v>
      </c>
      <c r="I2931" t="b">
        <f>COUNTIF(Estadísticas!I:I,'centraldecomunicacion.es'!H2931)&gt;0</f>
        <v>0</v>
      </c>
    </row>
    <row r="2932" spans="1:9">
      <c r="A2932" t="s">
        <v>10859</v>
      </c>
      <c r="B2932" t="s">
        <v>10</v>
      </c>
      <c r="C2932" t="s">
        <v>10860</v>
      </c>
      <c r="D2932" t="s">
        <v>10638</v>
      </c>
      <c r="E2932" t="s">
        <v>10592</v>
      </c>
      <c r="F2932" t="s">
        <v>10861</v>
      </c>
      <c r="G2932" t="s">
        <v>10862</v>
      </c>
      <c r="H2932" t="s">
        <v>10863</v>
      </c>
      <c r="I2932" t="b">
        <f>COUNTIF(Estadísticas!I:I,'centraldecomunicacion.es'!H2932)&gt;0</f>
        <v>0</v>
      </c>
    </row>
    <row r="2933" spans="1:9">
      <c r="A2933" t="s">
        <v>10864</v>
      </c>
      <c r="B2933" t="s">
        <v>10</v>
      </c>
      <c r="C2933" t="s">
        <v>10865</v>
      </c>
      <c r="D2933" t="s">
        <v>10806</v>
      </c>
      <c r="E2933" t="s">
        <v>10592</v>
      </c>
      <c r="F2933" t="s">
        <v>10866</v>
      </c>
      <c r="G2933" t="s">
        <v>10867</v>
      </c>
      <c r="H2933" t="s">
        <v>30</v>
      </c>
      <c r="I2933" t="b">
        <f>COUNTIF(Estadísticas!I:I,'centraldecomunicacion.es'!H2933)&gt;0</f>
        <v>0</v>
      </c>
    </row>
    <row r="2934" spans="1:9">
      <c r="A2934" t="s">
        <v>10868</v>
      </c>
      <c r="B2934" t="s">
        <v>10</v>
      </c>
      <c r="C2934" t="s">
        <v>10869</v>
      </c>
      <c r="D2934" t="s">
        <v>10638</v>
      </c>
      <c r="E2934" t="s">
        <v>10592</v>
      </c>
      <c r="F2934" t="s">
        <v>28</v>
      </c>
      <c r="G2934" t="s">
        <v>10870</v>
      </c>
      <c r="H2934" t="s">
        <v>30</v>
      </c>
      <c r="I2934" t="b">
        <f>COUNTIF(Estadísticas!I:I,'centraldecomunicacion.es'!H2934)&gt;0</f>
        <v>0</v>
      </c>
    </row>
    <row r="2935" spans="1:9">
      <c r="A2935" t="s">
        <v>10871</v>
      </c>
      <c r="B2935" t="s">
        <v>10</v>
      </c>
      <c r="C2935" t="s">
        <v>10872</v>
      </c>
      <c r="D2935" t="s">
        <v>10873</v>
      </c>
      <c r="E2935" t="s">
        <v>10592</v>
      </c>
      <c r="F2935" t="s">
        <v>28</v>
      </c>
      <c r="G2935" t="s">
        <v>28</v>
      </c>
      <c r="H2935" t="s">
        <v>30</v>
      </c>
      <c r="I2935" t="b">
        <f>COUNTIF(Estadísticas!I:I,'centraldecomunicacion.es'!H2935)&gt;0</f>
        <v>0</v>
      </c>
    </row>
    <row r="2936" spans="1:9">
      <c r="A2936" t="s">
        <v>10874</v>
      </c>
      <c r="B2936" t="s">
        <v>10</v>
      </c>
      <c r="C2936" t="s">
        <v>10860</v>
      </c>
      <c r="D2936" t="s">
        <v>10751</v>
      </c>
      <c r="E2936" t="s">
        <v>10592</v>
      </c>
      <c r="F2936" t="s">
        <v>28</v>
      </c>
      <c r="G2936" t="s">
        <v>28</v>
      </c>
      <c r="H2936" t="s">
        <v>30</v>
      </c>
      <c r="I2936" t="b">
        <f>COUNTIF(Estadísticas!I:I,'centraldecomunicacion.es'!H2936)&gt;0</f>
        <v>0</v>
      </c>
    </row>
    <row r="2937" spans="1:9">
      <c r="A2937" t="s">
        <v>10875</v>
      </c>
      <c r="B2937" t="s">
        <v>10</v>
      </c>
      <c r="C2937" t="s">
        <v>10876</v>
      </c>
      <c r="D2937" t="s">
        <v>10638</v>
      </c>
      <c r="E2937" t="s">
        <v>10592</v>
      </c>
      <c r="F2937" t="s">
        <v>28</v>
      </c>
      <c r="G2937" t="s">
        <v>10877</v>
      </c>
      <c r="H2937" t="s">
        <v>30</v>
      </c>
      <c r="I2937" t="b">
        <f>COUNTIF(Estadísticas!I:I,'centraldecomunicacion.es'!H2937)&gt;0</f>
        <v>0</v>
      </c>
    </row>
    <row r="2938" spans="1:9">
      <c r="A2938" t="s">
        <v>10878</v>
      </c>
      <c r="B2938" t="s">
        <v>10</v>
      </c>
      <c r="C2938" t="s">
        <v>10879</v>
      </c>
      <c r="D2938" t="s">
        <v>10638</v>
      </c>
      <c r="E2938" t="s">
        <v>10592</v>
      </c>
      <c r="F2938" t="s">
        <v>10880</v>
      </c>
      <c r="G2938" t="s">
        <v>10881</v>
      </c>
      <c r="H2938" t="s">
        <v>10882</v>
      </c>
      <c r="I2938" t="b">
        <f>COUNTIF(Estadísticas!I:I,'centraldecomunicacion.es'!H2938)&gt;0</f>
        <v>1</v>
      </c>
    </row>
    <row r="2939" spans="1:9">
      <c r="A2939" t="s">
        <v>10883</v>
      </c>
      <c r="B2939" t="s">
        <v>10</v>
      </c>
      <c r="C2939" t="s">
        <v>10884</v>
      </c>
      <c r="D2939" t="s">
        <v>10591</v>
      </c>
      <c r="E2939" t="s">
        <v>10592</v>
      </c>
      <c r="F2939" t="s">
        <v>28</v>
      </c>
      <c r="G2939" t="s">
        <v>10885</v>
      </c>
      <c r="H2939" t="s">
        <v>30</v>
      </c>
      <c r="I2939" t="b">
        <f>COUNTIF(Estadísticas!I:I,'centraldecomunicacion.es'!H2939)&gt;0</f>
        <v>0</v>
      </c>
    </row>
    <row r="2940" spans="1:9">
      <c r="A2940" t="s">
        <v>10886</v>
      </c>
      <c r="B2940" t="s">
        <v>10</v>
      </c>
      <c r="C2940" t="s">
        <v>10887</v>
      </c>
      <c r="D2940" t="s">
        <v>10888</v>
      </c>
      <c r="E2940" t="s">
        <v>10592</v>
      </c>
      <c r="F2940" t="s">
        <v>28</v>
      </c>
      <c r="G2940" t="s">
        <v>10889</v>
      </c>
      <c r="H2940" t="s">
        <v>30</v>
      </c>
      <c r="I2940" t="b">
        <f>COUNTIF(Estadísticas!I:I,'centraldecomunicacion.es'!H2940)&gt;0</f>
        <v>0</v>
      </c>
    </row>
    <row r="2941" spans="1:9">
      <c r="A2941" t="s">
        <v>10890</v>
      </c>
      <c r="B2941" t="s">
        <v>10</v>
      </c>
      <c r="C2941" t="s">
        <v>10891</v>
      </c>
      <c r="D2941" t="s">
        <v>10892</v>
      </c>
      <c r="E2941" t="s">
        <v>10592</v>
      </c>
      <c r="F2941" t="s">
        <v>28</v>
      </c>
      <c r="G2941" t="s">
        <v>10893</v>
      </c>
      <c r="H2941" t="s">
        <v>30</v>
      </c>
      <c r="I2941" t="b">
        <f>COUNTIF(Estadísticas!I:I,'centraldecomunicacion.es'!H2941)&gt;0</f>
        <v>0</v>
      </c>
    </row>
    <row r="2942" spans="1:9">
      <c r="A2942" t="s">
        <v>10894</v>
      </c>
      <c r="B2942" t="s">
        <v>10</v>
      </c>
      <c r="C2942" t="s">
        <v>10895</v>
      </c>
      <c r="D2942" t="s">
        <v>10892</v>
      </c>
      <c r="E2942" t="s">
        <v>10592</v>
      </c>
      <c r="F2942" t="s">
        <v>10815</v>
      </c>
      <c r="G2942" t="s">
        <v>10896</v>
      </c>
      <c r="H2942" t="s">
        <v>10817</v>
      </c>
      <c r="I2942" t="b">
        <f>COUNTIF(Estadísticas!I:I,'centraldecomunicacion.es'!H2942)&gt;0</f>
        <v>0</v>
      </c>
    </row>
    <row r="2943" spans="1:9">
      <c r="A2943" t="s">
        <v>10897</v>
      </c>
      <c r="B2943" t="s">
        <v>10</v>
      </c>
      <c r="C2943" t="s">
        <v>10898</v>
      </c>
      <c r="D2943" t="s">
        <v>10899</v>
      </c>
      <c r="E2943" t="s">
        <v>10900</v>
      </c>
      <c r="F2943" t="s">
        <v>38</v>
      </c>
      <c r="G2943" t="s">
        <v>10901</v>
      </c>
      <c r="H2943" t="s">
        <v>30</v>
      </c>
      <c r="I2943" t="b">
        <f>COUNTIF(Estadísticas!I:I,'centraldecomunicacion.es'!H2943)&gt;0</f>
        <v>0</v>
      </c>
    </row>
    <row r="2944" spans="1:9">
      <c r="A2944" t="s">
        <v>10902</v>
      </c>
      <c r="B2944" t="s">
        <v>10</v>
      </c>
      <c r="C2944" t="s">
        <v>10903</v>
      </c>
      <c r="D2944" t="s">
        <v>10892</v>
      </c>
      <c r="E2944" t="s">
        <v>10592</v>
      </c>
      <c r="F2944" t="s">
        <v>10904</v>
      </c>
      <c r="G2944" t="s">
        <v>10905</v>
      </c>
      <c r="H2944" t="s">
        <v>10906</v>
      </c>
      <c r="I2944" t="b">
        <f>COUNTIF(Estadísticas!I:I,'centraldecomunicacion.es'!H2944)&gt;0</f>
        <v>1</v>
      </c>
    </row>
    <row r="2945" spans="1:9">
      <c r="A2945" t="s">
        <v>10907</v>
      </c>
      <c r="B2945" t="s">
        <v>10</v>
      </c>
      <c r="C2945" t="s">
        <v>10908</v>
      </c>
      <c r="D2945" t="s">
        <v>10638</v>
      </c>
      <c r="E2945" t="s">
        <v>10592</v>
      </c>
      <c r="F2945" t="s">
        <v>28</v>
      </c>
      <c r="G2945" t="s">
        <v>10909</v>
      </c>
      <c r="H2945" t="s">
        <v>30</v>
      </c>
      <c r="I2945" t="b">
        <f>COUNTIF(Estadísticas!I:I,'centraldecomunicacion.es'!H2945)&gt;0</f>
        <v>0</v>
      </c>
    </row>
    <row r="2946" spans="1:9">
      <c r="A2946" t="s">
        <v>10910</v>
      </c>
      <c r="B2946" t="s">
        <v>10</v>
      </c>
      <c r="C2946" t="s">
        <v>10911</v>
      </c>
      <c r="D2946" t="s">
        <v>10912</v>
      </c>
      <c r="E2946" t="s">
        <v>10592</v>
      </c>
      <c r="F2946" t="s">
        <v>10913</v>
      </c>
      <c r="G2946" t="s">
        <v>10914</v>
      </c>
      <c r="H2946" t="s">
        <v>30</v>
      </c>
      <c r="I2946" t="b">
        <f>COUNTIF(Estadísticas!I:I,'centraldecomunicacion.es'!H2946)&gt;0</f>
        <v>0</v>
      </c>
    </row>
    <row r="2947" spans="1:9">
      <c r="A2947" t="s">
        <v>10915</v>
      </c>
      <c r="B2947" t="s">
        <v>10</v>
      </c>
      <c r="C2947" t="s">
        <v>10916</v>
      </c>
      <c r="D2947" t="s">
        <v>10652</v>
      </c>
      <c r="E2947" t="s">
        <v>10592</v>
      </c>
      <c r="F2947" t="s">
        <v>10917</v>
      </c>
      <c r="G2947" t="s">
        <v>10918</v>
      </c>
      <c r="H2947" t="s">
        <v>10919</v>
      </c>
      <c r="I2947" t="b">
        <f>COUNTIF(Estadísticas!I:I,'centraldecomunicacion.es'!H2947)&gt;0</f>
        <v>0</v>
      </c>
    </row>
    <row r="2948" spans="1:9">
      <c r="A2948" t="s">
        <v>10920</v>
      </c>
      <c r="B2948" t="s">
        <v>10</v>
      </c>
      <c r="C2948" t="s">
        <v>10903</v>
      </c>
      <c r="D2948" t="s">
        <v>10892</v>
      </c>
      <c r="E2948" t="s">
        <v>10592</v>
      </c>
      <c r="F2948" t="s">
        <v>28</v>
      </c>
      <c r="G2948" t="s">
        <v>10921</v>
      </c>
      <c r="H2948" t="s">
        <v>30</v>
      </c>
      <c r="I2948" t="b">
        <f>COUNTIF(Estadísticas!I:I,'centraldecomunicacion.es'!H2948)&gt;0</f>
        <v>0</v>
      </c>
    </row>
    <row r="2949" spans="1:9">
      <c r="A2949" t="s">
        <v>10922</v>
      </c>
      <c r="B2949" t="s">
        <v>10</v>
      </c>
      <c r="C2949" t="s">
        <v>10923</v>
      </c>
      <c r="D2949" t="s">
        <v>10892</v>
      </c>
      <c r="E2949" t="s">
        <v>10592</v>
      </c>
      <c r="F2949" t="s">
        <v>28</v>
      </c>
      <c r="G2949" t="s">
        <v>10924</v>
      </c>
      <c r="H2949" t="s">
        <v>30</v>
      </c>
      <c r="I2949" t="b">
        <f>COUNTIF(Estadísticas!I:I,'centraldecomunicacion.es'!H2949)&gt;0</f>
        <v>0</v>
      </c>
    </row>
    <row r="2950" spans="1:9">
      <c r="A2950" t="s">
        <v>10925</v>
      </c>
      <c r="B2950" t="s">
        <v>10</v>
      </c>
      <c r="C2950" t="s">
        <v>10926</v>
      </c>
      <c r="D2950" t="s">
        <v>10652</v>
      </c>
      <c r="E2950" t="s">
        <v>10592</v>
      </c>
      <c r="F2950" t="s">
        <v>10927</v>
      </c>
      <c r="G2950" t="s">
        <v>10928</v>
      </c>
      <c r="H2950" t="s">
        <v>10929</v>
      </c>
      <c r="I2950" t="b">
        <f>COUNTIF(Estadísticas!I:I,'centraldecomunicacion.es'!H2950)&gt;0</f>
        <v>1</v>
      </c>
    </row>
    <row r="2951" spans="1:9">
      <c r="A2951" t="s">
        <v>10930</v>
      </c>
      <c r="B2951" t="s">
        <v>10</v>
      </c>
      <c r="C2951" t="s">
        <v>10931</v>
      </c>
      <c r="D2951" t="s">
        <v>10652</v>
      </c>
      <c r="E2951" t="s">
        <v>10592</v>
      </c>
      <c r="F2951" t="s">
        <v>28</v>
      </c>
      <c r="G2951" t="s">
        <v>10932</v>
      </c>
      <c r="H2951" t="s">
        <v>30</v>
      </c>
      <c r="I2951" t="b">
        <f>COUNTIF(Estadísticas!I:I,'centraldecomunicacion.es'!H2951)&gt;0</f>
        <v>0</v>
      </c>
    </row>
    <row r="2952" spans="1:9">
      <c r="A2952" t="s">
        <v>10925</v>
      </c>
      <c r="B2952" t="s">
        <v>10</v>
      </c>
      <c r="C2952" t="s">
        <v>10933</v>
      </c>
      <c r="D2952" t="s">
        <v>10652</v>
      </c>
      <c r="E2952" t="s">
        <v>10592</v>
      </c>
      <c r="F2952" t="s">
        <v>10927</v>
      </c>
      <c r="G2952" t="s">
        <v>10934</v>
      </c>
      <c r="H2952" t="s">
        <v>10929</v>
      </c>
      <c r="I2952" t="b">
        <f>COUNTIF(Estadísticas!I:I,'centraldecomunicacion.es'!H2952)&gt;0</f>
        <v>1</v>
      </c>
    </row>
    <row r="2953" spans="1:9">
      <c r="A2953" t="s">
        <v>10935</v>
      </c>
      <c r="B2953" t="s">
        <v>10</v>
      </c>
      <c r="C2953" t="s">
        <v>10936</v>
      </c>
      <c r="D2953" t="s">
        <v>10751</v>
      </c>
      <c r="E2953" t="s">
        <v>10592</v>
      </c>
      <c r="F2953" t="s">
        <v>10937</v>
      </c>
      <c r="G2953" t="s">
        <v>10938</v>
      </c>
      <c r="H2953" t="s">
        <v>30</v>
      </c>
      <c r="I2953" t="b">
        <f>COUNTIF(Estadísticas!I:I,'centraldecomunicacion.es'!H2953)&gt;0</f>
        <v>0</v>
      </c>
    </row>
    <row r="2954" spans="1:9">
      <c r="A2954" t="s">
        <v>10939</v>
      </c>
      <c r="B2954" t="s">
        <v>10</v>
      </c>
      <c r="C2954" t="s">
        <v>10940</v>
      </c>
      <c r="D2954" t="s">
        <v>10652</v>
      </c>
      <c r="E2954" t="s">
        <v>10592</v>
      </c>
      <c r="F2954" t="s">
        <v>87</v>
      </c>
      <c r="G2954" t="s">
        <v>10918</v>
      </c>
      <c r="H2954" t="s">
        <v>30</v>
      </c>
      <c r="I2954" t="b">
        <f>COUNTIF(Estadísticas!I:I,'centraldecomunicacion.es'!H2954)&gt;0</f>
        <v>0</v>
      </c>
    </row>
    <row r="2955" spans="1:9">
      <c r="A2955" t="s">
        <v>10941</v>
      </c>
      <c r="B2955" t="s">
        <v>10</v>
      </c>
      <c r="C2955" t="s">
        <v>10942</v>
      </c>
      <c r="D2955" t="s">
        <v>10943</v>
      </c>
      <c r="E2955" t="s">
        <v>10592</v>
      </c>
      <c r="F2955" t="s">
        <v>50</v>
      </c>
      <c r="G2955" t="s">
        <v>10944</v>
      </c>
      <c r="H2955" t="s">
        <v>30</v>
      </c>
      <c r="I2955" t="b">
        <f>COUNTIF(Estadísticas!I:I,'centraldecomunicacion.es'!H2955)&gt;0</f>
        <v>0</v>
      </c>
    </row>
    <row r="2956" spans="1:9">
      <c r="A2956" t="s">
        <v>10945</v>
      </c>
      <c r="B2956" t="s">
        <v>10</v>
      </c>
      <c r="C2956" t="s">
        <v>10946</v>
      </c>
      <c r="D2956" t="s">
        <v>10912</v>
      </c>
      <c r="E2956" t="s">
        <v>10592</v>
      </c>
      <c r="F2956" t="s">
        <v>10947</v>
      </c>
      <c r="G2956" t="s">
        <v>10948</v>
      </c>
      <c r="H2956" t="s">
        <v>10949</v>
      </c>
      <c r="I2956" t="b">
        <f>COUNTIF(Estadísticas!I:I,'centraldecomunicacion.es'!H2956)&gt;0</f>
        <v>1</v>
      </c>
    </row>
    <row r="2957" spans="1:9">
      <c r="A2957" t="s">
        <v>10950</v>
      </c>
      <c r="B2957" t="s">
        <v>10</v>
      </c>
      <c r="C2957" t="s">
        <v>10854</v>
      </c>
      <c r="D2957" t="s">
        <v>10638</v>
      </c>
      <c r="E2957" t="s">
        <v>10592</v>
      </c>
      <c r="F2957" t="s">
        <v>10951</v>
      </c>
      <c r="G2957" t="s">
        <v>10952</v>
      </c>
      <c r="H2957" t="s">
        <v>10953</v>
      </c>
      <c r="I2957" t="b">
        <f>COUNTIF(Estadísticas!I:I,'centraldecomunicacion.es'!H2957)&gt;0</f>
        <v>1</v>
      </c>
    </row>
    <row r="2958" spans="1:9">
      <c r="A2958" t="s">
        <v>10954</v>
      </c>
      <c r="B2958" t="s">
        <v>10</v>
      </c>
      <c r="C2958" t="s">
        <v>10955</v>
      </c>
      <c r="D2958" t="s">
        <v>10956</v>
      </c>
      <c r="E2958" t="s">
        <v>10592</v>
      </c>
      <c r="F2958" t="s">
        <v>28</v>
      </c>
      <c r="G2958" t="s">
        <v>10957</v>
      </c>
      <c r="H2958" t="s">
        <v>30</v>
      </c>
      <c r="I2958" t="b">
        <f>COUNTIF(Estadísticas!I:I,'centraldecomunicacion.es'!H2958)&gt;0</f>
        <v>0</v>
      </c>
    </row>
    <row r="2959" spans="1:9">
      <c r="A2959" t="s">
        <v>10958</v>
      </c>
      <c r="B2959" t="s">
        <v>10</v>
      </c>
      <c r="C2959" t="s">
        <v>10959</v>
      </c>
      <c r="D2959" t="s">
        <v>10960</v>
      </c>
      <c r="E2959" t="s">
        <v>10592</v>
      </c>
      <c r="F2959" t="s">
        <v>10961</v>
      </c>
      <c r="G2959" t="s">
        <v>10962</v>
      </c>
      <c r="H2959" t="s">
        <v>10963</v>
      </c>
      <c r="I2959" t="b">
        <f>COUNTIF(Estadísticas!I:I,'centraldecomunicacion.es'!H2959)&gt;0</f>
        <v>1</v>
      </c>
    </row>
    <row r="2960" spans="1:9">
      <c r="A2960" t="s">
        <v>10964</v>
      </c>
      <c r="B2960" t="s">
        <v>10</v>
      </c>
      <c r="C2960" t="s">
        <v>10965</v>
      </c>
      <c r="D2960" t="s">
        <v>10956</v>
      </c>
      <c r="E2960" t="s">
        <v>10592</v>
      </c>
      <c r="F2960" t="s">
        <v>10966</v>
      </c>
      <c r="G2960" t="s">
        <v>10967</v>
      </c>
      <c r="H2960" t="s">
        <v>10968</v>
      </c>
      <c r="I2960" t="b">
        <f>COUNTIF(Estadísticas!I:I,'centraldecomunicacion.es'!H2960)&gt;0</f>
        <v>0</v>
      </c>
    </row>
    <row r="2961" spans="1:9">
      <c r="A2961" t="s">
        <v>10969</v>
      </c>
      <c r="B2961" t="s">
        <v>10</v>
      </c>
      <c r="C2961" t="s">
        <v>10970</v>
      </c>
      <c r="D2961" t="s">
        <v>10971</v>
      </c>
      <c r="E2961" t="s">
        <v>10592</v>
      </c>
      <c r="F2961" t="s">
        <v>28</v>
      </c>
      <c r="G2961" t="s">
        <v>10972</v>
      </c>
      <c r="H2961" t="s">
        <v>30</v>
      </c>
      <c r="I2961" t="b">
        <f>COUNTIF(Estadísticas!I:I,'centraldecomunicacion.es'!H2961)&gt;0</f>
        <v>0</v>
      </c>
    </row>
    <row r="2962" spans="1:9">
      <c r="A2962" t="s">
        <v>10973</v>
      </c>
      <c r="B2962" t="s">
        <v>10</v>
      </c>
      <c r="C2962" t="s">
        <v>10974</v>
      </c>
      <c r="D2962" t="s">
        <v>10960</v>
      </c>
      <c r="E2962" t="s">
        <v>10592</v>
      </c>
      <c r="F2962" t="s">
        <v>28</v>
      </c>
      <c r="G2962" t="s">
        <v>28</v>
      </c>
      <c r="H2962" t="s">
        <v>30</v>
      </c>
      <c r="I2962" t="b">
        <f>COUNTIF(Estadísticas!I:I,'centraldecomunicacion.es'!H2962)&gt;0</f>
        <v>0</v>
      </c>
    </row>
    <row r="2963" spans="1:9">
      <c r="A2963" t="s">
        <v>10975</v>
      </c>
      <c r="B2963" t="s">
        <v>10</v>
      </c>
      <c r="C2963" t="s">
        <v>10976</v>
      </c>
      <c r="D2963" t="s">
        <v>10977</v>
      </c>
      <c r="E2963" t="s">
        <v>10592</v>
      </c>
      <c r="F2963" t="s">
        <v>10978</v>
      </c>
      <c r="G2963" t="s">
        <v>10979</v>
      </c>
      <c r="H2963" t="s">
        <v>10980</v>
      </c>
      <c r="I2963" t="b">
        <f>COUNTIF(Estadísticas!I:I,'centraldecomunicacion.es'!H2963)&gt;0</f>
        <v>1</v>
      </c>
    </row>
    <row r="2964" spans="1:9">
      <c r="A2964" t="s">
        <v>10981</v>
      </c>
      <c r="B2964" t="s">
        <v>10</v>
      </c>
      <c r="C2964" t="s">
        <v>10982</v>
      </c>
      <c r="D2964" t="s">
        <v>10983</v>
      </c>
      <c r="E2964" t="s">
        <v>10592</v>
      </c>
      <c r="F2964" t="s">
        <v>10984</v>
      </c>
      <c r="G2964" t="s">
        <v>10985</v>
      </c>
      <c r="H2964" t="s">
        <v>10986</v>
      </c>
      <c r="I2964" t="b">
        <f>COUNTIF(Estadísticas!I:I,'centraldecomunicacion.es'!H2964)&gt;0</f>
        <v>1</v>
      </c>
    </row>
    <row r="2965" spans="1:9">
      <c r="A2965" t="s">
        <v>10987</v>
      </c>
      <c r="B2965" t="s">
        <v>10</v>
      </c>
      <c r="C2965" t="s">
        <v>10988</v>
      </c>
      <c r="D2965" t="s">
        <v>10989</v>
      </c>
      <c r="E2965" t="s">
        <v>10592</v>
      </c>
      <c r="F2965" t="s">
        <v>10990</v>
      </c>
      <c r="G2965" t="s">
        <v>10991</v>
      </c>
      <c r="H2965" t="s">
        <v>691</v>
      </c>
      <c r="I2965" t="b">
        <f>COUNTIF(Estadísticas!I:I,'centraldecomunicacion.es'!H2965)&gt;0</f>
        <v>0</v>
      </c>
    </row>
    <row r="2966" spans="1:9">
      <c r="A2966" t="s">
        <v>10992</v>
      </c>
      <c r="B2966" t="s">
        <v>10</v>
      </c>
      <c r="C2966" t="s">
        <v>10993</v>
      </c>
      <c r="D2966" t="s">
        <v>10652</v>
      </c>
      <c r="E2966" t="s">
        <v>10592</v>
      </c>
      <c r="F2966" t="s">
        <v>10994</v>
      </c>
      <c r="G2966" t="s">
        <v>10995</v>
      </c>
      <c r="H2966" t="s">
        <v>10996</v>
      </c>
      <c r="I2966" t="b">
        <f>COUNTIF(Estadísticas!I:I,'centraldecomunicacion.es'!H2966)&gt;0</f>
        <v>1</v>
      </c>
    </row>
    <row r="2967" spans="1:9">
      <c r="A2967" t="s">
        <v>10997</v>
      </c>
      <c r="B2967" t="s">
        <v>10</v>
      </c>
      <c r="C2967" t="s">
        <v>10998</v>
      </c>
      <c r="D2967" t="s">
        <v>10999</v>
      </c>
      <c r="E2967" t="s">
        <v>10592</v>
      </c>
      <c r="F2967" t="s">
        <v>28</v>
      </c>
      <c r="G2967" t="s">
        <v>11000</v>
      </c>
      <c r="H2967" t="s">
        <v>30</v>
      </c>
      <c r="I2967" t="b">
        <f>COUNTIF(Estadísticas!I:I,'centraldecomunicacion.es'!H2967)&gt;0</f>
        <v>0</v>
      </c>
    </row>
    <row r="2968" spans="1:9">
      <c r="A2968" t="s">
        <v>11001</v>
      </c>
      <c r="B2968" t="s">
        <v>10</v>
      </c>
      <c r="C2968" t="s">
        <v>11002</v>
      </c>
      <c r="D2968" t="s">
        <v>10983</v>
      </c>
      <c r="E2968" t="s">
        <v>10592</v>
      </c>
      <c r="F2968" t="s">
        <v>11003</v>
      </c>
      <c r="G2968" t="s">
        <v>11004</v>
      </c>
      <c r="H2968" t="s">
        <v>11005</v>
      </c>
      <c r="I2968" t="b">
        <f>COUNTIF(Estadísticas!I:I,'centraldecomunicacion.es'!H2968)&gt;0</f>
        <v>0</v>
      </c>
    </row>
    <row r="2969" spans="1:9">
      <c r="A2969" t="s">
        <v>10171</v>
      </c>
      <c r="B2969" t="s">
        <v>10</v>
      </c>
      <c r="C2969" t="s">
        <v>11006</v>
      </c>
      <c r="D2969" t="s">
        <v>11007</v>
      </c>
      <c r="E2969" t="s">
        <v>10592</v>
      </c>
      <c r="F2969" t="s">
        <v>11008</v>
      </c>
      <c r="G2969" t="s">
        <v>11009</v>
      </c>
      <c r="H2969" t="s">
        <v>30</v>
      </c>
      <c r="I2969" t="b">
        <f>COUNTIF(Estadísticas!I:I,'centraldecomunicacion.es'!H2969)&gt;0</f>
        <v>0</v>
      </c>
    </row>
    <row r="2970" spans="1:9">
      <c r="A2970" t="s">
        <v>11010</v>
      </c>
      <c r="B2970" t="s">
        <v>10</v>
      </c>
      <c r="C2970" t="s">
        <v>11011</v>
      </c>
      <c r="D2970" t="s">
        <v>11012</v>
      </c>
      <c r="E2970" t="s">
        <v>10592</v>
      </c>
      <c r="F2970" t="s">
        <v>28</v>
      </c>
      <c r="G2970" t="s">
        <v>11013</v>
      </c>
      <c r="H2970" t="s">
        <v>30</v>
      </c>
      <c r="I2970" t="b">
        <f>COUNTIF(Estadísticas!I:I,'centraldecomunicacion.es'!H2970)&gt;0</f>
        <v>0</v>
      </c>
    </row>
    <row r="2971" spans="1:9">
      <c r="A2971" t="s">
        <v>11014</v>
      </c>
      <c r="B2971" t="s">
        <v>10</v>
      </c>
      <c r="C2971" t="s">
        <v>11015</v>
      </c>
      <c r="D2971" t="s">
        <v>10960</v>
      </c>
      <c r="E2971" t="s">
        <v>10592</v>
      </c>
      <c r="F2971" t="s">
        <v>11016</v>
      </c>
      <c r="G2971" t="s">
        <v>11017</v>
      </c>
      <c r="H2971" t="s">
        <v>11018</v>
      </c>
      <c r="I2971" t="b">
        <f>COUNTIF(Estadísticas!I:I,'centraldecomunicacion.es'!H2971)&gt;0</f>
        <v>1</v>
      </c>
    </row>
    <row r="2972" spans="1:9">
      <c r="A2972" t="s">
        <v>11019</v>
      </c>
      <c r="B2972" t="s">
        <v>10</v>
      </c>
      <c r="C2972" t="s">
        <v>11020</v>
      </c>
      <c r="D2972" t="s">
        <v>10652</v>
      </c>
      <c r="E2972" t="s">
        <v>10592</v>
      </c>
      <c r="F2972" t="s">
        <v>11021</v>
      </c>
      <c r="G2972" t="s">
        <v>11022</v>
      </c>
      <c r="H2972" t="s">
        <v>11023</v>
      </c>
      <c r="I2972" t="b">
        <f>COUNTIF(Estadísticas!I:I,'centraldecomunicacion.es'!H2972)&gt;0</f>
        <v>1</v>
      </c>
    </row>
    <row r="2973" spans="1:9">
      <c r="A2973" t="s">
        <v>11024</v>
      </c>
      <c r="B2973" t="s">
        <v>10</v>
      </c>
      <c r="C2973" t="s">
        <v>11025</v>
      </c>
      <c r="D2973" t="s">
        <v>11026</v>
      </c>
      <c r="E2973" t="s">
        <v>10592</v>
      </c>
      <c r="F2973" t="s">
        <v>28</v>
      </c>
      <c r="G2973" t="s">
        <v>11027</v>
      </c>
      <c r="H2973" t="s">
        <v>30</v>
      </c>
      <c r="I2973" t="b">
        <f>COUNTIF(Estadísticas!I:I,'centraldecomunicacion.es'!H2973)&gt;0</f>
        <v>0</v>
      </c>
    </row>
    <row r="2974" spans="1:9">
      <c r="A2974" t="s">
        <v>11028</v>
      </c>
      <c r="B2974" t="s">
        <v>10</v>
      </c>
      <c r="C2974" t="s">
        <v>11029</v>
      </c>
      <c r="D2974" t="s">
        <v>11030</v>
      </c>
      <c r="E2974" t="s">
        <v>10592</v>
      </c>
      <c r="F2974" t="s">
        <v>28</v>
      </c>
      <c r="G2974" t="s">
        <v>11031</v>
      </c>
      <c r="H2974" t="s">
        <v>30</v>
      </c>
      <c r="I2974" t="b">
        <f>COUNTIF(Estadísticas!I:I,'centraldecomunicacion.es'!H2974)&gt;0</f>
        <v>0</v>
      </c>
    </row>
    <row r="2975" spans="1:9">
      <c r="A2975" t="s">
        <v>11032</v>
      </c>
      <c r="B2975" t="s">
        <v>10</v>
      </c>
      <c r="C2975" t="s">
        <v>11033</v>
      </c>
      <c r="D2975" t="s">
        <v>10751</v>
      </c>
      <c r="E2975" t="s">
        <v>10592</v>
      </c>
      <c r="F2975" t="s">
        <v>28</v>
      </c>
      <c r="G2975" t="s">
        <v>11034</v>
      </c>
      <c r="H2975" t="s">
        <v>30</v>
      </c>
      <c r="I2975" t="b">
        <f>COUNTIF(Estadísticas!I:I,'centraldecomunicacion.es'!H2975)&gt;0</f>
        <v>0</v>
      </c>
    </row>
    <row r="2976" spans="1:9">
      <c r="A2976" t="s">
        <v>11035</v>
      </c>
      <c r="B2976" t="s">
        <v>10</v>
      </c>
      <c r="C2976" t="s">
        <v>11036</v>
      </c>
      <c r="D2976" t="s">
        <v>11037</v>
      </c>
      <c r="E2976" t="s">
        <v>10592</v>
      </c>
      <c r="F2976" t="s">
        <v>28</v>
      </c>
      <c r="G2976" t="s">
        <v>11038</v>
      </c>
      <c r="H2976" t="s">
        <v>30</v>
      </c>
      <c r="I2976" t="b">
        <f>COUNTIF(Estadísticas!I:I,'centraldecomunicacion.es'!H2976)&gt;0</f>
        <v>0</v>
      </c>
    </row>
    <row r="2977" spans="1:9">
      <c r="A2977" t="s">
        <v>11039</v>
      </c>
      <c r="B2977" t="s">
        <v>10</v>
      </c>
      <c r="C2977" t="s">
        <v>11040</v>
      </c>
      <c r="D2977" t="s">
        <v>11041</v>
      </c>
      <c r="E2977" t="s">
        <v>10592</v>
      </c>
      <c r="F2977" t="s">
        <v>50</v>
      </c>
      <c r="G2977" t="s">
        <v>11042</v>
      </c>
      <c r="H2977" t="s">
        <v>30</v>
      </c>
      <c r="I2977" t="b">
        <f>COUNTIF(Estadísticas!I:I,'centraldecomunicacion.es'!H2977)&gt;0</f>
        <v>0</v>
      </c>
    </row>
    <row r="2978" spans="1:9">
      <c r="A2978" t="s">
        <v>11043</v>
      </c>
      <c r="B2978" t="s">
        <v>10</v>
      </c>
      <c r="C2978" t="s">
        <v>11044</v>
      </c>
      <c r="D2978" t="s">
        <v>11045</v>
      </c>
      <c r="E2978" t="s">
        <v>10592</v>
      </c>
      <c r="F2978" t="s">
        <v>28</v>
      </c>
      <c r="G2978" t="s">
        <v>11046</v>
      </c>
      <c r="H2978" t="s">
        <v>30</v>
      </c>
      <c r="I2978" t="b">
        <f>COUNTIF(Estadísticas!I:I,'centraldecomunicacion.es'!H2978)&gt;0</f>
        <v>0</v>
      </c>
    </row>
    <row r="2979" spans="1:9">
      <c r="A2979" t="s">
        <v>4079</v>
      </c>
      <c r="B2979" t="s">
        <v>10</v>
      </c>
      <c r="C2979" t="s">
        <v>11047</v>
      </c>
      <c r="D2979" t="s">
        <v>11048</v>
      </c>
      <c r="E2979" t="s">
        <v>10592</v>
      </c>
      <c r="F2979" t="s">
        <v>28</v>
      </c>
      <c r="G2979" t="s">
        <v>11049</v>
      </c>
      <c r="H2979" t="s">
        <v>30</v>
      </c>
      <c r="I2979" t="b">
        <f>COUNTIF(Estadísticas!I:I,'centraldecomunicacion.es'!H2979)&gt;0</f>
        <v>0</v>
      </c>
    </row>
    <row r="2980" spans="1:9">
      <c r="A2980" t="s">
        <v>11050</v>
      </c>
      <c r="B2980" t="s">
        <v>10</v>
      </c>
      <c r="C2980" t="s">
        <v>11051</v>
      </c>
      <c r="D2980" t="s">
        <v>11037</v>
      </c>
      <c r="E2980" t="s">
        <v>10592</v>
      </c>
      <c r="F2980" t="s">
        <v>28</v>
      </c>
      <c r="G2980" t="s">
        <v>28</v>
      </c>
      <c r="H2980" t="s">
        <v>30</v>
      </c>
      <c r="I2980" t="b">
        <f>COUNTIF(Estadísticas!I:I,'centraldecomunicacion.es'!H2980)&gt;0</f>
        <v>0</v>
      </c>
    </row>
    <row r="2981" spans="1:9">
      <c r="A2981" t="s">
        <v>11052</v>
      </c>
      <c r="B2981" t="s">
        <v>10</v>
      </c>
      <c r="C2981" t="s">
        <v>11053</v>
      </c>
      <c r="D2981" t="s">
        <v>11054</v>
      </c>
      <c r="E2981" t="s">
        <v>10592</v>
      </c>
      <c r="F2981" t="s">
        <v>28</v>
      </c>
      <c r="G2981" t="s">
        <v>11055</v>
      </c>
      <c r="H2981" t="s">
        <v>30</v>
      </c>
      <c r="I2981" t="b">
        <f>COUNTIF(Estadísticas!I:I,'centraldecomunicacion.es'!H2981)&gt;0</f>
        <v>0</v>
      </c>
    </row>
    <row r="2982" spans="1:9">
      <c r="A2982" t="s">
        <v>11056</v>
      </c>
      <c r="B2982" t="s">
        <v>10</v>
      </c>
      <c r="C2982" t="s">
        <v>11057</v>
      </c>
      <c r="D2982" t="s">
        <v>11058</v>
      </c>
      <c r="E2982" t="s">
        <v>10592</v>
      </c>
      <c r="F2982" t="s">
        <v>11059</v>
      </c>
      <c r="G2982" t="s">
        <v>11060</v>
      </c>
      <c r="H2982" t="s">
        <v>11061</v>
      </c>
      <c r="I2982" t="b">
        <f>COUNTIF(Estadísticas!I:I,'centraldecomunicacion.es'!H2982)&gt;0</f>
        <v>0</v>
      </c>
    </row>
    <row r="2983" spans="1:9">
      <c r="A2983" t="s">
        <v>11062</v>
      </c>
      <c r="B2983" t="s">
        <v>10</v>
      </c>
      <c r="C2983" t="s">
        <v>11063</v>
      </c>
      <c r="D2983" t="s">
        <v>11045</v>
      </c>
      <c r="E2983" t="s">
        <v>10592</v>
      </c>
      <c r="F2983" t="s">
        <v>28</v>
      </c>
      <c r="G2983" t="s">
        <v>11064</v>
      </c>
      <c r="H2983" t="s">
        <v>30</v>
      </c>
      <c r="I2983" t="b">
        <f>COUNTIF(Estadísticas!I:I,'centraldecomunicacion.es'!H2983)&gt;0</f>
        <v>0</v>
      </c>
    </row>
    <row r="2984" spans="1:9">
      <c r="A2984" t="s">
        <v>11065</v>
      </c>
      <c r="B2984" t="s">
        <v>10</v>
      </c>
      <c r="C2984" t="s">
        <v>11066</v>
      </c>
      <c r="D2984" t="s">
        <v>11048</v>
      </c>
      <c r="E2984" t="s">
        <v>10592</v>
      </c>
      <c r="F2984" t="s">
        <v>28</v>
      </c>
      <c r="G2984" t="s">
        <v>11067</v>
      </c>
      <c r="H2984" t="s">
        <v>30</v>
      </c>
      <c r="I2984" t="b">
        <f>COUNTIF(Estadísticas!I:I,'centraldecomunicacion.es'!H2984)&gt;0</f>
        <v>0</v>
      </c>
    </row>
    <row r="2985" spans="1:9">
      <c r="A2985" t="s">
        <v>11068</v>
      </c>
      <c r="B2985" t="s">
        <v>10</v>
      </c>
      <c r="C2985" t="s">
        <v>11069</v>
      </c>
      <c r="D2985" t="s">
        <v>11045</v>
      </c>
      <c r="E2985" t="s">
        <v>10592</v>
      </c>
      <c r="F2985" t="s">
        <v>28</v>
      </c>
      <c r="G2985" t="s">
        <v>11064</v>
      </c>
      <c r="H2985" t="s">
        <v>30</v>
      </c>
      <c r="I2985" t="b">
        <f>COUNTIF(Estadísticas!I:I,'centraldecomunicacion.es'!H2985)&gt;0</f>
        <v>0</v>
      </c>
    </row>
    <row r="2986" spans="1:9">
      <c r="A2986" t="s">
        <v>11070</v>
      </c>
      <c r="B2986" t="s">
        <v>10</v>
      </c>
      <c r="C2986" t="s">
        <v>11071</v>
      </c>
      <c r="D2986" t="s">
        <v>11054</v>
      </c>
      <c r="E2986" t="s">
        <v>10592</v>
      </c>
      <c r="F2986" t="s">
        <v>28</v>
      </c>
      <c r="G2986" t="s">
        <v>11072</v>
      </c>
      <c r="H2986" t="s">
        <v>30</v>
      </c>
      <c r="I2986" t="b">
        <f>COUNTIF(Estadísticas!I:I,'centraldecomunicacion.es'!H2986)&gt;0</f>
        <v>0</v>
      </c>
    </row>
    <row r="2987" spans="1:9">
      <c r="A2987" t="s">
        <v>11073</v>
      </c>
      <c r="B2987" t="s">
        <v>10</v>
      </c>
      <c r="C2987" t="s">
        <v>11074</v>
      </c>
      <c r="D2987" t="s">
        <v>11075</v>
      </c>
      <c r="E2987" t="s">
        <v>10592</v>
      </c>
      <c r="F2987" t="s">
        <v>28</v>
      </c>
      <c r="G2987" t="s">
        <v>11076</v>
      </c>
      <c r="H2987" t="s">
        <v>30</v>
      </c>
      <c r="I2987" t="b">
        <f>COUNTIF(Estadísticas!I:I,'centraldecomunicacion.es'!H2987)&gt;0</f>
        <v>0</v>
      </c>
    </row>
    <row r="2988" spans="1:9">
      <c r="A2988" t="s">
        <v>11077</v>
      </c>
      <c r="B2988" t="s">
        <v>10</v>
      </c>
      <c r="C2988" t="s">
        <v>11078</v>
      </c>
      <c r="D2988" t="s">
        <v>11079</v>
      </c>
      <c r="E2988" t="s">
        <v>10592</v>
      </c>
      <c r="F2988" t="s">
        <v>28</v>
      </c>
      <c r="G2988" t="s">
        <v>11080</v>
      </c>
      <c r="H2988" t="s">
        <v>30</v>
      </c>
      <c r="I2988" t="b">
        <f>COUNTIF(Estadísticas!I:I,'centraldecomunicacion.es'!H2988)&gt;0</f>
        <v>0</v>
      </c>
    </row>
    <row r="2989" spans="1:9">
      <c r="A2989" t="s">
        <v>11081</v>
      </c>
      <c r="B2989" t="s">
        <v>10</v>
      </c>
      <c r="C2989" t="s">
        <v>11082</v>
      </c>
      <c r="D2989" t="s">
        <v>11079</v>
      </c>
      <c r="E2989" t="s">
        <v>10592</v>
      </c>
      <c r="F2989" t="s">
        <v>28</v>
      </c>
      <c r="G2989" t="s">
        <v>11083</v>
      </c>
      <c r="H2989" t="s">
        <v>30</v>
      </c>
      <c r="I2989" t="b">
        <f>COUNTIF(Estadísticas!I:I,'centraldecomunicacion.es'!H2989)&gt;0</f>
        <v>0</v>
      </c>
    </row>
    <row r="2990" spans="1:9">
      <c r="A2990" t="s">
        <v>11084</v>
      </c>
      <c r="B2990" t="s">
        <v>10</v>
      </c>
      <c r="C2990" t="s">
        <v>11085</v>
      </c>
      <c r="D2990" t="s">
        <v>11086</v>
      </c>
      <c r="E2990" t="s">
        <v>10592</v>
      </c>
      <c r="F2990" t="s">
        <v>28</v>
      </c>
      <c r="G2990" t="s">
        <v>11087</v>
      </c>
      <c r="H2990" t="s">
        <v>30</v>
      </c>
      <c r="I2990" t="b">
        <f>COUNTIF(Estadísticas!I:I,'centraldecomunicacion.es'!H2990)&gt;0</f>
        <v>0</v>
      </c>
    </row>
    <row r="2991" spans="1:9">
      <c r="A2991" t="s">
        <v>11088</v>
      </c>
      <c r="B2991" t="s">
        <v>10</v>
      </c>
      <c r="C2991" t="s">
        <v>11089</v>
      </c>
      <c r="D2991" t="s">
        <v>11079</v>
      </c>
      <c r="E2991" t="s">
        <v>10592</v>
      </c>
      <c r="F2991" t="s">
        <v>642</v>
      </c>
      <c r="G2991" t="s">
        <v>11090</v>
      </c>
      <c r="H2991" t="s">
        <v>30</v>
      </c>
      <c r="I2991" t="b">
        <f>COUNTIF(Estadísticas!I:I,'centraldecomunicacion.es'!H2991)&gt;0</f>
        <v>0</v>
      </c>
    </row>
    <row r="2992" spans="1:9">
      <c r="A2992" t="s">
        <v>11091</v>
      </c>
      <c r="B2992" t="s">
        <v>10</v>
      </c>
      <c r="C2992" t="s">
        <v>11092</v>
      </c>
      <c r="D2992" t="s">
        <v>11093</v>
      </c>
      <c r="E2992" t="s">
        <v>10592</v>
      </c>
      <c r="F2992" t="s">
        <v>28</v>
      </c>
      <c r="G2992" t="s">
        <v>11094</v>
      </c>
      <c r="H2992" t="s">
        <v>30</v>
      </c>
      <c r="I2992" t="b">
        <f>COUNTIF(Estadísticas!I:I,'centraldecomunicacion.es'!H2992)&gt;0</f>
        <v>0</v>
      </c>
    </row>
    <row r="2993" spans="1:9">
      <c r="A2993" t="s">
        <v>2718</v>
      </c>
      <c r="B2993" t="s">
        <v>10</v>
      </c>
      <c r="C2993" t="s">
        <v>11095</v>
      </c>
      <c r="D2993" t="s">
        <v>11086</v>
      </c>
      <c r="E2993" t="s">
        <v>10592</v>
      </c>
      <c r="F2993" t="s">
        <v>28</v>
      </c>
      <c r="G2993" t="s">
        <v>11096</v>
      </c>
      <c r="H2993" t="s">
        <v>30</v>
      </c>
      <c r="I2993" t="b">
        <f>COUNTIF(Estadísticas!I:I,'centraldecomunicacion.es'!H2993)&gt;0</f>
        <v>0</v>
      </c>
    </row>
    <row r="2994" spans="1:9">
      <c r="A2994" t="s">
        <v>11097</v>
      </c>
      <c r="B2994" t="s">
        <v>10</v>
      </c>
      <c r="C2994" t="s">
        <v>11098</v>
      </c>
      <c r="D2994" t="s">
        <v>11099</v>
      </c>
      <c r="E2994" t="s">
        <v>10592</v>
      </c>
      <c r="F2994" t="s">
        <v>28</v>
      </c>
      <c r="G2994" t="s">
        <v>11100</v>
      </c>
      <c r="H2994" t="s">
        <v>30</v>
      </c>
      <c r="I2994" t="b">
        <f>COUNTIF(Estadísticas!I:I,'centraldecomunicacion.es'!H2994)&gt;0</f>
        <v>0</v>
      </c>
    </row>
    <row r="2995" spans="1:9">
      <c r="A2995" t="s">
        <v>11101</v>
      </c>
      <c r="B2995" t="s">
        <v>10</v>
      </c>
      <c r="C2995" t="s">
        <v>11102</v>
      </c>
      <c r="D2995" t="s">
        <v>11103</v>
      </c>
      <c r="E2995" t="s">
        <v>8057</v>
      </c>
      <c r="F2995" t="s">
        <v>28</v>
      </c>
      <c r="G2995" t="s">
        <v>11104</v>
      </c>
      <c r="H2995" t="s">
        <v>30</v>
      </c>
      <c r="I2995" t="b">
        <f>COUNTIF(Estadísticas!I:I,'centraldecomunicacion.es'!H2995)&gt;0</f>
        <v>0</v>
      </c>
    </row>
    <row r="2996" spans="1:9">
      <c r="A2996" t="s">
        <v>11105</v>
      </c>
      <c r="B2996" t="s">
        <v>10</v>
      </c>
      <c r="C2996" t="s">
        <v>11106</v>
      </c>
      <c r="D2996" t="s">
        <v>10960</v>
      </c>
      <c r="E2996" t="s">
        <v>10592</v>
      </c>
      <c r="F2996" t="s">
        <v>28</v>
      </c>
      <c r="G2996" t="s">
        <v>11107</v>
      </c>
      <c r="H2996" t="s">
        <v>30</v>
      </c>
      <c r="I2996" t="b">
        <f>COUNTIF(Estadísticas!I:I,'centraldecomunicacion.es'!H2996)&gt;0</f>
        <v>0</v>
      </c>
    </row>
    <row r="2997" spans="1:9">
      <c r="A2997" t="s">
        <v>11108</v>
      </c>
      <c r="B2997" t="s">
        <v>10</v>
      </c>
      <c r="C2997" t="s">
        <v>11109</v>
      </c>
      <c r="D2997" t="s">
        <v>11045</v>
      </c>
      <c r="E2997" t="s">
        <v>10592</v>
      </c>
      <c r="F2997" t="s">
        <v>28</v>
      </c>
      <c r="G2997" t="s">
        <v>11110</v>
      </c>
      <c r="H2997" t="s">
        <v>30</v>
      </c>
      <c r="I2997" t="b">
        <f>COUNTIF(Estadísticas!I:I,'centraldecomunicacion.es'!H2997)&gt;0</f>
        <v>0</v>
      </c>
    </row>
    <row r="2998" spans="1:9">
      <c r="A2998" t="s">
        <v>11111</v>
      </c>
      <c r="B2998" t="s">
        <v>10</v>
      </c>
      <c r="C2998" t="s">
        <v>11112</v>
      </c>
      <c r="D2998" t="s">
        <v>11113</v>
      </c>
      <c r="E2998" t="s">
        <v>8057</v>
      </c>
      <c r="F2998" t="s">
        <v>28</v>
      </c>
      <c r="G2998" t="s">
        <v>11114</v>
      </c>
      <c r="H2998" t="s">
        <v>30</v>
      </c>
      <c r="I2998" t="b">
        <f>COUNTIF(Estadísticas!I:I,'centraldecomunicacion.es'!H2998)&gt;0</f>
        <v>0</v>
      </c>
    </row>
    <row r="2999" spans="1:9">
      <c r="A2999" t="s">
        <v>11115</v>
      </c>
      <c r="B2999" t="s">
        <v>10</v>
      </c>
      <c r="C2999" t="s">
        <v>11116</v>
      </c>
      <c r="D2999" t="s">
        <v>11117</v>
      </c>
      <c r="E2999" t="s">
        <v>8057</v>
      </c>
      <c r="F2999" t="s">
        <v>11118</v>
      </c>
      <c r="G2999" t="s">
        <v>11119</v>
      </c>
      <c r="H2999" t="s">
        <v>30</v>
      </c>
      <c r="I2999" t="b">
        <f>COUNTIF(Estadísticas!I:I,'centraldecomunicacion.es'!H2999)&gt;0</f>
        <v>0</v>
      </c>
    </row>
    <row r="3000" spans="1:9">
      <c r="A3000" t="s">
        <v>11120</v>
      </c>
      <c r="B3000" t="s">
        <v>10</v>
      </c>
      <c r="C3000" t="s">
        <v>11121</v>
      </c>
      <c r="D3000" t="s">
        <v>11122</v>
      </c>
      <c r="E3000" t="s">
        <v>10592</v>
      </c>
      <c r="F3000" t="s">
        <v>28</v>
      </c>
      <c r="G3000" t="s">
        <v>11123</v>
      </c>
      <c r="H3000" t="s">
        <v>30</v>
      </c>
      <c r="I3000" t="b">
        <f>COUNTIF(Estadísticas!I:I,'centraldecomunicacion.es'!H3000)&gt;0</f>
        <v>0</v>
      </c>
    </row>
    <row r="3001" spans="1:9">
      <c r="A3001" t="s">
        <v>11124</v>
      </c>
      <c r="B3001" t="s">
        <v>10</v>
      </c>
      <c r="C3001" t="s">
        <v>11125</v>
      </c>
      <c r="D3001" t="s">
        <v>11093</v>
      </c>
      <c r="E3001" t="s">
        <v>10592</v>
      </c>
      <c r="F3001" t="s">
        <v>11126</v>
      </c>
      <c r="G3001" t="s">
        <v>11127</v>
      </c>
      <c r="H3001" t="s">
        <v>30</v>
      </c>
      <c r="I3001" t="b">
        <f>COUNTIF(Estadísticas!I:I,'centraldecomunicacion.es'!H3001)&gt;0</f>
        <v>0</v>
      </c>
    </row>
    <row r="3002" spans="1:9">
      <c r="A3002" t="s">
        <v>11128</v>
      </c>
      <c r="B3002" t="s">
        <v>10</v>
      </c>
      <c r="C3002" t="s">
        <v>11129</v>
      </c>
      <c r="D3002" t="s">
        <v>11103</v>
      </c>
      <c r="E3002" t="s">
        <v>8057</v>
      </c>
      <c r="F3002" t="s">
        <v>11130</v>
      </c>
      <c r="G3002" t="s">
        <v>11131</v>
      </c>
      <c r="H3002" t="s">
        <v>30</v>
      </c>
      <c r="I3002" t="b">
        <f>COUNTIF(Estadísticas!I:I,'centraldecomunicacion.es'!H3002)&gt;0</f>
        <v>0</v>
      </c>
    </row>
    <row r="3003" spans="1:9">
      <c r="A3003" t="s">
        <v>11132</v>
      </c>
      <c r="B3003" t="s">
        <v>10</v>
      </c>
      <c r="C3003" t="s">
        <v>11133</v>
      </c>
      <c r="D3003" t="s">
        <v>11134</v>
      </c>
      <c r="E3003" t="s">
        <v>10592</v>
      </c>
      <c r="F3003" t="s">
        <v>28</v>
      </c>
      <c r="G3003" t="s">
        <v>11135</v>
      </c>
      <c r="H3003" t="s">
        <v>30</v>
      </c>
      <c r="I3003" t="b">
        <f>COUNTIF(Estadísticas!I:I,'centraldecomunicacion.es'!H3003)&gt;0</f>
        <v>0</v>
      </c>
    </row>
    <row r="3004" spans="1:9">
      <c r="A3004" t="s">
        <v>11136</v>
      </c>
      <c r="B3004" t="s">
        <v>10</v>
      </c>
      <c r="C3004" t="s">
        <v>11137</v>
      </c>
      <c r="D3004" t="s">
        <v>11138</v>
      </c>
      <c r="E3004" t="s">
        <v>10592</v>
      </c>
      <c r="F3004" t="s">
        <v>28</v>
      </c>
      <c r="G3004" t="s">
        <v>11139</v>
      </c>
      <c r="H3004" t="s">
        <v>30</v>
      </c>
      <c r="I3004" t="b">
        <f>COUNTIF(Estadísticas!I:I,'centraldecomunicacion.es'!H3004)&gt;0</f>
        <v>0</v>
      </c>
    </row>
    <row r="3005" spans="1:9">
      <c r="A3005" t="s">
        <v>11140</v>
      </c>
      <c r="B3005" t="s">
        <v>10</v>
      </c>
      <c r="C3005" t="s">
        <v>11006</v>
      </c>
      <c r="D3005" t="s">
        <v>11007</v>
      </c>
      <c r="E3005" t="s">
        <v>10592</v>
      </c>
      <c r="F3005" t="s">
        <v>11141</v>
      </c>
      <c r="G3005" t="s">
        <v>11142</v>
      </c>
      <c r="H3005" t="s">
        <v>11143</v>
      </c>
      <c r="I3005" t="b">
        <f>COUNTIF(Estadísticas!I:I,'centraldecomunicacion.es'!H3005)&gt;0</f>
        <v>0</v>
      </c>
    </row>
    <row r="3006" spans="1:9">
      <c r="A3006" t="s">
        <v>11144</v>
      </c>
      <c r="B3006" t="s">
        <v>10</v>
      </c>
      <c r="C3006" t="s">
        <v>11145</v>
      </c>
      <c r="D3006" t="s">
        <v>11146</v>
      </c>
      <c r="E3006" t="s">
        <v>11146</v>
      </c>
      <c r="F3006" t="s">
        <v>28</v>
      </c>
      <c r="G3006" t="s">
        <v>11147</v>
      </c>
      <c r="H3006" t="s">
        <v>30</v>
      </c>
      <c r="I3006" t="b">
        <f>COUNTIF(Estadísticas!I:I,'centraldecomunicacion.es'!H3006)&gt;0</f>
        <v>0</v>
      </c>
    </row>
    <row r="3007" spans="1:9">
      <c r="A3007" t="s">
        <v>11148</v>
      </c>
      <c r="B3007" t="s">
        <v>10</v>
      </c>
      <c r="C3007" t="s">
        <v>11149</v>
      </c>
      <c r="D3007" t="s">
        <v>11146</v>
      </c>
      <c r="E3007" t="s">
        <v>11146</v>
      </c>
      <c r="F3007" t="s">
        <v>28</v>
      </c>
      <c r="G3007" t="s">
        <v>11150</v>
      </c>
      <c r="H3007" t="s">
        <v>30</v>
      </c>
      <c r="I3007" t="b">
        <f>COUNTIF(Estadísticas!I:I,'centraldecomunicacion.es'!H3007)&gt;0</f>
        <v>0</v>
      </c>
    </row>
    <row r="3008" spans="1:9">
      <c r="A3008" t="s">
        <v>7977</v>
      </c>
      <c r="B3008" t="s">
        <v>10</v>
      </c>
      <c r="C3008" t="s">
        <v>11151</v>
      </c>
      <c r="D3008" t="s">
        <v>11146</v>
      </c>
      <c r="E3008" t="s">
        <v>11146</v>
      </c>
      <c r="F3008" t="s">
        <v>11152</v>
      </c>
      <c r="G3008" t="s">
        <v>11153</v>
      </c>
      <c r="H3008" t="s">
        <v>11154</v>
      </c>
      <c r="I3008" t="b">
        <f>COUNTIF(Estadísticas!I:I,'centraldecomunicacion.es'!H3008)&gt;0</f>
        <v>1</v>
      </c>
    </row>
    <row r="3009" spans="1:9">
      <c r="A3009" t="s">
        <v>7977</v>
      </c>
      <c r="B3009" t="s">
        <v>10</v>
      </c>
      <c r="C3009" t="s">
        <v>11155</v>
      </c>
      <c r="D3009" t="s">
        <v>11146</v>
      </c>
      <c r="E3009" t="s">
        <v>11146</v>
      </c>
      <c r="F3009" t="s">
        <v>28</v>
      </c>
      <c r="G3009" t="s">
        <v>11156</v>
      </c>
      <c r="H3009" t="s">
        <v>30</v>
      </c>
      <c r="I3009" t="b">
        <f>COUNTIF(Estadísticas!I:I,'centraldecomunicacion.es'!H3009)&gt;0</f>
        <v>0</v>
      </c>
    </row>
    <row r="3010" spans="1:9">
      <c r="A3010" t="s">
        <v>11157</v>
      </c>
      <c r="B3010" t="s">
        <v>10</v>
      </c>
      <c r="C3010" t="s">
        <v>11158</v>
      </c>
      <c r="D3010" t="s">
        <v>11146</v>
      </c>
      <c r="E3010" t="s">
        <v>11146</v>
      </c>
      <c r="F3010" t="s">
        <v>11159</v>
      </c>
      <c r="G3010" t="s">
        <v>11160</v>
      </c>
      <c r="H3010" t="s">
        <v>30</v>
      </c>
      <c r="I3010" t="b">
        <f>COUNTIF(Estadísticas!I:I,'centraldecomunicacion.es'!H3010)&gt;0</f>
        <v>0</v>
      </c>
    </row>
    <row r="3011" spans="1:9">
      <c r="A3011" t="s">
        <v>11161</v>
      </c>
      <c r="B3011" t="s">
        <v>10</v>
      </c>
      <c r="C3011" t="s">
        <v>11162</v>
      </c>
      <c r="D3011" t="s">
        <v>11146</v>
      </c>
      <c r="E3011" t="s">
        <v>11146</v>
      </c>
      <c r="F3011" t="s">
        <v>28</v>
      </c>
      <c r="G3011" t="s">
        <v>11163</v>
      </c>
      <c r="H3011" t="s">
        <v>30</v>
      </c>
      <c r="I3011" t="b">
        <f>COUNTIF(Estadísticas!I:I,'centraldecomunicacion.es'!H3011)&gt;0</f>
        <v>0</v>
      </c>
    </row>
    <row r="3012" spans="1:9">
      <c r="A3012" t="s">
        <v>11164</v>
      </c>
      <c r="B3012" t="s">
        <v>10</v>
      </c>
      <c r="C3012" t="s">
        <v>11165</v>
      </c>
      <c r="D3012" t="s">
        <v>11166</v>
      </c>
      <c r="E3012" t="s">
        <v>6786</v>
      </c>
      <c r="F3012" t="s">
        <v>11167</v>
      </c>
      <c r="G3012" t="s">
        <v>11168</v>
      </c>
      <c r="H3012" t="s">
        <v>30</v>
      </c>
      <c r="I3012" t="b">
        <f>COUNTIF(Estadísticas!I:I,'centraldecomunicacion.es'!H3012)&gt;0</f>
        <v>0</v>
      </c>
    </row>
    <row r="3013" spans="1:9">
      <c r="A3013" t="s">
        <v>11169</v>
      </c>
      <c r="B3013" t="s">
        <v>10</v>
      </c>
      <c r="C3013" t="s">
        <v>11170</v>
      </c>
      <c r="D3013" t="s">
        <v>11166</v>
      </c>
      <c r="E3013" t="s">
        <v>6786</v>
      </c>
      <c r="F3013" t="s">
        <v>11171</v>
      </c>
      <c r="G3013" t="s">
        <v>11172</v>
      </c>
      <c r="H3013" t="s">
        <v>11173</v>
      </c>
      <c r="I3013" t="b">
        <f>COUNTIF(Estadísticas!I:I,'centraldecomunicacion.es'!H3013)&gt;0</f>
        <v>0</v>
      </c>
    </row>
    <row r="3014" spans="1:9">
      <c r="A3014" t="s">
        <v>11174</v>
      </c>
      <c r="B3014" t="s">
        <v>10</v>
      </c>
      <c r="C3014" t="s">
        <v>11175</v>
      </c>
      <c r="D3014" t="s">
        <v>11166</v>
      </c>
      <c r="E3014" t="s">
        <v>6786</v>
      </c>
      <c r="F3014" t="s">
        <v>11176</v>
      </c>
      <c r="G3014" t="s">
        <v>11177</v>
      </c>
      <c r="H3014" t="s">
        <v>11178</v>
      </c>
      <c r="I3014" t="b">
        <f>COUNTIF(Estadísticas!I:I,'centraldecomunicacion.es'!H3014)&gt;0</f>
        <v>0</v>
      </c>
    </row>
    <row r="3015" spans="1:9">
      <c r="A3015" t="s">
        <v>11179</v>
      </c>
      <c r="B3015" t="s">
        <v>10</v>
      </c>
      <c r="C3015" t="s">
        <v>11180</v>
      </c>
      <c r="D3015" t="s">
        <v>11166</v>
      </c>
      <c r="E3015" t="s">
        <v>6786</v>
      </c>
      <c r="F3015" t="s">
        <v>28</v>
      </c>
      <c r="G3015" t="s">
        <v>11181</v>
      </c>
      <c r="H3015" t="s">
        <v>30</v>
      </c>
      <c r="I3015" t="b">
        <f>COUNTIF(Estadísticas!I:I,'centraldecomunicacion.es'!H3015)&gt;0</f>
        <v>0</v>
      </c>
    </row>
    <row r="3016" spans="1:9">
      <c r="A3016" t="s">
        <v>11182</v>
      </c>
      <c r="B3016" t="s">
        <v>10</v>
      </c>
      <c r="C3016" t="s">
        <v>11183</v>
      </c>
      <c r="D3016" t="s">
        <v>11166</v>
      </c>
      <c r="E3016" t="s">
        <v>6786</v>
      </c>
      <c r="F3016" t="s">
        <v>11184</v>
      </c>
      <c r="G3016" t="s">
        <v>11185</v>
      </c>
      <c r="H3016" t="s">
        <v>11186</v>
      </c>
      <c r="I3016" t="b">
        <f>COUNTIF(Estadísticas!I:I,'centraldecomunicacion.es'!H3016)&gt;0</f>
        <v>0</v>
      </c>
    </row>
    <row r="3017" spans="1:9">
      <c r="A3017" t="s">
        <v>6396</v>
      </c>
      <c r="B3017" t="s">
        <v>10</v>
      </c>
      <c r="C3017" t="s">
        <v>11187</v>
      </c>
      <c r="D3017" t="s">
        <v>11166</v>
      </c>
      <c r="E3017" t="s">
        <v>6786</v>
      </c>
      <c r="F3017" t="s">
        <v>11188</v>
      </c>
      <c r="G3017" t="s">
        <v>11189</v>
      </c>
      <c r="H3017" t="s">
        <v>11190</v>
      </c>
      <c r="I3017" t="b">
        <f>COUNTIF(Estadísticas!I:I,'centraldecomunicacion.es'!H3017)&gt;0</f>
        <v>0</v>
      </c>
    </row>
    <row r="3018" spans="1:9">
      <c r="A3018" t="s">
        <v>11191</v>
      </c>
      <c r="B3018" t="s">
        <v>10</v>
      </c>
      <c r="C3018" t="s">
        <v>11192</v>
      </c>
      <c r="D3018" t="s">
        <v>11166</v>
      </c>
      <c r="E3018" t="s">
        <v>6786</v>
      </c>
      <c r="F3018" t="s">
        <v>28</v>
      </c>
      <c r="G3018" t="s">
        <v>11193</v>
      </c>
      <c r="H3018" t="s">
        <v>30</v>
      </c>
      <c r="I3018" t="b">
        <f>COUNTIF(Estadísticas!I:I,'centraldecomunicacion.es'!H3018)&gt;0</f>
        <v>0</v>
      </c>
    </row>
    <row r="3019" spans="1:9">
      <c r="A3019" t="s">
        <v>11194</v>
      </c>
      <c r="B3019" t="s">
        <v>10</v>
      </c>
      <c r="C3019" t="s">
        <v>11195</v>
      </c>
      <c r="D3019" t="s">
        <v>11166</v>
      </c>
      <c r="E3019" t="s">
        <v>6786</v>
      </c>
      <c r="F3019" t="s">
        <v>11196</v>
      </c>
      <c r="G3019" t="s">
        <v>11197</v>
      </c>
      <c r="H3019" t="s">
        <v>30</v>
      </c>
      <c r="I3019" t="b">
        <f>COUNTIF(Estadísticas!I:I,'centraldecomunicacion.es'!H3019)&gt;0</f>
        <v>0</v>
      </c>
    </row>
    <row r="3020" spans="1:9">
      <c r="A3020" t="s">
        <v>11198</v>
      </c>
      <c r="B3020" t="s">
        <v>10</v>
      </c>
      <c r="C3020" t="s">
        <v>11199</v>
      </c>
      <c r="D3020" t="s">
        <v>11166</v>
      </c>
      <c r="E3020" t="s">
        <v>11200</v>
      </c>
      <c r="F3020" t="s">
        <v>11201</v>
      </c>
      <c r="G3020" t="s">
        <v>11202</v>
      </c>
      <c r="H3020" t="s">
        <v>11203</v>
      </c>
      <c r="I3020" t="b">
        <f>COUNTIF(Estadísticas!I:I,'centraldecomunicacion.es'!H3020)&gt;0</f>
        <v>0</v>
      </c>
    </row>
    <row r="3021" spans="1:9">
      <c r="A3021" t="s">
        <v>11204</v>
      </c>
      <c r="B3021" t="s">
        <v>10</v>
      </c>
      <c r="C3021" t="s">
        <v>11205</v>
      </c>
      <c r="D3021" t="s">
        <v>11166</v>
      </c>
      <c r="E3021" t="s">
        <v>6786</v>
      </c>
      <c r="F3021" t="s">
        <v>11206</v>
      </c>
      <c r="G3021" t="s">
        <v>11207</v>
      </c>
      <c r="H3021" t="s">
        <v>11208</v>
      </c>
      <c r="I3021" t="b">
        <f>COUNTIF(Estadísticas!I:I,'centraldecomunicacion.es'!H3021)&gt;0</f>
        <v>0</v>
      </c>
    </row>
    <row r="3022" spans="1:9">
      <c r="A3022" t="s">
        <v>11209</v>
      </c>
      <c r="B3022" t="s">
        <v>10</v>
      </c>
      <c r="C3022" t="s">
        <v>11210</v>
      </c>
      <c r="D3022" t="s">
        <v>11166</v>
      </c>
      <c r="E3022" t="s">
        <v>6786</v>
      </c>
      <c r="F3022" t="s">
        <v>50</v>
      </c>
      <c r="G3022" t="s">
        <v>11211</v>
      </c>
      <c r="H3022" t="s">
        <v>30</v>
      </c>
      <c r="I3022" t="b">
        <f>COUNTIF(Estadísticas!I:I,'centraldecomunicacion.es'!H3022)&gt;0</f>
        <v>0</v>
      </c>
    </row>
    <row r="3023" spans="1:9">
      <c r="A3023" t="s">
        <v>11212</v>
      </c>
      <c r="B3023" t="s">
        <v>10</v>
      </c>
      <c r="C3023" t="s">
        <v>11213</v>
      </c>
      <c r="D3023" t="s">
        <v>11214</v>
      </c>
      <c r="E3023" t="s">
        <v>6786</v>
      </c>
      <c r="F3023" t="s">
        <v>11215</v>
      </c>
      <c r="G3023" t="s">
        <v>11216</v>
      </c>
      <c r="H3023" t="s">
        <v>11217</v>
      </c>
      <c r="I3023" t="b">
        <f>COUNTIF(Estadísticas!I:I,'centraldecomunicacion.es'!H3023)&gt;0</f>
        <v>1</v>
      </c>
    </row>
    <row r="3024" spans="1:9">
      <c r="A3024" t="s">
        <v>11218</v>
      </c>
      <c r="B3024" t="s">
        <v>10</v>
      </c>
      <c r="C3024" t="s">
        <v>11219</v>
      </c>
      <c r="D3024" t="s">
        <v>11166</v>
      </c>
      <c r="E3024" t="s">
        <v>6786</v>
      </c>
      <c r="F3024" t="s">
        <v>50</v>
      </c>
      <c r="G3024" t="s">
        <v>11220</v>
      </c>
      <c r="H3024" t="s">
        <v>30</v>
      </c>
      <c r="I3024" t="b">
        <f>COUNTIF(Estadísticas!I:I,'centraldecomunicacion.es'!H3024)&gt;0</f>
        <v>0</v>
      </c>
    </row>
    <row r="3025" spans="1:9">
      <c r="A3025" t="s">
        <v>11221</v>
      </c>
      <c r="B3025" t="s">
        <v>10</v>
      </c>
      <c r="C3025" t="s">
        <v>11222</v>
      </c>
      <c r="D3025" t="s">
        <v>11166</v>
      </c>
      <c r="E3025" t="s">
        <v>6786</v>
      </c>
      <c r="F3025" t="s">
        <v>11201</v>
      </c>
      <c r="G3025" t="s">
        <v>11223</v>
      </c>
      <c r="H3025" t="s">
        <v>11203</v>
      </c>
      <c r="I3025" t="b">
        <f>COUNTIF(Estadísticas!I:I,'centraldecomunicacion.es'!H3025)&gt;0</f>
        <v>0</v>
      </c>
    </row>
    <row r="3026" spans="1:9">
      <c r="A3026" t="s">
        <v>11224</v>
      </c>
      <c r="B3026" t="s">
        <v>10</v>
      </c>
      <c r="C3026" t="s">
        <v>11225</v>
      </c>
      <c r="D3026" t="s">
        <v>11166</v>
      </c>
      <c r="E3026" t="s">
        <v>6786</v>
      </c>
      <c r="F3026" t="s">
        <v>11226</v>
      </c>
      <c r="G3026" t="s">
        <v>11227</v>
      </c>
      <c r="H3026" t="s">
        <v>11228</v>
      </c>
      <c r="I3026" t="b">
        <f>COUNTIF(Estadísticas!I:I,'centraldecomunicacion.es'!H3026)&gt;0</f>
        <v>0</v>
      </c>
    </row>
    <row r="3027" spans="1:9">
      <c r="A3027" t="s">
        <v>11229</v>
      </c>
      <c r="B3027" t="s">
        <v>10</v>
      </c>
      <c r="C3027" t="s">
        <v>11230</v>
      </c>
      <c r="D3027" t="s">
        <v>11231</v>
      </c>
      <c r="E3027" t="s">
        <v>6786</v>
      </c>
      <c r="F3027" t="s">
        <v>11232</v>
      </c>
      <c r="G3027" t="s">
        <v>11233</v>
      </c>
      <c r="H3027" t="s">
        <v>30</v>
      </c>
      <c r="I3027" t="b">
        <f>COUNTIF(Estadísticas!I:I,'centraldecomunicacion.es'!H3027)&gt;0</f>
        <v>0</v>
      </c>
    </row>
    <row r="3028" spans="1:9">
      <c r="A3028" t="s">
        <v>11234</v>
      </c>
      <c r="B3028" t="s">
        <v>10</v>
      </c>
      <c r="C3028" t="s">
        <v>11235</v>
      </c>
      <c r="D3028" t="s">
        <v>11166</v>
      </c>
      <c r="E3028" t="s">
        <v>6786</v>
      </c>
      <c r="F3028" t="s">
        <v>11236</v>
      </c>
      <c r="G3028" t="s">
        <v>11237</v>
      </c>
      <c r="H3028" t="s">
        <v>11238</v>
      </c>
      <c r="I3028" t="b">
        <f>COUNTIF(Estadísticas!I:I,'centraldecomunicacion.es'!H3028)&gt;0</f>
        <v>0</v>
      </c>
    </row>
    <row r="3029" spans="1:9">
      <c r="A3029" t="s">
        <v>11239</v>
      </c>
      <c r="B3029" t="s">
        <v>10</v>
      </c>
      <c r="C3029" t="s">
        <v>11240</v>
      </c>
      <c r="D3029" t="s">
        <v>11166</v>
      </c>
      <c r="E3029" t="s">
        <v>6786</v>
      </c>
      <c r="F3029" t="s">
        <v>28</v>
      </c>
      <c r="G3029" t="s">
        <v>11241</v>
      </c>
      <c r="H3029" t="s">
        <v>30</v>
      </c>
      <c r="I3029" t="b">
        <f>COUNTIF(Estadísticas!I:I,'centraldecomunicacion.es'!H3029)&gt;0</f>
        <v>0</v>
      </c>
    </row>
    <row r="3030" spans="1:9">
      <c r="A3030" t="s">
        <v>11242</v>
      </c>
      <c r="B3030" t="s">
        <v>10</v>
      </c>
      <c r="C3030" t="s">
        <v>11243</v>
      </c>
      <c r="D3030" t="s">
        <v>11166</v>
      </c>
      <c r="E3030" t="s">
        <v>6786</v>
      </c>
      <c r="F3030" t="s">
        <v>28</v>
      </c>
      <c r="G3030" t="s">
        <v>11244</v>
      </c>
      <c r="H3030" t="s">
        <v>30</v>
      </c>
      <c r="I3030" t="b">
        <f>COUNTIF(Estadísticas!I:I,'centraldecomunicacion.es'!H3030)&gt;0</f>
        <v>0</v>
      </c>
    </row>
    <row r="3031" spans="1:9">
      <c r="A3031" t="s">
        <v>11245</v>
      </c>
      <c r="B3031" t="s">
        <v>10</v>
      </c>
      <c r="C3031" t="s">
        <v>11246</v>
      </c>
      <c r="D3031" t="s">
        <v>11166</v>
      </c>
      <c r="E3031" t="s">
        <v>6786</v>
      </c>
      <c r="F3031" t="s">
        <v>11247</v>
      </c>
      <c r="G3031" t="s">
        <v>11248</v>
      </c>
      <c r="H3031" t="s">
        <v>11249</v>
      </c>
      <c r="I3031" t="b">
        <f>COUNTIF(Estadísticas!I:I,'centraldecomunicacion.es'!H3031)&gt;0</f>
        <v>0</v>
      </c>
    </row>
    <row r="3032" spans="1:9">
      <c r="A3032" t="s">
        <v>7068</v>
      </c>
      <c r="B3032" t="s">
        <v>10</v>
      </c>
      <c r="C3032" t="s">
        <v>11250</v>
      </c>
      <c r="D3032" t="s">
        <v>11166</v>
      </c>
      <c r="E3032" t="s">
        <v>6786</v>
      </c>
      <c r="F3032" t="s">
        <v>28</v>
      </c>
      <c r="G3032" t="s">
        <v>11251</v>
      </c>
      <c r="H3032" t="s">
        <v>30</v>
      </c>
      <c r="I3032" t="b">
        <f>COUNTIF(Estadísticas!I:I,'centraldecomunicacion.es'!H3032)&gt;0</f>
        <v>0</v>
      </c>
    </row>
    <row r="3033" spans="1:9">
      <c r="A3033" t="s">
        <v>11252</v>
      </c>
      <c r="B3033" t="s">
        <v>10</v>
      </c>
      <c r="C3033" t="s">
        <v>11253</v>
      </c>
      <c r="D3033" t="s">
        <v>11166</v>
      </c>
      <c r="E3033" t="s">
        <v>6786</v>
      </c>
      <c r="F3033" t="s">
        <v>28</v>
      </c>
      <c r="G3033" t="s">
        <v>11254</v>
      </c>
      <c r="H3033" t="s">
        <v>30</v>
      </c>
      <c r="I3033" t="b">
        <f>COUNTIF(Estadísticas!I:I,'centraldecomunicacion.es'!H3033)&gt;0</f>
        <v>0</v>
      </c>
    </row>
    <row r="3034" spans="1:9">
      <c r="A3034" t="s">
        <v>11255</v>
      </c>
      <c r="B3034" t="s">
        <v>10</v>
      </c>
      <c r="C3034" t="s">
        <v>11213</v>
      </c>
      <c r="D3034" t="s">
        <v>11214</v>
      </c>
      <c r="E3034" t="s">
        <v>6786</v>
      </c>
      <c r="F3034" t="s">
        <v>11256</v>
      </c>
      <c r="G3034" t="s">
        <v>11257</v>
      </c>
      <c r="H3034" t="s">
        <v>11258</v>
      </c>
      <c r="I3034" t="b">
        <f>COUNTIF(Estadísticas!I:I,'centraldecomunicacion.es'!H3034)&gt;0</f>
        <v>1</v>
      </c>
    </row>
    <row r="3035" spans="1:9">
      <c r="A3035" t="s">
        <v>11259</v>
      </c>
      <c r="B3035" t="s">
        <v>10</v>
      </c>
      <c r="C3035" t="s">
        <v>11260</v>
      </c>
      <c r="D3035" t="s">
        <v>11166</v>
      </c>
      <c r="E3035" t="s">
        <v>6786</v>
      </c>
      <c r="F3035" t="s">
        <v>11261</v>
      </c>
      <c r="G3035" t="s">
        <v>11262</v>
      </c>
      <c r="H3035" t="s">
        <v>30</v>
      </c>
      <c r="I3035" t="b">
        <f>COUNTIF(Estadísticas!I:I,'centraldecomunicacion.es'!H3035)&gt;0</f>
        <v>0</v>
      </c>
    </row>
    <row r="3036" spans="1:9">
      <c r="A3036" t="s">
        <v>11263</v>
      </c>
      <c r="B3036" t="s">
        <v>10</v>
      </c>
      <c r="C3036" t="s">
        <v>11264</v>
      </c>
      <c r="D3036" t="s">
        <v>11166</v>
      </c>
      <c r="E3036" t="s">
        <v>6786</v>
      </c>
      <c r="F3036" t="s">
        <v>642</v>
      </c>
      <c r="G3036" t="s">
        <v>11265</v>
      </c>
      <c r="H3036" t="s">
        <v>30</v>
      </c>
      <c r="I3036" t="b">
        <f>COUNTIF(Estadísticas!I:I,'centraldecomunicacion.es'!H3036)&gt;0</f>
        <v>0</v>
      </c>
    </row>
    <row r="3037" spans="1:9">
      <c r="A3037" t="s">
        <v>11266</v>
      </c>
      <c r="B3037" t="s">
        <v>10</v>
      </c>
      <c r="C3037" t="s">
        <v>11267</v>
      </c>
      <c r="D3037" t="s">
        <v>11166</v>
      </c>
      <c r="E3037" t="s">
        <v>6786</v>
      </c>
      <c r="F3037" t="s">
        <v>11268</v>
      </c>
      <c r="G3037" t="s">
        <v>11269</v>
      </c>
      <c r="H3037" t="s">
        <v>11270</v>
      </c>
      <c r="I3037" t="b">
        <f>COUNTIF(Estadísticas!I:I,'centraldecomunicacion.es'!H3037)&gt;0</f>
        <v>0</v>
      </c>
    </row>
    <row r="3038" spans="1:9">
      <c r="A3038" t="s">
        <v>11271</v>
      </c>
      <c r="B3038" t="s">
        <v>10</v>
      </c>
      <c r="C3038" t="s">
        <v>11272</v>
      </c>
      <c r="D3038" t="s">
        <v>11166</v>
      </c>
      <c r="E3038" t="s">
        <v>6786</v>
      </c>
      <c r="F3038" t="s">
        <v>38</v>
      </c>
      <c r="G3038" t="s">
        <v>11273</v>
      </c>
      <c r="H3038" t="s">
        <v>30</v>
      </c>
      <c r="I3038" t="b">
        <f>COUNTIF(Estadísticas!I:I,'centraldecomunicacion.es'!H3038)&gt;0</f>
        <v>0</v>
      </c>
    </row>
    <row r="3039" spans="1:9">
      <c r="A3039" t="s">
        <v>11274</v>
      </c>
      <c r="B3039" t="s">
        <v>10</v>
      </c>
      <c r="C3039" t="s">
        <v>11275</v>
      </c>
      <c r="D3039" t="s">
        <v>11166</v>
      </c>
      <c r="E3039" t="s">
        <v>6786</v>
      </c>
      <c r="F3039" t="s">
        <v>11276</v>
      </c>
      <c r="G3039" t="s">
        <v>11277</v>
      </c>
      <c r="H3039" t="s">
        <v>11278</v>
      </c>
      <c r="I3039" t="b">
        <f>COUNTIF(Estadísticas!I:I,'centraldecomunicacion.es'!H3039)&gt;0</f>
        <v>0</v>
      </c>
    </row>
    <row r="3040" spans="1:9">
      <c r="A3040" t="s">
        <v>11279</v>
      </c>
      <c r="B3040" t="s">
        <v>10</v>
      </c>
      <c r="C3040" t="s">
        <v>11280</v>
      </c>
      <c r="D3040" t="s">
        <v>11166</v>
      </c>
      <c r="E3040" t="s">
        <v>6786</v>
      </c>
      <c r="F3040" t="s">
        <v>11281</v>
      </c>
      <c r="G3040" t="s">
        <v>11282</v>
      </c>
      <c r="H3040" t="s">
        <v>11283</v>
      </c>
      <c r="I3040" t="b">
        <f>COUNTIF(Estadísticas!I:I,'centraldecomunicacion.es'!H3040)&gt;0</f>
        <v>0</v>
      </c>
    </row>
    <row r="3041" spans="1:9">
      <c r="A3041" t="s">
        <v>11284</v>
      </c>
      <c r="B3041" t="s">
        <v>10</v>
      </c>
      <c r="C3041" t="s">
        <v>11285</v>
      </c>
      <c r="D3041" t="s">
        <v>11214</v>
      </c>
      <c r="E3041" t="s">
        <v>6786</v>
      </c>
      <c r="F3041" t="s">
        <v>11286</v>
      </c>
      <c r="G3041" t="s">
        <v>11287</v>
      </c>
      <c r="H3041" t="s">
        <v>11288</v>
      </c>
      <c r="I3041" t="b">
        <f>COUNTIF(Estadísticas!I:I,'centraldecomunicacion.es'!H3041)&gt;0</f>
        <v>1</v>
      </c>
    </row>
    <row r="3042" spans="1:9">
      <c r="A3042" t="s">
        <v>11289</v>
      </c>
      <c r="B3042" t="s">
        <v>10</v>
      </c>
      <c r="C3042" t="s">
        <v>11290</v>
      </c>
      <c r="D3042" t="s">
        <v>11166</v>
      </c>
      <c r="E3042" t="s">
        <v>6786</v>
      </c>
      <c r="F3042" t="s">
        <v>28</v>
      </c>
      <c r="G3042" t="s">
        <v>11291</v>
      </c>
      <c r="H3042" t="s">
        <v>30</v>
      </c>
      <c r="I3042" t="b">
        <f>COUNTIF(Estadísticas!I:I,'centraldecomunicacion.es'!H3042)&gt;0</f>
        <v>0</v>
      </c>
    </row>
    <row r="3043" spans="1:9">
      <c r="A3043" t="s">
        <v>11292</v>
      </c>
      <c r="B3043" t="s">
        <v>10</v>
      </c>
      <c r="C3043" t="s">
        <v>11293</v>
      </c>
      <c r="D3043" t="s">
        <v>11166</v>
      </c>
      <c r="E3043" t="s">
        <v>6786</v>
      </c>
      <c r="F3043" t="s">
        <v>11294</v>
      </c>
      <c r="G3043" t="s">
        <v>11295</v>
      </c>
      <c r="H3043" t="s">
        <v>11296</v>
      </c>
      <c r="I3043" t="b">
        <f>COUNTIF(Estadísticas!I:I,'centraldecomunicacion.es'!H3043)&gt;0</f>
        <v>0</v>
      </c>
    </row>
    <row r="3044" spans="1:9">
      <c r="A3044" t="s">
        <v>11297</v>
      </c>
      <c r="B3044" t="s">
        <v>10</v>
      </c>
      <c r="C3044" t="s">
        <v>11298</v>
      </c>
      <c r="D3044" t="s">
        <v>11214</v>
      </c>
      <c r="E3044" t="s">
        <v>6786</v>
      </c>
      <c r="F3044" t="s">
        <v>28</v>
      </c>
      <c r="G3044" t="s">
        <v>11299</v>
      </c>
      <c r="H3044" t="s">
        <v>30</v>
      </c>
      <c r="I3044" t="b">
        <f>COUNTIF(Estadísticas!I:I,'centraldecomunicacion.es'!H3044)&gt;0</f>
        <v>0</v>
      </c>
    </row>
    <row r="3045" spans="1:9">
      <c r="A3045" t="s">
        <v>11300</v>
      </c>
      <c r="B3045" t="s">
        <v>10</v>
      </c>
      <c r="C3045" t="s">
        <v>11301</v>
      </c>
      <c r="D3045" t="s">
        <v>11166</v>
      </c>
      <c r="E3045" t="s">
        <v>6786</v>
      </c>
      <c r="F3045" t="s">
        <v>38</v>
      </c>
      <c r="G3045" t="s">
        <v>11302</v>
      </c>
      <c r="H3045" t="s">
        <v>30</v>
      </c>
      <c r="I3045" t="b">
        <f>COUNTIF(Estadísticas!I:I,'centraldecomunicacion.es'!H3045)&gt;0</f>
        <v>0</v>
      </c>
    </row>
    <row r="3046" spans="1:9">
      <c r="A3046" t="s">
        <v>11303</v>
      </c>
      <c r="B3046" t="s">
        <v>10</v>
      </c>
      <c r="C3046" t="s">
        <v>11304</v>
      </c>
      <c r="D3046" t="s">
        <v>11166</v>
      </c>
      <c r="E3046" t="s">
        <v>6786</v>
      </c>
      <c r="F3046" t="s">
        <v>28</v>
      </c>
      <c r="G3046" t="s">
        <v>11305</v>
      </c>
      <c r="H3046" t="s">
        <v>30</v>
      </c>
      <c r="I3046" t="b">
        <f>COUNTIF(Estadísticas!I:I,'centraldecomunicacion.es'!H3046)&gt;0</f>
        <v>0</v>
      </c>
    </row>
    <row r="3047" spans="1:9">
      <c r="A3047" t="s">
        <v>11306</v>
      </c>
      <c r="B3047" t="s">
        <v>10</v>
      </c>
      <c r="C3047" t="s">
        <v>11307</v>
      </c>
      <c r="D3047" t="s">
        <v>11166</v>
      </c>
      <c r="E3047" t="s">
        <v>6786</v>
      </c>
      <c r="F3047" t="s">
        <v>28</v>
      </c>
      <c r="G3047" t="s">
        <v>11308</v>
      </c>
      <c r="H3047" t="s">
        <v>30</v>
      </c>
      <c r="I3047" t="b">
        <f>COUNTIF(Estadísticas!I:I,'centraldecomunicacion.es'!H3047)&gt;0</f>
        <v>0</v>
      </c>
    </row>
    <row r="3048" spans="1:9">
      <c r="A3048" t="s">
        <v>11309</v>
      </c>
      <c r="B3048" t="s">
        <v>10</v>
      </c>
      <c r="C3048" t="s">
        <v>11310</v>
      </c>
      <c r="D3048" t="s">
        <v>11166</v>
      </c>
      <c r="E3048" t="s">
        <v>6786</v>
      </c>
      <c r="F3048" t="s">
        <v>28</v>
      </c>
      <c r="G3048" t="s">
        <v>11311</v>
      </c>
      <c r="H3048" t="s">
        <v>30</v>
      </c>
      <c r="I3048" t="b">
        <f>COUNTIF(Estadísticas!I:I,'centraldecomunicacion.es'!H3048)&gt;0</f>
        <v>0</v>
      </c>
    </row>
    <row r="3049" spans="1:9">
      <c r="A3049" t="s">
        <v>1644</v>
      </c>
      <c r="B3049" t="s">
        <v>10</v>
      </c>
      <c r="C3049" t="s">
        <v>11312</v>
      </c>
      <c r="D3049" t="s">
        <v>11166</v>
      </c>
      <c r="E3049" t="s">
        <v>6786</v>
      </c>
      <c r="F3049" t="s">
        <v>28</v>
      </c>
      <c r="G3049" t="s">
        <v>11254</v>
      </c>
      <c r="H3049" t="s">
        <v>30</v>
      </c>
      <c r="I3049" t="b">
        <f>COUNTIF(Estadísticas!I:I,'centraldecomunicacion.es'!H3049)&gt;0</f>
        <v>0</v>
      </c>
    </row>
    <row r="3050" spans="1:9">
      <c r="A3050" t="s">
        <v>11313</v>
      </c>
      <c r="B3050" t="s">
        <v>10</v>
      </c>
      <c r="C3050" t="s">
        <v>11314</v>
      </c>
      <c r="D3050" t="s">
        <v>11214</v>
      </c>
      <c r="E3050" t="s">
        <v>6786</v>
      </c>
      <c r="F3050" t="s">
        <v>28</v>
      </c>
      <c r="G3050" t="s">
        <v>11299</v>
      </c>
      <c r="H3050" t="s">
        <v>30</v>
      </c>
      <c r="I3050" t="b">
        <f>COUNTIF(Estadísticas!I:I,'centraldecomunicacion.es'!H3050)&gt;0</f>
        <v>0</v>
      </c>
    </row>
    <row r="3051" spans="1:9">
      <c r="A3051" t="s">
        <v>800</v>
      </c>
      <c r="B3051" t="s">
        <v>10</v>
      </c>
      <c r="C3051" t="s">
        <v>11315</v>
      </c>
      <c r="D3051" t="s">
        <v>11166</v>
      </c>
      <c r="E3051" t="s">
        <v>6786</v>
      </c>
      <c r="F3051" t="s">
        <v>28</v>
      </c>
      <c r="G3051" t="s">
        <v>28</v>
      </c>
      <c r="H3051" t="s">
        <v>30</v>
      </c>
      <c r="I3051" t="b">
        <f>COUNTIF(Estadísticas!I:I,'centraldecomunicacion.es'!H3051)&gt;0</f>
        <v>0</v>
      </c>
    </row>
    <row r="3052" spans="1:9">
      <c r="A3052" t="s">
        <v>11255</v>
      </c>
      <c r="B3052" t="s">
        <v>10</v>
      </c>
      <c r="C3052" t="s">
        <v>11316</v>
      </c>
      <c r="D3052" t="s">
        <v>11166</v>
      </c>
      <c r="E3052" t="s">
        <v>6786</v>
      </c>
      <c r="F3052" t="s">
        <v>28</v>
      </c>
      <c r="G3052" t="s">
        <v>28</v>
      </c>
      <c r="H3052" t="s">
        <v>30</v>
      </c>
      <c r="I3052" t="b">
        <f>COUNTIF(Estadísticas!I:I,'centraldecomunicacion.es'!H3052)&gt;0</f>
        <v>0</v>
      </c>
    </row>
    <row r="3053" spans="1:9">
      <c r="A3053" t="s">
        <v>11317</v>
      </c>
      <c r="B3053" t="s">
        <v>10</v>
      </c>
      <c r="C3053" t="s">
        <v>11318</v>
      </c>
      <c r="D3053" t="s">
        <v>11231</v>
      </c>
      <c r="E3053" t="s">
        <v>6786</v>
      </c>
      <c r="F3053" t="s">
        <v>28</v>
      </c>
      <c r="G3053" t="s">
        <v>11319</v>
      </c>
      <c r="H3053" t="s">
        <v>30</v>
      </c>
      <c r="I3053" t="b">
        <f>COUNTIF(Estadísticas!I:I,'centraldecomunicacion.es'!H3053)&gt;0</f>
        <v>0</v>
      </c>
    </row>
    <row r="3054" spans="1:9">
      <c r="A3054" t="s">
        <v>26</v>
      </c>
      <c r="B3054" t="s">
        <v>10</v>
      </c>
      <c r="C3054" t="s">
        <v>11230</v>
      </c>
      <c r="D3054" t="s">
        <v>11231</v>
      </c>
      <c r="E3054" t="s">
        <v>6786</v>
      </c>
      <c r="F3054" t="s">
        <v>28</v>
      </c>
      <c r="G3054" t="s">
        <v>396</v>
      </c>
      <c r="H3054" t="s">
        <v>30</v>
      </c>
      <c r="I3054" t="b">
        <f>COUNTIF(Estadísticas!I:I,'centraldecomunicacion.es'!H3054)&gt;0</f>
        <v>0</v>
      </c>
    </row>
    <row r="3055" spans="1:9">
      <c r="A3055" t="s">
        <v>1781</v>
      </c>
      <c r="B3055" t="s">
        <v>10</v>
      </c>
      <c r="C3055" t="s">
        <v>11320</v>
      </c>
      <c r="D3055" t="s">
        <v>11166</v>
      </c>
      <c r="E3055" t="s">
        <v>6786</v>
      </c>
      <c r="F3055" t="s">
        <v>28</v>
      </c>
      <c r="G3055" t="s">
        <v>11321</v>
      </c>
      <c r="H3055" t="s">
        <v>30</v>
      </c>
      <c r="I3055" t="b">
        <f>COUNTIF(Estadísticas!I:I,'centraldecomunicacion.es'!H3055)&gt;0</f>
        <v>0</v>
      </c>
    </row>
    <row r="3056" spans="1:9">
      <c r="A3056" t="s">
        <v>11322</v>
      </c>
      <c r="B3056" t="s">
        <v>10</v>
      </c>
      <c r="C3056" t="s">
        <v>11323</v>
      </c>
      <c r="D3056" t="s">
        <v>11166</v>
      </c>
      <c r="E3056" t="s">
        <v>6786</v>
      </c>
      <c r="F3056" t="s">
        <v>11324</v>
      </c>
      <c r="G3056" t="s">
        <v>11325</v>
      </c>
      <c r="H3056" t="s">
        <v>30</v>
      </c>
      <c r="I3056" t="b">
        <f>COUNTIF(Estadísticas!I:I,'centraldecomunicacion.es'!H3056)&gt;0</f>
        <v>0</v>
      </c>
    </row>
    <row r="3057" spans="1:9">
      <c r="A3057" t="s">
        <v>11326</v>
      </c>
      <c r="B3057" t="s">
        <v>10</v>
      </c>
      <c r="C3057" t="s">
        <v>11327</v>
      </c>
      <c r="D3057" t="s">
        <v>11166</v>
      </c>
      <c r="E3057" t="s">
        <v>6786</v>
      </c>
      <c r="F3057" t="s">
        <v>28</v>
      </c>
      <c r="G3057" t="s">
        <v>11328</v>
      </c>
      <c r="H3057" t="s">
        <v>30</v>
      </c>
      <c r="I3057" t="b">
        <f>COUNTIF(Estadísticas!I:I,'centraldecomunicacion.es'!H3057)&gt;0</f>
        <v>0</v>
      </c>
    </row>
    <row r="3058" spans="1:9">
      <c r="A3058" t="s">
        <v>11329</v>
      </c>
      <c r="B3058" t="s">
        <v>10</v>
      </c>
      <c r="C3058" t="s">
        <v>11330</v>
      </c>
      <c r="D3058" t="s">
        <v>11166</v>
      </c>
      <c r="E3058" t="s">
        <v>6786</v>
      </c>
      <c r="F3058" t="s">
        <v>28</v>
      </c>
      <c r="G3058" t="s">
        <v>28</v>
      </c>
      <c r="H3058" t="s">
        <v>30</v>
      </c>
      <c r="I3058" t="b">
        <f>COUNTIF(Estadísticas!I:I,'centraldecomunicacion.es'!H3058)&gt;0</f>
        <v>0</v>
      </c>
    </row>
    <row r="3059" spans="1:9">
      <c r="A3059" t="s">
        <v>11331</v>
      </c>
      <c r="B3059" t="s">
        <v>10</v>
      </c>
      <c r="C3059" t="s">
        <v>11332</v>
      </c>
      <c r="D3059" t="s">
        <v>11231</v>
      </c>
      <c r="E3059" t="s">
        <v>6786</v>
      </c>
      <c r="F3059" t="s">
        <v>11333</v>
      </c>
      <c r="G3059" t="s">
        <v>28</v>
      </c>
      <c r="H3059" t="s">
        <v>11334</v>
      </c>
      <c r="I3059" t="b">
        <f>COUNTIF(Estadísticas!I:I,'centraldecomunicacion.es'!H3059)&gt;0</f>
        <v>0</v>
      </c>
    </row>
    <row r="3060" spans="1:9">
      <c r="A3060" t="s">
        <v>11335</v>
      </c>
      <c r="B3060" t="s">
        <v>10</v>
      </c>
      <c r="C3060" t="s">
        <v>11336</v>
      </c>
      <c r="D3060" t="s">
        <v>11166</v>
      </c>
      <c r="E3060" t="s">
        <v>6786</v>
      </c>
      <c r="F3060" t="s">
        <v>28</v>
      </c>
      <c r="G3060" t="s">
        <v>11337</v>
      </c>
      <c r="H3060" t="s">
        <v>30</v>
      </c>
      <c r="I3060" t="b">
        <f>COUNTIF(Estadísticas!I:I,'centraldecomunicacion.es'!H3060)&gt;0</f>
        <v>0</v>
      </c>
    </row>
    <row r="3061" spans="1:9">
      <c r="A3061" t="s">
        <v>11338</v>
      </c>
      <c r="B3061" t="s">
        <v>10</v>
      </c>
      <c r="C3061" t="s">
        <v>11339</v>
      </c>
      <c r="D3061" t="s">
        <v>11166</v>
      </c>
      <c r="E3061" t="s">
        <v>6786</v>
      </c>
      <c r="F3061" t="s">
        <v>28</v>
      </c>
      <c r="G3061" t="s">
        <v>28</v>
      </c>
      <c r="H3061" t="s">
        <v>30</v>
      </c>
      <c r="I3061" t="b">
        <f>COUNTIF(Estadísticas!I:I,'centraldecomunicacion.es'!H3061)&gt;0</f>
        <v>0</v>
      </c>
    </row>
    <row r="3062" spans="1:9">
      <c r="A3062" t="s">
        <v>11340</v>
      </c>
      <c r="B3062" t="s">
        <v>10</v>
      </c>
      <c r="C3062" t="s">
        <v>11341</v>
      </c>
      <c r="D3062" t="s">
        <v>11166</v>
      </c>
      <c r="E3062" t="s">
        <v>6786</v>
      </c>
      <c r="F3062" t="s">
        <v>28</v>
      </c>
      <c r="G3062" t="s">
        <v>11342</v>
      </c>
      <c r="H3062" t="s">
        <v>30</v>
      </c>
      <c r="I3062" t="b">
        <f>COUNTIF(Estadísticas!I:I,'centraldecomunicacion.es'!H3062)&gt;0</f>
        <v>0</v>
      </c>
    </row>
    <row r="3063" spans="1:9">
      <c r="A3063" t="s">
        <v>11343</v>
      </c>
      <c r="B3063" t="s">
        <v>10</v>
      </c>
      <c r="C3063" t="s">
        <v>11344</v>
      </c>
      <c r="D3063" t="s">
        <v>11231</v>
      </c>
      <c r="E3063" t="s">
        <v>6786</v>
      </c>
      <c r="F3063" t="s">
        <v>28</v>
      </c>
      <c r="G3063" t="s">
        <v>11345</v>
      </c>
      <c r="H3063" t="s">
        <v>30</v>
      </c>
      <c r="I3063" t="b">
        <f>COUNTIF(Estadísticas!I:I,'centraldecomunicacion.es'!H3063)&gt;0</f>
        <v>0</v>
      </c>
    </row>
    <row r="3064" spans="1:9">
      <c r="A3064" t="s">
        <v>11346</v>
      </c>
      <c r="B3064" t="s">
        <v>10</v>
      </c>
      <c r="C3064" t="s">
        <v>11347</v>
      </c>
      <c r="D3064" t="s">
        <v>11166</v>
      </c>
      <c r="E3064" t="s">
        <v>6786</v>
      </c>
      <c r="F3064" t="s">
        <v>28</v>
      </c>
      <c r="G3064" t="s">
        <v>11348</v>
      </c>
      <c r="H3064" t="s">
        <v>30</v>
      </c>
      <c r="I3064" t="b">
        <f>COUNTIF(Estadísticas!I:I,'centraldecomunicacion.es'!H3064)&gt;0</f>
        <v>0</v>
      </c>
    </row>
    <row r="3065" spans="1:9">
      <c r="A3065" t="s">
        <v>11349</v>
      </c>
      <c r="B3065" t="s">
        <v>10</v>
      </c>
      <c r="C3065" t="s">
        <v>11350</v>
      </c>
      <c r="D3065" t="s">
        <v>11166</v>
      </c>
      <c r="E3065" t="s">
        <v>6786</v>
      </c>
      <c r="F3065" t="s">
        <v>28</v>
      </c>
      <c r="G3065" t="s">
        <v>28</v>
      </c>
      <c r="H3065" t="s">
        <v>30</v>
      </c>
      <c r="I3065" t="b">
        <f>COUNTIF(Estadísticas!I:I,'centraldecomunicacion.es'!H3065)&gt;0</f>
        <v>0</v>
      </c>
    </row>
    <row r="3066" spans="1:9">
      <c r="A3066" t="s">
        <v>11351</v>
      </c>
      <c r="B3066" t="s">
        <v>10</v>
      </c>
      <c r="C3066" t="s">
        <v>11352</v>
      </c>
      <c r="D3066" t="s">
        <v>11166</v>
      </c>
      <c r="E3066" t="s">
        <v>6786</v>
      </c>
      <c r="F3066" t="s">
        <v>11353</v>
      </c>
      <c r="G3066" t="s">
        <v>11354</v>
      </c>
      <c r="H3066" t="s">
        <v>11355</v>
      </c>
      <c r="I3066" t="b">
        <f>COUNTIF(Estadísticas!I:I,'centraldecomunicacion.es'!H3066)&gt;0</f>
        <v>0</v>
      </c>
    </row>
    <row r="3067" spans="1:9">
      <c r="A3067" t="s">
        <v>11356</v>
      </c>
      <c r="B3067" t="s">
        <v>10</v>
      </c>
      <c r="C3067" t="s">
        <v>11357</v>
      </c>
      <c r="D3067" t="s">
        <v>11166</v>
      </c>
      <c r="E3067" t="s">
        <v>6786</v>
      </c>
      <c r="F3067" t="s">
        <v>28</v>
      </c>
      <c r="G3067" t="s">
        <v>11358</v>
      </c>
      <c r="H3067" t="s">
        <v>30</v>
      </c>
      <c r="I3067" t="b">
        <f>COUNTIF(Estadísticas!I:I,'centraldecomunicacion.es'!H3067)&gt;0</f>
        <v>0</v>
      </c>
    </row>
    <row r="3068" spans="1:9">
      <c r="A3068" t="s">
        <v>11359</v>
      </c>
      <c r="B3068" t="s">
        <v>10</v>
      </c>
      <c r="C3068" t="s">
        <v>11360</v>
      </c>
      <c r="D3068" t="s">
        <v>11214</v>
      </c>
      <c r="E3068" t="s">
        <v>6786</v>
      </c>
      <c r="F3068" t="s">
        <v>28</v>
      </c>
      <c r="G3068" t="s">
        <v>11361</v>
      </c>
      <c r="H3068" t="s">
        <v>30</v>
      </c>
      <c r="I3068" t="b">
        <f>COUNTIF(Estadísticas!I:I,'centraldecomunicacion.es'!H3068)&gt;0</f>
        <v>0</v>
      </c>
    </row>
    <row r="3069" spans="1:9">
      <c r="A3069" t="s">
        <v>11326</v>
      </c>
      <c r="B3069" t="s">
        <v>10</v>
      </c>
      <c r="C3069" t="s">
        <v>11362</v>
      </c>
      <c r="D3069" t="s">
        <v>11166</v>
      </c>
      <c r="E3069" t="s">
        <v>6786</v>
      </c>
      <c r="F3069" t="s">
        <v>28</v>
      </c>
      <c r="G3069" t="s">
        <v>28</v>
      </c>
      <c r="H3069" t="s">
        <v>30</v>
      </c>
      <c r="I3069" t="b">
        <f>COUNTIF(Estadísticas!I:I,'centraldecomunicacion.es'!H3069)&gt;0</f>
        <v>0</v>
      </c>
    </row>
    <row r="3070" spans="1:9">
      <c r="A3070" t="s">
        <v>11363</v>
      </c>
      <c r="B3070" t="s">
        <v>10</v>
      </c>
      <c r="C3070" t="s">
        <v>11364</v>
      </c>
      <c r="D3070" t="s">
        <v>11166</v>
      </c>
      <c r="E3070" t="s">
        <v>6786</v>
      </c>
      <c r="F3070" t="s">
        <v>11365</v>
      </c>
      <c r="G3070" t="s">
        <v>11366</v>
      </c>
      <c r="H3070" t="s">
        <v>11367</v>
      </c>
      <c r="I3070" t="b">
        <f>COUNTIF(Estadísticas!I:I,'centraldecomunicacion.es'!H3070)&gt;0</f>
        <v>0</v>
      </c>
    </row>
    <row r="3071" spans="1:9">
      <c r="A3071" t="s">
        <v>11368</v>
      </c>
      <c r="B3071" t="s">
        <v>10</v>
      </c>
      <c r="C3071" t="s">
        <v>11369</v>
      </c>
      <c r="D3071" t="s">
        <v>11166</v>
      </c>
      <c r="E3071" t="s">
        <v>6786</v>
      </c>
      <c r="F3071" t="s">
        <v>28</v>
      </c>
      <c r="G3071" t="s">
        <v>11370</v>
      </c>
      <c r="H3071" t="s">
        <v>30</v>
      </c>
      <c r="I3071" t="b">
        <f>COUNTIF(Estadísticas!I:I,'centraldecomunicacion.es'!H3071)&gt;0</f>
        <v>0</v>
      </c>
    </row>
    <row r="3072" spans="1:9">
      <c r="A3072" t="s">
        <v>11371</v>
      </c>
      <c r="B3072" t="s">
        <v>10</v>
      </c>
      <c r="C3072" t="s">
        <v>11372</v>
      </c>
      <c r="D3072" t="s">
        <v>11373</v>
      </c>
      <c r="E3072" t="s">
        <v>6786</v>
      </c>
      <c r="F3072" t="s">
        <v>11374</v>
      </c>
      <c r="G3072" t="s">
        <v>11375</v>
      </c>
      <c r="H3072" t="s">
        <v>30</v>
      </c>
      <c r="I3072" t="b">
        <f>COUNTIF(Estadísticas!I:I,'centraldecomunicacion.es'!H3072)&gt;0</f>
        <v>0</v>
      </c>
    </row>
    <row r="3073" spans="1:9">
      <c r="A3073" t="s">
        <v>4079</v>
      </c>
      <c r="B3073" t="s">
        <v>10</v>
      </c>
      <c r="C3073" t="s">
        <v>11376</v>
      </c>
      <c r="D3073" t="s">
        <v>11373</v>
      </c>
      <c r="E3073" t="s">
        <v>6786</v>
      </c>
      <c r="F3073" t="s">
        <v>11377</v>
      </c>
      <c r="G3073" t="s">
        <v>11378</v>
      </c>
      <c r="H3073" t="s">
        <v>30</v>
      </c>
      <c r="I3073" t="b">
        <f>COUNTIF(Estadísticas!I:I,'centraldecomunicacion.es'!H3073)&gt;0</f>
        <v>0</v>
      </c>
    </row>
    <row r="3074" spans="1:9">
      <c r="A3074" t="s">
        <v>11379</v>
      </c>
      <c r="B3074" t="s">
        <v>10</v>
      </c>
      <c r="C3074" t="s">
        <v>11380</v>
      </c>
      <c r="D3074" t="s">
        <v>11373</v>
      </c>
      <c r="E3074" t="s">
        <v>6786</v>
      </c>
      <c r="F3074" t="s">
        <v>2353</v>
      </c>
      <c r="G3074" t="s">
        <v>11381</v>
      </c>
      <c r="H3074" t="s">
        <v>30</v>
      </c>
      <c r="I3074" t="b">
        <f>COUNTIF(Estadísticas!I:I,'centraldecomunicacion.es'!H3074)&gt;0</f>
        <v>0</v>
      </c>
    </row>
    <row r="3075" spans="1:9">
      <c r="A3075" t="s">
        <v>11382</v>
      </c>
      <c r="B3075" t="s">
        <v>10</v>
      </c>
      <c r="C3075" t="s">
        <v>11383</v>
      </c>
      <c r="D3075" t="s">
        <v>11384</v>
      </c>
      <c r="E3075" t="s">
        <v>6786</v>
      </c>
      <c r="F3075" t="s">
        <v>28</v>
      </c>
      <c r="G3075" t="s">
        <v>11385</v>
      </c>
      <c r="H3075" t="s">
        <v>30</v>
      </c>
      <c r="I3075" t="b">
        <f>COUNTIF(Estadísticas!I:I,'centraldecomunicacion.es'!H3075)&gt;0</f>
        <v>0</v>
      </c>
    </row>
    <row r="3076" spans="1:9">
      <c r="A3076" t="s">
        <v>11386</v>
      </c>
      <c r="B3076" t="s">
        <v>10</v>
      </c>
      <c r="C3076" t="s">
        <v>11387</v>
      </c>
      <c r="D3076" t="s">
        <v>11388</v>
      </c>
      <c r="E3076" t="s">
        <v>6786</v>
      </c>
      <c r="F3076" t="s">
        <v>11389</v>
      </c>
      <c r="G3076" t="s">
        <v>11390</v>
      </c>
      <c r="H3076" t="s">
        <v>11391</v>
      </c>
      <c r="I3076" t="b">
        <f>COUNTIF(Estadísticas!I:I,'centraldecomunicacion.es'!H3076)&gt;0</f>
        <v>0</v>
      </c>
    </row>
    <row r="3077" spans="1:9">
      <c r="A3077" t="s">
        <v>11392</v>
      </c>
      <c r="B3077" t="s">
        <v>10</v>
      </c>
      <c r="C3077" t="s">
        <v>11393</v>
      </c>
      <c r="D3077" t="s">
        <v>11384</v>
      </c>
      <c r="E3077" t="s">
        <v>6786</v>
      </c>
      <c r="F3077" t="s">
        <v>28</v>
      </c>
      <c r="G3077" t="s">
        <v>11394</v>
      </c>
      <c r="H3077" t="s">
        <v>30</v>
      </c>
      <c r="I3077" t="b">
        <f>COUNTIF(Estadísticas!I:I,'centraldecomunicacion.es'!H3077)&gt;0</f>
        <v>0</v>
      </c>
    </row>
    <row r="3078" spans="1:9">
      <c r="A3078" t="s">
        <v>11395</v>
      </c>
      <c r="B3078" t="s">
        <v>10</v>
      </c>
      <c r="C3078" t="s">
        <v>11396</v>
      </c>
      <c r="D3078" t="s">
        <v>11397</v>
      </c>
      <c r="E3078" t="s">
        <v>6786</v>
      </c>
      <c r="F3078" t="s">
        <v>11398</v>
      </c>
      <c r="G3078" t="s">
        <v>11399</v>
      </c>
      <c r="H3078" t="s">
        <v>30</v>
      </c>
      <c r="I3078" t="b">
        <f>COUNTIF(Estadísticas!I:I,'centraldecomunicacion.es'!H3078)&gt;0</f>
        <v>0</v>
      </c>
    </row>
    <row r="3079" spans="1:9">
      <c r="A3079" t="s">
        <v>11400</v>
      </c>
      <c r="B3079" t="s">
        <v>10</v>
      </c>
      <c r="C3079" t="s">
        <v>11401</v>
      </c>
      <c r="D3079" t="s">
        <v>11397</v>
      </c>
      <c r="E3079" t="s">
        <v>6786</v>
      </c>
      <c r="F3079" t="s">
        <v>28</v>
      </c>
      <c r="G3079" t="s">
        <v>28</v>
      </c>
      <c r="H3079" t="s">
        <v>30</v>
      </c>
      <c r="I3079" t="b">
        <f>COUNTIF(Estadísticas!I:I,'centraldecomunicacion.es'!H3079)&gt;0</f>
        <v>0</v>
      </c>
    </row>
    <row r="3080" spans="1:9">
      <c r="A3080" t="s">
        <v>11402</v>
      </c>
      <c r="B3080" t="s">
        <v>10</v>
      </c>
      <c r="C3080" t="s">
        <v>11403</v>
      </c>
      <c r="D3080" t="s">
        <v>11388</v>
      </c>
      <c r="E3080" t="s">
        <v>6786</v>
      </c>
      <c r="F3080" t="s">
        <v>11404</v>
      </c>
      <c r="G3080" t="s">
        <v>11405</v>
      </c>
      <c r="H3080" t="s">
        <v>30</v>
      </c>
      <c r="I3080" t="b">
        <f>COUNTIF(Estadísticas!I:I,'centraldecomunicacion.es'!H3080)&gt;0</f>
        <v>0</v>
      </c>
    </row>
    <row r="3081" spans="1:9">
      <c r="A3081" t="s">
        <v>11406</v>
      </c>
      <c r="B3081" t="s">
        <v>10</v>
      </c>
      <c r="C3081" t="s">
        <v>11407</v>
      </c>
      <c r="D3081" t="s">
        <v>11231</v>
      </c>
      <c r="E3081" t="s">
        <v>6786</v>
      </c>
      <c r="F3081" t="s">
        <v>28</v>
      </c>
      <c r="G3081" t="s">
        <v>11408</v>
      </c>
      <c r="H3081" t="s">
        <v>30</v>
      </c>
      <c r="I3081" t="b">
        <f>COUNTIF(Estadísticas!I:I,'centraldecomunicacion.es'!H3081)&gt;0</f>
        <v>0</v>
      </c>
    </row>
    <row r="3082" spans="1:9">
      <c r="A3082" t="s">
        <v>11409</v>
      </c>
      <c r="B3082" t="s">
        <v>10</v>
      </c>
      <c r="C3082" t="s">
        <v>11410</v>
      </c>
      <c r="D3082" t="s">
        <v>11411</v>
      </c>
      <c r="E3082" t="s">
        <v>6786</v>
      </c>
      <c r="F3082" t="s">
        <v>11353</v>
      </c>
      <c r="G3082" t="s">
        <v>11354</v>
      </c>
      <c r="H3082" t="s">
        <v>11355</v>
      </c>
      <c r="I3082" t="b">
        <f>COUNTIF(Estadísticas!I:I,'centraldecomunicacion.es'!H3082)&gt;0</f>
        <v>0</v>
      </c>
    </row>
    <row r="3083" spans="1:9">
      <c r="A3083" t="s">
        <v>11412</v>
      </c>
      <c r="B3083" t="s">
        <v>10</v>
      </c>
      <c r="C3083" t="s">
        <v>11413</v>
      </c>
      <c r="D3083" t="s">
        <v>11414</v>
      </c>
      <c r="E3083" t="s">
        <v>6786</v>
      </c>
      <c r="F3083" t="s">
        <v>11415</v>
      </c>
      <c r="G3083" t="s">
        <v>11416</v>
      </c>
      <c r="H3083" t="s">
        <v>30</v>
      </c>
      <c r="I3083" t="b">
        <f>COUNTIF(Estadísticas!I:I,'centraldecomunicacion.es'!H3083)&gt;0</f>
        <v>0</v>
      </c>
    </row>
    <row r="3084" spans="1:9">
      <c r="A3084" t="s">
        <v>11417</v>
      </c>
      <c r="B3084" t="s">
        <v>10</v>
      </c>
      <c r="C3084" t="s">
        <v>11418</v>
      </c>
      <c r="D3084" t="s">
        <v>11414</v>
      </c>
      <c r="E3084" t="s">
        <v>6786</v>
      </c>
      <c r="F3084" t="s">
        <v>28</v>
      </c>
      <c r="G3084" t="s">
        <v>11419</v>
      </c>
      <c r="H3084" t="s">
        <v>30</v>
      </c>
      <c r="I3084" t="b">
        <f>COUNTIF(Estadísticas!I:I,'centraldecomunicacion.es'!H3084)&gt;0</f>
        <v>0</v>
      </c>
    </row>
    <row r="3085" spans="1:9">
      <c r="A3085" t="s">
        <v>11420</v>
      </c>
      <c r="B3085" t="s">
        <v>10</v>
      </c>
      <c r="C3085" t="s">
        <v>11421</v>
      </c>
      <c r="D3085" t="s">
        <v>11414</v>
      </c>
      <c r="E3085" t="s">
        <v>6786</v>
      </c>
      <c r="F3085" t="s">
        <v>11422</v>
      </c>
      <c r="G3085" t="s">
        <v>11423</v>
      </c>
      <c r="H3085" t="s">
        <v>11424</v>
      </c>
      <c r="I3085" t="b">
        <f>COUNTIF(Estadísticas!I:I,'centraldecomunicacion.es'!H3085)&gt;0</f>
        <v>0</v>
      </c>
    </row>
    <row r="3086" spans="1:9">
      <c r="A3086" t="s">
        <v>11425</v>
      </c>
      <c r="B3086" t="s">
        <v>10</v>
      </c>
      <c r="C3086" t="s">
        <v>11426</v>
      </c>
      <c r="D3086" t="s">
        <v>11414</v>
      </c>
      <c r="E3086" t="s">
        <v>6786</v>
      </c>
      <c r="F3086" t="s">
        <v>11427</v>
      </c>
      <c r="G3086" t="s">
        <v>11428</v>
      </c>
      <c r="H3086" t="s">
        <v>691</v>
      </c>
      <c r="I3086" t="b">
        <f>COUNTIF(Estadísticas!I:I,'centraldecomunicacion.es'!H3086)&gt;0</f>
        <v>0</v>
      </c>
    </row>
    <row r="3087" spans="1:9">
      <c r="A3087" t="s">
        <v>11429</v>
      </c>
      <c r="B3087" t="s">
        <v>10</v>
      </c>
      <c r="C3087" t="s">
        <v>11430</v>
      </c>
      <c r="D3087" t="s">
        <v>11431</v>
      </c>
      <c r="E3087" t="s">
        <v>6786</v>
      </c>
      <c r="F3087" t="s">
        <v>28</v>
      </c>
      <c r="G3087" t="s">
        <v>11432</v>
      </c>
      <c r="H3087" t="s">
        <v>30</v>
      </c>
      <c r="I3087" t="b">
        <f>COUNTIF(Estadísticas!I:I,'centraldecomunicacion.es'!H3087)&gt;0</f>
        <v>0</v>
      </c>
    </row>
    <row r="3088" spans="1:9">
      <c r="A3088" t="s">
        <v>11433</v>
      </c>
      <c r="B3088" t="s">
        <v>10</v>
      </c>
      <c r="C3088" t="s">
        <v>11434</v>
      </c>
      <c r="D3088" t="s">
        <v>11414</v>
      </c>
      <c r="E3088" t="s">
        <v>6786</v>
      </c>
      <c r="F3088" t="s">
        <v>28</v>
      </c>
      <c r="G3088" t="s">
        <v>11435</v>
      </c>
      <c r="H3088" t="s">
        <v>30</v>
      </c>
      <c r="I3088" t="b">
        <f>COUNTIF(Estadísticas!I:I,'centraldecomunicacion.es'!H3088)&gt;0</f>
        <v>0</v>
      </c>
    </row>
    <row r="3089" spans="1:9">
      <c r="A3089" t="s">
        <v>11436</v>
      </c>
      <c r="B3089" t="s">
        <v>10</v>
      </c>
      <c r="C3089" t="s">
        <v>11437</v>
      </c>
      <c r="D3089" t="s">
        <v>11414</v>
      </c>
      <c r="E3089" t="s">
        <v>6786</v>
      </c>
      <c r="F3089" t="s">
        <v>11438</v>
      </c>
      <c r="G3089" t="s">
        <v>11439</v>
      </c>
      <c r="H3089" t="s">
        <v>11440</v>
      </c>
      <c r="I3089" t="b">
        <f>COUNTIF(Estadísticas!I:I,'centraldecomunicacion.es'!H3089)&gt;0</f>
        <v>0</v>
      </c>
    </row>
    <row r="3090" spans="1:9">
      <c r="A3090" t="s">
        <v>11441</v>
      </c>
      <c r="B3090" t="s">
        <v>10</v>
      </c>
      <c r="C3090" t="s">
        <v>11442</v>
      </c>
      <c r="D3090" t="s">
        <v>11414</v>
      </c>
      <c r="E3090" t="s">
        <v>6786</v>
      </c>
      <c r="F3090" t="s">
        <v>642</v>
      </c>
      <c r="G3090" t="s">
        <v>11443</v>
      </c>
      <c r="H3090" t="s">
        <v>30</v>
      </c>
      <c r="I3090" t="b">
        <f>COUNTIF(Estadísticas!I:I,'centraldecomunicacion.es'!H3090)&gt;0</f>
        <v>0</v>
      </c>
    </row>
    <row r="3091" spans="1:9">
      <c r="A3091" t="s">
        <v>11444</v>
      </c>
      <c r="B3091" t="s">
        <v>10</v>
      </c>
      <c r="C3091" t="s">
        <v>11445</v>
      </c>
      <c r="D3091" t="s">
        <v>11414</v>
      </c>
      <c r="E3091" t="s">
        <v>6786</v>
      </c>
      <c r="F3091" t="s">
        <v>28</v>
      </c>
      <c r="G3091" t="s">
        <v>11446</v>
      </c>
      <c r="H3091" t="s">
        <v>30</v>
      </c>
      <c r="I3091" t="b">
        <f>COUNTIF(Estadísticas!I:I,'centraldecomunicacion.es'!H3091)&gt;0</f>
        <v>0</v>
      </c>
    </row>
    <row r="3092" spans="1:9">
      <c r="A3092" t="s">
        <v>11447</v>
      </c>
      <c r="B3092" t="s">
        <v>10</v>
      </c>
      <c r="C3092" t="s">
        <v>11448</v>
      </c>
      <c r="D3092" t="s">
        <v>11414</v>
      </c>
      <c r="E3092" t="s">
        <v>6786</v>
      </c>
      <c r="F3092" t="s">
        <v>28</v>
      </c>
      <c r="G3092" t="s">
        <v>28</v>
      </c>
      <c r="H3092" t="s">
        <v>30</v>
      </c>
      <c r="I3092" t="b">
        <f>COUNTIF(Estadísticas!I:I,'centraldecomunicacion.es'!H3092)&gt;0</f>
        <v>0</v>
      </c>
    </row>
    <row r="3093" spans="1:9">
      <c r="A3093" t="s">
        <v>11449</v>
      </c>
      <c r="B3093" t="s">
        <v>10</v>
      </c>
      <c r="C3093" t="s">
        <v>11450</v>
      </c>
      <c r="D3093" t="s">
        <v>11414</v>
      </c>
      <c r="E3093" t="s">
        <v>6786</v>
      </c>
      <c r="F3093" t="s">
        <v>28</v>
      </c>
      <c r="G3093" t="s">
        <v>11451</v>
      </c>
      <c r="H3093" t="s">
        <v>30</v>
      </c>
      <c r="I3093" t="b">
        <f>COUNTIF(Estadísticas!I:I,'centraldecomunicacion.es'!H3093)&gt;0</f>
        <v>0</v>
      </c>
    </row>
    <row r="3094" spans="1:9">
      <c r="A3094" t="s">
        <v>11452</v>
      </c>
      <c r="B3094" t="s">
        <v>10</v>
      </c>
      <c r="C3094" t="s">
        <v>11453</v>
      </c>
      <c r="D3094" t="s">
        <v>11414</v>
      </c>
      <c r="E3094" t="s">
        <v>6786</v>
      </c>
      <c r="F3094" t="s">
        <v>11454</v>
      </c>
      <c r="G3094" t="s">
        <v>11455</v>
      </c>
      <c r="H3094" t="s">
        <v>11456</v>
      </c>
      <c r="I3094" t="b">
        <f>COUNTIF(Estadísticas!I:I,'centraldecomunicacion.es'!H3094)&gt;0</f>
        <v>0</v>
      </c>
    </row>
    <row r="3095" spans="1:9">
      <c r="A3095" t="s">
        <v>11457</v>
      </c>
      <c r="B3095" t="s">
        <v>10</v>
      </c>
      <c r="C3095" t="s">
        <v>11458</v>
      </c>
      <c r="D3095" t="s">
        <v>11414</v>
      </c>
      <c r="E3095" t="s">
        <v>6786</v>
      </c>
      <c r="F3095" t="s">
        <v>11459</v>
      </c>
      <c r="G3095" t="s">
        <v>11460</v>
      </c>
      <c r="H3095" t="s">
        <v>30</v>
      </c>
      <c r="I3095" t="b">
        <f>COUNTIF(Estadísticas!I:I,'centraldecomunicacion.es'!H3095)&gt;0</f>
        <v>0</v>
      </c>
    </row>
    <row r="3096" spans="1:9">
      <c r="A3096" t="s">
        <v>11461</v>
      </c>
      <c r="B3096" t="s">
        <v>10</v>
      </c>
      <c r="C3096" t="s">
        <v>11462</v>
      </c>
      <c r="D3096" t="s">
        <v>6785</v>
      </c>
      <c r="E3096" t="s">
        <v>6786</v>
      </c>
      <c r="F3096" t="s">
        <v>11463</v>
      </c>
      <c r="G3096" t="s">
        <v>11464</v>
      </c>
      <c r="H3096" t="s">
        <v>11465</v>
      </c>
      <c r="I3096" t="b">
        <f>COUNTIF(Estadísticas!I:I,'centraldecomunicacion.es'!H3096)&gt;0</f>
        <v>0</v>
      </c>
    </row>
    <row r="3097" spans="1:9">
      <c r="A3097" t="s">
        <v>11466</v>
      </c>
      <c r="B3097" t="s">
        <v>10</v>
      </c>
      <c r="C3097" t="s">
        <v>11467</v>
      </c>
      <c r="D3097" t="s">
        <v>11468</v>
      </c>
      <c r="E3097" t="s">
        <v>6786</v>
      </c>
      <c r="F3097" t="s">
        <v>11469</v>
      </c>
      <c r="G3097" t="s">
        <v>11470</v>
      </c>
      <c r="H3097" t="s">
        <v>11471</v>
      </c>
      <c r="I3097" t="b">
        <f>COUNTIF(Estadísticas!I:I,'centraldecomunicacion.es'!H3097)&gt;0</f>
        <v>1</v>
      </c>
    </row>
    <row r="3098" spans="1:9">
      <c r="A3098" t="s">
        <v>11472</v>
      </c>
      <c r="B3098" t="s">
        <v>10</v>
      </c>
      <c r="C3098" t="s">
        <v>11473</v>
      </c>
      <c r="D3098" t="s">
        <v>11474</v>
      </c>
      <c r="E3098" t="s">
        <v>6786</v>
      </c>
      <c r="F3098" t="s">
        <v>50</v>
      </c>
      <c r="G3098" t="s">
        <v>11475</v>
      </c>
      <c r="H3098" t="s">
        <v>30</v>
      </c>
      <c r="I3098" t="b">
        <f>COUNTIF(Estadísticas!I:I,'centraldecomunicacion.es'!H3098)&gt;0</f>
        <v>0</v>
      </c>
    </row>
    <row r="3099" spans="1:9">
      <c r="A3099" t="s">
        <v>11476</v>
      </c>
      <c r="B3099" t="s">
        <v>10</v>
      </c>
      <c r="C3099" t="s">
        <v>11477</v>
      </c>
      <c r="D3099" t="s">
        <v>11414</v>
      </c>
      <c r="E3099" t="s">
        <v>6786</v>
      </c>
      <c r="F3099" t="s">
        <v>28</v>
      </c>
      <c r="G3099" t="s">
        <v>11478</v>
      </c>
      <c r="H3099" t="s">
        <v>30</v>
      </c>
      <c r="I3099" t="b">
        <f>COUNTIF(Estadísticas!I:I,'centraldecomunicacion.es'!H3099)&gt;0</f>
        <v>0</v>
      </c>
    </row>
    <row r="3100" spans="1:9">
      <c r="A3100" t="s">
        <v>11479</v>
      </c>
      <c r="B3100" t="s">
        <v>10</v>
      </c>
      <c r="C3100" t="s">
        <v>11480</v>
      </c>
      <c r="D3100" t="s">
        <v>11414</v>
      </c>
      <c r="E3100" t="s">
        <v>6786</v>
      </c>
      <c r="F3100" t="s">
        <v>11481</v>
      </c>
      <c r="G3100" t="s">
        <v>11482</v>
      </c>
      <c r="H3100" t="s">
        <v>11483</v>
      </c>
      <c r="I3100" t="b">
        <f>COUNTIF(Estadísticas!I:I,'centraldecomunicacion.es'!H3100)&gt;0</f>
        <v>0</v>
      </c>
    </row>
    <row r="3101" spans="1:9">
      <c r="A3101" t="s">
        <v>2641</v>
      </c>
      <c r="B3101" t="s">
        <v>10</v>
      </c>
      <c r="C3101" t="s">
        <v>11484</v>
      </c>
      <c r="D3101" t="s">
        <v>11474</v>
      </c>
      <c r="E3101" t="s">
        <v>6786</v>
      </c>
      <c r="F3101" t="s">
        <v>28</v>
      </c>
      <c r="G3101" t="s">
        <v>11485</v>
      </c>
      <c r="H3101" t="s">
        <v>30</v>
      </c>
      <c r="I3101" t="b">
        <f>COUNTIF(Estadísticas!I:I,'centraldecomunicacion.es'!H3101)&gt;0</f>
        <v>0</v>
      </c>
    </row>
    <row r="3102" spans="1:9">
      <c r="A3102" t="s">
        <v>11486</v>
      </c>
      <c r="B3102" t="s">
        <v>10</v>
      </c>
      <c r="C3102" t="s">
        <v>11487</v>
      </c>
      <c r="D3102" t="s">
        <v>11468</v>
      </c>
      <c r="E3102" t="s">
        <v>6786</v>
      </c>
      <c r="F3102" t="s">
        <v>28</v>
      </c>
      <c r="G3102" t="s">
        <v>11488</v>
      </c>
      <c r="H3102" t="s">
        <v>30</v>
      </c>
      <c r="I3102" t="b">
        <f>COUNTIF(Estadísticas!I:I,'centraldecomunicacion.es'!H3102)&gt;0</f>
        <v>0</v>
      </c>
    </row>
    <row r="3103" spans="1:9">
      <c r="A3103" t="s">
        <v>11489</v>
      </c>
      <c r="B3103" t="s">
        <v>10</v>
      </c>
      <c r="C3103" t="s">
        <v>11490</v>
      </c>
      <c r="D3103" t="s">
        <v>11414</v>
      </c>
      <c r="E3103" t="s">
        <v>6786</v>
      </c>
      <c r="F3103" t="s">
        <v>28</v>
      </c>
      <c r="G3103" t="s">
        <v>11491</v>
      </c>
      <c r="H3103" t="s">
        <v>30</v>
      </c>
      <c r="I3103" t="b">
        <f>COUNTIF(Estadísticas!I:I,'centraldecomunicacion.es'!H3103)&gt;0</f>
        <v>0</v>
      </c>
    </row>
    <row r="3104" spans="1:9">
      <c r="A3104" t="s">
        <v>11492</v>
      </c>
      <c r="B3104" t="s">
        <v>10</v>
      </c>
      <c r="C3104" t="s">
        <v>11493</v>
      </c>
      <c r="D3104" t="s">
        <v>11494</v>
      </c>
      <c r="E3104" t="s">
        <v>6786</v>
      </c>
      <c r="F3104" t="s">
        <v>28</v>
      </c>
      <c r="G3104" t="s">
        <v>11495</v>
      </c>
      <c r="H3104" t="s">
        <v>30</v>
      </c>
      <c r="I3104" t="b">
        <f>COUNTIF(Estadísticas!I:I,'centraldecomunicacion.es'!H3104)&gt;0</f>
        <v>0</v>
      </c>
    </row>
    <row r="3105" spans="1:9">
      <c r="A3105" t="s">
        <v>11496</v>
      </c>
      <c r="B3105" t="s">
        <v>10</v>
      </c>
      <c r="C3105" t="s">
        <v>11497</v>
      </c>
      <c r="D3105" t="s">
        <v>11498</v>
      </c>
      <c r="E3105" t="s">
        <v>6786</v>
      </c>
      <c r="F3105" t="s">
        <v>11499</v>
      </c>
      <c r="G3105" t="s">
        <v>11500</v>
      </c>
      <c r="H3105" t="s">
        <v>30</v>
      </c>
      <c r="I3105" t="b">
        <f>COUNTIF(Estadísticas!I:I,'centraldecomunicacion.es'!H3105)&gt;0</f>
        <v>0</v>
      </c>
    </row>
    <row r="3106" spans="1:9">
      <c r="A3106" t="s">
        <v>11501</v>
      </c>
      <c r="B3106" t="s">
        <v>10</v>
      </c>
      <c r="C3106" t="s">
        <v>11502</v>
      </c>
      <c r="D3106" t="s">
        <v>11494</v>
      </c>
      <c r="E3106" t="s">
        <v>6786</v>
      </c>
      <c r="F3106" t="s">
        <v>28</v>
      </c>
      <c r="G3106" t="s">
        <v>11503</v>
      </c>
      <c r="H3106" t="s">
        <v>30</v>
      </c>
      <c r="I3106" t="b">
        <f>COUNTIF(Estadísticas!I:I,'centraldecomunicacion.es'!H3106)&gt;0</f>
        <v>0</v>
      </c>
    </row>
    <row r="3107" spans="1:9">
      <c r="A3107" t="s">
        <v>11504</v>
      </c>
      <c r="B3107" t="s">
        <v>10</v>
      </c>
      <c r="C3107" t="s">
        <v>11505</v>
      </c>
      <c r="D3107" t="s">
        <v>11414</v>
      </c>
      <c r="E3107" t="s">
        <v>6786</v>
      </c>
      <c r="F3107" t="s">
        <v>28</v>
      </c>
      <c r="G3107" t="s">
        <v>11506</v>
      </c>
      <c r="H3107" t="s">
        <v>30</v>
      </c>
      <c r="I3107" t="b">
        <f>COUNTIF(Estadísticas!I:I,'centraldecomunicacion.es'!H3107)&gt;0</f>
        <v>0</v>
      </c>
    </row>
    <row r="3108" spans="1:9">
      <c r="A3108" t="s">
        <v>11507</v>
      </c>
      <c r="B3108" t="s">
        <v>10</v>
      </c>
      <c r="C3108" t="s">
        <v>11508</v>
      </c>
      <c r="D3108" t="s">
        <v>11414</v>
      </c>
      <c r="E3108" t="s">
        <v>6786</v>
      </c>
      <c r="F3108" t="s">
        <v>11509</v>
      </c>
      <c r="G3108" t="s">
        <v>11510</v>
      </c>
      <c r="H3108" t="s">
        <v>11511</v>
      </c>
      <c r="I3108" t="b">
        <f>COUNTIF(Estadísticas!I:I,'centraldecomunicacion.es'!H3108)&gt;0</f>
        <v>0</v>
      </c>
    </row>
    <row r="3109" spans="1:9">
      <c r="A3109" t="s">
        <v>10</v>
      </c>
      <c r="B3109" t="s">
        <v>10</v>
      </c>
      <c r="C3109" t="s">
        <v>11512</v>
      </c>
      <c r="D3109" t="s">
        <v>11513</v>
      </c>
      <c r="E3109" t="s">
        <v>6786</v>
      </c>
      <c r="F3109" t="s">
        <v>1880</v>
      </c>
      <c r="G3109" t="s">
        <v>11514</v>
      </c>
      <c r="H3109" t="s">
        <v>30</v>
      </c>
      <c r="I3109" t="b">
        <f>COUNTIF(Estadísticas!I:I,'centraldecomunicacion.es'!H3109)&gt;0</f>
        <v>0</v>
      </c>
    </row>
    <row r="3110" spans="1:9">
      <c r="A3110" t="s">
        <v>11515</v>
      </c>
      <c r="B3110" t="s">
        <v>10</v>
      </c>
      <c r="C3110" t="s">
        <v>11516</v>
      </c>
      <c r="D3110" t="s">
        <v>11517</v>
      </c>
      <c r="E3110" t="s">
        <v>6786</v>
      </c>
      <c r="F3110" t="s">
        <v>28</v>
      </c>
      <c r="G3110" t="s">
        <v>11518</v>
      </c>
      <c r="H3110" t="s">
        <v>30</v>
      </c>
      <c r="I3110" t="b">
        <f>COUNTIF(Estadísticas!I:I,'centraldecomunicacion.es'!H3110)&gt;0</f>
        <v>0</v>
      </c>
    </row>
    <row r="3111" spans="1:9">
      <c r="A3111" t="s">
        <v>11519</v>
      </c>
      <c r="B3111" t="s">
        <v>10</v>
      </c>
      <c r="C3111" t="s">
        <v>11520</v>
      </c>
      <c r="D3111" t="s">
        <v>11521</v>
      </c>
      <c r="E3111" t="s">
        <v>6786</v>
      </c>
      <c r="F3111" t="s">
        <v>28</v>
      </c>
      <c r="G3111" t="s">
        <v>11522</v>
      </c>
      <c r="H3111" t="s">
        <v>30</v>
      </c>
      <c r="I3111" t="b">
        <f>COUNTIF(Estadísticas!I:I,'centraldecomunicacion.es'!H3111)&gt;0</f>
        <v>0</v>
      </c>
    </row>
    <row r="3112" spans="1:9">
      <c r="A3112" t="s">
        <v>11523</v>
      </c>
      <c r="B3112" t="s">
        <v>10</v>
      </c>
      <c r="C3112" t="s">
        <v>11524</v>
      </c>
      <c r="D3112" t="s">
        <v>11525</v>
      </c>
      <c r="E3112" t="s">
        <v>6786</v>
      </c>
      <c r="F3112" t="s">
        <v>28</v>
      </c>
      <c r="G3112" t="s">
        <v>11526</v>
      </c>
      <c r="H3112" t="s">
        <v>30</v>
      </c>
      <c r="I3112" t="b">
        <f>COUNTIF(Estadísticas!I:I,'centraldecomunicacion.es'!H3112)&gt;0</f>
        <v>0</v>
      </c>
    </row>
    <row r="3113" spans="1:9">
      <c r="A3113" t="s">
        <v>11527</v>
      </c>
      <c r="B3113" t="s">
        <v>10</v>
      </c>
      <c r="C3113" t="s">
        <v>11528</v>
      </c>
      <c r="D3113" t="s">
        <v>11529</v>
      </c>
      <c r="E3113" t="s">
        <v>6786</v>
      </c>
      <c r="F3113" t="s">
        <v>11530</v>
      </c>
      <c r="G3113" t="s">
        <v>11531</v>
      </c>
      <c r="H3113" t="s">
        <v>1242</v>
      </c>
      <c r="I3113" t="b">
        <f>COUNTIF(Estadísticas!I:I,'centraldecomunicacion.es'!H3113)&gt;0</f>
        <v>0</v>
      </c>
    </row>
    <row r="3114" spans="1:9">
      <c r="A3114" t="s">
        <v>4447</v>
      </c>
      <c r="B3114" t="s">
        <v>10</v>
      </c>
      <c r="C3114" t="s">
        <v>11532</v>
      </c>
      <c r="D3114" t="s">
        <v>11521</v>
      </c>
      <c r="E3114" t="s">
        <v>6786</v>
      </c>
      <c r="F3114" t="s">
        <v>28</v>
      </c>
      <c r="G3114" t="s">
        <v>28</v>
      </c>
      <c r="H3114" t="s">
        <v>30</v>
      </c>
      <c r="I3114" t="b">
        <f>COUNTIF(Estadísticas!I:I,'centraldecomunicacion.es'!H3114)&gt;0</f>
        <v>0</v>
      </c>
    </row>
    <row r="3115" spans="1:9">
      <c r="A3115" t="s">
        <v>11533</v>
      </c>
      <c r="B3115" t="s">
        <v>10</v>
      </c>
      <c r="C3115" t="s">
        <v>11534</v>
      </c>
      <c r="D3115" t="s">
        <v>11535</v>
      </c>
      <c r="E3115" t="s">
        <v>6786</v>
      </c>
      <c r="F3115" t="s">
        <v>28</v>
      </c>
      <c r="G3115" t="s">
        <v>11536</v>
      </c>
      <c r="H3115" t="s">
        <v>30</v>
      </c>
      <c r="I3115" t="b">
        <f>COUNTIF(Estadísticas!I:I,'centraldecomunicacion.es'!H3115)&gt;0</f>
        <v>0</v>
      </c>
    </row>
    <row r="3116" spans="1:9">
      <c r="A3116" t="s">
        <v>11537</v>
      </c>
      <c r="B3116" t="s">
        <v>10</v>
      </c>
      <c r="C3116" t="s">
        <v>11538</v>
      </c>
      <c r="D3116" t="s">
        <v>11498</v>
      </c>
      <c r="E3116" t="s">
        <v>6786</v>
      </c>
      <c r="F3116" t="s">
        <v>50</v>
      </c>
      <c r="G3116" t="s">
        <v>11539</v>
      </c>
      <c r="H3116" t="s">
        <v>30</v>
      </c>
      <c r="I3116" t="b">
        <f>COUNTIF(Estadísticas!I:I,'centraldecomunicacion.es'!H3116)&gt;0</f>
        <v>0</v>
      </c>
    </row>
    <row r="3117" spans="1:9">
      <c r="A3117" t="s">
        <v>6768</v>
      </c>
      <c r="B3117" t="s">
        <v>10</v>
      </c>
      <c r="C3117" t="s">
        <v>11540</v>
      </c>
      <c r="D3117" t="s">
        <v>11525</v>
      </c>
      <c r="E3117" t="s">
        <v>6786</v>
      </c>
      <c r="F3117" t="s">
        <v>28</v>
      </c>
      <c r="G3117" t="s">
        <v>11541</v>
      </c>
      <c r="H3117" t="s">
        <v>30</v>
      </c>
      <c r="I3117" t="b">
        <f>COUNTIF(Estadísticas!I:I,'centraldecomunicacion.es'!H3117)&gt;0</f>
        <v>0</v>
      </c>
    </row>
    <row r="3118" spans="1:9">
      <c r="A3118" t="s">
        <v>11542</v>
      </c>
      <c r="B3118" t="s">
        <v>10</v>
      </c>
      <c r="C3118" t="s">
        <v>11543</v>
      </c>
      <c r="D3118" t="s">
        <v>11529</v>
      </c>
      <c r="E3118" t="s">
        <v>6786</v>
      </c>
      <c r="F3118" t="s">
        <v>11544</v>
      </c>
      <c r="G3118" t="s">
        <v>11545</v>
      </c>
      <c r="H3118" t="s">
        <v>30</v>
      </c>
      <c r="I3118" t="b">
        <f>COUNTIF(Estadísticas!I:I,'centraldecomunicacion.es'!H3118)&gt;0</f>
        <v>0</v>
      </c>
    </row>
    <row r="3119" spans="1:9">
      <c r="A3119" t="s">
        <v>11476</v>
      </c>
      <c r="B3119" t="s">
        <v>10</v>
      </c>
      <c r="C3119" t="s">
        <v>11546</v>
      </c>
      <c r="D3119" t="s">
        <v>11529</v>
      </c>
      <c r="E3119" t="s">
        <v>6786</v>
      </c>
      <c r="F3119" t="s">
        <v>11547</v>
      </c>
      <c r="G3119" t="s">
        <v>11548</v>
      </c>
      <c r="H3119" t="s">
        <v>30</v>
      </c>
      <c r="I3119" t="b">
        <f>COUNTIF(Estadísticas!I:I,'centraldecomunicacion.es'!H3119)&gt;0</f>
        <v>0</v>
      </c>
    </row>
    <row r="3120" spans="1:9">
      <c r="A3120" t="s">
        <v>11549</v>
      </c>
      <c r="B3120" t="s">
        <v>219</v>
      </c>
      <c r="C3120" t="s">
        <v>11550</v>
      </c>
      <c r="D3120" t="s">
        <v>11414</v>
      </c>
      <c r="E3120" t="s">
        <v>6786</v>
      </c>
      <c r="F3120" t="s">
        <v>11551</v>
      </c>
      <c r="G3120" t="s">
        <v>11552</v>
      </c>
      <c r="H3120" t="s">
        <v>30</v>
      </c>
      <c r="I3120" t="b">
        <f>COUNTIF(Estadísticas!I:I,'centraldecomunicacion.es'!H3120)&gt;0</f>
        <v>0</v>
      </c>
    </row>
    <row r="3121" spans="1:9">
      <c r="A3121" t="s">
        <v>11553</v>
      </c>
      <c r="B3121" t="s">
        <v>10</v>
      </c>
      <c r="C3121" t="s">
        <v>11554</v>
      </c>
      <c r="D3121" t="s">
        <v>11529</v>
      </c>
      <c r="E3121" t="s">
        <v>6786</v>
      </c>
      <c r="F3121" t="s">
        <v>11555</v>
      </c>
      <c r="G3121" t="s">
        <v>11556</v>
      </c>
      <c r="H3121" t="s">
        <v>30</v>
      </c>
      <c r="I3121" t="b">
        <f>COUNTIF(Estadísticas!I:I,'centraldecomunicacion.es'!H3121)&gt;0</f>
        <v>0</v>
      </c>
    </row>
    <row r="3122" spans="1:9">
      <c r="A3122" t="s">
        <v>11557</v>
      </c>
      <c r="B3122" t="s">
        <v>10</v>
      </c>
      <c r="C3122" t="s">
        <v>11558</v>
      </c>
      <c r="D3122" t="s">
        <v>11559</v>
      </c>
      <c r="E3122" t="s">
        <v>6786</v>
      </c>
      <c r="F3122" t="s">
        <v>28</v>
      </c>
      <c r="G3122" t="s">
        <v>11560</v>
      </c>
      <c r="H3122" t="s">
        <v>30</v>
      </c>
      <c r="I3122" t="b">
        <f>COUNTIF(Estadísticas!I:I,'centraldecomunicacion.es'!H3122)&gt;0</f>
        <v>0</v>
      </c>
    </row>
    <row r="3123" spans="1:9">
      <c r="A3123" t="s">
        <v>11561</v>
      </c>
      <c r="B3123" t="s">
        <v>10</v>
      </c>
      <c r="C3123" t="s">
        <v>11562</v>
      </c>
      <c r="D3123" t="s">
        <v>11529</v>
      </c>
      <c r="E3123" t="s">
        <v>6786</v>
      </c>
      <c r="F3123" t="s">
        <v>28</v>
      </c>
      <c r="G3123" t="s">
        <v>11563</v>
      </c>
      <c r="H3123" t="s">
        <v>30</v>
      </c>
      <c r="I3123" t="b">
        <f>COUNTIF(Estadísticas!I:I,'centraldecomunicacion.es'!H3123)&gt;0</f>
        <v>0</v>
      </c>
    </row>
    <row r="3124" spans="1:9">
      <c r="A3124" t="s">
        <v>11564</v>
      </c>
      <c r="B3124" t="s">
        <v>10</v>
      </c>
      <c r="C3124" t="s">
        <v>11565</v>
      </c>
      <c r="D3124" t="s">
        <v>11535</v>
      </c>
      <c r="E3124" t="s">
        <v>6786</v>
      </c>
      <c r="F3124" t="s">
        <v>11566</v>
      </c>
      <c r="G3124" t="s">
        <v>11567</v>
      </c>
      <c r="H3124" t="s">
        <v>11568</v>
      </c>
      <c r="I3124" t="b">
        <f>COUNTIF(Estadísticas!I:I,'centraldecomunicacion.es'!H3124)&gt;0</f>
        <v>0</v>
      </c>
    </row>
    <row r="3125" spans="1:9">
      <c r="A3125" t="s">
        <v>11569</v>
      </c>
      <c r="B3125" t="s">
        <v>10</v>
      </c>
      <c r="C3125" t="s">
        <v>11570</v>
      </c>
      <c r="D3125" t="s">
        <v>11513</v>
      </c>
      <c r="E3125" t="s">
        <v>6786</v>
      </c>
      <c r="F3125" t="s">
        <v>28</v>
      </c>
      <c r="G3125" t="s">
        <v>11571</v>
      </c>
      <c r="H3125" t="s">
        <v>30</v>
      </c>
      <c r="I3125" t="b">
        <f>COUNTIF(Estadísticas!I:I,'centraldecomunicacion.es'!H3125)&gt;0</f>
        <v>0</v>
      </c>
    </row>
    <row r="3126" spans="1:9">
      <c r="A3126" t="s">
        <v>11572</v>
      </c>
      <c r="B3126" t="s">
        <v>10</v>
      </c>
      <c r="C3126" t="s">
        <v>11573</v>
      </c>
      <c r="D3126" t="s">
        <v>11574</v>
      </c>
      <c r="E3126" t="s">
        <v>6786</v>
      </c>
      <c r="F3126" t="s">
        <v>11575</v>
      </c>
      <c r="G3126" t="s">
        <v>11576</v>
      </c>
      <c r="H3126" t="s">
        <v>11577</v>
      </c>
      <c r="I3126" t="b">
        <f>COUNTIF(Estadísticas!I:I,'centraldecomunicacion.es'!H3126)&gt;0</f>
        <v>1</v>
      </c>
    </row>
    <row r="3127" spans="1:9">
      <c r="A3127" t="s">
        <v>11578</v>
      </c>
      <c r="B3127" t="s">
        <v>10</v>
      </c>
      <c r="C3127" t="s">
        <v>11579</v>
      </c>
      <c r="D3127" t="s">
        <v>11580</v>
      </c>
      <c r="E3127" t="s">
        <v>6786</v>
      </c>
      <c r="F3127" t="s">
        <v>50</v>
      </c>
      <c r="G3127" t="s">
        <v>11581</v>
      </c>
      <c r="H3127" t="s">
        <v>30</v>
      </c>
      <c r="I3127" t="b">
        <f>COUNTIF(Estadísticas!I:I,'centraldecomunicacion.es'!H3127)&gt;0</f>
        <v>0</v>
      </c>
    </row>
    <row r="3128" spans="1:9">
      <c r="A3128" t="s">
        <v>11582</v>
      </c>
      <c r="B3128" t="s">
        <v>10</v>
      </c>
      <c r="C3128" t="s">
        <v>11583</v>
      </c>
      <c r="D3128" t="s">
        <v>11535</v>
      </c>
      <c r="E3128" t="s">
        <v>6786</v>
      </c>
      <c r="F3128" t="s">
        <v>11584</v>
      </c>
      <c r="G3128" t="s">
        <v>11585</v>
      </c>
      <c r="H3128" t="s">
        <v>11586</v>
      </c>
      <c r="I3128" t="b">
        <f>COUNTIF(Estadísticas!I:I,'centraldecomunicacion.es'!H3128)&gt;0</f>
        <v>0</v>
      </c>
    </row>
    <row r="3129" spans="1:9">
      <c r="A3129" t="s">
        <v>11587</v>
      </c>
      <c r="B3129" t="s">
        <v>10</v>
      </c>
      <c r="C3129" t="s">
        <v>11588</v>
      </c>
      <c r="D3129" t="s">
        <v>11589</v>
      </c>
      <c r="E3129" t="s">
        <v>6786</v>
      </c>
      <c r="F3129" t="s">
        <v>28</v>
      </c>
      <c r="G3129" t="s">
        <v>11590</v>
      </c>
      <c r="H3129" t="s">
        <v>30</v>
      </c>
      <c r="I3129" t="b">
        <f>COUNTIF(Estadísticas!I:I,'centraldecomunicacion.es'!H3129)&gt;0</f>
        <v>0</v>
      </c>
    </row>
    <row r="3130" spans="1:9">
      <c r="A3130" t="s">
        <v>11591</v>
      </c>
      <c r="B3130" t="s">
        <v>10</v>
      </c>
      <c r="C3130" t="s">
        <v>11592</v>
      </c>
      <c r="D3130" t="s">
        <v>11574</v>
      </c>
      <c r="E3130" t="s">
        <v>6786</v>
      </c>
      <c r="F3130" t="s">
        <v>11593</v>
      </c>
      <c r="G3130" t="s">
        <v>11594</v>
      </c>
      <c r="H3130" t="s">
        <v>11595</v>
      </c>
      <c r="I3130" t="b">
        <f>COUNTIF(Estadísticas!I:I,'centraldecomunicacion.es'!H3130)&gt;0</f>
        <v>1</v>
      </c>
    </row>
    <row r="3131" spans="1:9">
      <c r="A3131" t="s">
        <v>11596</v>
      </c>
      <c r="B3131" t="s">
        <v>10</v>
      </c>
      <c r="C3131" t="s">
        <v>11597</v>
      </c>
      <c r="D3131" t="s">
        <v>11535</v>
      </c>
      <c r="E3131" t="s">
        <v>6786</v>
      </c>
      <c r="F3131" t="s">
        <v>28</v>
      </c>
      <c r="G3131" t="s">
        <v>11598</v>
      </c>
      <c r="H3131" t="s">
        <v>30</v>
      </c>
      <c r="I3131" t="b">
        <f>COUNTIF(Estadísticas!I:I,'centraldecomunicacion.es'!H3131)&gt;0</f>
        <v>0</v>
      </c>
    </row>
    <row r="3132" spans="1:9">
      <c r="A3132" t="s">
        <v>11599</v>
      </c>
      <c r="B3132" t="s">
        <v>10</v>
      </c>
      <c r="C3132" t="s">
        <v>11600</v>
      </c>
      <c r="D3132" t="s">
        <v>11601</v>
      </c>
      <c r="E3132" t="s">
        <v>6786</v>
      </c>
      <c r="F3132" t="s">
        <v>11602</v>
      </c>
      <c r="G3132" t="s">
        <v>11603</v>
      </c>
      <c r="H3132" t="s">
        <v>11604</v>
      </c>
      <c r="I3132" t="b">
        <f>COUNTIF(Estadísticas!I:I,'centraldecomunicacion.es'!H3132)&gt;0</f>
        <v>0</v>
      </c>
    </row>
    <row r="3133" spans="1:9">
      <c r="A3133" t="s">
        <v>11605</v>
      </c>
      <c r="B3133" t="s">
        <v>219</v>
      </c>
      <c r="C3133" t="s">
        <v>11606</v>
      </c>
      <c r="D3133" t="s">
        <v>11166</v>
      </c>
      <c r="E3133" t="s">
        <v>6786</v>
      </c>
      <c r="F3133" t="s">
        <v>28</v>
      </c>
      <c r="G3133" t="s">
        <v>11607</v>
      </c>
      <c r="H3133" t="s">
        <v>30</v>
      </c>
      <c r="I3133" t="b">
        <f>COUNTIF(Estadísticas!I:I,'centraldecomunicacion.es'!H3133)&gt;0</f>
        <v>0</v>
      </c>
    </row>
    <row r="3134" spans="1:9">
      <c r="A3134" t="s">
        <v>11608</v>
      </c>
      <c r="B3134" t="s">
        <v>10</v>
      </c>
      <c r="C3134" t="s">
        <v>11609</v>
      </c>
      <c r="D3134" t="s">
        <v>11610</v>
      </c>
      <c r="E3134" t="s">
        <v>6786</v>
      </c>
      <c r="F3134" t="s">
        <v>11611</v>
      </c>
      <c r="G3134" t="s">
        <v>11612</v>
      </c>
      <c r="H3134" t="s">
        <v>11613</v>
      </c>
      <c r="I3134" t="b">
        <f>COUNTIF(Estadísticas!I:I,'centraldecomunicacion.es'!H3134)&gt;0</f>
        <v>0</v>
      </c>
    </row>
    <row r="3135" spans="1:9">
      <c r="A3135" t="s">
        <v>11591</v>
      </c>
      <c r="B3135" t="s">
        <v>10</v>
      </c>
      <c r="C3135" t="s">
        <v>11614</v>
      </c>
      <c r="D3135" t="s">
        <v>11574</v>
      </c>
      <c r="E3135" t="s">
        <v>6786</v>
      </c>
      <c r="F3135" t="s">
        <v>50</v>
      </c>
      <c r="G3135" t="s">
        <v>11594</v>
      </c>
      <c r="H3135" t="s">
        <v>30</v>
      </c>
      <c r="I3135" t="b">
        <f>COUNTIF(Estadísticas!I:I,'centraldecomunicacion.es'!H3135)&gt;0</f>
        <v>0</v>
      </c>
    </row>
    <row r="3136" spans="1:9">
      <c r="A3136" t="s">
        <v>11615</v>
      </c>
      <c r="B3136" t="s">
        <v>10</v>
      </c>
      <c r="C3136" t="s">
        <v>11616</v>
      </c>
      <c r="D3136" t="s">
        <v>11617</v>
      </c>
      <c r="E3136" t="s">
        <v>6786</v>
      </c>
      <c r="F3136" t="s">
        <v>28</v>
      </c>
      <c r="G3136" t="s">
        <v>11618</v>
      </c>
      <c r="H3136" t="s">
        <v>30</v>
      </c>
      <c r="I3136" t="b">
        <f>COUNTIF(Estadísticas!I:I,'centraldecomunicacion.es'!H3136)&gt;0</f>
        <v>0</v>
      </c>
    </row>
    <row r="3137" spans="1:9">
      <c r="A3137" t="s">
        <v>11619</v>
      </c>
      <c r="B3137" t="s">
        <v>10</v>
      </c>
      <c r="C3137" t="s">
        <v>11620</v>
      </c>
      <c r="D3137" t="s">
        <v>11414</v>
      </c>
      <c r="E3137" t="s">
        <v>6786</v>
      </c>
      <c r="F3137" t="s">
        <v>28</v>
      </c>
      <c r="G3137" t="s">
        <v>28</v>
      </c>
      <c r="H3137" t="s">
        <v>30</v>
      </c>
      <c r="I3137" t="b">
        <f>COUNTIF(Estadísticas!I:I,'centraldecomunicacion.es'!H3137)&gt;0</f>
        <v>0</v>
      </c>
    </row>
    <row r="3138" spans="1:9">
      <c r="A3138" t="s">
        <v>11621</v>
      </c>
      <c r="B3138" t="s">
        <v>10</v>
      </c>
      <c r="C3138" t="s">
        <v>11622</v>
      </c>
      <c r="D3138" t="s">
        <v>11623</v>
      </c>
      <c r="E3138" t="s">
        <v>6786</v>
      </c>
      <c r="F3138" t="s">
        <v>11624</v>
      </c>
      <c r="G3138" t="s">
        <v>11625</v>
      </c>
      <c r="H3138" t="s">
        <v>30</v>
      </c>
      <c r="I3138" t="b">
        <f>COUNTIF(Estadísticas!I:I,'centraldecomunicacion.es'!H3138)&gt;0</f>
        <v>0</v>
      </c>
    </row>
    <row r="3139" spans="1:9">
      <c r="A3139" t="s">
        <v>11626</v>
      </c>
      <c r="B3139" t="s">
        <v>10</v>
      </c>
      <c r="C3139" t="s">
        <v>11627</v>
      </c>
      <c r="D3139" t="s">
        <v>11617</v>
      </c>
      <c r="E3139" t="s">
        <v>6786</v>
      </c>
      <c r="F3139" t="s">
        <v>28</v>
      </c>
      <c r="G3139" t="s">
        <v>11628</v>
      </c>
      <c r="H3139" t="s">
        <v>30</v>
      </c>
      <c r="I3139" t="b">
        <f>COUNTIF(Estadísticas!I:I,'centraldecomunicacion.es'!H3139)&gt;0</f>
        <v>0</v>
      </c>
    </row>
    <row r="3140" spans="1:9">
      <c r="A3140" t="s">
        <v>11629</v>
      </c>
      <c r="B3140" t="s">
        <v>10</v>
      </c>
      <c r="C3140" t="s">
        <v>11630</v>
      </c>
      <c r="D3140" t="s">
        <v>11631</v>
      </c>
      <c r="E3140" t="s">
        <v>6786</v>
      </c>
      <c r="F3140" t="s">
        <v>11632</v>
      </c>
      <c r="G3140" t="s">
        <v>11633</v>
      </c>
      <c r="H3140" t="s">
        <v>691</v>
      </c>
      <c r="I3140" t="b">
        <f>COUNTIF(Estadísticas!I:I,'centraldecomunicacion.es'!H3140)&gt;0</f>
        <v>0</v>
      </c>
    </row>
    <row r="3141" spans="1:9">
      <c r="A3141" t="s">
        <v>2949</v>
      </c>
      <c r="B3141" t="s">
        <v>10</v>
      </c>
      <c r="C3141" t="s">
        <v>11634</v>
      </c>
      <c r="D3141" t="s">
        <v>11635</v>
      </c>
      <c r="E3141" t="s">
        <v>6786</v>
      </c>
      <c r="F3141" t="s">
        <v>28</v>
      </c>
      <c r="G3141" t="s">
        <v>11636</v>
      </c>
      <c r="H3141" t="s">
        <v>30</v>
      </c>
      <c r="I3141" t="b">
        <f>COUNTIF(Estadísticas!I:I,'centraldecomunicacion.es'!H3141)&gt;0</f>
        <v>0</v>
      </c>
    </row>
    <row r="3142" spans="1:9">
      <c r="A3142" t="s">
        <v>11637</v>
      </c>
      <c r="B3142" t="s">
        <v>10</v>
      </c>
      <c r="C3142" t="s">
        <v>11638</v>
      </c>
      <c r="D3142" t="s">
        <v>11639</v>
      </c>
      <c r="E3142" t="s">
        <v>6786</v>
      </c>
      <c r="F3142" t="s">
        <v>11640</v>
      </c>
      <c r="G3142" t="s">
        <v>11641</v>
      </c>
      <c r="H3142" t="s">
        <v>30</v>
      </c>
      <c r="I3142" t="b">
        <f>COUNTIF(Estadísticas!I:I,'centraldecomunicacion.es'!H3142)&gt;0</f>
        <v>0</v>
      </c>
    </row>
    <row r="3143" spans="1:9">
      <c r="A3143" t="s">
        <v>11642</v>
      </c>
      <c r="B3143" t="s">
        <v>10</v>
      </c>
      <c r="C3143" t="s">
        <v>11643</v>
      </c>
      <c r="D3143" t="s">
        <v>11644</v>
      </c>
      <c r="E3143" t="s">
        <v>6786</v>
      </c>
      <c r="F3143" t="s">
        <v>38</v>
      </c>
      <c r="G3143" t="s">
        <v>11645</v>
      </c>
      <c r="H3143" t="s">
        <v>30</v>
      </c>
      <c r="I3143" t="b">
        <f>COUNTIF(Estadísticas!I:I,'centraldecomunicacion.es'!H3143)&gt;0</f>
        <v>0</v>
      </c>
    </row>
    <row r="3144" spans="1:9">
      <c r="A3144" t="s">
        <v>11646</v>
      </c>
      <c r="B3144" t="s">
        <v>10</v>
      </c>
      <c r="C3144" t="s">
        <v>11647</v>
      </c>
      <c r="D3144" t="s">
        <v>11644</v>
      </c>
      <c r="E3144" t="s">
        <v>6786</v>
      </c>
      <c r="F3144" t="s">
        <v>28</v>
      </c>
      <c r="G3144" t="s">
        <v>11648</v>
      </c>
      <c r="H3144" t="s">
        <v>30</v>
      </c>
      <c r="I3144" t="b">
        <f>COUNTIF(Estadísticas!I:I,'centraldecomunicacion.es'!H3144)&gt;0</f>
        <v>0</v>
      </c>
    </row>
    <row r="3145" spans="1:9">
      <c r="A3145" t="s">
        <v>11649</v>
      </c>
      <c r="B3145" t="s">
        <v>10</v>
      </c>
      <c r="C3145" t="s">
        <v>11650</v>
      </c>
      <c r="D3145" t="s">
        <v>11651</v>
      </c>
      <c r="E3145" t="s">
        <v>6786</v>
      </c>
      <c r="F3145" t="s">
        <v>28</v>
      </c>
      <c r="G3145" t="s">
        <v>11652</v>
      </c>
      <c r="H3145" t="s">
        <v>30</v>
      </c>
      <c r="I3145" t="b">
        <f>COUNTIF(Estadísticas!I:I,'centraldecomunicacion.es'!H3145)&gt;0</f>
        <v>0</v>
      </c>
    </row>
    <row r="3146" spans="1:9">
      <c r="A3146" t="s">
        <v>11653</v>
      </c>
      <c r="B3146" t="s">
        <v>10</v>
      </c>
      <c r="C3146" t="s">
        <v>11654</v>
      </c>
      <c r="D3146" t="s">
        <v>11655</v>
      </c>
      <c r="E3146" t="s">
        <v>6786</v>
      </c>
      <c r="F3146" t="s">
        <v>11656</v>
      </c>
      <c r="G3146" t="s">
        <v>11657</v>
      </c>
      <c r="H3146" t="s">
        <v>11658</v>
      </c>
      <c r="I3146" t="b">
        <f>COUNTIF(Estadísticas!I:I,'centraldecomunicacion.es'!H3146)&gt;0</f>
        <v>0</v>
      </c>
    </row>
    <row r="3147" spans="1:9">
      <c r="A3147" t="s">
        <v>5908</v>
      </c>
      <c r="B3147" t="s">
        <v>10</v>
      </c>
      <c r="C3147" t="s">
        <v>11659</v>
      </c>
      <c r="D3147" t="s">
        <v>11639</v>
      </c>
      <c r="E3147" t="s">
        <v>6786</v>
      </c>
      <c r="F3147" t="s">
        <v>11660</v>
      </c>
      <c r="G3147" t="s">
        <v>11661</v>
      </c>
      <c r="H3147" t="s">
        <v>11662</v>
      </c>
      <c r="I3147" t="b">
        <f>COUNTIF(Estadísticas!I:I,'centraldecomunicacion.es'!H3147)&gt;0</f>
        <v>0</v>
      </c>
    </row>
    <row r="3148" spans="1:9">
      <c r="A3148" t="s">
        <v>11663</v>
      </c>
      <c r="B3148" t="s">
        <v>10</v>
      </c>
      <c r="C3148" t="s">
        <v>11664</v>
      </c>
      <c r="D3148" t="s">
        <v>11644</v>
      </c>
      <c r="E3148" t="s">
        <v>6786</v>
      </c>
      <c r="F3148" t="s">
        <v>11665</v>
      </c>
      <c r="G3148" t="s">
        <v>11666</v>
      </c>
      <c r="H3148" t="s">
        <v>11667</v>
      </c>
      <c r="I3148" t="b">
        <f>COUNTIF(Estadísticas!I:I,'centraldecomunicacion.es'!H3148)&gt;0</f>
        <v>0</v>
      </c>
    </row>
    <row r="3149" spans="1:9">
      <c r="A3149" t="s">
        <v>11668</v>
      </c>
      <c r="B3149" t="s">
        <v>10</v>
      </c>
      <c r="C3149" t="s">
        <v>11669</v>
      </c>
      <c r="D3149" t="s">
        <v>11670</v>
      </c>
      <c r="E3149" t="s">
        <v>6786</v>
      </c>
      <c r="F3149" t="s">
        <v>28</v>
      </c>
      <c r="G3149" t="s">
        <v>11671</v>
      </c>
      <c r="H3149" t="s">
        <v>30</v>
      </c>
      <c r="I3149" t="b">
        <f>COUNTIF(Estadísticas!I:I,'centraldecomunicacion.es'!H3149)&gt;0</f>
        <v>0</v>
      </c>
    </row>
    <row r="3150" spans="1:9">
      <c r="A3150" t="s">
        <v>11672</v>
      </c>
      <c r="B3150" t="s">
        <v>10</v>
      </c>
      <c r="C3150" t="s">
        <v>11673</v>
      </c>
      <c r="D3150" t="s">
        <v>11535</v>
      </c>
      <c r="E3150" t="s">
        <v>6786</v>
      </c>
      <c r="F3150" t="s">
        <v>28</v>
      </c>
      <c r="G3150" t="s">
        <v>11674</v>
      </c>
      <c r="H3150" t="s">
        <v>30</v>
      </c>
      <c r="I3150" t="b">
        <f>COUNTIF(Estadísticas!I:I,'centraldecomunicacion.es'!H3150)&gt;0</f>
        <v>0</v>
      </c>
    </row>
    <row r="3151" spans="1:9">
      <c r="A3151" t="s">
        <v>11675</v>
      </c>
      <c r="B3151" t="s">
        <v>10</v>
      </c>
      <c r="C3151" t="s">
        <v>11676</v>
      </c>
      <c r="D3151" t="s">
        <v>11513</v>
      </c>
      <c r="E3151" t="s">
        <v>6786</v>
      </c>
      <c r="F3151" t="s">
        <v>11677</v>
      </c>
      <c r="G3151" t="s">
        <v>11678</v>
      </c>
      <c r="H3151" t="s">
        <v>11679</v>
      </c>
      <c r="I3151" t="b">
        <f>COUNTIF(Estadísticas!I:I,'centraldecomunicacion.es'!H3151)&gt;0</f>
        <v>0</v>
      </c>
    </row>
    <row r="3152" spans="1:9">
      <c r="A3152" t="s">
        <v>11680</v>
      </c>
      <c r="B3152" t="s">
        <v>10</v>
      </c>
      <c r="C3152" t="s">
        <v>11681</v>
      </c>
      <c r="D3152" t="s">
        <v>11682</v>
      </c>
      <c r="E3152" t="s">
        <v>6786</v>
      </c>
      <c r="F3152" t="s">
        <v>11683</v>
      </c>
      <c r="G3152" t="s">
        <v>11684</v>
      </c>
      <c r="H3152" t="s">
        <v>11685</v>
      </c>
      <c r="I3152" t="b">
        <f>COUNTIF(Estadísticas!I:I,'centraldecomunicacion.es'!H3152)&gt;0</f>
        <v>1</v>
      </c>
    </row>
    <row r="3153" spans="1:9">
      <c r="A3153" t="s">
        <v>4914</v>
      </c>
      <c r="B3153" t="s">
        <v>10</v>
      </c>
      <c r="C3153" t="s">
        <v>11686</v>
      </c>
      <c r="D3153" t="s">
        <v>11670</v>
      </c>
      <c r="E3153" t="s">
        <v>6786</v>
      </c>
      <c r="F3153" t="s">
        <v>11687</v>
      </c>
      <c r="G3153" t="s">
        <v>11688</v>
      </c>
      <c r="H3153" t="s">
        <v>11689</v>
      </c>
      <c r="I3153" t="b">
        <f>COUNTIF(Estadísticas!I:I,'centraldecomunicacion.es'!H3153)&gt;0</f>
        <v>0</v>
      </c>
    </row>
    <row r="3154" spans="1:9">
      <c r="A3154" t="s">
        <v>11690</v>
      </c>
      <c r="B3154" t="s">
        <v>10</v>
      </c>
      <c r="C3154" t="s">
        <v>11691</v>
      </c>
      <c r="D3154" t="s">
        <v>11589</v>
      </c>
      <c r="E3154" t="s">
        <v>6786</v>
      </c>
      <c r="F3154" t="s">
        <v>11692</v>
      </c>
      <c r="G3154" t="s">
        <v>11693</v>
      </c>
      <c r="H3154" t="s">
        <v>30</v>
      </c>
      <c r="I3154" t="b">
        <f>COUNTIF(Estadísticas!I:I,'centraldecomunicacion.es'!H3154)&gt;0</f>
        <v>0</v>
      </c>
    </row>
    <row r="3155" spans="1:9">
      <c r="A3155" t="s">
        <v>11694</v>
      </c>
      <c r="B3155" t="s">
        <v>10</v>
      </c>
      <c r="C3155" t="s">
        <v>11695</v>
      </c>
      <c r="D3155" t="s">
        <v>11696</v>
      </c>
      <c r="E3155" t="s">
        <v>6786</v>
      </c>
      <c r="F3155" t="s">
        <v>11697</v>
      </c>
      <c r="G3155" t="s">
        <v>11698</v>
      </c>
      <c r="H3155" t="s">
        <v>30</v>
      </c>
      <c r="I3155" t="b">
        <f>COUNTIF(Estadísticas!I:I,'centraldecomunicacion.es'!H3155)&gt;0</f>
        <v>0</v>
      </c>
    </row>
    <row r="3156" spans="1:9">
      <c r="A3156" t="s">
        <v>11699</v>
      </c>
      <c r="B3156" t="s">
        <v>10</v>
      </c>
      <c r="C3156" t="s">
        <v>11700</v>
      </c>
      <c r="D3156" t="s">
        <v>11701</v>
      </c>
      <c r="E3156" t="s">
        <v>6786</v>
      </c>
      <c r="F3156" t="s">
        <v>5492</v>
      </c>
      <c r="G3156" t="s">
        <v>11702</v>
      </c>
      <c r="H3156" t="s">
        <v>5494</v>
      </c>
      <c r="I3156" t="b">
        <f>COUNTIF(Estadísticas!I:I,'centraldecomunicacion.es'!H3156)&gt;0</f>
        <v>1</v>
      </c>
    </row>
    <row r="3157" spans="1:9">
      <c r="A3157" t="s">
        <v>11703</v>
      </c>
      <c r="B3157" t="s">
        <v>10</v>
      </c>
      <c r="C3157" t="s">
        <v>11704</v>
      </c>
      <c r="D3157" t="s">
        <v>11705</v>
      </c>
      <c r="E3157" t="s">
        <v>11706</v>
      </c>
      <c r="F3157" t="s">
        <v>50</v>
      </c>
      <c r="G3157" t="s">
        <v>11707</v>
      </c>
      <c r="H3157" t="s">
        <v>30</v>
      </c>
      <c r="I3157" t="b">
        <f>COUNTIF(Estadísticas!I:I,'centraldecomunicacion.es'!H3157)&gt;0</f>
        <v>0</v>
      </c>
    </row>
    <row r="3158" spans="1:9">
      <c r="A3158" t="s">
        <v>11708</v>
      </c>
      <c r="B3158" t="s">
        <v>10</v>
      </c>
      <c r="C3158" t="s">
        <v>11709</v>
      </c>
      <c r="D3158" t="s">
        <v>11705</v>
      </c>
      <c r="E3158" t="s">
        <v>11706</v>
      </c>
      <c r="F3158" t="s">
        <v>11710</v>
      </c>
      <c r="G3158" t="s">
        <v>11711</v>
      </c>
      <c r="H3158" t="s">
        <v>11712</v>
      </c>
      <c r="I3158" t="b">
        <f>COUNTIF(Estadísticas!I:I,'centraldecomunicacion.es'!H3158)&gt;0</f>
        <v>0</v>
      </c>
    </row>
    <row r="3159" spans="1:9">
      <c r="A3159" t="s">
        <v>11713</v>
      </c>
      <c r="B3159" t="s">
        <v>10</v>
      </c>
      <c r="C3159" t="s">
        <v>11714</v>
      </c>
      <c r="D3159" t="s">
        <v>11715</v>
      </c>
      <c r="E3159" t="s">
        <v>11706</v>
      </c>
      <c r="F3159" t="s">
        <v>11716</v>
      </c>
      <c r="G3159" t="s">
        <v>11717</v>
      </c>
      <c r="H3159" t="s">
        <v>11718</v>
      </c>
      <c r="I3159" t="b">
        <f>COUNTIF(Estadísticas!I:I,'centraldecomunicacion.es'!H3159)&gt;0</f>
        <v>0</v>
      </c>
    </row>
    <row r="3160" spans="1:9">
      <c r="A3160" t="s">
        <v>11719</v>
      </c>
      <c r="B3160" t="s">
        <v>10</v>
      </c>
      <c r="C3160" t="s">
        <v>11720</v>
      </c>
      <c r="D3160" t="s">
        <v>11715</v>
      </c>
      <c r="E3160" t="s">
        <v>11706</v>
      </c>
      <c r="F3160" t="s">
        <v>28</v>
      </c>
      <c r="G3160" t="s">
        <v>11721</v>
      </c>
      <c r="H3160" t="s">
        <v>30</v>
      </c>
      <c r="I3160" t="b">
        <f>COUNTIF(Estadísticas!I:I,'centraldecomunicacion.es'!H3160)&gt;0</f>
        <v>0</v>
      </c>
    </row>
    <row r="3161" spans="1:9">
      <c r="A3161" t="s">
        <v>11722</v>
      </c>
      <c r="B3161" t="s">
        <v>10</v>
      </c>
      <c r="C3161" t="s">
        <v>11723</v>
      </c>
      <c r="D3161" t="s">
        <v>11715</v>
      </c>
      <c r="E3161" t="s">
        <v>11706</v>
      </c>
      <c r="F3161" t="s">
        <v>11724</v>
      </c>
      <c r="G3161" t="s">
        <v>11725</v>
      </c>
      <c r="H3161" t="s">
        <v>11726</v>
      </c>
      <c r="I3161" t="b">
        <f>COUNTIF(Estadísticas!I:I,'centraldecomunicacion.es'!H3161)&gt;0</f>
        <v>0</v>
      </c>
    </row>
    <row r="3162" spans="1:9">
      <c r="A3162" t="s">
        <v>11727</v>
      </c>
      <c r="B3162" t="s">
        <v>10</v>
      </c>
      <c r="C3162" t="s">
        <v>11728</v>
      </c>
      <c r="D3162" t="s">
        <v>11715</v>
      </c>
      <c r="E3162" t="s">
        <v>11706</v>
      </c>
      <c r="F3162" t="s">
        <v>11729</v>
      </c>
      <c r="G3162" t="s">
        <v>11730</v>
      </c>
      <c r="H3162" t="s">
        <v>11731</v>
      </c>
      <c r="I3162" t="b">
        <f>COUNTIF(Estadísticas!I:I,'centraldecomunicacion.es'!H3162)&gt;0</f>
        <v>0</v>
      </c>
    </row>
    <row r="3163" spans="1:9">
      <c r="A3163" t="s">
        <v>11732</v>
      </c>
      <c r="B3163" t="s">
        <v>10</v>
      </c>
      <c r="C3163" t="s">
        <v>11733</v>
      </c>
      <c r="D3163" t="s">
        <v>11715</v>
      </c>
      <c r="E3163" t="s">
        <v>11706</v>
      </c>
      <c r="F3163" t="s">
        <v>11729</v>
      </c>
      <c r="G3163" t="s">
        <v>11734</v>
      </c>
      <c r="H3163" t="s">
        <v>11731</v>
      </c>
      <c r="I3163" t="b">
        <f>COUNTIF(Estadísticas!I:I,'centraldecomunicacion.es'!H3163)&gt;0</f>
        <v>0</v>
      </c>
    </row>
    <row r="3164" spans="1:9">
      <c r="A3164" t="s">
        <v>11735</v>
      </c>
      <c r="B3164" t="s">
        <v>10</v>
      </c>
      <c r="C3164" t="s">
        <v>11736</v>
      </c>
      <c r="D3164" t="s">
        <v>11715</v>
      </c>
      <c r="E3164" t="s">
        <v>11706</v>
      </c>
      <c r="F3164" t="s">
        <v>28</v>
      </c>
      <c r="G3164" t="s">
        <v>11737</v>
      </c>
      <c r="H3164" t="s">
        <v>30</v>
      </c>
      <c r="I3164" t="b">
        <f>COUNTIF(Estadísticas!I:I,'centraldecomunicacion.es'!H3164)&gt;0</f>
        <v>0</v>
      </c>
    </row>
    <row r="3165" spans="1:9">
      <c r="A3165" t="s">
        <v>11738</v>
      </c>
      <c r="B3165" t="s">
        <v>10</v>
      </c>
      <c r="C3165" t="s">
        <v>11739</v>
      </c>
      <c r="D3165" t="s">
        <v>11715</v>
      </c>
      <c r="E3165" t="s">
        <v>11706</v>
      </c>
      <c r="F3165" t="s">
        <v>11740</v>
      </c>
      <c r="G3165" t="s">
        <v>11741</v>
      </c>
      <c r="H3165" t="s">
        <v>30</v>
      </c>
      <c r="I3165" t="b">
        <f>COUNTIF(Estadísticas!I:I,'centraldecomunicacion.es'!H3165)&gt;0</f>
        <v>0</v>
      </c>
    </row>
    <row r="3166" spans="1:9">
      <c r="A3166" t="s">
        <v>4372</v>
      </c>
      <c r="B3166" t="s">
        <v>10</v>
      </c>
      <c r="C3166" t="s">
        <v>11742</v>
      </c>
      <c r="D3166" t="s">
        <v>11715</v>
      </c>
      <c r="E3166" t="s">
        <v>11706</v>
      </c>
      <c r="F3166" t="s">
        <v>11743</v>
      </c>
      <c r="G3166" t="s">
        <v>11744</v>
      </c>
      <c r="H3166" t="s">
        <v>11745</v>
      </c>
      <c r="I3166" t="b">
        <f>COUNTIF(Estadísticas!I:I,'centraldecomunicacion.es'!H3166)&gt;0</f>
        <v>1</v>
      </c>
    </row>
    <row r="3167" spans="1:9">
      <c r="A3167" t="s">
        <v>11746</v>
      </c>
      <c r="B3167" t="s">
        <v>10</v>
      </c>
      <c r="C3167" t="s">
        <v>11747</v>
      </c>
      <c r="D3167" t="s">
        <v>11715</v>
      </c>
      <c r="E3167" t="s">
        <v>11706</v>
      </c>
      <c r="F3167" t="s">
        <v>11748</v>
      </c>
      <c r="G3167" t="s">
        <v>11749</v>
      </c>
      <c r="H3167" t="s">
        <v>30</v>
      </c>
      <c r="I3167" t="b">
        <f>COUNTIF(Estadísticas!I:I,'centraldecomunicacion.es'!H3167)&gt;0</f>
        <v>0</v>
      </c>
    </row>
    <row r="3168" spans="1:9">
      <c r="A3168" t="s">
        <v>11750</v>
      </c>
      <c r="B3168" t="s">
        <v>10</v>
      </c>
      <c r="C3168" t="s">
        <v>11751</v>
      </c>
      <c r="D3168" t="s">
        <v>11715</v>
      </c>
      <c r="E3168" t="s">
        <v>11752</v>
      </c>
      <c r="F3168" t="s">
        <v>11753</v>
      </c>
      <c r="G3168" t="s">
        <v>11754</v>
      </c>
      <c r="H3168" t="s">
        <v>30</v>
      </c>
      <c r="I3168" t="b">
        <f>COUNTIF(Estadísticas!I:I,'centraldecomunicacion.es'!H3168)&gt;0</f>
        <v>0</v>
      </c>
    </row>
    <row r="3169" spans="1:9">
      <c r="A3169" t="s">
        <v>11755</v>
      </c>
      <c r="B3169" t="s">
        <v>10</v>
      </c>
      <c r="C3169" t="s">
        <v>11756</v>
      </c>
      <c r="D3169" t="s">
        <v>11715</v>
      </c>
      <c r="E3169" t="s">
        <v>11706</v>
      </c>
      <c r="F3169" t="s">
        <v>28</v>
      </c>
      <c r="G3169" t="s">
        <v>11757</v>
      </c>
      <c r="H3169" t="s">
        <v>30</v>
      </c>
      <c r="I3169" t="b">
        <f>COUNTIF(Estadísticas!I:I,'centraldecomunicacion.es'!H3169)&gt;0</f>
        <v>0</v>
      </c>
    </row>
    <row r="3170" spans="1:9">
      <c r="A3170" t="s">
        <v>11758</v>
      </c>
      <c r="B3170" t="s">
        <v>10</v>
      </c>
      <c r="C3170" t="s">
        <v>11759</v>
      </c>
      <c r="D3170" t="s">
        <v>11715</v>
      </c>
      <c r="E3170" t="s">
        <v>11752</v>
      </c>
      <c r="F3170" t="s">
        <v>11760</v>
      </c>
      <c r="G3170" t="s">
        <v>11761</v>
      </c>
      <c r="H3170" t="s">
        <v>5008</v>
      </c>
      <c r="I3170" t="b">
        <f>COUNTIF(Estadísticas!I:I,'centraldecomunicacion.es'!H3170)&gt;0</f>
        <v>0</v>
      </c>
    </row>
    <row r="3171" spans="1:9">
      <c r="A3171" t="s">
        <v>11762</v>
      </c>
      <c r="B3171" t="s">
        <v>10</v>
      </c>
      <c r="C3171" t="s">
        <v>11763</v>
      </c>
      <c r="D3171" t="s">
        <v>11715</v>
      </c>
      <c r="E3171" t="s">
        <v>11706</v>
      </c>
      <c r="F3171" t="s">
        <v>38</v>
      </c>
      <c r="G3171" t="s">
        <v>11764</v>
      </c>
      <c r="H3171" t="s">
        <v>30</v>
      </c>
      <c r="I3171" t="b">
        <f>COUNTIF(Estadísticas!I:I,'centraldecomunicacion.es'!H3171)&gt;0</f>
        <v>0</v>
      </c>
    </row>
    <row r="3172" spans="1:9">
      <c r="A3172" t="s">
        <v>11765</v>
      </c>
      <c r="B3172" t="s">
        <v>10</v>
      </c>
      <c r="C3172" t="s">
        <v>11766</v>
      </c>
      <c r="D3172" t="s">
        <v>11715</v>
      </c>
      <c r="E3172" t="s">
        <v>11706</v>
      </c>
      <c r="F3172" t="s">
        <v>28</v>
      </c>
      <c r="G3172" t="s">
        <v>11767</v>
      </c>
      <c r="H3172" t="s">
        <v>30</v>
      </c>
      <c r="I3172" t="b">
        <f>COUNTIF(Estadísticas!I:I,'centraldecomunicacion.es'!H3172)&gt;0</f>
        <v>0</v>
      </c>
    </row>
    <row r="3173" spans="1:9">
      <c r="A3173" t="s">
        <v>11768</v>
      </c>
      <c r="B3173" t="s">
        <v>10</v>
      </c>
      <c r="C3173" t="s">
        <v>11769</v>
      </c>
      <c r="D3173" t="s">
        <v>11715</v>
      </c>
      <c r="E3173" t="s">
        <v>11706</v>
      </c>
      <c r="F3173" t="s">
        <v>11770</v>
      </c>
      <c r="G3173" t="s">
        <v>11771</v>
      </c>
      <c r="H3173" t="s">
        <v>11772</v>
      </c>
      <c r="I3173" t="b">
        <f>COUNTIF(Estadísticas!I:I,'centraldecomunicacion.es'!H3173)&gt;0</f>
        <v>0</v>
      </c>
    </row>
    <row r="3174" spans="1:9">
      <c r="A3174" t="s">
        <v>11746</v>
      </c>
      <c r="B3174" t="s">
        <v>10</v>
      </c>
      <c r="C3174" t="s">
        <v>11773</v>
      </c>
      <c r="D3174" t="s">
        <v>11715</v>
      </c>
      <c r="E3174" t="s">
        <v>11706</v>
      </c>
      <c r="F3174" t="s">
        <v>11748</v>
      </c>
      <c r="G3174" t="s">
        <v>11774</v>
      </c>
      <c r="H3174" t="s">
        <v>30</v>
      </c>
      <c r="I3174" t="b">
        <f>COUNTIF(Estadísticas!I:I,'centraldecomunicacion.es'!H3174)&gt;0</f>
        <v>0</v>
      </c>
    </row>
    <row r="3175" spans="1:9">
      <c r="A3175" t="s">
        <v>11775</v>
      </c>
      <c r="B3175" t="s">
        <v>10</v>
      </c>
      <c r="C3175" t="s">
        <v>11776</v>
      </c>
      <c r="D3175" t="s">
        <v>11715</v>
      </c>
      <c r="E3175" t="s">
        <v>11706</v>
      </c>
      <c r="F3175" t="s">
        <v>11777</v>
      </c>
      <c r="G3175" t="s">
        <v>11778</v>
      </c>
      <c r="H3175" t="s">
        <v>11779</v>
      </c>
      <c r="I3175" t="b">
        <f>COUNTIF(Estadísticas!I:I,'centraldecomunicacion.es'!H3175)&gt;0</f>
        <v>0</v>
      </c>
    </row>
    <row r="3176" spans="1:9">
      <c r="A3176" t="s">
        <v>26</v>
      </c>
      <c r="B3176" t="s">
        <v>10</v>
      </c>
      <c r="C3176" t="s">
        <v>11780</v>
      </c>
      <c r="D3176" t="s">
        <v>11705</v>
      </c>
      <c r="E3176" t="s">
        <v>11706</v>
      </c>
      <c r="F3176" t="s">
        <v>28</v>
      </c>
      <c r="G3176" t="s">
        <v>396</v>
      </c>
      <c r="H3176" t="s">
        <v>30</v>
      </c>
      <c r="I3176" t="b">
        <f>COUNTIF(Estadísticas!I:I,'centraldecomunicacion.es'!H3176)&gt;0</f>
        <v>0</v>
      </c>
    </row>
    <row r="3177" spans="1:9">
      <c r="A3177" t="s">
        <v>11781</v>
      </c>
      <c r="B3177" t="s">
        <v>10</v>
      </c>
      <c r="C3177" t="s">
        <v>11782</v>
      </c>
      <c r="D3177" t="s">
        <v>11715</v>
      </c>
      <c r="E3177" t="s">
        <v>11706</v>
      </c>
      <c r="F3177" t="s">
        <v>28</v>
      </c>
      <c r="G3177" t="s">
        <v>11783</v>
      </c>
      <c r="H3177" t="s">
        <v>30</v>
      </c>
      <c r="I3177" t="b">
        <f>COUNTIF(Estadísticas!I:I,'centraldecomunicacion.es'!H3177)&gt;0</f>
        <v>0</v>
      </c>
    </row>
    <row r="3178" spans="1:9">
      <c r="A3178" t="s">
        <v>11784</v>
      </c>
      <c r="B3178" t="s">
        <v>10</v>
      </c>
      <c r="C3178" t="s">
        <v>11785</v>
      </c>
      <c r="D3178" t="s">
        <v>11715</v>
      </c>
      <c r="E3178" t="s">
        <v>11706</v>
      </c>
      <c r="F3178" t="s">
        <v>28</v>
      </c>
      <c r="G3178" t="s">
        <v>11786</v>
      </c>
      <c r="H3178" t="s">
        <v>30</v>
      </c>
      <c r="I3178" t="b">
        <f>COUNTIF(Estadísticas!I:I,'centraldecomunicacion.es'!H3178)&gt;0</f>
        <v>0</v>
      </c>
    </row>
    <row r="3179" spans="1:9">
      <c r="A3179" t="s">
        <v>11787</v>
      </c>
      <c r="B3179" t="s">
        <v>10</v>
      </c>
      <c r="C3179" t="s">
        <v>11788</v>
      </c>
      <c r="D3179" t="s">
        <v>11789</v>
      </c>
      <c r="E3179" t="s">
        <v>11706</v>
      </c>
      <c r="F3179" t="s">
        <v>28</v>
      </c>
      <c r="G3179" t="s">
        <v>11790</v>
      </c>
      <c r="H3179" t="s">
        <v>30</v>
      </c>
      <c r="I3179" t="b">
        <f>COUNTIF(Estadísticas!I:I,'centraldecomunicacion.es'!H3179)&gt;0</f>
        <v>0</v>
      </c>
    </row>
    <row r="3180" spans="1:9">
      <c r="A3180" t="s">
        <v>11791</v>
      </c>
      <c r="B3180" t="s">
        <v>10</v>
      </c>
      <c r="C3180" t="s">
        <v>11792</v>
      </c>
      <c r="D3180" t="s">
        <v>11715</v>
      </c>
      <c r="E3180" t="s">
        <v>11706</v>
      </c>
      <c r="F3180" t="s">
        <v>11793</v>
      </c>
      <c r="G3180" t="s">
        <v>11794</v>
      </c>
      <c r="H3180" t="s">
        <v>30</v>
      </c>
      <c r="I3180" t="b">
        <f>COUNTIF(Estadísticas!I:I,'centraldecomunicacion.es'!H3180)&gt;0</f>
        <v>0</v>
      </c>
    </row>
    <row r="3181" spans="1:9">
      <c r="A3181" t="s">
        <v>2199</v>
      </c>
      <c r="B3181" t="s">
        <v>10</v>
      </c>
      <c r="C3181" t="s">
        <v>11795</v>
      </c>
      <c r="D3181" t="s">
        <v>11789</v>
      </c>
      <c r="E3181" t="s">
        <v>11752</v>
      </c>
      <c r="F3181" t="s">
        <v>28</v>
      </c>
      <c r="G3181" t="s">
        <v>11796</v>
      </c>
      <c r="H3181" t="s">
        <v>30</v>
      </c>
      <c r="I3181" t="b">
        <f>COUNTIF(Estadísticas!I:I,'centraldecomunicacion.es'!H3181)&gt;0</f>
        <v>0</v>
      </c>
    </row>
    <row r="3182" spans="1:9">
      <c r="A3182" t="s">
        <v>11797</v>
      </c>
      <c r="B3182" t="s">
        <v>10</v>
      </c>
      <c r="C3182" t="s">
        <v>11798</v>
      </c>
      <c r="D3182" t="s">
        <v>11715</v>
      </c>
      <c r="E3182" t="s">
        <v>11715</v>
      </c>
      <c r="F3182" t="s">
        <v>28</v>
      </c>
      <c r="G3182" t="s">
        <v>11799</v>
      </c>
      <c r="H3182" t="s">
        <v>30</v>
      </c>
      <c r="I3182" t="b">
        <f>COUNTIF(Estadísticas!I:I,'centraldecomunicacion.es'!H3182)&gt;0</f>
        <v>0</v>
      </c>
    </row>
    <row r="3183" spans="1:9">
      <c r="A3183" t="s">
        <v>11800</v>
      </c>
      <c r="B3183" t="s">
        <v>10</v>
      </c>
      <c r="C3183" t="s">
        <v>11801</v>
      </c>
      <c r="D3183" t="s">
        <v>11715</v>
      </c>
      <c r="E3183" t="s">
        <v>11706</v>
      </c>
      <c r="F3183" t="s">
        <v>28</v>
      </c>
      <c r="G3183" t="s">
        <v>11802</v>
      </c>
      <c r="H3183" t="s">
        <v>30</v>
      </c>
      <c r="I3183" t="b">
        <f>COUNTIF(Estadísticas!I:I,'centraldecomunicacion.es'!H3183)&gt;0</f>
        <v>0</v>
      </c>
    </row>
    <row r="3184" spans="1:9">
      <c r="A3184" t="s">
        <v>11803</v>
      </c>
      <c r="B3184" t="s">
        <v>10</v>
      </c>
      <c r="C3184" t="s">
        <v>11804</v>
      </c>
      <c r="D3184" t="s">
        <v>11789</v>
      </c>
      <c r="E3184" t="s">
        <v>11706</v>
      </c>
      <c r="F3184" t="s">
        <v>28</v>
      </c>
      <c r="G3184" t="s">
        <v>11805</v>
      </c>
      <c r="H3184" t="s">
        <v>30</v>
      </c>
      <c r="I3184" t="b">
        <f>COUNTIF(Estadísticas!I:I,'centraldecomunicacion.es'!H3184)&gt;0</f>
        <v>0</v>
      </c>
    </row>
    <row r="3185" spans="1:9">
      <c r="A3185" t="s">
        <v>11806</v>
      </c>
      <c r="B3185" t="s">
        <v>10</v>
      </c>
      <c r="C3185" t="s">
        <v>11807</v>
      </c>
      <c r="D3185" t="s">
        <v>11789</v>
      </c>
      <c r="E3185" t="s">
        <v>11706</v>
      </c>
      <c r="F3185" t="s">
        <v>11808</v>
      </c>
      <c r="G3185" t="s">
        <v>11809</v>
      </c>
      <c r="H3185" t="s">
        <v>11810</v>
      </c>
      <c r="I3185" t="b">
        <f>COUNTIF(Estadísticas!I:I,'centraldecomunicacion.es'!H3185)&gt;0</f>
        <v>1</v>
      </c>
    </row>
    <row r="3186" spans="1:9">
      <c r="A3186" t="s">
        <v>3130</v>
      </c>
      <c r="B3186" t="s">
        <v>10</v>
      </c>
      <c r="C3186" t="s">
        <v>11811</v>
      </c>
      <c r="D3186" t="s">
        <v>11812</v>
      </c>
      <c r="E3186" t="s">
        <v>11706</v>
      </c>
      <c r="F3186" t="s">
        <v>50</v>
      </c>
      <c r="G3186" t="s">
        <v>11813</v>
      </c>
      <c r="H3186" t="s">
        <v>30</v>
      </c>
      <c r="I3186" t="b">
        <f>COUNTIF(Estadísticas!I:I,'centraldecomunicacion.es'!H3186)&gt;0</f>
        <v>0</v>
      </c>
    </row>
    <row r="3187" spans="1:9">
      <c r="A3187" t="s">
        <v>11814</v>
      </c>
      <c r="B3187" t="s">
        <v>10</v>
      </c>
      <c r="C3187" t="s">
        <v>11815</v>
      </c>
      <c r="D3187" t="s">
        <v>11816</v>
      </c>
      <c r="E3187" t="s">
        <v>11752</v>
      </c>
      <c r="F3187" t="s">
        <v>28</v>
      </c>
      <c r="G3187" t="s">
        <v>28</v>
      </c>
      <c r="H3187" t="s">
        <v>30</v>
      </c>
      <c r="I3187" t="b">
        <f>COUNTIF(Estadísticas!I:I,'centraldecomunicacion.es'!H3187)&gt;0</f>
        <v>0</v>
      </c>
    </row>
    <row r="3188" spans="1:9">
      <c r="A3188" t="s">
        <v>11817</v>
      </c>
      <c r="B3188" t="s">
        <v>10</v>
      </c>
      <c r="C3188" t="s">
        <v>11818</v>
      </c>
      <c r="D3188" t="s">
        <v>11715</v>
      </c>
      <c r="E3188" t="s">
        <v>11752</v>
      </c>
      <c r="F3188" t="s">
        <v>28</v>
      </c>
      <c r="G3188" t="s">
        <v>28</v>
      </c>
      <c r="H3188" t="s">
        <v>30</v>
      </c>
      <c r="I3188" t="b">
        <f>COUNTIF(Estadísticas!I:I,'centraldecomunicacion.es'!H3188)&gt;0</f>
        <v>0</v>
      </c>
    </row>
    <row r="3189" spans="1:9">
      <c r="A3189" t="s">
        <v>11819</v>
      </c>
      <c r="B3189" t="s">
        <v>10</v>
      </c>
      <c r="C3189" t="s">
        <v>11820</v>
      </c>
      <c r="D3189" t="s">
        <v>11821</v>
      </c>
      <c r="E3189" t="s">
        <v>11752</v>
      </c>
      <c r="F3189" t="s">
        <v>11822</v>
      </c>
      <c r="G3189" t="s">
        <v>11823</v>
      </c>
      <c r="H3189" t="s">
        <v>11824</v>
      </c>
      <c r="I3189" t="b">
        <f>COUNTIF(Estadísticas!I:I,'centraldecomunicacion.es'!H3189)&gt;0</f>
        <v>0</v>
      </c>
    </row>
    <row r="3190" spans="1:9">
      <c r="A3190" t="s">
        <v>11825</v>
      </c>
      <c r="B3190" t="s">
        <v>10</v>
      </c>
      <c r="C3190" t="s">
        <v>11826</v>
      </c>
      <c r="D3190" t="s">
        <v>11827</v>
      </c>
      <c r="E3190" t="s">
        <v>11706</v>
      </c>
      <c r="F3190" t="s">
        <v>11828</v>
      </c>
      <c r="G3190" t="s">
        <v>11829</v>
      </c>
      <c r="H3190" t="s">
        <v>30</v>
      </c>
      <c r="I3190" t="b">
        <f>COUNTIF(Estadísticas!I:I,'centraldecomunicacion.es'!H3190)&gt;0</f>
        <v>0</v>
      </c>
    </row>
    <row r="3191" spans="1:9">
      <c r="A3191" t="s">
        <v>11830</v>
      </c>
      <c r="B3191" t="s">
        <v>10</v>
      </c>
      <c r="C3191" t="s">
        <v>11831</v>
      </c>
      <c r="D3191" t="s">
        <v>11816</v>
      </c>
      <c r="E3191" t="s">
        <v>11706</v>
      </c>
      <c r="F3191" t="s">
        <v>28</v>
      </c>
      <c r="G3191" t="s">
        <v>11832</v>
      </c>
      <c r="H3191" t="s">
        <v>30</v>
      </c>
      <c r="I3191" t="b">
        <f>COUNTIF(Estadísticas!I:I,'centraldecomunicacion.es'!H3191)&gt;0</f>
        <v>0</v>
      </c>
    </row>
    <row r="3192" spans="1:9">
      <c r="A3192" t="s">
        <v>11833</v>
      </c>
      <c r="B3192" t="s">
        <v>10</v>
      </c>
      <c r="C3192" t="s">
        <v>11834</v>
      </c>
      <c r="D3192" t="s">
        <v>11816</v>
      </c>
      <c r="E3192" t="s">
        <v>11706</v>
      </c>
      <c r="F3192" t="s">
        <v>28</v>
      </c>
      <c r="G3192" t="s">
        <v>28</v>
      </c>
      <c r="H3192" t="s">
        <v>30</v>
      </c>
      <c r="I3192" t="b">
        <f>COUNTIF(Estadísticas!I:I,'centraldecomunicacion.es'!H3192)&gt;0</f>
        <v>0</v>
      </c>
    </row>
    <row r="3193" spans="1:9">
      <c r="A3193" t="s">
        <v>11835</v>
      </c>
      <c r="B3193" t="s">
        <v>10</v>
      </c>
      <c r="C3193" t="s">
        <v>11836</v>
      </c>
      <c r="D3193" t="s">
        <v>11821</v>
      </c>
      <c r="E3193" t="s">
        <v>11706</v>
      </c>
      <c r="F3193" t="s">
        <v>746</v>
      </c>
      <c r="G3193" t="s">
        <v>11837</v>
      </c>
      <c r="H3193" t="s">
        <v>30</v>
      </c>
      <c r="I3193" t="b">
        <f>COUNTIF(Estadísticas!I:I,'centraldecomunicacion.es'!H3193)&gt;0</f>
        <v>0</v>
      </c>
    </row>
    <row r="3194" spans="1:9">
      <c r="A3194" t="s">
        <v>1288</v>
      </c>
      <c r="B3194" t="s">
        <v>10</v>
      </c>
      <c r="C3194" t="s">
        <v>11838</v>
      </c>
      <c r="D3194" t="s">
        <v>11816</v>
      </c>
      <c r="E3194" t="s">
        <v>11706</v>
      </c>
      <c r="F3194" t="s">
        <v>28</v>
      </c>
      <c r="G3194" t="s">
        <v>11839</v>
      </c>
      <c r="H3194" t="s">
        <v>30</v>
      </c>
      <c r="I3194" t="b">
        <f>COUNTIF(Estadísticas!I:I,'centraldecomunicacion.es'!H3194)&gt;0</f>
        <v>0</v>
      </c>
    </row>
    <row r="3195" spans="1:9">
      <c r="A3195" t="s">
        <v>4062</v>
      </c>
      <c r="B3195" t="s">
        <v>10</v>
      </c>
      <c r="C3195" t="s">
        <v>11840</v>
      </c>
      <c r="D3195" t="s">
        <v>11816</v>
      </c>
      <c r="E3195" t="s">
        <v>11706</v>
      </c>
      <c r="F3195" t="s">
        <v>28</v>
      </c>
      <c r="G3195" t="s">
        <v>11841</v>
      </c>
      <c r="H3195" t="s">
        <v>30</v>
      </c>
      <c r="I3195" t="b">
        <f>COUNTIF(Estadísticas!I:I,'centraldecomunicacion.es'!H3195)&gt;0</f>
        <v>0</v>
      </c>
    </row>
    <row r="3196" spans="1:9">
      <c r="A3196" t="s">
        <v>11842</v>
      </c>
      <c r="B3196" t="s">
        <v>10</v>
      </c>
      <c r="C3196" t="s">
        <v>11843</v>
      </c>
      <c r="D3196" t="s">
        <v>11821</v>
      </c>
      <c r="E3196" t="s">
        <v>11706</v>
      </c>
      <c r="F3196" t="s">
        <v>28</v>
      </c>
      <c r="G3196" t="s">
        <v>11844</v>
      </c>
      <c r="H3196" t="s">
        <v>30</v>
      </c>
      <c r="I3196" t="b">
        <f>COUNTIF(Estadísticas!I:I,'centraldecomunicacion.es'!H3196)&gt;0</f>
        <v>0</v>
      </c>
    </row>
    <row r="3197" spans="1:9">
      <c r="A3197" t="s">
        <v>11845</v>
      </c>
      <c r="B3197" t="s">
        <v>10</v>
      </c>
      <c r="C3197" t="s">
        <v>11846</v>
      </c>
      <c r="D3197" t="s">
        <v>11847</v>
      </c>
      <c r="E3197" t="s">
        <v>11706</v>
      </c>
      <c r="F3197" t="s">
        <v>28</v>
      </c>
      <c r="G3197" t="s">
        <v>11848</v>
      </c>
      <c r="H3197" t="s">
        <v>30</v>
      </c>
      <c r="I3197" t="b">
        <f>COUNTIF(Estadísticas!I:I,'centraldecomunicacion.es'!H3197)&gt;0</f>
        <v>0</v>
      </c>
    </row>
    <row r="3198" spans="1:9">
      <c r="A3198" t="s">
        <v>11849</v>
      </c>
      <c r="B3198" t="s">
        <v>10</v>
      </c>
      <c r="C3198" t="s">
        <v>11850</v>
      </c>
      <c r="D3198" t="s">
        <v>11816</v>
      </c>
      <c r="E3198" t="s">
        <v>11706</v>
      </c>
      <c r="F3198" t="s">
        <v>28</v>
      </c>
      <c r="G3198" t="s">
        <v>11851</v>
      </c>
      <c r="H3198" t="s">
        <v>30</v>
      </c>
      <c r="I3198" t="b">
        <f>COUNTIF(Estadísticas!I:I,'centraldecomunicacion.es'!H3198)&gt;0</f>
        <v>0</v>
      </c>
    </row>
    <row r="3199" spans="1:9">
      <c r="A3199" t="s">
        <v>11852</v>
      </c>
      <c r="B3199" t="s">
        <v>10</v>
      </c>
      <c r="C3199" t="s">
        <v>11853</v>
      </c>
      <c r="D3199" t="s">
        <v>11854</v>
      </c>
      <c r="E3199" t="s">
        <v>11706</v>
      </c>
      <c r="F3199" t="s">
        <v>11855</v>
      </c>
      <c r="G3199" t="s">
        <v>11856</v>
      </c>
      <c r="H3199" t="s">
        <v>11857</v>
      </c>
      <c r="I3199" t="b">
        <f>COUNTIF(Estadísticas!I:I,'centraldecomunicacion.es'!H3199)&gt;0</f>
        <v>1</v>
      </c>
    </row>
    <row r="3200" spans="1:9">
      <c r="A3200" t="s">
        <v>11858</v>
      </c>
      <c r="B3200" t="s">
        <v>10</v>
      </c>
      <c r="C3200" t="s">
        <v>11859</v>
      </c>
      <c r="D3200" t="s">
        <v>11860</v>
      </c>
      <c r="E3200" t="s">
        <v>11752</v>
      </c>
      <c r="F3200" t="s">
        <v>11861</v>
      </c>
      <c r="G3200" t="s">
        <v>11862</v>
      </c>
      <c r="H3200" t="s">
        <v>11863</v>
      </c>
      <c r="I3200" t="b">
        <f>COUNTIF(Estadísticas!I:I,'centraldecomunicacion.es'!H3200)&gt;0</f>
        <v>1</v>
      </c>
    </row>
    <row r="3201" spans="1:9">
      <c r="A3201" t="s">
        <v>11864</v>
      </c>
      <c r="B3201" t="s">
        <v>10</v>
      </c>
      <c r="C3201" t="s">
        <v>11865</v>
      </c>
      <c r="D3201" t="s">
        <v>11816</v>
      </c>
      <c r="E3201" t="s">
        <v>11706</v>
      </c>
      <c r="F3201" t="s">
        <v>11866</v>
      </c>
      <c r="G3201" t="s">
        <v>11867</v>
      </c>
      <c r="H3201" t="s">
        <v>11868</v>
      </c>
      <c r="I3201" t="b">
        <f>COUNTIF(Estadísticas!I:I,'centraldecomunicacion.es'!H3201)&gt;0</f>
        <v>0</v>
      </c>
    </row>
    <row r="3202" spans="1:9">
      <c r="A3202" t="s">
        <v>11869</v>
      </c>
      <c r="B3202" t="s">
        <v>10</v>
      </c>
      <c r="C3202" t="s">
        <v>11870</v>
      </c>
      <c r="D3202" t="s">
        <v>11871</v>
      </c>
      <c r="E3202" t="s">
        <v>11706</v>
      </c>
      <c r="F3202" t="s">
        <v>28</v>
      </c>
      <c r="G3202" t="s">
        <v>11872</v>
      </c>
      <c r="H3202" t="s">
        <v>30</v>
      </c>
      <c r="I3202" t="b">
        <f>COUNTIF(Estadísticas!I:I,'centraldecomunicacion.es'!H3202)&gt;0</f>
        <v>0</v>
      </c>
    </row>
    <row r="3203" spans="1:9">
      <c r="A3203" t="s">
        <v>11873</v>
      </c>
      <c r="B3203" t="s">
        <v>10</v>
      </c>
      <c r="C3203" t="s">
        <v>11874</v>
      </c>
      <c r="D3203" t="s">
        <v>11871</v>
      </c>
      <c r="E3203" t="s">
        <v>11706</v>
      </c>
      <c r="F3203" t="s">
        <v>28</v>
      </c>
      <c r="G3203" t="s">
        <v>11875</v>
      </c>
      <c r="H3203" t="s">
        <v>30</v>
      </c>
      <c r="I3203" t="b">
        <f>COUNTIF(Estadísticas!I:I,'centraldecomunicacion.es'!H3203)&gt;0</f>
        <v>0</v>
      </c>
    </row>
    <row r="3204" spans="1:9">
      <c r="A3204" t="s">
        <v>11876</v>
      </c>
      <c r="B3204" t="s">
        <v>10</v>
      </c>
      <c r="C3204" t="s">
        <v>11877</v>
      </c>
      <c r="D3204" t="s">
        <v>11878</v>
      </c>
      <c r="E3204" t="s">
        <v>11752</v>
      </c>
      <c r="F3204" t="s">
        <v>11879</v>
      </c>
      <c r="G3204" t="s">
        <v>11880</v>
      </c>
      <c r="H3204" t="s">
        <v>11881</v>
      </c>
      <c r="I3204" t="b">
        <f>COUNTIF(Estadísticas!I:I,'centraldecomunicacion.es'!H3204)&gt;0</f>
        <v>1</v>
      </c>
    </row>
    <row r="3205" spans="1:9">
      <c r="A3205" t="s">
        <v>11882</v>
      </c>
      <c r="B3205" t="s">
        <v>10</v>
      </c>
      <c r="C3205" t="s">
        <v>11883</v>
      </c>
      <c r="D3205" t="s">
        <v>11821</v>
      </c>
      <c r="E3205" t="s">
        <v>11706</v>
      </c>
      <c r="F3205" t="s">
        <v>28</v>
      </c>
      <c r="G3205" t="s">
        <v>11884</v>
      </c>
      <c r="H3205" t="s">
        <v>30</v>
      </c>
      <c r="I3205" t="b">
        <f>COUNTIF(Estadísticas!I:I,'centraldecomunicacion.es'!H3205)&gt;0</f>
        <v>0</v>
      </c>
    </row>
    <row r="3206" spans="1:9">
      <c r="A3206" t="s">
        <v>11885</v>
      </c>
      <c r="B3206" t="s">
        <v>10</v>
      </c>
      <c r="C3206" t="s">
        <v>11886</v>
      </c>
      <c r="D3206" t="s">
        <v>11854</v>
      </c>
      <c r="E3206" t="s">
        <v>11752</v>
      </c>
      <c r="F3206" t="s">
        <v>28</v>
      </c>
      <c r="G3206" t="s">
        <v>11887</v>
      </c>
      <c r="H3206" t="s">
        <v>30</v>
      </c>
      <c r="I3206" t="b">
        <f>COUNTIF(Estadísticas!I:I,'centraldecomunicacion.es'!H3206)&gt;0</f>
        <v>0</v>
      </c>
    </row>
    <row r="3207" spans="1:9">
      <c r="A3207" t="s">
        <v>11888</v>
      </c>
      <c r="B3207" t="s">
        <v>10</v>
      </c>
      <c r="C3207" t="s">
        <v>11889</v>
      </c>
      <c r="D3207" t="s">
        <v>11890</v>
      </c>
      <c r="E3207" t="s">
        <v>11752</v>
      </c>
      <c r="F3207" t="s">
        <v>28</v>
      </c>
      <c r="G3207" t="s">
        <v>11891</v>
      </c>
      <c r="H3207" t="s">
        <v>30</v>
      </c>
      <c r="I3207" t="b">
        <f>COUNTIF(Estadísticas!I:I,'centraldecomunicacion.es'!H3207)&gt;0</f>
        <v>0</v>
      </c>
    </row>
    <row r="3208" spans="1:9">
      <c r="A3208" t="s">
        <v>5077</v>
      </c>
      <c r="B3208" t="s">
        <v>10</v>
      </c>
      <c r="C3208" t="s">
        <v>11892</v>
      </c>
      <c r="D3208" t="s">
        <v>11878</v>
      </c>
      <c r="E3208" t="s">
        <v>11706</v>
      </c>
      <c r="F3208" t="s">
        <v>11893</v>
      </c>
      <c r="G3208" t="s">
        <v>11894</v>
      </c>
      <c r="H3208" t="s">
        <v>11895</v>
      </c>
      <c r="I3208" t="b">
        <f>COUNTIF(Estadísticas!I:I,'centraldecomunicacion.es'!H3208)&gt;0</f>
        <v>0</v>
      </c>
    </row>
    <row r="3209" spans="1:9">
      <c r="A3209" t="s">
        <v>3351</v>
      </c>
      <c r="B3209" t="s">
        <v>10</v>
      </c>
      <c r="C3209" t="s">
        <v>11896</v>
      </c>
      <c r="D3209" t="s">
        <v>11860</v>
      </c>
      <c r="E3209" t="s">
        <v>11752</v>
      </c>
      <c r="F3209" t="s">
        <v>28</v>
      </c>
      <c r="G3209" t="s">
        <v>11897</v>
      </c>
      <c r="H3209" t="s">
        <v>30</v>
      </c>
      <c r="I3209" t="b">
        <f>COUNTIF(Estadísticas!I:I,'centraldecomunicacion.es'!H3209)&gt;0</f>
        <v>0</v>
      </c>
    </row>
    <row r="3210" spans="1:9">
      <c r="A3210" t="s">
        <v>11898</v>
      </c>
      <c r="B3210" t="s">
        <v>10</v>
      </c>
      <c r="C3210" t="s">
        <v>11899</v>
      </c>
      <c r="D3210" t="s">
        <v>11878</v>
      </c>
      <c r="E3210" t="s">
        <v>11706</v>
      </c>
      <c r="F3210" t="s">
        <v>28</v>
      </c>
      <c r="G3210" t="s">
        <v>11900</v>
      </c>
      <c r="H3210" t="s">
        <v>30</v>
      </c>
      <c r="I3210" t="b">
        <f>COUNTIF(Estadísticas!I:I,'centraldecomunicacion.es'!H3210)&gt;0</f>
        <v>0</v>
      </c>
    </row>
    <row r="3211" spans="1:9">
      <c r="A3211" t="s">
        <v>11901</v>
      </c>
      <c r="B3211" t="s">
        <v>10</v>
      </c>
      <c r="C3211" t="s">
        <v>11902</v>
      </c>
      <c r="D3211" t="s">
        <v>11903</v>
      </c>
      <c r="E3211" t="s">
        <v>11752</v>
      </c>
      <c r="F3211" t="s">
        <v>28</v>
      </c>
      <c r="G3211" t="s">
        <v>11904</v>
      </c>
      <c r="H3211" t="s">
        <v>30</v>
      </c>
      <c r="I3211" t="b">
        <f>COUNTIF(Estadísticas!I:I,'centraldecomunicacion.es'!H3211)&gt;0</f>
        <v>0</v>
      </c>
    </row>
    <row r="3212" spans="1:9">
      <c r="A3212" t="s">
        <v>11905</v>
      </c>
      <c r="B3212" t="s">
        <v>10</v>
      </c>
      <c r="C3212" t="s">
        <v>11906</v>
      </c>
      <c r="D3212" t="s">
        <v>11907</v>
      </c>
      <c r="E3212" t="s">
        <v>11706</v>
      </c>
      <c r="F3212" t="s">
        <v>11908</v>
      </c>
      <c r="G3212" t="s">
        <v>11909</v>
      </c>
      <c r="H3212" t="s">
        <v>30</v>
      </c>
      <c r="I3212" t="b">
        <f>COUNTIF(Estadísticas!I:I,'centraldecomunicacion.es'!H3212)&gt;0</f>
        <v>0</v>
      </c>
    </row>
    <row r="3213" spans="1:9">
      <c r="A3213" t="s">
        <v>11910</v>
      </c>
      <c r="B3213" t="s">
        <v>10</v>
      </c>
      <c r="C3213" t="s">
        <v>11911</v>
      </c>
      <c r="D3213" t="s">
        <v>11878</v>
      </c>
      <c r="E3213" t="s">
        <v>11752</v>
      </c>
      <c r="F3213" t="s">
        <v>28</v>
      </c>
      <c r="G3213" t="s">
        <v>11912</v>
      </c>
      <c r="H3213" t="s">
        <v>30</v>
      </c>
      <c r="I3213" t="b">
        <f>COUNTIF(Estadísticas!I:I,'centraldecomunicacion.es'!H3213)&gt;0</f>
        <v>0</v>
      </c>
    </row>
    <row r="3214" spans="1:9">
      <c r="A3214" t="s">
        <v>11271</v>
      </c>
      <c r="B3214" t="s">
        <v>10</v>
      </c>
      <c r="C3214" t="s">
        <v>11913</v>
      </c>
      <c r="D3214" t="s">
        <v>11903</v>
      </c>
      <c r="E3214" t="s">
        <v>11706</v>
      </c>
      <c r="F3214" t="s">
        <v>28</v>
      </c>
      <c r="G3214" t="s">
        <v>11914</v>
      </c>
      <c r="H3214" t="s">
        <v>30</v>
      </c>
      <c r="I3214" t="b">
        <f>COUNTIF(Estadísticas!I:I,'centraldecomunicacion.es'!H3214)&gt;0</f>
        <v>0</v>
      </c>
    </row>
    <row r="3215" spans="1:9">
      <c r="A3215" t="s">
        <v>11915</v>
      </c>
      <c r="B3215" t="s">
        <v>10</v>
      </c>
      <c r="C3215" t="s">
        <v>11916</v>
      </c>
      <c r="D3215" t="s">
        <v>11903</v>
      </c>
      <c r="E3215" t="s">
        <v>11706</v>
      </c>
      <c r="F3215" t="s">
        <v>28</v>
      </c>
      <c r="G3215" t="s">
        <v>11917</v>
      </c>
      <c r="H3215" t="s">
        <v>30</v>
      </c>
      <c r="I3215" t="b">
        <f>COUNTIF(Estadísticas!I:I,'centraldecomunicacion.es'!H3215)&gt;0</f>
        <v>0</v>
      </c>
    </row>
    <row r="3216" spans="1:9">
      <c r="A3216" t="s">
        <v>11918</v>
      </c>
      <c r="B3216" t="s">
        <v>10</v>
      </c>
      <c r="C3216" t="s">
        <v>11919</v>
      </c>
      <c r="D3216" t="s">
        <v>11871</v>
      </c>
      <c r="E3216" t="s">
        <v>11706</v>
      </c>
      <c r="F3216" t="s">
        <v>11920</v>
      </c>
      <c r="G3216" t="s">
        <v>11921</v>
      </c>
      <c r="H3216" t="s">
        <v>30</v>
      </c>
      <c r="I3216" t="b">
        <f>COUNTIF(Estadísticas!I:I,'centraldecomunicacion.es'!H3216)&gt;0</f>
        <v>0</v>
      </c>
    </row>
    <row r="3217" spans="1:9">
      <c r="A3217" t="s">
        <v>4460</v>
      </c>
      <c r="B3217" t="s">
        <v>10</v>
      </c>
      <c r="C3217" t="s">
        <v>11922</v>
      </c>
      <c r="D3217" t="s">
        <v>11923</v>
      </c>
      <c r="E3217" t="s">
        <v>11706</v>
      </c>
      <c r="F3217" t="s">
        <v>28</v>
      </c>
      <c r="G3217" t="s">
        <v>11924</v>
      </c>
      <c r="H3217" t="s">
        <v>30</v>
      </c>
      <c r="I3217" t="b">
        <f>COUNTIF(Estadísticas!I:I,'centraldecomunicacion.es'!H3217)&gt;0</f>
        <v>0</v>
      </c>
    </row>
    <row r="3218" spans="1:9">
      <c r="A3218" t="s">
        <v>11925</v>
      </c>
      <c r="B3218" t="s">
        <v>10</v>
      </c>
      <c r="C3218" t="s">
        <v>11926</v>
      </c>
      <c r="D3218" t="s">
        <v>11827</v>
      </c>
      <c r="E3218" t="s">
        <v>11752</v>
      </c>
      <c r="F3218" t="s">
        <v>28</v>
      </c>
      <c r="G3218" t="s">
        <v>11927</v>
      </c>
      <c r="H3218" t="s">
        <v>30</v>
      </c>
      <c r="I3218" t="b">
        <f>COUNTIF(Estadísticas!I:I,'centraldecomunicacion.es'!H3218)&gt;0</f>
        <v>0</v>
      </c>
    </row>
    <row r="3219" spans="1:9">
      <c r="A3219" t="s">
        <v>11928</v>
      </c>
      <c r="B3219" t="s">
        <v>10</v>
      </c>
      <c r="C3219" t="s">
        <v>11929</v>
      </c>
      <c r="D3219" t="s">
        <v>11878</v>
      </c>
      <c r="E3219" t="s">
        <v>11706</v>
      </c>
      <c r="F3219" t="s">
        <v>28</v>
      </c>
      <c r="G3219" t="s">
        <v>11930</v>
      </c>
      <c r="H3219" t="s">
        <v>30</v>
      </c>
      <c r="I3219" t="b">
        <f>COUNTIF(Estadísticas!I:I,'centraldecomunicacion.es'!H3219)&gt;0</f>
        <v>0</v>
      </c>
    </row>
    <row r="3220" spans="1:9">
      <c r="A3220" t="s">
        <v>11931</v>
      </c>
      <c r="B3220" t="s">
        <v>10</v>
      </c>
      <c r="C3220" t="s">
        <v>11932</v>
      </c>
      <c r="D3220" t="s">
        <v>11878</v>
      </c>
      <c r="E3220" t="s">
        <v>11752</v>
      </c>
      <c r="F3220" t="s">
        <v>28</v>
      </c>
      <c r="G3220" t="s">
        <v>11933</v>
      </c>
      <c r="H3220" t="s">
        <v>30</v>
      </c>
      <c r="I3220" t="b">
        <f>COUNTIF(Estadísticas!I:I,'centraldecomunicacion.es'!H3220)&gt;0</f>
        <v>0</v>
      </c>
    </row>
    <row r="3221" spans="1:9">
      <c r="A3221" t="s">
        <v>1015</v>
      </c>
      <c r="B3221" t="s">
        <v>10</v>
      </c>
      <c r="C3221" t="s">
        <v>11934</v>
      </c>
      <c r="D3221" t="s">
        <v>11860</v>
      </c>
      <c r="E3221" t="s">
        <v>11752</v>
      </c>
      <c r="F3221" t="s">
        <v>28</v>
      </c>
      <c r="G3221" t="s">
        <v>11935</v>
      </c>
      <c r="H3221" t="s">
        <v>30</v>
      </c>
      <c r="I3221" t="b">
        <f>COUNTIF(Estadísticas!I:I,'centraldecomunicacion.es'!H3221)&gt;0</f>
        <v>0</v>
      </c>
    </row>
    <row r="3222" spans="1:9">
      <c r="A3222" t="s">
        <v>11936</v>
      </c>
      <c r="B3222" t="s">
        <v>10</v>
      </c>
      <c r="C3222" t="s">
        <v>11937</v>
      </c>
      <c r="D3222" t="s">
        <v>11938</v>
      </c>
      <c r="E3222" t="s">
        <v>11706</v>
      </c>
      <c r="F3222" t="s">
        <v>28</v>
      </c>
      <c r="G3222" t="s">
        <v>11939</v>
      </c>
      <c r="H3222" t="s">
        <v>30</v>
      </c>
      <c r="I3222" t="b">
        <f>COUNTIF(Estadísticas!I:I,'centraldecomunicacion.es'!H3222)&gt;0</f>
        <v>0</v>
      </c>
    </row>
    <row r="3223" spans="1:9">
      <c r="A3223" t="s">
        <v>11940</v>
      </c>
      <c r="B3223" t="s">
        <v>10</v>
      </c>
      <c r="C3223" t="s">
        <v>11941</v>
      </c>
      <c r="D3223" t="s">
        <v>11942</v>
      </c>
      <c r="E3223" t="s">
        <v>11706</v>
      </c>
      <c r="F3223" t="s">
        <v>28</v>
      </c>
      <c r="G3223" t="s">
        <v>11943</v>
      </c>
      <c r="H3223" t="s">
        <v>30</v>
      </c>
      <c r="I3223" t="b">
        <f>COUNTIF(Estadísticas!I:I,'centraldecomunicacion.es'!H3223)&gt;0</f>
        <v>0</v>
      </c>
    </row>
    <row r="3224" spans="1:9">
      <c r="A3224" t="s">
        <v>11944</v>
      </c>
      <c r="B3224" t="s">
        <v>10</v>
      </c>
      <c r="C3224" t="s">
        <v>11945</v>
      </c>
      <c r="D3224" t="s">
        <v>11946</v>
      </c>
      <c r="E3224" t="s">
        <v>11752</v>
      </c>
      <c r="F3224" t="s">
        <v>28</v>
      </c>
      <c r="G3224" t="s">
        <v>11947</v>
      </c>
      <c r="H3224" t="s">
        <v>30</v>
      </c>
      <c r="I3224" t="b">
        <f>COUNTIF(Estadísticas!I:I,'centraldecomunicacion.es'!H3224)&gt;0</f>
        <v>0</v>
      </c>
    </row>
    <row r="3225" spans="1:9">
      <c r="A3225" t="s">
        <v>11948</v>
      </c>
      <c r="B3225" t="s">
        <v>10</v>
      </c>
      <c r="C3225" t="s">
        <v>11949</v>
      </c>
      <c r="D3225" t="s">
        <v>11938</v>
      </c>
      <c r="E3225" t="s">
        <v>11706</v>
      </c>
      <c r="F3225" t="s">
        <v>28</v>
      </c>
      <c r="G3225" t="s">
        <v>11939</v>
      </c>
      <c r="H3225" t="s">
        <v>30</v>
      </c>
      <c r="I3225" t="b">
        <f>COUNTIF(Estadísticas!I:I,'centraldecomunicacion.es'!H3225)&gt;0</f>
        <v>0</v>
      </c>
    </row>
    <row r="3226" spans="1:9">
      <c r="A3226" t="s">
        <v>11950</v>
      </c>
      <c r="B3226" t="s">
        <v>10</v>
      </c>
      <c r="C3226" t="s">
        <v>11951</v>
      </c>
      <c r="D3226" t="s">
        <v>11952</v>
      </c>
      <c r="E3226" t="s">
        <v>11752</v>
      </c>
      <c r="F3226" t="s">
        <v>11953</v>
      </c>
      <c r="G3226" t="s">
        <v>11954</v>
      </c>
      <c r="H3226" t="s">
        <v>11955</v>
      </c>
      <c r="I3226" t="b">
        <f>COUNTIF(Estadísticas!I:I,'centraldecomunicacion.es'!H3226)&gt;0</f>
        <v>0</v>
      </c>
    </row>
    <row r="3227" spans="1:9">
      <c r="A3227" t="s">
        <v>11956</v>
      </c>
      <c r="B3227" t="s">
        <v>10</v>
      </c>
      <c r="C3227" t="s">
        <v>11957</v>
      </c>
      <c r="D3227" t="s">
        <v>11958</v>
      </c>
      <c r="E3227" t="s">
        <v>11752</v>
      </c>
      <c r="F3227" t="s">
        <v>28</v>
      </c>
      <c r="G3227" t="s">
        <v>11959</v>
      </c>
      <c r="H3227" t="s">
        <v>30</v>
      </c>
      <c r="I3227" t="b">
        <f>COUNTIF(Estadísticas!I:I,'centraldecomunicacion.es'!H3227)&gt;0</f>
        <v>0</v>
      </c>
    </row>
    <row r="3228" spans="1:9">
      <c r="A3228" t="s">
        <v>11960</v>
      </c>
      <c r="B3228" t="s">
        <v>10</v>
      </c>
      <c r="C3228" t="s">
        <v>11961</v>
      </c>
      <c r="D3228" t="s">
        <v>11952</v>
      </c>
      <c r="E3228" t="s">
        <v>11752</v>
      </c>
      <c r="F3228" t="s">
        <v>11962</v>
      </c>
      <c r="G3228" t="s">
        <v>11963</v>
      </c>
      <c r="H3228" t="s">
        <v>30</v>
      </c>
      <c r="I3228" t="b">
        <f>COUNTIF(Estadísticas!I:I,'centraldecomunicacion.es'!H3228)&gt;0</f>
        <v>0</v>
      </c>
    </row>
    <row r="3229" spans="1:9">
      <c r="A3229" t="s">
        <v>11964</v>
      </c>
      <c r="B3229" t="s">
        <v>10</v>
      </c>
      <c r="C3229" t="s">
        <v>11965</v>
      </c>
      <c r="D3229" t="s">
        <v>11966</v>
      </c>
      <c r="E3229" t="s">
        <v>11706</v>
      </c>
      <c r="F3229" t="s">
        <v>50</v>
      </c>
      <c r="G3229" t="s">
        <v>11967</v>
      </c>
      <c r="H3229" t="s">
        <v>30</v>
      </c>
      <c r="I3229" t="b">
        <f>COUNTIF(Estadísticas!I:I,'centraldecomunicacion.es'!H3229)&gt;0</f>
        <v>0</v>
      </c>
    </row>
    <row r="3230" spans="1:9">
      <c r="A3230" t="s">
        <v>5197</v>
      </c>
      <c r="B3230" t="s">
        <v>10</v>
      </c>
      <c r="C3230" t="s">
        <v>11968</v>
      </c>
      <c r="D3230" t="s">
        <v>11903</v>
      </c>
      <c r="E3230" t="s">
        <v>11752</v>
      </c>
      <c r="F3230" t="s">
        <v>28</v>
      </c>
      <c r="G3230" t="s">
        <v>28</v>
      </c>
      <c r="H3230" t="s">
        <v>30</v>
      </c>
      <c r="I3230" t="b">
        <f>COUNTIF(Estadísticas!I:I,'centraldecomunicacion.es'!H3230)&gt;0</f>
        <v>0</v>
      </c>
    </row>
    <row r="3231" spans="1:9">
      <c r="A3231" t="s">
        <v>11969</v>
      </c>
      <c r="B3231" t="s">
        <v>10</v>
      </c>
      <c r="C3231" t="s">
        <v>11970</v>
      </c>
      <c r="D3231" t="s">
        <v>11907</v>
      </c>
      <c r="E3231" t="s">
        <v>11706</v>
      </c>
      <c r="F3231" t="s">
        <v>87</v>
      </c>
      <c r="G3231" t="s">
        <v>11971</v>
      </c>
      <c r="H3231" t="s">
        <v>30</v>
      </c>
      <c r="I3231" t="b">
        <f>COUNTIF(Estadísticas!I:I,'centraldecomunicacion.es'!H3231)&gt;0</f>
        <v>0</v>
      </c>
    </row>
    <row r="3232" spans="1:9">
      <c r="A3232" t="s">
        <v>11972</v>
      </c>
      <c r="B3232" t="s">
        <v>10</v>
      </c>
      <c r="C3232" t="s">
        <v>11973</v>
      </c>
      <c r="D3232" t="s">
        <v>11974</v>
      </c>
      <c r="E3232" t="s">
        <v>11706</v>
      </c>
      <c r="F3232" t="s">
        <v>11975</v>
      </c>
      <c r="G3232" t="s">
        <v>11976</v>
      </c>
      <c r="H3232" t="s">
        <v>11977</v>
      </c>
      <c r="I3232" t="b">
        <f>COUNTIF(Estadísticas!I:I,'centraldecomunicacion.es'!H3232)&gt;0</f>
        <v>0</v>
      </c>
    </row>
    <row r="3233" spans="1:9">
      <c r="A3233" t="s">
        <v>11978</v>
      </c>
      <c r="B3233" t="s">
        <v>10</v>
      </c>
      <c r="C3233" t="s">
        <v>11979</v>
      </c>
      <c r="D3233" t="s">
        <v>11974</v>
      </c>
      <c r="E3233" t="s">
        <v>11706</v>
      </c>
      <c r="F3233" t="s">
        <v>28</v>
      </c>
      <c r="G3233" t="s">
        <v>11980</v>
      </c>
      <c r="H3233" t="s">
        <v>30</v>
      </c>
      <c r="I3233" t="b">
        <f>COUNTIF(Estadísticas!I:I,'centraldecomunicacion.es'!H3233)&gt;0</f>
        <v>0</v>
      </c>
    </row>
    <row r="3234" spans="1:9">
      <c r="A3234" t="s">
        <v>260</v>
      </c>
      <c r="B3234" t="s">
        <v>10</v>
      </c>
      <c r="C3234" t="s">
        <v>11981</v>
      </c>
      <c r="D3234" t="s">
        <v>11982</v>
      </c>
      <c r="E3234" t="s">
        <v>11706</v>
      </c>
      <c r="F3234" t="s">
        <v>28</v>
      </c>
      <c r="G3234" t="s">
        <v>28</v>
      </c>
      <c r="H3234" t="s">
        <v>30</v>
      </c>
      <c r="I3234" t="b">
        <f>COUNTIF(Estadísticas!I:I,'centraldecomunicacion.es'!H3234)&gt;0</f>
        <v>0</v>
      </c>
    </row>
    <row r="3235" spans="1:9">
      <c r="A3235" t="s">
        <v>11983</v>
      </c>
      <c r="B3235" t="s">
        <v>10</v>
      </c>
      <c r="C3235" t="s">
        <v>11984</v>
      </c>
      <c r="D3235" t="s">
        <v>11952</v>
      </c>
      <c r="E3235" t="s">
        <v>11752</v>
      </c>
      <c r="F3235" t="s">
        <v>11985</v>
      </c>
      <c r="G3235" t="s">
        <v>11986</v>
      </c>
      <c r="H3235" t="s">
        <v>30</v>
      </c>
      <c r="I3235" t="b">
        <f>COUNTIF(Estadísticas!I:I,'centraldecomunicacion.es'!H3235)&gt;0</f>
        <v>0</v>
      </c>
    </row>
    <row r="3236" spans="1:9">
      <c r="A3236" t="s">
        <v>11987</v>
      </c>
      <c r="B3236" t="s">
        <v>10</v>
      </c>
      <c r="C3236" t="s">
        <v>11988</v>
      </c>
      <c r="D3236" t="s">
        <v>11989</v>
      </c>
      <c r="E3236" t="s">
        <v>11706</v>
      </c>
      <c r="F3236" t="s">
        <v>28</v>
      </c>
      <c r="G3236" t="s">
        <v>11990</v>
      </c>
      <c r="H3236" t="s">
        <v>30</v>
      </c>
      <c r="I3236" t="b">
        <f>COUNTIF(Estadísticas!I:I,'centraldecomunicacion.es'!H3236)&gt;0</f>
        <v>0</v>
      </c>
    </row>
    <row r="3237" spans="1:9">
      <c r="A3237" t="s">
        <v>11991</v>
      </c>
      <c r="B3237" t="s">
        <v>10</v>
      </c>
      <c r="C3237" t="s">
        <v>11992</v>
      </c>
      <c r="D3237" t="s">
        <v>11952</v>
      </c>
      <c r="E3237" t="s">
        <v>11952</v>
      </c>
      <c r="F3237" t="s">
        <v>28</v>
      </c>
      <c r="G3237" t="s">
        <v>11993</v>
      </c>
      <c r="H3237" t="s">
        <v>30</v>
      </c>
      <c r="I3237" t="b">
        <f>COUNTIF(Estadísticas!I:I,'centraldecomunicacion.es'!H3237)&gt;0</f>
        <v>0</v>
      </c>
    </row>
    <row r="3238" spans="1:9">
      <c r="A3238" t="s">
        <v>11994</v>
      </c>
      <c r="B3238" t="s">
        <v>10</v>
      </c>
      <c r="C3238" t="s">
        <v>11995</v>
      </c>
      <c r="D3238" t="s">
        <v>11996</v>
      </c>
      <c r="E3238" t="s">
        <v>11752</v>
      </c>
      <c r="F3238" t="s">
        <v>28</v>
      </c>
      <c r="G3238" t="s">
        <v>11997</v>
      </c>
      <c r="H3238" t="s">
        <v>30</v>
      </c>
      <c r="I3238" t="b">
        <f>COUNTIF(Estadísticas!I:I,'centraldecomunicacion.es'!H3238)&gt;0</f>
        <v>0</v>
      </c>
    </row>
    <row r="3239" spans="1:9">
      <c r="A3239" t="s">
        <v>11998</v>
      </c>
      <c r="B3239" t="s">
        <v>10</v>
      </c>
      <c r="C3239" t="s">
        <v>11999</v>
      </c>
      <c r="D3239" t="s">
        <v>1879</v>
      </c>
      <c r="E3239" t="s">
        <v>1879</v>
      </c>
      <c r="F3239" t="s">
        <v>12000</v>
      </c>
      <c r="G3239" t="s">
        <v>12001</v>
      </c>
      <c r="H3239" t="s">
        <v>12002</v>
      </c>
      <c r="I3239" t="b">
        <f>COUNTIF(Estadísticas!I:I,'centraldecomunicacion.es'!H3239)&gt;0</f>
        <v>1</v>
      </c>
    </row>
    <row r="3240" spans="1:9">
      <c r="A3240" t="s">
        <v>12003</v>
      </c>
      <c r="B3240" t="s">
        <v>10</v>
      </c>
      <c r="C3240" t="s">
        <v>12004</v>
      </c>
      <c r="D3240" t="s">
        <v>11974</v>
      </c>
      <c r="E3240" t="s">
        <v>11706</v>
      </c>
      <c r="F3240" t="s">
        <v>12005</v>
      </c>
      <c r="G3240" t="s">
        <v>12006</v>
      </c>
      <c r="H3240" t="s">
        <v>30</v>
      </c>
      <c r="I3240" t="b">
        <f>COUNTIF(Estadísticas!I:I,'centraldecomunicacion.es'!H3240)&gt;0</f>
        <v>0</v>
      </c>
    </row>
    <row r="3241" spans="1:9">
      <c r="A3241" t="s">
        <v>12007</v>
      </c>
      <c r="B3241" t="s">
        <v>10</v>
      </c>
      <c r="C3241" t="s">
        <v>12008</v>
      </c>
      <c r="D3241" t="s">
        <v>12009</v>
      </c>
      <c r="E3241" t="s">
        <v>1879</v>
      </c>
      <c r="F3241" t="s">
        <v>28</v>
      </c>
      <c r="G3241" t="s">
        <v>12010</v>
      </c>
      <c r="H3241" t="s">
        <v>30</v>
      </c>
      <c r="I3241" t="b">
        <f>COUNTIF(Estadísticas!I:I,'centraldecomunicacion.es'!H3241)&gt;0</f>
        <v>0</v>
      </c>
    </row>
    <row r="3242" spans="1:9">
      <c r="A3242" t="s">
        <v>12011</v>
      </c>
      <c r="B3242" t="s">
        <v>10</v>
      </c>
      <c r="C3242" t="s">
        <v>12012</v>
      </c>
      <c r="D3242" t="s">
        <v>1878</v>
      </c>
      <c r="E3242" t="s">
        <v>1879</v>
      </c>
      <c r="F3242" t="s">
        <v>12013</v>
      </c>
      <c r="G3242" t="s">
        <v>12014</v>
      </c>
      <c r="H3242" t="s">
        <v>30</v>
      </c>
      <c r="I3242" t="b">
        <f>COUNTIF(Estadísticas!I:I,'centraldecomunicacion.es'!H3242)&gt;0</f>
        <v>0</v>
      </c>
    </row>
    <row r="3243" spans="1:9">
      <c r="A3243" t="s">
        <v>12015</v>
      </c>
      <c r="B3243" t="s">
        <v>10</v>
      </c>
      <c r="C3243" t="s">
        <v>12016</v>
      </c>
      <c r="D3243" t="s">
        <v>12017</v>
      </c>
      <c r="E3243" t="s">
        <v>11706</v>
      </c>
      <c r="F3243" t="s">
        <v>28</v>
      </c>
      <c r="G3243" t="s">
        <v>12018</v>
      </c>
      <c r="H3243" t="s">
        <v>30</v>
      </c>
      <c r="I3243" t="b">
        <f>COUNTIF(Estadísticas!I:I,'centraldecomunicacion.es'!H3243)&gt;0</f>
        <v>0</v>
      </c>
    </row>
    <row r="3244" spans="1:9">
      <c r="A3244" t="s">
        <v>12019</v>
      </c>
      <c r="B3244" t="s">
        <v>10</v>
      </c>
      <c r="C3244" t="s">
        <v>12020</v>
      </c>
      <c r="D3244" t="s">
        <v>11982</v>
      </c>
      <c r="E3244" t="s">
        <v>11706</v>
      </c>
      <c r="F3244" t="s">
        <v>12021</v>
      </c>
      <c r="G3244" t="s">
        <v>12022</v>
      </c>
      <c r="H3244" t="s">
        <v>12023</v>
      </c>
      <c r="I3244" t="b">
        <f>COUNTIF(Estadísticas!I:I,'centraldecomunicacion.es'!H3244)&gt;0</f>
        <v>0</v>
      </c>
    </row>
    <row r="3245" spans="1:9">
      <c r="A3245" t="s">
        <v>12024</v>
      </c>
      <c r="B3245" t="s">
        <v>10</v>
      </c>
      <c r="C3245" t="s">
        <v>12025</v>
      </c>
      <c r="D3245" t="s">
        <v>12026</v>
      </c>
      <c r="E3245" t="s">
        <v>1879</v>
      </c>
      <c r="F3245" t="s">
        <v>28</v>
      </c>
      <c r="G3245" t="s">
        <v>12027</v>
      </c>
      <c r="H3245" t="s">
        <v>30</v>
      </c>
      <c r="I3245" t="b">
        <f>COUNTIF(Estadísticas!I:I,'centraldecomunicacion.es'!H3245)&gt;0</f>
        <v>0</v>
      </c>
    </row>
    <row r="3246" spans="1:9">
      <c r="A3246" t="s">
        <v>12028</v>
      </c>
      <c r="B3246" t="s">
        <v>10</v>
      </c>
      <c r="C3246" t="s">
        <v>12029</v>
      </c>
      <c r="D3246" t="s">
        <v>11938</v>
      </c>
      <c r="E3246" t="s">
        <v>11752</v>
      </c>
      <c r="F3246" t="s">
        <v>12030</v>
      </c>
      <c r="G3246" t="s">
        <v>12031</v>
      </c>
      <c r="H3246" t="s">
        <v>12032</v>
      </c>
      <c r="I3246" t="b">
        <f>COUNTIF(Estadísticas!I:I,'centraldecomunicacion.es'!H3246)&gt;0</f>
        <v>0</v>
      </c>
    </row>
    <row r="3247" spans="1:9">
      <c r="A3247" t="s">
        <v>10</v>
      </c>
      <c r="B3247" t="s">
        <v>10</v>
      </c>
      <c r="C3247" t="s">
        <v>28</v>
      </c>
      <c r="D3247" t="s">
        <v>12033</v>
      </c>
      <c r="E3247" t="s">
        <v>28</v>
      </c>
      <c r="F3247" t="s">
        <v>1880</v>
      </c>
      <c r="G3247" t="s">
        <v>11514</v>
      </c>
      <c r="H3247" t="s">
        <v>30</v>
      </c>
      <c r="I3247" t="b">
        <f>COUNTIF(Estadísticas!I:I,'centraldecomunicacion.es'!H3247)&gt;0</f>
        <v>0</v>
      </c>
    </row>
    <row r="3248" spans="1:9">
      <c r="A3248" t="s">
        <v>12034</v>
      </c>
      <c r="B3248" t="s">
        <v>10</v>
      </c>
      <c r="C3248" t="s">
        <v>12035</v>
      </c>
      <c r="D3248" t="s">
        <v>1879</v>
      </c>
      <c r="E3248" t="s">
        <v>1879</v>
      </c>
      <c r="F3248" t="s">
        <v>12036</v>
      </c>
      <c r="G3248" t="s">
        <v>12037</v>
      </c>
      <c r="H3248" t="s">
        <v>30</v>
      </c>
      <c r="I3248" t="b">
        <f>COUNTIF(Estadísticas!I:I,'centraldecomunicacion.es'!H3248)&gt;0</f>
        <v>0</v>
      </c>
    </row>
    <row r="3249" spans="1:9">
      <c r="A3249" t="s">
        <v>12038</v>
      </c>
      <c r="B3249" t="s">
        <v>10</v>
      </c>
      <c r="C3249" t="s">
        <v>12039</v>
      </c>
      <c r="D3249" t="s">
        <v>1879</v>
      </c>
      <c r="E3249" t="s">
        <v>1879</v>
      </c>
      <c r="F3249" t="s">
        <v>12040</v>
      </c>
      <c r="G3249" t="s">
        <v>12041</v>
      </c>
      <c r="H3249" t="s">
        <v>12042</v>
      </c>
      <c r="I3249" t="b">
        <f>COUNTIF(Estadísticas!I:I,'centraldecomunicacion.es'!H3249)&gt;0</f>
        <v>0</v>
      </c>
    </row>
    <row r="3250" spans="1:9">
      <c r="A3250" t="s">
        <v>12043</v>
      </c>
      <c r="B3250" t="s">
        <v>10</v>
      </c>
      <c r="C3250" t="s">
        <v>12044</v>
      </c>
      <c r="D3250" t="s">
        <v>1879</v>
      </c>
      <c r="E3250" t="s">
        <v>1879</v>
      </c>
      <c r="F3250" t="s">
        <v>12045</v>
      </c>
      <c r="G3250" t="s">
        <v>12046</v>
      </c>
      <c r="H3250" t="s">
        <v>30</v>
      </c>
      <c r="I3250" t="b">
        <f>COUNTIF(Estadísticas!I:I,'centraldecomunicacion.es'!H3250)&gt;0</f>
        <v>0</v>
      </c>
    </row>
    <row r="3251" spans="1:9">
      <c r="A3251" t="s">
        <v>12047</v>
      </c>
      <c r="B3251" t="s">
        <v>10</v>
      </c>
      <c r="C3251" t="s">
        <v>12048</v>
      </c>
      <c r="D3251" t="s">
        <v>1879</v>
      </c>
      <c r="E3251" t="s">
        <v>1879</v>
      </c>
      <c r="F3251" t="s">
        <v>12049</v>
      </c>
      <c r="G3251" t="s">
        <v>12050</v>
      </c>
      <c r="H3251" t="s">
        <v>12051</v>
      </c>
      <c r="I3251" t="b">
        <f>COUNTIF(Estadísticas!I:I,'centraldecomunicacion.es'!H3251)&gt;0</f>
        <v>0</v>
      </c>
    </row>
    <row r="3252" spans="1:9">
      <c r="A3252" t="s">
        <v>12052</v>
      </c>
      <c r="B3252" t="s">
        <v>10</v>
      </c>
      <c r="C3252" t="s">
        <v>12053</v>
      </c>
      <c r="D3252" t="s">
        <v>1879</v>
      </c>
      <c r="E3252" t="s">
        <v>1879</v>
      </c>
      <c r="F3252" t="s">
        <v>28</v>
      </c>
      <c r="G3252" t="s">
        <v>28</v>
      </c>
      <c r="H3252" t="s">
        <v>30</v>
      </c>
      <c r="I3252" t="b">
        <f>COUNTIF(Estadísticas!I:I,'centraldecomunicacion.es'!H3252)&gt;0</f>
        <v>0</v>
      </c>
    </row>
    <row r="3253" spans="1:9">
      <c r="A3253" t="s">
        <v>12054</v>
      </c>
      <c r="B3253" t="s">
        <v>10</v>
      </c>
      <c r="C3253" t="s">
        <v>12055</v>
      </c>
      <c r="D3253" t="s">
        <v>1879</v>
      </c>
      <c r="E3253" t="s">
        <v>12056</v>
      </c>
      <c r="F3253" t="s">
        <v>12057</v>
      </c>
      <c r="G3253" t="s">
        <v>12058</v>
      </c>
      <c r="H3253" t="s">
        <v>30</v>
      </c>
      <c r="I3253" t="b">
        <f>COUNTIF(Estadísticas!I:I,'centraldecomunicacion.es'!H3253)&gt;0</f>
        <v>0</v>
      </c>
    </row>
    <row r="3254" spans="1:9">
      <c r="A3254" t="s">
        <v>12059</v>
      </c>
      <c r="B3254" t="s">
        <v>219</v>
      </c>
      <c r="C3254" t="s">
        <v>12060</v>
      </c>
      <c r="D3254" t="s">
        <v>1879</v>
      </c>
      <c r="E3254" t="s">
        <v>1879</v>
      </c>
      <c r="F3254" t="s">
        <v>12061</v>
      </c>
      <c r="G3254" t="s">
        <v>12062</v>
      </c>
      <c r="H3254" t="s">
        <v>12063</v>
      </c>
      <c r="I3254" t="b">
        <f>COUNTIF(Estadísticas!I:I,'centraldecomunicacion.es'!H3254)&gt;0</f>
        <v>0</v>
      </c>
    </row>
    <row r="3255" spans="1:9">
      <c r="A3255" t="s">
        <v>12064</v>
      </c>
      <c r="B3255" t="s">
        <v>10</v>
      </c>
      <c r="C3255" t="s">
        <v>12065</v>
      </c>
      <c r="D3255" t="s">
        <v>1879</v>
      </c>
      <c r="E3255" t="s">
        <v>1879</v>
      </c>
      <c r="F3255" t="s">
        <v>12066</v>
      </c>
      <c r="G3255" t="s">
        <v>12067</v>
      </c>
      <c r="H3255" t="s">
        <v>12068</v>
      </c>
      <c r="I3255" t="b">
        <f>COUNTIF(Estadísticas!I:I,'centraldecomunicacion.es'!H3255)&gt;0</f>
        <v>0</v>
      </c>
    </row>
    <row r="3256" spans="1:9">
      <c r="A3256" t="s">
        <v>12069</v>
      </c>
      <c r="B3256" t="s">
        <v>10</v>
      </c>
      <c r="C3256" t="s">
        <v>12070</v>
      </c>
      <c r="D3256" t="s">
        <v>1879</v>
      </c>
      <c r="E3256" t="s">
        <v>1879</v>
      </c>
      <c r="F3256" t="s">
        <v>12071</v>
      </c>
      <c r="G3256" t="s">
        <v>12072</v>
      </c>
      <c r="H3256" t="s">
        <v>30</v>
      </c>
      <c r="I3256" t="b">
        <f>COUNTIF(Estadísticas!I:I,'centraldecomunicacion.es'!H3256)&gt;0</f>
        <v>0</v>
      </c>
    </row>
    <row r="3257" spans="1:9">
      <c r="A3257" t="s">
        <v>12073</v>
      </c>
      <c r="B3257" t="s">
        <v>10</v>
      </c>
      <c r="C3257" t="s">
        <v>12074</v>
      </c>
      <c r="D3257" t="s">
        <v>1879</v>
      </c>
      <c r="E3257" t="s">
        <v>1879</v>
      </c>
      <c r="F3257" t="s">
        <v>12075</v>
      </c>
      <c r="G3257" t="s">
        <v>12076</v>
      </c>
      <c r="H3257" t="s">
        <v>12077</v>
      </c>
      <c r="I3257" t="b">
        <f>COUNTIF(Estadísticas!I:I,'centraldecomunicacion.es'!H3257)&gt;0</f>
        <v>0</v>
      </c>
    </row>
    <row r="3258" spans="1:9">
      <c r="A3258" t="s">
        <v>12078</v>
      </c>
      <c r="B3258" t="s">
        <v>10</v>
      </c>
      <c r="C3258" t="s">
        <v>12079</v>
      </c>
      <c r="D3258" t="s">
        <v>1879</v>
      </c>
      <c r="E3258" t="s">
        <v>1879</v>
      </c>
      <c r="F3258" t="s">
        <v>12080</v>
      </c>
      <c r="G3258" t="s">
        <v>12081</v>
      </c>
      <c r="H3258" t="s">
        <v>12082</v>
      </c>
      <c r="I3258" t="b">
        <f>COUNTIF(Estadísticas!I:I,'centraldecomunicacion.es'!H3258)&gt;0</f>
        <v>1</v>
      </c>
    </row>
    <row r="3259" spans="1:9">
      <c r="A3259" t="s">
        <v>12083</v>
      </c>
      <c r="B3259" t="s">
        <v>10</v>
      </c>
      <c r="C3259" t="s">
        <v>12084</v>
      </c>
      <c r="D3259" t="s">
        <v>1879</v>
      </c>
      <c r="E3259" t="s">
        <v>12056</v>
      </c>
      <c r="F3259" t="s">
        <v>12085</v>
      </c>
      <c r="G3259" t="s">
        <v>12086</v>
      </c>
      <c r="H3259" t="s">
        <v>12087</v>
      </c>
      <c r="I3259" t="b">
        <f>COUNTIF(Estadísticas!I:I,'centraldecomunicacion.es'!H3259)&gt;0</f>
        <v>0</v>
      </c>
    </row>
    <row r="3260" spans="1:9">
      <c r="A3260" t="s">
        <v>12088</v>
      </c>
      <c r="B3260" t="s">
        <v>10</v>
      </c>
      <c r="C3260" t="s">
        <v>7369</v>
      </c>
      <c r="D3260" t="s">
        <v>1879</v>
      </c>
      <c r="E3260" t="s">
        <v>1879</v>
      </c>
      <c r="F3260" t="s">
        <v>12089</v>
      </c>
      <c r="G3260" t="s">
        <v>12090</v>
      </c>
      <c r="H3260" t="s">
        <v>30</v>
      </c>
      <c r="I3260" t="b">
        <f>COUNTIF(Estadísticas!I:I,'centraldecomunicacion.es'!H3260)&gt;0</f>
        <v>0</v>
      </c>
    </row>
    <row r="3261" spans="1:9">
      <c r="A3261" t="s">
        <v>12091</v>
      </c>
      <c r="B3261" t="s">
        <v>10</v>
      </c>
      <c r="C3261" t="s">
        <v>12092</v>
      </c>
      <c r="D3261" t="s">
        <v>1879</v>
      </c>
      <c r="E3261" t="s">
        <v>1879</v>
      </c>
      <c r="F3261" t="s">
        <v>12093</v>
      </c>
      <c r="G3261" t="s">
        <v>12094</v>
      </c>
      <c r="H3261" t="s">
        <v>12095</v>
      </c>
      <c r="I3261" t="b">
        <f>COUNTIF(Estadísticas!I:I,'centraldecomunicacion.es'!H3261)&gt;0</f>
        <v>1</v>
      </c>
    </row>
    <row r="3262" spans="1:9">
      <c r="A3262" t="s">
        <v>12096</v>
      </c>
      <c r="B3262" t="s">
        <v>10</v>
      </c>
      <c r="C3262" t="s">
        <v>28</v>
      </c>
      <c r="D3262" t="s">
        <v>12033</v>
      </c>
      <c r="E3262" t="s">
        <v>28</v>
      </c>
      <c r="F3262" t="s">
        <v>12097</v>
      </c>
      <c r="G3262" t="s">
        <v>12098</v>
      </c>
      <c r="H3262" t="s">
        <v>30</v>
      </c>
      <c r="I3262" t="b">
        <f>COUNTIF(Estadísticas!I:I,'centraldecomunicacion.es'!H3262)&gt;0</f>
        <v>0</v>
      </c>
    </row>
    <row r="3263" spans="1:9">
      <c r="A3263" t="s">
        <v>12099</v>
      </c>
      <c r="B3263" t="s">
        <v>10</v>
      </c>
      <c r="C3263" t="s">
        <v>12100</v>
      </c>
      <c r="D3263" t="s">
        <v>1879</v>
      </c>
      <c r="E3263" t="s">
        <v>1879</v>
      </c>
      <c r="F3263" t="s">
        <v>12075</v>
      </c>
      <c r="G3263" t="s">
        <v>12101</v>
      </c>
      <c r="H3263" t="s">
        <v>12077</v>
      </c>
      <c r="I3263" t="b">
        <f>COUNTIF(Estadísticas!I:I,'centraldecomunicacion.es'!H3263)&gt;0</f>
        <v>0</v>
      </c>
    </row>
    <row r="3264" spans="1:9">
      <c r="A3264" t="s">
        <v>12102</v>
      </c>
      <c r="B3264" t="s">
        <v>10</v>
      </c>
      <c r="C3264" t="s">
        <v>12103</v>
      </c>
      <c r="D3264" t="s">
        <v>1879</v>
      </c>
      <c r="E3264" t="s">
        <v>1879</v>
      </c>
      <c r="F3264" t="s">
        <v>28</v>
      </c>
      <c r="G3264" t="s">
        <v>12104</v>
      </c>
      <c r="H3264" t="s">
        <v>30</v>
      </c>
      <c r="I3264" t="b">
        <f>COUNTIF(Estadísticas!I:I,'centraldecomunicacion.es'!H3264)&gt;0</f>
        <v>0</v>
      </c>
    </row>
    <row r="3265" spans="1:9">
      <c r="A3265" t="s">
        <v>4443</v>
      </c>
      <c r="B3265" t="s">
        <v>10</v>
      </c>
      <c r="C3265" t="s">
        <v>12105</v>
      </c>
      <c r="D3265" t="s">
        <v>1879</v>
      </c>
      <c r="E3265" t="s">
        <v>1879</v>
      </c>
      <c r="F3265" t="s">
        <v>28</v>
      </c>
      <c r="G3265" t="s">
        <v>12106</v>
      </c>
      <c r="H3265" t="s">
        <v>30</v>
      </c>
      <c r="I3265" t="b">
        <f>COUNTIF(Estadísticas!I:I,'centraldecomunicacion.es'!H3265)&gt;0</f>
        <v>0</v>
      </c>
    </row>
    <row r="3266" spans="1:9">
      <c r="A3266" t="s">
        <v>12107</v>
      </c>
      <c r="B3266" t="s">
        <v>10</v>
      </c>
      <c r="C3266" t="s">
        <v>12108</v>
      </c>
      <c r="D3266" t="s">
        <v>1879</v>
      </c>
      <c r="E3266" t="s">
        <v>1879</v>
      </c>
      <c r="F3266" t="s">
        <v>12109</v>
      </c>
      <c r="G3266" t="s">
        <v>12110</v>
      </c>
      <c r="H3266" t="s">
        <v>12111</v>
      </c>
      <c r="I3266" t="b">
        <f>COUNTIF(Estadísticas!I:I,'centraldecomunicacion.es'!H3266)&gt;0</f>
        <v>0</v>
      </c>
    </row>
    <row r="3267" spans="1:9">
      <c r="A3267" t="s">
        <v>12112</v>
      </c>
      <c r="B3267" t="s">
        <v>10</v>
      </c>
      <c r="C3267" t="s">
        <v>28</v>
      </c>
      <c r="D3267" t="s">
        <v>12033</v>
      </c>
      <c r="E3267" t="s">
        <v>28</v>
      </c>
      <c r="F3267" t="s">
        <v>28</v>
      </c>
      <c r="G3267" t="s">
        <v>12113</v>
      </c>
      <c r="H3267" t="s">
        <v>30</v>
      </c>
      <c r="I3267" t="b">
        <f>COUNTIF(Estadísticas!I:I,'centraldecomunicacion.es'!H3267)&gt;0</f>
        <v>0</v>
      </c>
    </row>
    <row r="3268" spans="1:9">
      <c r="A3268" t="s">
        <v>12114</v>
      </c>
      <c r="B3268" t="s">
        <v>10</v>
      </c>
      <c r="C3268" t="s">
        <v>12115</v>
      </c>
      <c r="D3268" t="s">
        <v>1879</v>
      </c>
      <c r="E3268" t="s">
        <v>1879</v>
      </c>
      <c r="F3268" t="s">
        <v>12116</v>
      </c>
      <c r="G3268" t="s">
        <v>12117</v>
      </c>
      <c r="H3268" t="s">
        <v>12118</v>
      </c>
      <c r="I3268" t="b">
        <f>COUNTIF(Estadísticas!I:I,'centraldecomunicacion.es'!H3268)&gt;0</f>
        <v>1</v>
      </c>
    </row>
    <row r="3269" spans="1:9">
      <c r="A3269" t="s">
        <v>12119</v>
      </c>
      <c r="B3269" t="s">
        <v>10</v>
      </c>
      <c r="C3269" t="s">
        <v>12120</v>
      </c>
      <c r="D3269" t="s">
        <v>1879</v>
      </c>
      <c r="E3269" t="s">
        <v>1879</v>
      </c>
      <c r="F3269" t="s">
        <v>12121</v>
      </c>
      <c r="G3269" t="s">
        <v>12122</v>
      </c>
      <c r="H3269" t="s">
        <v>30</v>
      </c>
      <c r="I3269" t="b">
        <f>COUNTIF(Estadísticas!I:I,'centraldecomunicacion.es'!H3269)&gt;0</f>
        <v>0</v>
      </c>
    </row>
    <row r="3270" spans="1:9">
      <c r="A3270" t="s">
        <v>12123</v>
      </c>
      <c r="B3270" t="s">
        <v>10</v>
      </c>
      <c r="C3270" t="s">
        <v>12124</v>
      </c>
      <c r="D3270" t="s">
        <v>1879</v>
      </c>
      <c r="E3270" t="s">
        <v>1879</v>
      </c>
      <c r="F3270" t="s">
        <v>12125</v>
      </c>
      <c r="G3270" t="s">
        <v>12126</v>
      </c>
      <c r="H3270" t="s">
        <v>12127</v>
      </c>
      <c r="I3270" t="b">
        <f>COUNTIF(Estadísticas!I:I,'centraldecomunicacion.es'!H3270)&gt;0</f>
        <v>1</v>
      </c>
    </row>
    <row r="3271" spans="1:9">
      <c r="A3271" t="s">
        <v>12128</v>
      </c>
      <c r="B3271" t="s">
        <v>10</v>
      </c>
      <c r="C3271" t="s">
        <v>12129</v>
      </c>
      <c r="D3271" t="s">
        <v>12130</v>
      </c>
      <c r="E3271" t="s">
        <v>1879</v>
      </c>
      <c r="F3271" t="s">
        <v>12131</v>
      </c>
      <c r="G3271" t="s">
        <v>12132</v>
      </c>
      <c r="H3271" t="s">
        <v>12133</v>
      </c>
      <c r="I3271" t="b">
        <f>COUNTIF(Estadísticas!I:I,'centraldecomunicacion.es'!H3271)&gt;0</f>
        <v>0</v>
      </c>
    </row>
    <row r="3272" spans="1:9">
      <c r="A3272" t="s">
        <v>12134</v>
      </c>
      <c r="B3272" t="s">
        <v>10</v>
      </c>
      <c r="C3272" t="s">
        <v>12135</v>
      </c>
      <c r="D3272" t="s">
        <v>1879</v>
      </c>
      <c r="E3272" t="s">
        <v>1879</v>
      </c>
      <c r="F3272" t="s">
        <v>12136</v>
      </c>
      <c r="G3272" t="s">
        <v>12137</v>
      </c>
      <c r="H3272" t="s">
        <v>691</v>
      </c>
      <c r="I3272" t="b">
        <f>COUNTIF(Estadísticas!I:I,'centraldecomunicacion.es'!H3272)&gt;0</f>
        <v>0</v>
      </c>
    </row>
    <row r="3273" spans="1:9">
      <c r="A3273" t="s">
        <v>12138</v>
      </c>
      <c r="B3273" t="s">
        <v>10</v>
      </c>
      <c r="C3273" t="s">
        <v>12139</v>
      </c>
      <c r="D3273" t="s">
        <v>1879</v>
      </c>
      <c r="E3273" t="s">
        <v>1879</v>
      </c>
      <c r="F3273" t="s">
        <v>12140</v>
      </c>
      <c r="G3273" t="s">
        <v>12141</v>
      </c>
      <c r="H3273" t="s">
        <v>30</v>
      </c>
      <c r="I3273" t="b">
        <f>COUNTIF(Estadísticas!I:I,'centraldecomunicacion.es'!H3273)&gt;0</f>
        <v>0</v>
      </c>
    </row>
    <row r="3274" spans="1:9">
      <c r="A3274" t="s">
        <v>8720</v>
      </c>
      <c r="B3274" t="s">
        <v>10</v>
      </c>
      <c r="C3274" t="s">
        <v>12142</v>
      </c>
      <c r="D3274" t="s">
        <v>1879</v>
      </c>
      <c r="E3274" t="s">
        <v>1879</v>
      </c>
      <c r="F3274" t="s">
        <v>28</v>
      </c>
      <c r="G3274" t="s">
        <v>12143</v>
      </c>
      <c r="H3274" t="s">
        <v>30</v>
      </c>
      <c r="I3274" t="b">
        <f>COUNTIF(Estadísticas!I:I,'centraldecomunicacion.es'!H3274)&gt;0</f>
        <v>0</v>
      </c>
    </row>
    <row r="3275" spans="1:9">
      <c r="A3275" t="s">
        <v>12144</v>
      </c>
      <c r="B3275" t="s">
        <v>10</v>
      </c>
      <c r="C3275" t="s">
        <v>12145</v>
      </c>
      <c r="D3275" t="s">
        <v>1879</v>
      </c>
      <c r="E3275" t="s">
        <v>1879</v>
      </c>
      <c r="F3275" t="s">
        <v>12146</v>
      </c>
      <c r="G3275" t="s">
        <v>12147</v>
      </c>
      <c r="H3275" t="s">
        <v>30</v>
      </c>
      <c r="I3275" t="b">
        <f>COUNTIF(Estadísticas!I:I,'centraldecomunicacion.es'!H3275)&gt;0</f>
        <v>0</v>
      </c>
    </row>
    <row r="3276" spans="1:9">
      <c r="A3276" t="s">
        <v>12148</v>
      </c>
      <c r="B3276" t="s">
        <v>10</v>
      </c>
      <c r="C3276" t="s">
        <v>12149</v>
      </c>
      <c r="D3276" t="s">
        <v>12150</v>
      </c>
      <c r="E3276" t="s">
        <v>1879</v>
      </c>
      <c r="F3276" t="s">
        <v>12151</v>
      </c>
      <c r="G3276" t="s">
        <v>12152</v>
      </c>
      <c r="H3276" t="s">
        <v>30</v>
      </c>
      <c r="I3276" t="b">
        <f>COUNTIF(Estadísticas!I:I,'centraldecomunicacion.es'!H3276)&gt;0</f>
        <v>0</v>
      </c>
    </row>
    <row r="3277" spans="1:9">
      <c r="A3277" t="s">
        <v>12153</v>
      </c>
      <c r="B3277" t="s">
        <v>10</v>
      </c>
      <c r="C3277" t="s">
        <v>12154</v>
      </c>
      <c r="D3277" t="s">
        <v>1879</v>
      </c>
      <c r="E3277" t="s">
        <v>1879</v>
      </c>
      <c r="F3277" t="s">
        <v>50</v>
      </c>
      <c r="G3277" t="s">
        <v>12155</v>
      </c>
      <c r="H3277" t="s">
        <v>30</v>
      </c>
      <c r="I3277" t="b">
        <f>COUNTIF(Estadísticas!I:I,'centraldecomunicacion.es'!H3277)&gt;0</f>
        <v>0</v>
      </c>
    </row>
    <row r="3278" spans="1:9">
      <c r="A3278" t="s">
        <v>12156</v>
      </c>
      <c r="B3278" t="s">
        <v>10</v>
      </c>
      <c r="C3278" t="s">
        <v>12157</v>
      </c>
      <c r="D3278" t="s">
        <v>1879</v>
      </c>
      <c r="E3278" t="s">
        <v>1879</v>
      </c>
      <c r="F3278" t="s">
        <v>12158</v>
      </c>
      <c r="G3278" t="s">
        <v>12159</v>
      </c>
      <c r="H3278" t="s">
        <v>12160</v>
      </c>
      <c r="I3278" t="b">
        <f>COUNTIF(Estadísticas!I:I,'centraldecomunicacion.es'!H3278)&gt;0</f>
        <v>0</v>
      </c>
    </row>
    <row r="3279" spans="1:9">
      <c r="A3279" t="s">
        <v>12161</v>
      </c>
      <c r="B3279" t="s">
        <v>10</v>
      </c>
      <c r="C3279" t="s">
        <v>12162</v>
      </c>
      <c r="D3279" t="s">
        <v>1879</v>
      </c>
      <c r="E3279" t="s">
        <v>1879</v>
      </c>
      <c r="F3279" t="s">
        <v>12163</v>
      </c>
      <c r="G3279" t="s">
        <v>12164</v>
      </c>
      <c r="H3279" t="s">
        <v>30</v>
      </c>
      <c r="I3279" t="b">
        <f>COUNTIF(Estadísticas!I:I,'centraldecomunicacion.es'!H3279)&gt;0</f>
        <v>0</v>
      </c>
    </row>
    <row r="3280" spans="1:9">
      <c r="A3280" t="s">
        <v>12165</v>
      </c>
      <c r="B3280" t="s">
        <v>10</v>
      </c>
      <c r="C3280" t="s">
        <v>12166</v>
      </c>
      <c r="D3280" t="s">
        <v>1879</v>
      </c>
      <c r="E3280" t="s">
        <v>1879</v>
      </c>
      <c r="F3280" t="s">
        <v>28</v>
      </c>
      <c r="G3280" t="s">
        <v>12167</v>
      </c>
      <c r="H3280" t="s">
        <v>30</v>
      </c>
      <c r="I3280" t="b">
        <f>COUNTIF(Estadísticas!I:I,'centraldecomunicacion.es'!H3280)&gt;0</f>
        <v>0</v>
      </c>
    </row>
    <row r="3281" spans="1:9">
      <c r="A3281" t="s">
        <v>12168</v>
      </c>
      <c r="B3281" t="s">
        <v>10</v>
      </c>
      <c r="C3281" t="s">
        <v>12169</v>
      </c>
      <c r="D3281" t="s">
        <v>1879</v>
      </c>
      <c r="E3281" t="s">
        <v>1879</v>
      </c>
      <c r="F3281" t="s">
        <v>12170</v>
      </c>
      <c r="G3281" t="s">
        <v>12171</v>
      </c>
      <c r="H3281" t="s">
        <v>12172</v>
      </c>
      <c r="I3281" t="b">
        <f>COUNTIF(Estadísticas!I:I,'centraldecomunicacion.es'!H3281)&gt;0</f>
        <v>0</v>
      </c>
    </row>
    <row r="3282" spans="1:9">
      <c r="A3282" t="s">
        <v>12173</v>
      </c>
      <c r="B3282" t="s">
        <v>10</v>
      </c>
      <c r="C3282" t="s">
        <v>12174</v>
      </c>
      <c r="D3282" t="s">
        <v>1879</v>
      </c>
      <c r="E3282" t="s">
        <v>1879</v>
      </c>
      <c r="F3282" t="s">
        <v>12175</v>
      </c>
      <c r="G3282" t="s">
        <v>12176</v>
      </c>
      <c r="H3282" t="s">
        <v>12177</v>
      </c>
      <c r="I3282" t="b">
        <f>COUNTIF(Estadísticas!I:I,'centraldecomunicacion.es'!H3282)&gt;0</f>
        <v>0</v>
      </c>
    </row>
    <row r="3283" spans="1:9">
      <c r="A3283" t="s">
        <v>12178</v>
      </c>
      <c r="B3283" t="s">
        <v>10</v>
      </c>
      <c r="C3283" t="s">
        <v>12179</v>
      </c>
      <c r="D3283" t="s">
        <v>1879</v>
      </c>
      <c r="E3283" t="s">
        <v>1879</v>
      </c>
      <c r="F3283" t="s">
        <v>12180</v>
      </c>
      <c r="G3283" t="s">
        <v>12181</v>
      </c>
      <c r="H3283" t="s">
        <v>30</v>
      </c>
      <c r="I3283" t="b">
        <f>COUNTIF(Estadísticas!I:I,'centraldecomunicacion.es'!H3283)&gt;0</f>
        <v>0</v>
      </c>
    </row>
    <row r="3284" spans="1:9">
      <c r="A3284" t="s">
        <v>8133</v>
      </c>
      <c r="B3284" t="s">
        <v>10</v>
      </c>
      <c r="C3284" t="s">
        <v>12182</v>
      </c>
      <c r="D3284" t="s">
        <v>1879</v>
      </c>
      <c r="E3284" t="s">
        <v>1879</v>
      </c>
      <c r="F3284" t="s">
        <v>12183</v>
      </c>
      <c r="G3284" t="s">
        <v>12184</v>
      </c>
      <c r="H3284" t="s">
        <v>30</v>
      </c>
      <c r="I3284" t="b">
        <f>COUNTIF(Estadísticas!I:I,'centraldecomunicacion.es'!H3284)&gt;0</f>
        <v>0</v>
      </c>
    </row>
    <row r="3285" spans="1:9">
      <c r="A3285" t="s">
        <v>12185</v>
      </c>
      <c r="B3285" t="s">
        <v>10</v>
      </c>
      <c r="C3285" t="s">
        <v>12186</v>
      </c>
      <c r="D3285" t="s">
        <v>1879</v>
      </c>
      <c r="E3285" t="s">
        <v>1879</v>
      </c>
      <c r="F3285" t="s">
        <v>12187</v>
      </c>
      <c r="G3285" t="s">
        <v>12188</v>
      </c>
      <c r="H3285" t="s">
        <v>30</v>
      </c>
      <c r="I3285" t="b">
        <f>COUNTIF(Estadísticas!I:I,'centraldecomunicacion.es'!H3285)&gt;0</f>
        <v>0</v>
      </c>
    </row>
    <row r="3286" spans="1:9">
      <c r="A3286" t="s">
        <v>12189</v>
      </c>
      <c r="B3286" t="s">
        <v>10</v>
      </c>
      <c r="C3286" t="s">
        <v>12190</v>
      </c>
      <c r="D3286" t="s">
        <v>1879</v>
      </c>
      <c r="E3286" t="s">
        <v>1879</v>
      </c>
      <c r="F3286" t="s">
        <v>12191</v>
      </c>
      <c r="G3286" t="s">
        <v>12192</v>
      </c>
      <c r="H3286" t="s">
        <v>30</v>
      </c>
      <c r="I3286" t="b">
        <f>COUNTIF(Estadísticas!I:I,'centraldecomunicacion.es'!H3286)&gt;0</f>
        <v>0</v>
      </c>
    </row>
    <row r="3287" spans="1:9">
      <c r="A3287" t="s">
        <v>12193</v>
      </c>
      <c r="B3287" t="s">
        <v>10</v>
      </c>
      <c r="C3287" t="s">
        <v>12194</v>
      </c>
      <c r="D3287" t="s">
        <v>1879</v>
      </c>
      <c r="E3287" t="s">
        <v>1879</v>
      </c>
      <c r="F3287" t="s">
        <v>12195</v>
      </c>
      <c r="G3287" t="s">
        <v>12196</v>
      </c>
      <c r="H3287" t="s">
        <v>12197</v>
      </c>
      <c r="I3287" t="b">
        <f>COUNTIF(Estadísticas!I:I,'centraldecomunicacion.es'!H3287)&gt;0</f>
        <v>0</v>
      </c>
    </row>
    <row r="3288" spans="1:9">
      <c r="A3288" t="s">
        <v>12198</v>
      </c>
      <c r="B3288" t="s">
        <v>10</v>
      </c>
      <c r="C3288" t="s">
        <v>12199</v>
      </c>
      <c r="D3288" t="s">
        <v>1879</v>
      </c>
      <c r="E3288" t="s">
        <v>1879</v>
      </c>
      <c r="F3288" t="s">
        <v>12200</v>
      </c>
      <c r="G3288" t="s">
        <v>12201</v>
      </c>
      <c r="H3288" t="s">
        <v>12202</v>
      </c>
      <c r="I3288" t="b">
        <f>COUNTIF(Estadísticas!I:I,'centraldecomunicacion.es'!H3288)&gt;0</f>
        <v>0</v>
      </c>
    </row>
    <row r="3289" spans="1:9">
      <c r="A3289" t="s">
        <v>6307</v>
      </c>
      <c r="B3289" t="s">
        <v>10</v>
      </c>
      <c r="C3289" t="s">
        <v>12203</v>
      </c>
      <c r="D3289" t="s">
        <v>1879</v>
      </c>
      <c r="E3289" t="s">
        <v>1879</v>
      </c>
      <c r="F3289" t="s">
        <v>28</v>
      </c>
      <c r="G3289" t="s">
        <v>12204</v>
      </c>
      <c r="H3289" t="s">
        <v>30</v>
      </c>
      <c r="I3289" t="b">
        <f>COUNTIF(Estadísticas!I:I,'centraldecomunicacion.es'!H3289)&gt;0</f>
        <v>0</v>
      </c>
    </row>
    <row r="3290" spans="1:9">
      <c r="A3290" t="s">
        <v>12205</v>
      </c>
      <c r="B3290" t="s">
        <v>10</v>
      </c>
      <c r="C3290" t="s">
        <v>12206</v>
      </c>
      <c r="D3290" t="s">
        <v>1879</v>
      </c>
      <c r="E3290" t="s">
        <v>1879</v>
      </c>
      <c r="F3290" t="s">
        <v>28</v>
      </c>
      <c r="G3290" t="s">
        <v>12207</v>
      </c>
      <c r="H3290" t="s">
        <v>30</v>
      </c>
      <c r="I3290" t="b">
        <f>COUNTIF(Estadísticas!I:I,'centraldecomunicacion.es'!H3290)&gt;0</f>
        <v>0</v>
      </c>
    </row>
    <row r="3291" spans="1:9">
      <c r="A3291" t="s">
        <v>12208</v>
      </c>
      <c r="B3291" t="s">
        <v>10</v>
      </c>
      <c r="C3291" t="s">
        <v>12209</v>
      </c>
      <c r="D3291" t="s">
        <v>1879</v>
      </c>
      <c r="E3291" t="s">
        <v>1879</v>
      </c>
      <c r="F3291" t="s">
        <v>12210</v>
      </c>
      <c r="G3291" t="s">
        <v>12211</v>
      </c>
      <c r="H3291" t="s">
        <v>12212</v>
      </c>
      <c r="I3291" t="b">
        <f>COUNTIF(Estadísticas!I:I,'centraldecomunicacion.es'!H3291)&gt;0</f>
        <v>0</v>
      </c>
    </row>
    <row r="3292" spans="1:9">
      <c r="A3292" t="s">
        <v>12213</v>
      </c>
      <c r="B3292" t="s">
        <v>10</v>
      </c>
      <c r="C3292" t="s">
        <v>12214</v>
      </c>
      <c r="D3292" t="s">
        <v>12215</v>
      </c>
      <c r="E3292" t="s">
        <v>1879</v>
      </c>
      <c r="F3292" t="s">
        <v>12216</v>
      </c>
      <c r="G3292" t="s">
        <v>12217</v>
      </c>
      <c r="H3292" t="s">
        <v>12218</v>
      </c>
      <c r="I3292" t="b">
        <f>COUNTIF(Estadísticas!I:I,'centraldecomunicacion.es'!H3292)&gt;0</f>
        <v>1</v>
      </c>
    </row>
    <row r="3293" spans="1:9">
      <c r="A3293" t="s">
        <v>12219</v>
      </c>
      <c r="B3293" t="s">
        <v>10</v>
      </c>
      <c r="C3293" t="s">
        <v>12220</v>
      </c>
      <c r="D3293" t="s">
        <v>1879</v>
      </c>
      <c r="E3293" t="s">
        <v>1879</v>
      </c>
      <c r="F3293" t="s">
        <v>28</v>
      </c>
      <c r="G3293" t="s">
        <v>12221</v>
      </c>
      <c r="H3293" t="s">
        <v>30</v>
      </c>
      <c r="I3293" t="b">
        <f>COUNTIF(Estadísticas!I:I,'centraldecomunicacion.es'!H3293)&gt;0</f>
        <v>0</v>
      </c>
    </row>
    <row r="3294" spans="1:9">
      <c r="A3294" t="s">
        <v>12222</v>
      </c>
      <c r="B3294" t="s">
        <v>10</v>
      </c>
      <c r="C3294" t="s">
        <v>12223</v>
      </c>
      <c r="D3294" t="s">
        <v>1879</v>
      </c>
      <c r="E3294" t="s">
        <v>1879</v>
      </c>
      <c r="F3294" t="s">
        <v>28</v>
      </c>
      <c r="G3294" t="s">
        <v>12224</v>
      </c>
      <c r="H3294" t="s">
        <v>30</v>
      </c>
      <c r="I3294" t="b">
        <f>COUNTIF(Estadísticas!I:I,'centraldecomunicacion.es'!H3294)&gt;0</f>
        <v>0</v>
      </c>
    </row>
    <row r="3295" spans="1:9">
      <c r="A3295" t="s">
        <v>12225</v>
      </c>
      <c r="B3295" t="s">
        <v>10</v>
      </c>
      <c r="C3295" t="s">
        <v>12226</v>
      </c>
      <c r="D3295" t="s">
        <v>1879</v>
      </c>
      <c r="E3295" t="s">
        <v>1879</v>
      </c>
      <c r="F3295" t="s">
        <v>50</v>
      </c>
      <c r="G3295" t="s">
        <v>12227</v>
      </c>
      <c r="H3295" t="s">
        <v>30</v>
      </c>
      <c r="I3295" t="b">
        <f>COUNTIF(Estadísticas!I:I,'centraldecomunicacion.es'!H3295)&gt;0</f>
        <v>0</v>
      </c>
    </row>
    <row r="3296" spans="1:9">
      <c r="A3296" t="s">
        <v>12228</v>
      </c>
      <c r="B3296" t="s">
        <v>10</v>
      </c>
      <c r="C3296" t="s">
        <v>12229</v>
      </c>
      <c r="D3296" t="s">
        <v>1879</v>
      </c>
      <c r="E3296" t="s">
        <v>1879</v>
      </c>
      <c r="F3296" t="s">
        <v>28</v>
      </c>
      <c r="G3296" t="s">
        <v>12230</v>
      </c>
      <c r="H3296" t="s">
        <v>30</v>
      </c>
      <c r="I3296" t="b">
        <f>COUNTIF(Estadísticas!I:I,'centraldecomunicacion.es'!H3296)&gt;0</f>
        <v>0</v>
      </c>
    </row>
    <row r="3297" spans="1:9">
      <c r="A3297" t="s">
        <v>12231</v>
      </c>
      <c r="B3297" t="s">
        <v>10</v>
      </c>
      <c r="C3297" t="s">
        <v>12232</v>
      </c>
      <c r="D3297" t="s">
        <v>1879</v>
      </c>
      <c r="E3297" t="s">
        <v>1879</v>
      </c>
      <c r="F3297" t="s">
        <v>12233</v>
      </c>
      <c r="G3297" t="s">
        <v>12234</v>
      </c>
      <c r="H3297" t="s">
        <v>30</v>
      </c>
      <c r="I3297" t="b">
        <f>COUNTIF(Estadísticas!I:I,'centraldecomunicacion.es'!H3297)&gt;0</f>
        <v>0</v>
      </c>
    </row>
    <row r="3298" spans="1:9">
      <c r="A3298" t="s">
        <v>12235</v>
      </c>
      <c r="B3298" t="s">
        <v>10</v>
      </c>
      <c r="C3298" t="s">
        <v>12236</v>
      </c>
      <c r="D3298" t="s">
        <v>1879</v>
      </c>
      <c r="E3298" t="s">
        <v>1879</v>
      </c>
      <c r="F3298" t="s">
        <v>12237</v>
      </c>
      <c r="G3298" t="s">
        <v>12238</v>
      </c>
      <c r="H3298" t="s">
        <v>12239</v>
      </c>
      <c r="I3298" t="b">
        <f>COUNTIF(Estadísticas!I:I,'centraldecomunicacion.es'!H3298)&gt;0</f>
        <v>0</v>
      </c>
    </row>
    <row r="3299" spans="1:9">
      <c r="A3299" t="s">
        <v>12240</v>
      </c>
      <c r="B3299" t="s">
        <v>10</v>
      </c>
      <c r="C3299" t="s">
        <v>12241</v>
      </c>
      <c r="D3299" t="s">
        <v>1879</v>
      </c>
      <c r="E3299" t="s">
        <v>1879</v>
      </c>
      <c r="F3299" t="s">
        <v>993</v>
      </c>
      <c r="G3299" t="s">
        <v>12242</v>
      </c>
      <c r="H3299" t="s">
        <v>995</v>
      </c>
      <c r="I3299" t="b">
        <f>COUNTIF(Estadísticas!I:I,'centraldecomunicacion.es'!H3299)&gt;0</f>
        <v>0</v>
      </c>
    </row>
    <row r="3300" spans="1:9">
      <c r="A3300" t="s">
        <v>12243</v>
      </c>
      <c r="B3300" t="s">
        <v>10</v>
      </c>
      <c r="C3300" t="s">
        <v>12244</v>
      </c>
      <c r="D3300" t="s">
        <v>1879</v>
      </c>
      <c r="E3300" t="s">
        <v>1879</v>
      </c>
      <c r="F3300" t="s">
        <v>12245</v>
      </c>
      <c r="G3300" t="s">
        <v>12246</v>
      </c>
      <c r="H3300" t="s">
        <v>30</v>
      </c>
      <c r="I3300" t="b">
        <f>COUNTIF(Estadísticas!I:I,'centraldecomunicacion.es'!H3300)&gt;0</f>
        <v>0</v>
      </c>
    </row>
    <row r="3301" spans="1:9">
      <c r="A3301" t="s">
        <v>12247</v>
      </c>
      <c r="B3301" t="s">
        <v>10</v>
      </c>
      <c r="C3301" t="s">
        <v>12248</v>
      </c>
      <c r="D3301" t="s">
        <v>1879</v>
      </c>
      <c r="E3301" t="s">
        <v>1879</v>
      </c>
      <c r="F3301" t="s">
        <v>28</v>
      </c>
      <c r="G3301" t="s">
        <v>12249</v>
      </c>
      <c r="H3301" t="s">
        <v>30</v>
      </c>
      <c r="I3301" t="b">
        <f>COUNTIF(Estadísticas!I:I,'centraldecomunicacion.es'!H3301)&gt;0</f>
        <v>0</v>
      </c>
    </row>
    <row r="3302" spans="1:9">
      <c r="A3302" t="s">
        <v>12250</v>
      </c>
      <c r="B3302" t="s">
        <v>10</v>
      </c>
      <c r="C3302" t="s">
        <v>12251</v>
      </c>
      <c r="D3302" t="s">
        <v>1879</v>
      </c>
      <c r="E3302" t="s">
        <v>1879</v>
      </c>
      <c r="F3302" t="s">
        <v>12057</v>
      </c>
      <c r="G3302" t="s">
        <v>12252</v>
      </c>
      <c r="H3302" t="s">
        <v>691</v>
      </c>
      <c r="I3302" t="b">
        <f>COUNTIF(Estadísticas!I:I,'centraldecomunicacion.es'!H3302)&gt;0</f>
        <v>0</v>
      </c>
    </row>
    <row r="3303" spans="1:9">
      <c r="A3303" t="s">
        <v>12253</v>
      </c>
      <c r="B3303" t="s">
        <v>10</v>
      </c>
      <c r="C3303" t="s">
        <v>12254</v>
      </c>
      <c r="D3303" t="s">
        <v>1879</v>
      </c>
      <c r="E3303" t="s">
        <v>1879</v>
      </c>
      <c r="F3303" t="s">
        <v>12255</v>
      </c>
      <c r="G3303" t="s">
        <v>12256</v>
      </c>
      <c r="H3303" t="s">
        <v>12257</v>
      </c>
      <c r="I3303" t="b">
        <f>COUNTIF(Estadísticas!I:I,'centraldecomunicacion.es'!H3303)&gt;0</f>
        <v>0</v>
      </c>
    </row>
    <row r="3304" spans="1:9">
      <c r="A3304" t="s">
        <v>12258</v>
      </c>
      <c r="B3304" t="s">
        <v>10</v>
      </c>
      <c r="C3304" t="s">
        <v>12259</v>
      </c>
      <c r="D3304" t="s">
        <v>1879</v>
      </c>
      <c r="E3304" t="s">
        <v>1879</v>
      </c>
      <c r="F3304" t="s">
        <v>12260</v>
      </c>
      <c r="G3304" t="s">
        <v>12261</v>
      </c>
      <c r="H3304" t="s">
        <v>12262</v>
      </c>
      <c r="I3304" t="b">
        <f>COUNTIF(Estadísticas!I:I,'centraldecomunicacion.es'!H3304)&gt;0</f>
        <v>0</v>
      </c>
    </row>
    <row r="3305" spans="1:9">
      <c r="A3305" t="s">
        <v>12263</v>
      </c>
      <c r="B3305" t="s">
        <v>10</v>
      </c>
      <c r="C3305" t="s">
        <v>12264</v>
      </c>
      <c r="D3305" t="s">
        <v>1879</v>
      </c>
      <c r="E3305" t="s">
        <v>1879</v>
      </c>
      <c r="F3305" t="s">
        <v>28</v>
      </c>
      <c r="G3305" t="s">
        <v>12265</v>
      </c>
      <c r="H3305" t="s">
        <v>30</v>
      </c>
      <c r="I3305" t="b">
        <f>COUNTIF(Estadísticas!I:I,'centraldecomunicacion.es'!H3305)&gt;0</f>
        <v>0</v>
      </c>
    </row>
    <row r="3306" spans="1:9">
      <c r="A3306" t="s">
        <v>12266</v>
      </c>
      <c r="B3306" t="s">
        <v>10</v>
      </c>
      <c r="C3306" t="s">
        <v>12267</v>
      </c>
      <c r="D3306" t="s">
        <v>1879</v>
      </c>
      <c r="E3306" t="s">
        <v>1879</v>
      </c>
      <c r="F3306" t="s">
        <v>28</v>
      </c>
      <c r="G3306" t="s">
        <v>12268</v>
      </c>
      <c r="H3306" t="s">
        <v>30</v>
      </c>
      <c r="I3306" t="b">
        <f>COUNTIF(Estadísticas!I:I,'centraldecomunicacion.es'!H3306)&gt;0</f>
        <v>0</v>
      </c>
    </row>
    <row r="3307" spans="1:9">
      <c r="A3307" t="s">
        <v>12269</v>
      </c>
      <c r="B3307" t="s">
        <v>10</v>
      </c>
      <c r="C3307" t="s">
        <v>12270</v>
      </c>
      <c r="D3307" t="s">
        <v>1879</v>
      </c>
      <c r="E3307" t="s">
        <v>1879</v>
      </c>
      <c r="F3307" t="s">
        <v>38</v>
      </c>
      <c r="G3307" t="s">
        <v>12271</v>
      </c>
      <c r="H3307" t="s">
        <v>30</v>
      </c>
      <c r="I3307" t="b">
        <f>COUNTIF(Estadísticas!I:I,'centraldecomunicacion.es'!H3307)&gt;0</f>
        <v>0</v>
      </c>
    </row>
    <row r="3308" spans="1:9">
      <c r="A3308" t="s">
        <v>12272</v>
      </c>
      <c r="B3308" t="s">
        <v>10</v>
      </c>
      <c r="C3308" t="s">
        <v>12273</v>
      </c>
      <c r="D3308" t="s">
        <v>1879</v>
      </c>
      <c r="E3308" t="s">
        <v>1879</v>
      </c>
      <c r="F3308" t="s">
        <v>12274</v>
      </c>
      <c r="G3308" t="s">
        <v>12275</v>
      </c>
      <c r="H3308" t="s">
        <v>30</v>
      </c>
      <c r="I3308" t="b">
        <f>COUNTIF(Estadísticas!I:I,'centraldecomunicacion.es'!H3308)&gt;0</f>
        <v>0</v>
      </c>
    </row>
    <row r="3309" spans="1:9">
      <c r="A3309" t="s">
        <v>12276</v>
      </c>
      <c r="B3309" t="s">
        <v>10</v>
      </c>
      <c r="C3309" t="s">
        <v>12277</v>
      </c>
      <c r="D3309" t="s">
        <v>1879</v>
      </c>
      <c r="E3309" t="s">
        <v>1879</v>
      </c>
      <c r="F3309" t="s">
        <v>28</v>
      </c>
      <c r="G3309" t="s">
        <v>12278</v>
      </c>
      <c r="H3309" t="s">
        <v>30</v>
      </c>
      <c r="I3309" t="b">
        <f>COUNTIF(Estadísticas!I:I,'centraldecomunicacion.es'!H3309)&gt;0</f>
        <v>0</v>
      </c>
    </row>
    <row r="3310" spans="1:9">
      <c r="A3310" t="s">
        <v>12279</v>
      </c>
      <c r="B3310" t="s">
        <v>10</v>
      </c>
      <c r="C3310" t="s">
        <v>12280</v>
      </c>
      <c r="D3310" t="s">
        <v>1879</v>
      </c>
      <c r="E3310" t="s">
        <v>1879</v>
      </c>
      <c r="F3310" t="s">
        <v>12281</v>
      </c>
      <c r="G3310" t="s">
        <v>12282</v>
      </c>
      <c r="H3310" t="s">
        <v>30</v>
      </c>
      <c r="I3310" t="b">
        <f>COUNTIF(Estadísticas!I:I,'centraldecomunicacion.es'!H3310)&gt;0</f>
        <v>0</v>
      </c>
    </row>
    <row r="3311" spans="1:9">
      <c r="A3311" t="s">
        <v>12283</v>
      </c>
      <c r="B3311" t="s">
        <v>10</v>
      </c>
      <c r="C3311" t="s">
        <v>12284</v>
      </c>
      <c r="D3311" t="s">
        <v>12285</v>
      </c>
      <c r="E3311" t="s">
        <v>1879</v>
      </c>
      <c r="F3311" t="s">
        <v>38</v>
      </c>
      <c r="G3311" t="s">
        <v>12286</v>
      </c>
      <c r="H3311" t="s">
        <v>30</v>
      </c>
      <c r="I3311" t="b">
        <f>COUNTIF(Estadísticas!I:I,'centraldecomunicacion.es'!H3311)&gt;0</f>
        <v>0</v>
      </c>
    </row>
    <row r="3312" spans="1:9">
      <c r="A3312" t="s">
        <v>12287</v>
      </c>
      <c r="B3312" t="s">
        <v>10</v>
      </c>
      <c r="C3312" t="s">
        <v>12288</v>
      </c>
      <c r="D3312" t="s">
        <v>1879</v>
      </c>
      <c r="E3312" t="s">
        <v>1879</v>
      </c>
      <c r="F3312" t="s">
        <v>28</v>
      </c>
      <c r="G3312" t="s">
        <v>12289</v>
      </c>
      <c r="H3312" t="s">
        <v>30</v>
      </c>
      <c r="I3312" t="b">
        <f>COUNTIF(Estadísticas!I:I,'centraldecomunicacion.es'!H3312)&gt;0</f>
        <v>0</v>
      </c>
    </row>
    <row r="3313" spans="1:9">
      <c r="A3313" t="s">
        <v>12290</v>
      </c>
      <c r="B3313" t="s">
        <v>10</v>
      </c>
      <c r="C3313" t="s">
        <v>12291</v>
      </c>
      <c r="D3313" t="s">
        <v>1879</v>
      </c>
      <c r="E3313" t="s">
        <v>1879</v>
      </c>
      <c r="F3313" t="s">
        <v>50</v>
      </c>
      <c r="G3313" t="s">
        <v>12292</v>
      </c>
      <c r="H3313" t="s">
        <v>30</v>
      </c>
      <c r="I3313" t="b">
        <f>COUNTIF(Estadísticas!I:I,'centraldecomunicacion.es'!H3313)&gt;0</f>
        <v>0</v>
      </c>
    </row>
    <row r="3314" spans="1:9">
      <c r="A3314" t="s">
        <v>12293</v>
      </c>
      <c r="B3314" t="s">
        <v>10</v>
      </c>
      <c r="C3314" t="s">
        <v>12294</v>
      </c>
      <c r="D3314" t="s">
        <v>1879</v>
      </c>
      <c r="E3314" t="s">
        <v>1879</v>
      </c>
      <c r="F3314" t="s">
        <v>12295</v>
      </c>
      <c r="G3314" t="s">
        <v>12296</v>
      </c>
      <c r="H3314" t="s">
        <v>12297</v>
      </c>
      <c r="I3314" t="b">
        <f>COUNTIF(Estadísticas!I:I,'centraldecomunicacion.es'!H3314)&gt;0</f>
        <v>0</v>
      </c>
    </row>
    <row r="3315" spans="1:9">
      <c r="A3315" t="s">
        <v>12298</v>
      </c>
      <c r="B3315" t="s">
        <v>10</v>
      </c>
      <c r="C3315" t="s">
        <v>12299</v>
      </c>
      <c r="D3315" t="s">
        <v>12150</v>
      </c>
      <c r="E3315" t="s">
        <v>1879</v>
      </c>
      <c r="F3315" t="s">
        <v>12300</v>
      </c>
      <c r="G3315" t="s">
        <v>12301</v>
      </c>
      <c r="H3315" t="s">
        <v>12302</v>
      </c>
      <c r="I3315" t="b">
        <f>COUNTIF(Estadísticas!I:I,'centraldecomunicacion.es'!H3315)&gt;0</f>
        <v>0</v>
      </c>
    </row>
    <row r="3316" spans="1:9">
      <c r="A3316" t="s">
        <v>4863</v>
      </c>
      <c r="B3316" t="s">
        <v>10</v>
      </c>
      <c r="C3316" t="s">
        <v>12303</v>
      </c>
      <c r="D3316" t="s">
        <v>1879</v>
      </c>
      <c r="E3316" t="s">
        <v>1879</v>
      </c>
      <c r="F3316" t="s">
        <v>28</v>
      </c>
      <c r="G3316" t="s">
        <v>12304</v>
      </c>
      <c r="H3316" t="s">
        <v>30</v>
      </c>
      <c r="I3316" t="b">
        <f>COUNTIF(Estadísticas!I:I,'centraldecomunicacion.es'!H3316)&gt;0</f>
        <v>0</v>
      </c>
    </row>
    <row r="3317" spans="1:9">
      <c r="A3317" t="s">
        <v>12305</v>
      </c>
      <c r="B3317" t="s">
        <v>10</v>
      </c>
      <c r="C3317" t="s">
        <v>12306</v>
      </c>
      <c r="D3317" t="s">
        <v>12130</v>
      </c>
      <c r="E3317" t="s">
        <v>1879</v>
      </c>
      <c r="F3317" t="s">
        <v>28</v>
      </c>
      <c r="G3317" t="s">
        <v>12307</v>
      </c>
      <c r="H3317" t="s">
        <v>30</v>
      </c>
      <c r="I3317" t="b">
        <f>COUNTIF(Estadísticas!I:I,'centraldecomunicacion.es'!H3317)&gt;0</f>
        <v>0</v>
      </c>
    </row>
    <row r="3318" spans="1:9">
      <c r="A3318" t="s">
        <v>12308</v>
      </c>
      <c r="B3318" t="s">
        <v>10</v>
      </c>
      <c r="C3318" t="s">
        <v>12309</v>
      </c>
      <c r="D3318" t="s">
        <v>1879</v>
      </c>
      <c r="E3318" t="s">
        <v>1879</v>
      </c>
      <c r="F3318" t="s">
        <v>12310</v>
      </c>
      <c r="G3318" t="s">
        <v>12311</v>
      </c>
      <c r="H3318" t="s">
        <v>30</v>
      </c>
      <c r="I3318" t="b">
        <f>COUNTIF(Estadísticas!I:I,'centraldecomunicacion.es'!H3318)&gt;0</f>
        <v>0</v>
      </c>
    </row>
    <row r="3319" spans="1:9">
      <c r="A3319" t="s">
        <v>12312</v>
      </c>
      <c r="B3319" t="s">
        <v>10</v>
      </c>
      <c r="C3319" t="s">
        <v>12313</v>
      </c>
      <c r="D3319" t="s">
        <v>1879</v>
      </c>
      <c r="E3319" t="s">
        <v>1879</v>
      </c>
      <c r="F3319" t="s">
        <v>28</v>
      </c>
      <c r="G3319" t="s">
        <v>12314</v>
      </c>
      <c r="H3319" t="s">
        <v>30</v>
      </c>
      <c r="I3319" t="b">
        <f>COUNTIF(Estadísticas!I:I,'centraldecomunicacion.es'!H3319)&gt;0</f>
        <v>0</v>
      </c>
    </row>
    <row r="3320" spans="1:9">
      <c r="A3320" t="s">
        <v>12315</v>
      </c>
      <c r="B3320" t="s">
        <v>10</v>
      </c>
      <c r="C3320" t="s">
        <v>12316</v>
      </c>
      <c r="D3320" t="s">
        <v>1879</v>
      </c>
      <c r="E3320" t="s">
        <v>1879</v>
      </c>
      <c r="F3320" t="s">
        <v>12317</v>
      </c>
      <c r="G3320" t="s">
        <v>12318</v>
      </c>
      <c r="H3320" t="s">
        <v>691</v>
      </c>
      <c r="I3320" t="b">
        <f>COUNTIF(Estadísticas!I:I,'centraldecomunicacion.es'!H3320)&gt;0</f>
        <v>0</v>
      </c>
    </row>
    <row r="3321" spans="1:9">
      <c r="A3321" t="s">
        <v>12319</v>
      </c>
      <c r="B3321" t="s">
        <v>10</v>
      </c>
      <c r="C3321" t="s">
        <v>12320</v>
      </c>
      <c r="D3321" t="s">
        <v>1879</v>
      </c>
      <c r="E3321" t="s">
        <v>1879</v>
      </c>
      <c r="F3321" t="s">
        <v>12321</v>
      </c>
      <c r="G3321" t="s">
        <v>12322</v>
      </c>
      <c r="H3321" t="s">
        <v>12323</v>
      </c>
      <c r="I3321" t="b">
        <f>COUNTIF(Estadísticas!I:I,'centraldecomunicacion.es'!H3321)&gt;0</f>
        <v>0</v>
      </c>
    </row>
    <row r="3322" spans="1:9">
      <c r="A3322" t="s">
        <v>12324</v>
      </c>
      <c r="B3322" t="s">
        <v>10</v>
      </c>
      <c r="C3322" t="s">
        <v>12325</v>
      </c>
      <c r="D3322" t="s">
        <v>12326</v>
      </c>
      <c r="E3322" t="s">
        <v>1879</v>
      </c>
      <c r="F3322" t="s">
        <v>28</v>
      </c>
      <c r="G3322" t="s">
        <v>12327</v>
      </c>
      <c r="H3322" t="s">
        <v>30</v>
      </c>
      <c r="I3322" t="b">
        <f>COUNTIF(Estadísticas!I:I,'centraldecomunicacion.es'!H3322)&gt;0</f>
        <v>0</v>
      </c>
    </row>
    <row r="3323" spans="1:9">
      <c r="A3323" t="s">
        <v>12328</v>
      </c>
      <c r="B3323" t="s">
        <v>10</v>
      </c>
      <c r="C3323" t="s">
        <v>12329</v>
      </c>
      <c r="D3323" t="s">
        <v>1879</v>
      </c>
      <c r="E3323" t="s">
        <v>1879</v>
      </c>
      <c r="F3323" t="s">
        <v>12330</v>
      </c>
      <c r="G3323" t="s">
        <v>12331</v>
      </c>
      <c r="H3323" t="s">
        <v>30</v>
      </c>
      <c r="I3323" t="b">
        <f>COUNTIF(Estadísticas!I:I,'centraldecomunicacion.es'!H3323)&gt;0</f>
        <v>0</v>
      </c>
    </row>
    <row r="3324" spans="1:9">
      <c r="A3324" t="s">
        <v>12332</v>
      </c>
      <c r="B3324" t="s">
        <v>10</v>
      </c>
      <c r="C3324" t="s">
        <v>12333</v>
      </c>
      <c r="D3324" t="s">
        <v>1879</v>
      </c>
      <c r="E3324" t="s">
        <v>1879</v>
      </c>
      <c r="F3324" t="s">
        <v>28</v>
      </c>
      <c r="G3324" t="s">
        <v>12334</v>
      </c>
      <c r="H3324" t="s">
        <v>30</v>
      </c>
      <c r="I3324" t="b">
        <f>COUNTIF(Estadísticas!I:I,'centraldecomunicacion.es'!H3324)&gt;0</f>
        <v>0</v>
      </c>
    </row>
    <row r="3325" spans="1:9">
      <c r="A3325" t="s">
        <v>12335</v>
      </c>
      <c r="B3325" t="s">
        <v>10</v>
      </c>
      <c r="C3325" t="s">
        <v>12336</v>
      </c>
      <c r="D3325" t="s">
        <v>1879</v>
      </c>
      <c r="E3325" t="s">
        <v>1879</v>
      </c>
      <c r="F3325" t="s">
        <v>12337</v>
      </c>
      <c r="G3325" t="s">
        <v>12338</v>
      </c>
      <c r="H3325" t="s">
        <v>12339</v>
      </c>
      <c r="I3325" t="b">
        <f>COUNTIF(Estadísticas!I:I,'centraldecomunicacion.es'!H3325)&gt;0</f>
        <v>0</v>
      </c>
    </row>
    <row r="3326" spans="1:9">
      <c r="A3326" t="s">
        <v>12340</v>
      </c>
      <c r="B3326" t="s">
        <v>10</v>
      </c>
      <c r="C3326" t="s">
        <v>12341</v>
      </c>
      <c r="D3326" t="s">
        <v>1879</v>
      </c>
      <c r="E3326" t="s">
        <v>1879</v>
      </c>
      <c r="F3326" t="s">
        <v>28</v>
      </c>
      <c r="G3326" t="s">
        <v>12342</v>
      </c>
      <c r="H3326" t="s">
        <v>30</v>
      </c>
      <c r="I3326" t="b">
        <f>COUNTIF(Estadísticas!I:I,'centraldecomunicacion.es'!H3326)&gt;0</f>
        <v>0</v>
      </c>
    </row>
    <row r="3327" spans="1:9">
      <c r="A3327" t="s">
        <v>3130</v>
      </c>
      <c r="B3327" t="s">
        <v>10</v>
      </c>
      <c r="C3327" t="s">
        <v>12343</v>
      </c>
      <c r="D3327" t="s">
        <v>12344</v>
      </c>
      <c r="E3327" t="s">
        <v>1879</v>
      </c>
      <c r="F3327" t="s">
        <v>28</v>
      </c>
      <c r="G3327" t="s">
        <v>12345</v>
      </c>
      <c r="H3327" t="s">
        <v>30</v>
      </c>
      <c r="I3327" t="b">
        <f>COUNTIF(Estadísticas!I:I,'centraldecomunicacion.es'!H3327)&gt;0</f>
        <v>0</v>
      </c>
    </row>
    <row r="3328" spans="1:9">
      <c r="A3328" t="s">
        <v>12346</v>
      </c>
      <c r="B3328" t="s">
        <v>10</v>
      </c>
      <c r="C3328" t="s">
        <v>12347</v>
      </c>
      <c r="D3328" t="s">
        <v>1879</v>
      </c>
      <c r="E3328" t="s">
        <v>1879</v>
      </c>
      <c r="F3328" t="s">
        <v>28</v>
      </c>
      <c r="G3328" t="s">
        <v>12348</v>
      </c>
      <c r="H3328" t="s">
        <v>30</v>
      </c>
      <c r="I3328" t="b">
        <f>COUNTIF(Estadísticas!I:I,'centraldecomunicacion.es'!H3328)&gt;0</f>
        <v>0</v>
      </c>
    </row>
    <row r="3329" spans="1:9">
      <c r="A3329" t="s">
        <v>12349</v>
      </c>
      <c r="B3329" t="s">
        <v>10</v>
      </c>
      <c r="C3329" t="s">
        <v>12350</v>
      </c>
      <c r="D3329" t="s">
        <v>1879</v>
      </c>
      <c r="E3329" t="s">
        <v>1879</v>
      </c>
      <c r="F3329" t="s">
        <v>28</v>
      </c>
      <c r="G3329" t="s">
        <v>28</v>
      </c>
      <c r="H3329" t="s">
        <v>30</v>
      </c>
      <c r="I3329" t="b">
        <f>COUNTIF(Estadísticas!I:I,'centraldecomunicacion.es'!H3329)&gt;0</f>
        <v>0</v>
      </c>
    </row>
    <row r="3330" spans="1:9">
      <c r="A3330" t="s">
        <v>12351</v>
      </c>
      <c r="B3330" t="s">
        <v>10</v>
      </c>
      <c r="C3330" t="s">
        <v>12352</v>
      </c>
      <c r="D3330" t="s">
        <v>1879</v>
      </c>
      <c r="E3330" t="s">
        <v>1879</v>
      </c>
      <c r="F3330" t="s">
        <v>12353</v>
      </c>
      <c r="G3330" t="s">
        <v>2412</v>
      </c>
      <c r="H3330" t="s">
        <v>12354</v>
      </c>
      <c r="I3330" t="b">
        <f>COUNTIF(Estadísticas!I:I,'centraldecomunicacion.es'!H3330)&gt;0</f>
        <v>0</v>
      </c>
    </row>
    <row r="3331" spans="1:9">
      <c r="A3331" t="s">
        <v>12355</v>
      </c>
      <c r="B3331" t="s">
        <v>10</v>
      </c>
      <c r="C3331" t="s">
        <v>12356</v>
      </c>
      <c r="D3331" t="s">
        <v>12357</v>
      </c>
      <c r="E3331" t="s">
        <v>1879</v>
      </c>
      <c r="F3331" t="s">
        <v>28</v>
      </c>
      <c r="G3331" t="s">
        <v>12358</v>
      </c>
      <c r="H3331" t="s">
        <v>30</v>
      </c>
      <c r="I3331" t="b">
        <f>COUNTIF(Estadísticas!I:I,'centraldecomunicacion.es'!H3331)&gt;0</f>
        <v>0</v>
      </c>
    </row>
    <row r="3332" spans="1:9">
      <c r="A3332" t="s">
        <v>12359</v>
      </c>
      <c r="B3332" t="s">
        <v>10</v>
      </c>
      <c r="C3332" t="s">
        <v>12360</v>
      </c>
      <c r="D3332" t="s">
        <v>12150</v>
      </c>
      <c r="E3332" t="s">
        <v>1879</v>
      </c>
      <c r="F3332" t="s">
        <v>28</v>
      </c>
      <c r="G3332" t="s">
        <v>12361</v>
      </c>
      <c r="H3332" t="s">
        <v>30</v>
      </c>
      <c r="I3332" t="b">
        <f>COUNTIF(Estadísticas!I:I,'centraldecomunicacion.es'!H3332)&gt;0</f>
        <v>0</v>
      </c>
    </row>
    <row r="3333" spans="1:9">
      <c r="A3333" t="s">
        <v>12362</v>
      </c>
      <c r="B3333" t="s">
        <v>10</v>
      </c>
      <c r="C3333" t="s">
        <v>12363</v>
      </c>
      <c r="D3333" t="s">
        <v>1879</v>
      </c>
      <c r="E3333" t="s">
        <v>1879</v>
      </c>
      <c r="F3333" t="s">
        <v>28</v>
      </c>
      <c r="G3333" t="s">
        <v>12364</v>
      </c>
      <c r="H3333" t="s">
        <v>30</v>
      </c>
      <c r="I3333" t="b">
        <f>COUNTIF(Estadísticas!I:I,'centraldecomunicacion.es'!H3333)&gt;0</f>
        <v>0</v>
      </c>
    </row>
    <row r="3334" spans="1:9">
      <c r="A3334" t="s">
        <v>12365</v>
      </c>
      <c r="B3334" t="s">
        <v>10</v>
      </c>
      <c r="C3334" t="s">
        <v>12366</v>
      </c>
      <c r="D3334" t="s">
        <v>1879</v>
      </c>
      <c r="E3334" t="s">
        <v>1879</v>
      </c>
      <c r="F3334" t="s">
        <v>12367</v>
      </c>
      <c r="G3334" t="s">
        <v>12368</v>
      </c>
      <c r="H3334" t="s">
        <v>30</v>
      </c>
      <c r="I3334" t="b">
        <f>COUNTIF(Estadísticas!I:I,'centraldecomunicacion.es'!H3334)&gt;0</f>
        <v>0</v>
      </c>
    </row>
    <row r="3335" spans="1:9">
      <c r="A3335" t="s">
        <v>12369</v>
      </c>
      <c r="B3335" t="s">
        <v>10</v>
      </c>
      <c r="C3335" t="s">
        <v>12370</v>
      </c>
      <c r="D3335" t="s">
        <v>1879</v>
      </c>
      <c r="E3335" t="s">
        <v>12056</v>
      </c>
      <c r="F3335" t="s">
        <v>28</v>
      </c>
      <c r="G3335" t="s">
        <v>12371</v>
      </c>
      <c r="H3335" t="s">
        <v>30</v>
      </c>
      <c r="I3335" t="b">
        <f>COUNTIF(Estadísticas!I:I,'centraldecomunicacion.es'!H3335)&gt;0</f>
        <v>0</v>
      </c>
    </row>
    <row r="3336" spans="1:9">
      <c r="A3336" t="s">
        <v>12372</v>
      </c>
      <c r="B3336" t="s">
        <v>10</v>
      </c>
      <c r="C3336" t="s">
        <v>12373</v>
      </c>
      <c r="D3336" t="s">
        <v>1879</v>
      </c>
      <c r="E3336" t="s">
        <v>1879</v>
      </c>
      <c r="F3336" t="s">
        <v>12374</v>
      </c>
      <c r="G3336" t="s">
        <v>12375</v>
      </c>
      <c r="H3336" t="s">
        <v>30</v>
      </c>
      <c r="I3336" t="b">
        <f>COUNTIF(Estadísticas!I:I,'centraldecomunicacion.es'!H3336)&gt;0</f>
        <v>0</v>
      </c>
    </row>
    <row r="3337" spans="1:9">
      <c r="A3337" t="s">
        <v>12376</v>
      </c>
      <c r="B3337" t="s">
        <v>10</v>
      </c>
      <c r="C3337" t="s">
        <v>12377</v>
      </c>
      <c r="D3337" t="s">
        <v>1879</v>
      </c>
      <c r="E3337" t="s">
        <v>1879</v>
      </c>
      <c r="F3337" t="s">
        <v>12378</v>
      </c>
      <c r="G3337" t="s">
        <v>12379</v>
      </c>
      <c r="H3337" t="s">
        <v>12380</v>
      </c>
      <c r="I3337" t="b">
        <f>COUNTIF(Estadísticas!I:I,'centraldecomunicacion.es'!H3337)&gt;0</f>
        <v>0</v>
      </c>
    </row>
    <row r="3338" spans="1:9">
      <c r="A3338" t="s">
        <v>12381</v>
      </c>
      <c r="B3338" t="s">
        <v>10</v>
      </c>
      <c r="C3338" t="s">
        <v>12382</v>
      </c>
      <c r="D3338" t="s">
        <v>1879</v>
      </c>
      <c r="E3338" t="s">
        <v>1879</v>
      </c>
      <c r="F3338" t="s">
        <v>38</v>
      </c>
      <c r="G3338" t="s">
        <v>12383</v>
      </c>
      <c r="H3338" t="s">
        <v>30</v>
      </c>
      <c r="I3338" t="b">
        <f>COUNTIF(Estadísticas!I:I,'centraldecomunicacion.es'!H3338)&gt;0</f>
        <v>0</v>
      </c>
    </row>
    <row r="3339" spans="1:9">
      <c r="A3339" t="s">
        <v>12384</v>
      </c>
      <c r="B3339" t="s">
        <v>10</v>
      </c>
      <c r="C3339" t="s">
        <v>28</v>
      </c>
      <c r="D3339" t="s">
        <v>12033</v>
      </c>
      <c r="E3339" t="s">
        <v>28</v>
      </c>
      <c r="F3339" t="s">
        <v>12385</v>
      </c>
      <c r="G3339" t="s">
        <v>12386</v>
      </c>
      <c r="H3339" t="s">
        <v>12387</v>
      </c>
      <c r="I3339" t="b">
        <f>COUNTIF(Estadísticas!I:I,'centraldecomunicacion.es'!H3339)&gt;0</f>
        <v>1</v>
      </c>
    </row>
    <row r="3340" spans="1:9">
      <c r="A3340" t="s">
        <v>12388</v>
      </c>
      <c r="B3340" t="s">
        <v>10</v>
      </c>
      <c r="C3340" t="s">
        <v>12389</v>
      </c>
      <c r="D3340" t="s">
        <v>1879</v>
      </c>
      <c r="E3340" t="s">
        <v>1879</v>
      </c>
      <c r="F3340" t="s">
        <v>28</v>
      </c>
      <c r="G3340" t="s">
        <v>28</v>
      </c>
      <c r="H3340" t="s">
        <v>30</v>
      </c>
      <c r="I3340" t="b">
        <f>COUNTIF(Estadísticas!I:I,'centraldecomunicacion.es'!H3340)&gt;0</f>
        <v>0</v>
      </c>
    </row>
    <row r="3341" spans="1:9">
      <c r="A3341" t="s">
        <v>12390</v>
      </c>
      <c r="B3341" t="s">
        <v>10</v>
      </c>
      <c r="C3341" t="s">
        <v>12391</v>
      </c>
      <c r="D3341" t="s">
        <v>12130</v>
      </c>
      <c r="E3341" t="s">
        <v>1879</v>
      </c>
      <c r="F3341" t="s">
        <v>12392</v>
      </c>
      <c r="G3341" t="s">
        <v>12393</v>
      </c>
      <c r="H3341" t="s">
        <v>12394</v>
      </c>
      <c r="I3341" t="b">
        <f>COUNTIF(Estadísticas!I:I,'centraldecomunicacion.es'!H3341)&gt;0</f>
        <v>0</v>
      </c>
    </row>
    <row r="3342" spans="1:9">
      <c r="A3342" t="s">
        <v>12395</v>
      </c>
      <c r="B3342" t="s">
        <v>10</v>
      </c>
      <c r="C3342" t="s">
        <v>12396</v>
      </c>
      <c r="D3342" t="s">
        <v>1879</v>
      </c>
      <c r="E3342" t="s">
        <v>1879</v>
      </c>
      <c r="F3342" t="s">
        <v>28</v>
      </c>
      <c r="G3342" t="s">
        <v>12397</v>
      </c>
      <c r="H3342" t="s">
        <v>30</v>
      </c>
      <c r="I3342" t="b">
        <f>COUNTIF(Estadísticas!I:I,'centraldecomunicacion.es'!H3342)&gt;0</f>
        <v>0</v>
      </c>
    </row>
    <row r="3343" spans="1:9">
      <c r="A3343" t="s">
        <v>12398</v>
      </c>
      <c r="B3343" t="s">
        <v>10</v>
      </c>
      <c r="C3343" t="s">
        <v>12179</v>
      </c>
      <c r="D3343" t="s">
        <v>1879</v>
      </c>
      <c r="E3343" t="s">
        <v>1879</v>
      </c>
      <c r="F3343" t="s">
        <v>38</v>
      </c>
      <c r="G3343" t="s">
        <v>12399</v>
      </c>
      <c r="H3343" t="s">
        <v>30</v>
      </c>
      <c r="I3343" t="b">
        <f>COUNTIF(Estadísticas!I:I,'centraldecomunicacion.es'!H3343)&gt;0</f>
        <v>0</v>
      </c>
    </row>
    <row r="3344" spans="1:9">
      <c r="A3344" t="s">
        <v>12400</v>
      </c>
      <c r="B3344" t="s">
        <v>10</v>
      </c>
      <c r="C3344" t="s">
        <v>12401</v>
      </c>
      <c r="D3344" t="s">
        <v>1879</v>
      </c>
      <c r="E3344" t="s">
        <v>1879</v>
      </c>
      <c r="F3344" t="s">
        <v>28</v>
      </c>
      <c r="G3344" t="s">
        <v>28</v>
      </c>
      <c r="H3344" t="s">
        <v>30</v>
      </c>
      <c r="I3344" t="b">
        <f>COUNTIF(Estadísticas!I:I,'centraldecomunicacion.es'!H3344)&gt;0</f>
        <v>0</v>
      </c>
    </row>
    <row r="3345" spans="1:9">
      <c r="A3345" t="s">
        <v>12402</v>
      </c>
      <c r="B3345" t="s">
        <v>10</v>
      </c>
      <c r="C3345" t="s">
        <v>12403</v>
      </c>
      <c r="D3345" t="s">
        <v>1879</v>
      </c>
      <c r="E3345" t="s">
        <v>1879</v>
      </c>
      <c r="F3345" t="s">
        <v>38</v>
      </c>
      <c r="G3345" t="s">
        <v>12404</v>
      </c>
      <c r="H3345" t="s">
        <v>30</v>
      </c>
      <c r="I3345" t="b">
        <f>COUNTIF(Estadísticas!I:I,'centraldecomunicacion.es'!H3345)&gt;0</f>
        <v>0</v>
      </c>
    </row>
    <row r="3346" spans="1:9">
      <c r="A3346" t="s">
        <v>12405</v>
      </c>
      <c r="B3346" t="s">
        <v>10</v>
      </c>
      <c r="C3346" t="s">
        <v>12406</v>
      </c>
      <c r="D3346" t="s">
        <v>12407</v>
      </c>
      <c r="E3346" t="s">
        <v>1879</v>
      </c>
      <c r="F3346" t="s">
        <v>28</v>
      </c>
      <c r="G3346" t="s">
        <v>12408</v>
      </c>
      <c r="H3346" t="s">
        <v>30</v>
      </c>
      <c r="I3346" t="b">
        <f>COUNTIF(Estadísticas!I:I,'centraldecomunicacion.es'!H3346)&gt;0</f>
        <v>0</v>
      </c>
    </row>
    <row r="3347" spans="1:9">
      <c r="A3347" t="s">
        <v>12409</v>
      </c>
      <c r="B3347" t="s">
        <v>10</v>
      </c>
      <c r="C3347" t="s">
        <v>12410</v>
      </c>
      <c r="D3347" t="s">
        <v>1879</v>
      </c>
      <c r="E3347" t="s">
        <v>1879</v>
      </c>
      <c r="F3347" t="s">
        <v>38</v>
      </c>
      <c r="G3347" t="s">
        <v>12411</v>
      </c>
      <c r="H3347" t="s">
        <v>30</v>
      </c>
      <c r="I3347" t="b">
        <f>COUNTIF(Estadísticas!I:I,'centraldecomunicacion.es'!H3347)&gt;0</f>
        <v>0</v>
      </c>
    </row>
    <row r="3348" spans="1:9">
      <c r="A3348" t="s">
        <v>12412</v>
      </c>
      <c r="B3348" t="s">
        <v>10</v>
      </c>
      <c r="C3348" t="s">
        <v>12149</v>
      </c>
      <c r="D3348" t="s">
        <v>12150</v>
      </c>
      <c r="E3348" t="s">
        <v>1879</v>
      </c>
      <c r="F3348" t="s">
        <v>12151</v>
      </c>
      <c r="G3348" t="s">
        <v>12152</v>
      </c>
      <c r="H3348" t="s">
        <v>691</v>
      </c>
      <c r="I3348" t="b">
        <f>COUNTIF(Estadísticas!I:I,'centraldecomunicacion.es'!H3348)&gt;0</f>
        <v>0</v>
      </c>
    </row>
    <row r="3349" spans="1:9">
      <c r="A3349" t="s">
        <v>12413</v>
      </c>
      <c r="B3349" t="s">
        <v>10</v>
      </c>
      <c r="C3349" t="s">
        <v>12414</v>
      </c>
      <c r="D3349" t="s">
        <v>1879</v>
      </c>
      <c r="E3349" t="s">
        <v>1879</v>
      </c>
      <c r="F3349" t="s">
        <v>28</v>
      </c>
      <c r="G3349" t="s">
        <v>28</v>
      </c>
      <c r="H3349" t="s">
        <v>30</v>
      </c>
      <c r="I3349" t="b">
        <f>COUNTIF(Estadísticas!I:I,'centraldecomunicacion.es'!H3349)&gt;0</f>
        <v>0</v>
      </c>
    </row>
    <row r="3350" spans="1:9">
      <c r="A3350" t="s">
        <v>12415</v>
      </c>
      <c r="B3350" t="s">
        <v>10</v>
      </c>
      <c r="C3350" t="s">
        <v>12416</v>
      </c>
      <c r="D3350" t="s">
        <v>1879</v>
      </c>
      <c r="E3350" t="s">
        <v>1879</v>
      </c>
      <c r="F3350" t="s">
        <v>12417</v>
      </c>
      <c r="G3350" t="s">
        <v>12418</v>
      </c>
      <c r="H3350" t="s">
        <v>12419</v>
      </c>
      <c r="I3350" t="b">
        <f>COUNTIF(Estadísticas!I:I,'centraldecomunicacion.es'!H3350)&gt;0</f>
        <v>0</v>
      </c>
    </row>
    <row r="3351" spans="1:9">
      <c r="A3351" t="s">
        <v>12420</v>
      </c>
      <c r="B3351" t="s">
        <v>10</v>
      </c>
      <c r="C3351" t="s">
        <v>12325</v>
      </c>
      <c r="D3351" t="s">
        <v>12326</v>
      </c>
      <c r="E3351" t="s">
        <v>1879</v>
      </c>
      <c r="F3351" t="s">
        <v>12421</v>
      </c>
      <c r="G3351" t="s">
        <v>12327</v>
      </c>
      <c r="H3351" t="s">
        <v>30</v>
      </c>
      <c r="I3351" t="b">
        <f>COUNTIF(Estadísticas!I:I,'centraldecomunicacion.es'!H3351)&gt;0</f>
        <v>0</v>
      </c>
    </row>
    <row r="3352" spans="1:9">
      <c r="A3352" t="s">
        <v>12422</v>
      </c>
      <c r="B3352" t="s">
        <v>10</v>
      </c>
      <c r="C3352" t="s">
        <v>12423</v>
      </c>
      <c r="D3352" t="s">
        <v>12150</v>
      </c>
      <c r="E3352" t="s">
        <v>1879</v>
      </c>
      <c r="F3352" t="s">
        <v>28</v>
      </c>
      <c r="G3352" t="s">
        <v>12424</v>
      </c>
      <c r="H3352" t="s">
        <v>30</v>
      </c>
      <c r="I3352" t="b">
        <f>COUNTIF(Estadísticas!I:I,'centraldecomunicacion.es'!H3352)&gt;0</f>
        <v>0</v>
      </c>
    </row>
    <row r="3353" spans="1:9">
      <c r="A3353" t="s">
        <v>12425</v>
      </c>
      <c r="B3353" t="s">
        <v>10</v>
      </c>
      <c r="C3353" t="s">
        <v>12426</v>
      </c>
      <c r="D3353" t="s">
        <v>1879</v>
      </c>
      <c r="E3353" t="s">
        <v>1879</v>
      </c>
      <c r="F3353" t="s">
        <v>642</v>
      </c>
      <c r="G3353" t="s">
        <v>12427</v>
      </c>
      <c r="H3353" t="s">
        <v>30</v>
      </c>
      <c r="I3353" t="b">
        <f>COUNTIF(Estadísticas!I:I,'centraldecomunicacion.es'!H3353)&gt;0</f>
        <v>0</v>
      </c>
    </row>
    <row r="3354" spans="1:9">
      <c r="A3354" t="s">
        <v>12428</v>
      </c>
      <c r="B3354" t="s">
        <v>10</v>
      </c>
      <c r="C3354" t="s">
        <v>12429</v>
      </c>
      <c r="D3354" t="s">
        <v>12150</v>
      </c>
      <c r="E3354" t="s">
        <v>1879</v>
      </c>
      <c r="F3354" t="s">
        <v>642</v>
      </c>
      <c r="G3354" t="s">
        <v>12430</v>
      </c>
      <c r="H3354" t="s">
        <v>30</v>
      </c>
      <c r="I3354" t="b">
        <f>COUNTIF(Estadísticas!I:I,'centraldecomunicacion.es'!H3354)&gt;0</f>
        <v>0</v>
      </c>
    </row>
    <row r="3355" spans="1:9">
      <c r="A3355" t="s">
        <v>12431</v>
      </c>
      <c r="B3355" t="s">
        <v>10</v>
      </c>
      <c r="C3355" t="s">
        <v>12432</v>
      </c>
      <c r="D3355" t="s">
        <v>1879</v>
      </c>
      <c r="E3355" t="s">
        <v>1879</v>
      </c>
      <c r="F3355" t="s">
        <v>12260</v>
      </c>
      <c r="G3355" t="s">
        <v>12433</v>
      </c>
      <c r="H3355" t="s">
        <v>12262</v>
      </c>
      <c r="I3355" t="b">
        <f>COUNTIF(Estadísticas!I:I,'centraldecomunicacion.es'!H3355)&gt;0</f>
        <v>0</v>
      </c>
    </row>
    <row r="3356" spans="1:9">
      <c r="A3356" t="s">
        <v>12434</v>
      </c>
      <c r="B3356" t="s">
        <v>10</v>
      </c>
      <c r="C3356" t="s">
        <v>12435</v>
      </c>
      <c r="D3356" t="s">
        <v>1879</v>
      </c>
      <c r="E3356" t="s">
        <v>1879</v>
      </c>
      <c r="F3356" t="s">
        <v>28</v>
      </c>
      <c r="G3356" t="s">
        <v>12436</v>
      </c>
      <c r="H3356" t="s">
        <v>30</v>
      </c>
      <c r="I3356" t="b">
        <f>COUNTIF(Estadísticas!I:I,'centraldecomunicacion.es'!H3356)&gt;0</f>
        <v>0</v>
      </c>
    </row>
    <row r="3357" spans="1:9">
      <c r="A3357" t="s">
        <v>12437</v>
      </c>
      <c r="B3357" t="s">
        <v>10</v>
      </c>
      <c r="C3357" t="s">
        <v>12438</v>
      </c>
      <c r="D3357" t="s">
        <v>1879</v>
      </c>
      <c r="E3357" t="s">
        <v>1879</v>
      </c>
      <c r="F3357" t="s">
        <v>28</v>
      </c>
      <c r="G3357" t="s">
        <v>12439</v>
      </c>
      <c r="H3357" t="s">
        <v>30</v>
      </c>
      <c r="I3357" t="b">
        <f>COUNTIF(Estadísticas!I:I,'centraldecomunicacion.es'!H3357)&gt;0</f>
        <v>0</v>
      </c>
    </row>
    <row r="3358" spans="1:9">
      <c r="A3358" t="s">
        <v>12440</v>
      </c>
      <c r="B3358" t="s">
        <v>10</v>
      </c>
      <c r="C3358" t="s">
        <v>12079</v>
      </c>
      <c r="D3358" t="s">
        <v>1879</v>
      </c>
      <c r="E3358" t="s">
        <v>1879</v>
      </c>
      <c r="F3358" t="s">
        <v>12441</v>
      </c>
      <c r="G3358" t="s">
        <v>28</v>
      </c>
      <c r="H3358" t="s">
        <v>12442</v>
      </c>
      <c r="I3358" t="b">
        <f>COUNTIF(Estadísticas!I:I,'centraldecomunicacion.es'!H3358)&gt;0</f>
        <v>0</v>
      </c>
    </row>
    <row r="3359" spans="1:9">
      <c r="A3359" t="s">
        <v>12376</v>
      </c>
      <c r="B3359" t="s">
        <v>10</v>
      </c>
      <c r="C3359" t="s">
        <v>12443</v>
      </c>
      <c r="D3359" t="s">
        <v>1879</v>
      </c>
      <c r="E3359" t="s">
        <v>1879</v>
      </c>
      <c r="F3359" t="s">
        <v>28</v>
      </c>
      <c r="G3359" t="s">
        <v>12379</v>
      </c>
      <c r="H3359" t="s">
        <v>30</v>
      </c>
      <c r="I3359" t="b">
        <f>COUNTIF(Estadísticas!I:I,'centraldecomunicacion.es'!H3359)&gt;0</f>
        <v>0</v>
      </c>
    </row>
    <row r="3360" spans="1:9">
      <c r="A3360" t="s">
        <v>12444</v>
      </c>
      <c r="B3360" t="s">
        <v>10</v>
      </c>
      <c r="C3360" t="s">
        <v>3620</v>
      </c>
      <c r="D3360" t="s">
        <v>1879</v>
      </c>
      <c r="E3360" t="s">
        <v>1879</v>
      </c>
      <c r="F3360" t="s">
        <v>28</v>
      </c>
      <c r="G3360" t="s">
        <v>12445</v>
      </c>
      <c r="H3360" t="s">
        <v>30</v>
      </c>
      <c r="I3360" t="b">
        <f>COUNTIF(Estadísticas!I:I,'centraldecomunicacion.es'!H3360)&gt;0</f>
        <v>0</v>
      </c>
    </row>
    <row r="3361" spans="1:9">
      <c r="A3361" t="s">
        <v>10427</v>
      </c>
      <c r="B3361" t="s">
        <v>10</v>
      </c>
      <c r="C3361" t="s">
        <v>12446</v>
      </c>
      <c r="D3361" t="s">
        <v>1879</v>
      </c>
      <c r="E3361" t="s">
        <v>1879</v>
      </c>
      <c r="F3361" t="s">
        <v>28</v>
      </c>
      <c r="G3361" t="s">
        <v>12447</v>
      </c>
      <c r="H3361" t="s">
        <v>30</v>
      </c>
      <c r="I3361" t="b">
        <f>COUNTIF(Estadísticas!I:I,'centraldecomunicacion.es'!H3361)&gt;0</f>
        <v>0</v>
      </c>
    </row>
    <row r="3362" spans="1:9">
      <c r="A3362" t="s">
        <v>12448</v>
      </c>
      <c r="B3362" t="s">
        <v>10</v>
      </c>
      <c r="C3362" t="s">
        <v>12449</v>
      </c>
      <c r="D3362" t="s">
        <v>1879</v>
      </c>
      <c r="E3362" t="s">
        <v>1879</v>
      </c>
      <c r="F3362" t="s">
        <v>12450</v>
      </c>
      <c r="G3362" t="s">
        <v>12451</v>
      </c>
      <c r="H3362" t="s">
        <v>12452</v>
      </c>
      <c r="I3362" t="b">
        <f>COUNTIF(Estadísticas!I:I,'centraldecomunicacion.es'!H3362)&gt;0</f>
        <v>1</v>
      </c>
    </row>
    <row r="3363" spans="1:9">
      <c r="A3363" t="s">
        <v>12453</v>
      </c>
      <c r="B3363" t="s">
        <v>10</v>
      </c>
      <c r="C3363" t="s">
        <v>12454</v>
      </c>
      <c r="D3363" t="s">
        <v>1879</v>
      </c>
      <c r="E3363" t="s">
        <v>1879</v>
      </c>
      <c r="F3363" t="s">
        <v>28</v>
      </c>
      <c r="G3363" t="s">
        <v>12455</v>
      </c>
      <c r="H3363" t="s">
        <v>30</v>
      </c>
      <c r="I3363" t="b">
        <f>COUNTIF(Estadísticas!I:I,'centraldecomunicacion.es'!H3363)&gt;0</f>
        <v>0</v>
      </c>
    </row>
    <row r="3364" spans="1:9">
      <c r="A3364" t="s">
        <v>12456</v>
      </c>
      <c r="B3364" t="s">
        <v>10</v>
      </c>
      <c r="C3364" t="s">
        <v>12457</v>
      </c>
      <c r="D3364" t="s">
        <v>1879</v>
      </c>
      <c r="E3364" t="s">
        <v>1879</v>
      </c>
      <c r="F3364" t="s">
        <v>28</v>
      </c>
      <c r="G3364" t="s">
        <v>12458</v>
      </c>
      <c r="H3364" t="s">
        <v>30</v>
      </c>
      <c r="I3364" t="b">
        <f>COUNTIF(Estadísticas!I:I,'centraldecomunicacion.es'!H3364)&gt;0</f>
        <v>0</v>
      </c>
    </row>
    <row r="3365" spans="1:9">
      <c r="A3365" t="s">
        <v>12459</v>
      </c>
      <c r="B3365" t="s">
        <v>10</v>
      </c>
      <c r="C3365" t="s">
        <v>12460</v>
      </c>
      <c r="D3365" t="s">
        <v>1879</v>
      </c>
      <c r="E3365" t="s">
        <v>1879</v>
      </c>
      <c r="F3365" t="s">
        <v>12461</v>
      </c>
      <c r="G3365" t="s">
        <v>12462</v>
      </c>
      <c r="H3365" t="s">
        <v>12463</v>
      </c>
      <c r="I3365" t="b">
        <f>COUNTIF(Estadísticas!I:I,'centraldecomunicacion.es'!H3365)&gt;0</f>
        <v>0</v>
      </c>
    </row>
    <row r="3366" spans="1:9">
      <c r="A3366" t="s">
        <v>12464</v>
      </c>
      <c r="B3366" t="s">
        <v>10</v>
      </c>
      <c r="C3366" t="s">
        <v>12465</v>
      </c>
      <c r="D3366" t="s">
        <v>1879</v>
      </c>
      <c r="E3366" t="s">
        <v>1879</v>
      </c>
      <c r="F3366" t="s">
        <v>28</v>
      </c>
      <c r="G3366" t="s">
        <v>12466</v>
      </c>
      <c r="H3366" t="s">
        <v>30</v>
      </c>
      <c r="I3366" t="b">
        <f>COUNTIF(Estadísticas!I:I,'centraldecomunicacion.es'!H3366)&gt;0</f>
        <v>0</v>
      </c>
    </row>
    <row r="3367" spans="1:9">
      <c r="A3367" t="s">
        <v>12467</v>
      </c>
      <c r="B3367" t="s">
        <v>10</v>
      </c>
      <c r="C3367" t="s">
        <v>12468</v>
      </c>
      <c r="D3367" t="s">
        <v>1879</v>
      </c>
      <c r="E3367" t="s">
        <v>1879</v>
      </c>
      <c r="F3367" t="s">
        <v>28</v>
      </c>
      <c r="G3367" t="s">
        <v>12469</v>
      </c>
      <c r="H3367" t="s">
        <v>30</v>
      </c>
      <c r="I3367" t="b">
        <f>COUNTIF(Estadísticas!I:I,'centraldecomunicacion.es'!H3367)&gt;0</f>
        <v>0</v>
      </c>
    </row>
    <row r="3368" spans="1:9">
      <c r="A3368" t="s">
        <v>12470</v>
      </c>
      <c r="B3368" t="s">
        <v>10</v>
      </c>
      <c r="C3368" t="s">
        <v>12471</v>
      </c>
      <c r="D3368" t="s">
        <v>12326</v>
      </c>
      <c r="E3368" t="s">
        <v>1879</v>
      </c>
      <c r="F3368" t="s">
        <v>12472</v>
      </c>
      <c r="G3368" t="s">
        <v>12473</v>
      </c>
      <c r="H3368" t="s">
        <v>30</v>
      </c>
      <c r="I3368" t="b">
        <f>COUNTIF(Estadísticas!I:I,'centraldecomunicacion.es'!H3368)&gt;0</f>
        <v>0</v>
      </c>
    </row>
    <row r="3369" spans="1:9">
      <c r="A3369" t="s">
        <v>3031</v>
      </c>
      <c r="B3369" t="s">
        <v>10</v>
      </c>
      <c r="C3369" t="s">
        <v>12474</v>
      </c>
      <c r="D3369" t="s">
        <v>1879</v>
      </c>
      <c r="E3369" t="s">
        <v>1879</v>
      </c>
      <c r="F3369" t="s">
        <v>28</v>
      </c>
      <c r="G3369" t="s">
        <v>12475</v>
      </c>
      <c r="H3369" t="s">
        <v>30</v>
      </c>
      <c r="I3369" t="b">
        <f>COUNTIF(Estadísticas!I:I,'centraldecomunicacion.es'!H3369)&gt;0</f>
        <v>0</v>
      </c>
    </row>
    <row r="3370" spans="1:9">
      <c r="A3370" t="s">
        <v>12476</v>
      </c>
      <c r="B3370" t="s">
        <v>10</v>
      </c>
      <c r="C3370" t="s">
        <v>12477</v>
      </c>
      <c r="D3370" t="s">
        <v>1879</v>
      </c>
      <c r="E3370" t="s">
        <v>1879</v>
      </c>
      <c r="F3370" t="s">
        <v>12478</v>
      </c>
      <c r="G3370" t="s">
        <v>12479</v>
      </c>
      <c r="H3370" t="s">
        <v>30</v>
      </c>
      <c r="I3370" t="b">
        <f>COUNTIF(Estadísticas!I:I,'centraldecomunicacion.es'!H3370)&gt;0</f>
        <v>0</v>
      </c>
    </row>
    <row r="3371" spans="1:9">
      <c r="A3371" t="s">
        <v>12480</v>
      </c>
      <c r="B3371" t="s">
        <v>10</v>
      </c>
      <c r="C3371" t="s">
        <v>12481</v>
      </c>
      <c r="D3371" t="s">
        <v>1879</v>
      </c>
      <c r="E3371" t="s">
        <v>1879</v>
      </c>
      <c r="F3371" t="s">
        <v>28</v>
      </c>
      <c r="G3371" t="s">
        <v>12482</v>
      </c>
      <c r="H3371" t="s">
        <v>30</v>
      </c>
      <c r="I3371" t="b">
        <f>COUNTIF(Estadísticas!I:I,'centraldecomunicacion.es'!H3371)&gt;0</f>
        <v>0</v>
      </c>
    </row>
    <row r="3372" spans="1:9">
      <c r="A3372" t="s">
        <v>12467</v>
      </c>
      <c r="B3372" t="s">
        <v>10</v>
      </c>
      <c r="C3372" t="s">
        <v>12483</v>
      </c>
      <c r="D3372" t="s">
        <v>1879</v>
      </c>
      <c r="E3372" t="s">
        <v>1879</v>
      </c>
      <c r="F3372" t="s">
        <v>28</v>
      </c>
      <c r="G3372" t="s">
        <v>12484</v>
      </c>
      <c r="H3372" t="s">
        <v>30</v>
      </c>
      <c r="I3372" t="b">
        <f>COUNTIF(Estadísticas!I:I,'centraldecomunicacion.es'!H3372)&gt;0</f>
        <v>0</v>
      </c>
    </row>
    <row r="3373" spans="1:9">
      <c r="A3373" t="s">
        <v>12485</v>
      </c>
      <c r="B3373" t="s">
        <v>10</v>
      </c>
      <c r="C3373" t="s">
        <v>12486</v>
      </c>
      <c r="D3373" t="s">
        <v>1879</v>
      </c>
      <c r="E3373" t="s">
        <v>1879</v>
      </c>
      <c r="F3373" t="s">
        <v>28</v>
      </c>
      <c r="G3373" t="s">
        <v>12487</v>
      </c>
      <c r="H3373" t="s">
        <v>30</v>
      </c>
      <c r="I3373" t="b">
        <f>COUNTIF(Estadísticas!I:I,'centraldecomunicacion.es'!H3373)&gt;0</f>
        <v>0</v>
      </c>
    </row>
    <row r="3374" spans="1:9">
      <c r="A3374" t="s">
        <v>12488</v>
      </c>
      <c r="B3374" t="s">
        <v>10</v>
      </c>
      <c r="C3374" t="s">
        <v>12489</v>
      </c>
      <c r="D3374" t="s">
        <v>1879</v>
      </c>
      <c r="E3374" t="s">
        <v>1879</v>
      </c>
      <c r="F3374" t="s">
        <v>12490</v>
      </c>
      <c r="G3374" t="s">
        <v>12491</v>
      </c>
      <c r="H3374" t="s">
        <v>12492</v>
      </c>
      <c r="I3374" t="b">
        <f>COUNTIF(Estadísticas!I:I,'centraldecomunicacion.es'!H3374)&gt;0</f>
        <v>0</v>
      </c>
    </row>
    <row r="3375" spans="1:9">
      <c r="A3375" t="s">
        <v>12493</v>
      </c>
      <c r="B3375" t="s">
        <v>10</v>
      </c>
      <c r="C3375" t="s">
        <v>12494</v>
      </c>
      <c r="D3375" t="s">
        <v>12285</v>
      </c>
      <c r="E3375" t="s">
        <v>1879</v>
      </c>
      <c r="F3375" t="s">
        <v>28</v>
      </c>
      <c r="G3375" t="s">
        <v>12495</v>
      </c>
      <c r="H3375" t="s">
        <v>30</v>
      </c>
      <c r="I3375" t="b">
        <f>COUNTIF(Estadísticas!I:I,'centraldecomunicacion.es'!H3375)&gt;0</f>
        <v>0</v>
      </c>
    </row>
    <row r="3376" spans="1:9">
      <c r="A3376" t="s">
        <v>12496</v>
      </c>
      <c r="B3376" t="s">
        <v>10</v>
      </c>
      <c r="C3376" t="s">
        <v>12497</v>
      </c>
      <c r="D3376" t="s">
        <v>1879</v>
      </c>
      <c r="E3376" t="s">
        <v>1879</v>
      </c>
      <c r="F3376" t="s">
        <v>50</v>
      </c>
      <c r="G3376" t="s">
        <v>12498</v>
      </c>
      <c r="H3376" t="s">
        <v>30</v>
      </c>
      <c r="I3376" t="b">
        <f>COUNTIF(Estadísticas!I:I,'centraldecomunicacion.es'!H3376)&gt;0</f>
        <v>0</v>
      </c>
    </row>
    <row r="3377" spans="1:9">
      <c r="A3377" t="s">
        <v>12499</v>
      </c>
      <c r="B3377" t="s">
        <v>10</v>
      </c>
      <c r="C3377" t="s">
        <v>12500</v>
      </c>
      <c r="D3377" t="s">
        <v>1879</v>
      </c>
      <c r="E3377" t="s">
        <v>1879</v>
      </c>
      <c r="F3377" t="s">
        <v>28</v>
      </c>
      <c r="G3377" t="s">
        <v>28</v>
      </c>
      <c r="H3377" t="s">
        <v>30</v>
      </c>
      <c r="I3377" t="b">
        <f>COUNTIF(Estadísticas!I:I,'centraldecomunicacion.es'!H3377)&gt;0</f>
        <v>0</v>
      </c>
    </row>
    <row r="3378" spans="1:9">
      <c r="A3378" t="s">
        <v>12501</v>
      </c>
      <c r="B3378" t="s">
        <v>10</v>
      </c>
      <c r="C3378" t="s">
        <v>12502</v>
      </c>
      <c r="D3378" t="s">
        <v>12215</v>
      </c>
      <c r="E3378" t="s">
        <v>1879</v>
      </c>
      <c r="F3378" t="s">
        <v>642</v>
      </c>
      <c r="G3378" t="s">
        <v>12503</v>
      </c>
      <c r="H3378" t="s">
        <v>30</v>
      </c>
      <c r="I3378" t="b">
        <f>COUNTIF(Estadísticas!I:I,'centraldecomunicacion.es'!H3378)&gt;0</f>
        <v>0</v>
      </c>
    </row>
    <row r="3379" spans="1:9">
      <c r="A3379" t="s">
        <v>12504</v>
      </c>
      <c r="B3379" t="s">
        <v>10</v>
      </c>
      <c r="C3379" t="s">
        <v>12505</v>
      </c>
      <c r="D3379" t="s">
        <v>12506</v>
      </c>
      <c r="E3379" t="s">
        <v>1879</v>
      </c>
      <c r="F3379" t="s">
        <v>12507</v>
      </c>
      <c r="G3379" t="s">
        <v>12508</v>
      </c>
      <c r="H3379" t="s">
        <v>12509</v>
      </c>
      <c r="I3379" t="b">
        <f>COUNTIF(Estadísticas!I:I,'centraldecomunicacion.es'!H3379)&gt;0</f>
        <v>1</v>
      </c>
    </row>
    <row r="3380" spans="1:9">
      <c r="A3380" t="s">
        <v>12510</v>
      </c>
      <c r="B3380" t="s">
        <v>10</v>
      </c>
      <c r="C3380" t="s">
        <v>12511</v>
      </c>
      <c r="D3380" t="s">
        <v>12512</v>
      </c>
      <c r="E3380" t="s">
        <v>1879</v>
      </c>
      <c r="F3380" t="s">
        <v>12513</v>
      </c>
      <c r="G3380" t="s">
        <v>12514</v>
      </c>
      <c r="H3380" t="s">
        <v>12515</v>
      </c>
      <c r="I3380" t="b">
        <f>COUNTIF(Estadísticas!I:I,'centraldecomunicacion.es'!H3380)&gt;0</f>
        <v>0</v>
      </c>
    </row>
    <row r="3381" spans="1:9">
      <c r="A3381" t="s">
        <v>12516</v>
      </c>
      <c r="B3381" t="s">
        <v>10</v>
      </c>
      <c r="C3381" t="s">
        <v>12517</v>
      </c>
      <c r="D3381" t="s">
        <v>12407</v>
      </c>
      <c r="E3381" t="s">
        <v>1879</v>
      </c>
      <c r="F3381" t="s">
        <v>28</v>
      </c>
      <c r="G3381" t="s">
        <v>12518</v>
      </c>
      <c r="H3381" t="s">
        <v>30</v>
      </c>
      <c r="I3381" t="b">
        <f>COUNTIF(Estadísticas!I:I,'centraldecomunicacion.es'!H3381)&gt;0</f>
        <v>0</v>
      </c>
    </row>
    <row r="3382" spans="1:9">
      <c r="A3382" t="s">
        <v>12519</v>
      </c>
      <c r="B3382" t="s">
        <v>10</v>
      </c>
      <c r="C3382" t="s">
        <v>12520</v>
      </c>
      <c r="D3382" t="s">
        <v>12521</v>
      </c>
      <c r="E3382" t="s">
        <v>1879</v>
      </c>
      <c r="F3382" t="s">
        <v>12522</v>
      </c>
      <c r="G3382" t="s">
        <v>12523</v>
      </c>
      <c r="H3382" t="s">
        <v>30</v>
      </c>
      <c r="I3382" t="b">
        <f>COUNTIF(Estadísticas!I:I,'centraldecomunicacion.es'!H3382)&gt;0</f>
        <v>0</v>
      </c>
    </row>
    <row r="3383" spans="1:9">
      <c r="A3383" t="s">
        <v>12524</v>
      </c>
      <c r="B3383" t="s">
        <v>10</v>
      </c>
      <c r="C3383" t="s">
        <v>28</v>
      </c>
      <c r="D3383" t="s">
        <v>12033</v>
      </c>
      <c r="E3383" t="s">
        <v>28</v>
      </c>
      <c r="F3383" t="s">
        <v>12525</v>
      </c>
      <c r="G3383" t="s">
        <v>12526</v>
      </c>
      <c r="H3383" t="s">
        <v>30</v>
      </c>
      <c r="I3383" t="b">
        <f>COUNTIF(Estadísticas!I:I,'centraldecomunicacion.es'!H3383)&gt;0</f>
        <v>0</v>
      </c>
    </row>
    <row r="3384" spans="1:9">
      <c r="A3384" t="s">
        <v>12527</v>
      </c>
      <c r="B3384" t="s">
        <v>10</v>
      </c>
      <c r="C3384" t="s">
        <v>12528</v>
      </c>
      <c r="D3384" t="s">
        <v>12285</v>
      </c>
      <c r="E3384" t="s">
        <v>1879</v>
      </c>
      <c r="F3384" t="s">
        <v>12529</v>
      </c>
      <c r="G3384" t="s">
        <v>12530</v>
      </c>
      <c r="H3384" t="s">
        <v>691</v>
      </c>
      <c r="I3384" t="b">
        <f>COUNTIF(Estadísticas!I:I,'centraldecomunicacion.es'!H3384)&gt;0</f>
        <v>0</v>
      </c>
    </row>
    <row r="3385" spans="1:9">
      <c r="A3385" t="s">
        <v>12531</v>
      </c>
      <c r="B3385" t="s">
        <v>10</v>
      </c>
      <c r="C3385" t="s">
        <v>12532</v>
      </c>
      <c r="D3385" t="s">
        <v>12407</v>
      </c>
      <c r="E3385" t="s">
        <v>1879</v>
      </c>
      <c r="F3385" t="s">
        <v>12533</v>
      </c>
      <c r="G3385" t="s">
        <v>12534</v>
      </c>
      <c r="H3385" t="s">
        <v>30</v>
      </c>
      <c r="I3385" t="b">
        <f>COUNTIF(Estadísticas!I:I,'centraldecomunicacion.es'!H3385)&gt;0</f>
        <v>0</v>
      </c>
    </row>
    <row r="3386" spans="1:9">
      <c r="A3386" t="s">
        <v>12535</v>
      </c>
      <c r="B3386" t="s">
        <v>10</v>
      </c>
      <c r="C3386" t="s">
        <v>12536</v>
      </c>
      <c r="D3386" t="s">
        <v>12537</v>
      </c>
      <c r="E3386" t="s">
        <v>1879</v>
      </c>
      <c r="F3386" t="s">
        <v>12538</v>
      </c>
      <c r="G3386" t="s">
        <v>12539</v>
      </c>
      <c r="H3386" t="s">
        <v>30</v>
      </c>
      <c r="I3386" t="b">
        <f>COUNTIF(Estadísticas!I:I,'centraldecomunicacion.es'!H3386)&gt;0</f>
        <v>0</v>
      </c>
    </row>
    <row r="3387" spans="1:9">
      <c r="A3387" t="s">
        <v>12540</v>
      </c>
      <c r="B3387" t="s">
        <v>10</v>
      </c>
      <c r="C3387" t="s">
        <v>12541</v>
      </c>
      <c r="D3387" t="s">
        <v>12542</v>
      </c>
      <c r="E3387" t="s">
        <v>1879</v>
      </c>
      <c r="F3387" t="s">
        <v>12543</v>
      </c>
      <c r="G3387" t="s">
        <v>12544</v>
      </c>
      <c r="H3387" t="s">
        <v>12545</v>
      </c>
      <c r="I3387" t="b">
        <f>COUNTIF(Estadísticas!I:I,'centraldecomunicacion.es'!H3387)&gt;0</f>
        <v>0</v>
      </c>
    </row>
    <row r="3388" spans="1:9">
      <c r="A3388" t="s">
        <v>8858</v>
      </c>
      <c r="B3388" t="s">
        <v>10</v>
      </c>
      <c r="C3388" t="s">
        <v>12546</v>
      </c>
      <c r="D3388" t="s">
        <v>12542</v>
      </c>
      <c r="E3388" t="s">
        <v>1879</v>
      </c>
      <c r="F3388" t="s">
        <v>28</v>
      </c>
      <c r="G3388" t="s">
        <v>12547</v>
      </c>
      <c r="H3388" t="s">
        <v>30</v>
      </c>
      <c r="I3388" t="b">
        <f>COUNTIF(Estadísticas!I:I,'centraldecomunicacion.es'!H3388)&gt;0</f>
        <v>0</v>
      </c>
    </row>
    <row r="3389" spans="1:9">
      <c r="A3389" t="s">
        <v>12548</v>
      </c>
      <c r="B3389" t="s">
        <v>10</v>
      </c>
      <c r="C3389" t="s">
        <v>12549</v>
      </c>
      <c r="D3389" t="s">
        <v>12521</v>
      </c>
      <c r="E3389" t="s">
        <v>1879</v>
      </c>
      <c r="F3389" t="s">
        <v>28</v>
      </c>
      <c r="G3389" t="s">
        <v>12550</v>
      </c>
      <c r="H3389" t="s">
        <v>30</v>
      </c>
      <c r="I3389" t="b">
        <f>COUNTIF(Estadísticas!I:I,'centraldecomunicacion.es'!H3389)&gt;0</f>
        <v>0</v>
      </c>
    </row>
    <row r="3390" spans="1:9">
      <c r="A3390" t="s">
        <v>4967</v>
      </c>
      <c r="B3390" t="s">
        <v>10</v>
      </c>
      <c r="C3390" t="s">
        <v>12551</v>
      </c>
      <c r="D3390" t="s">
        <v>12521</v>
      </c>
      <c r="E3390" t="s">
        <v>1879</v>
      </c>
      <c r="F3390" t="s">
        <v>28</v>
      </c>
      <c r="G3390" t="s">
        <v>12552</v>
      </c>
      <c r="H3390" t="s">
        <v>30</v>
      </c>
      <c r="I3390" t="b">
        <f>COUNTIF(Estadísticas!I:I,'centraldecomunicacion.es'!H3390)&gt;0</f>
        <v>0</v>
      </c>
    </row>
    <row r="3391" spans="1:9">
      <c r="A3391" t="s">
        <v>12553</v>
      </c>
      <c r="B3391" t="s">
        <v>10</v>
      </c>
      <c r="C3391" t="s">
        <v>12554</v>
      </c>
      <c r="D3391" t="s">
        <v>12542</v>
      </c>
      <c r="E3391" t="s">
        <v>1879</v>
      </c>
      <c r="F3391" t="s">
        <v>50</v>
      </c>
      <c r="G3391" t="s">
        <v>12555</v>
      </c>
      <c r="H3391" t="s">
        <v>30</v>
      </c>
      <c r="I3391" t="b">
        <f>COUNTIF(Estadísticas!I:I,'centraldecomunicacion.es'!H3391)&gt;0</f>
        <v>0</v>
      </c>
    </row>
    <row r="3392" spans="1:9">
      <c r="A3392" t="s">
        <v>12556</v>
      </c>
      <c r="B3392" t="s">
        <v>10</v>
      </c>
      <c r="C3392" t="s">
        <v>12557</v>
      </c>
      <c r="D3392" t="s">
        <v>12542</v>
      </c>
      <c r="E3392" t="s">
        <v>1879</v>
      </c>
      <c r="F3392" t="s">
        <v>28</v>
      </c>
      <c r="G3392" t="s">
        <v>12558</v>
      </c>
      <c r="H3392" t="s">
        <v>30</v>
      </c>
      <c r="I3392" t="b">
        <f>COUNTIF(Estadísticas!I:I,'centraldecomunicacion.es'!H3392)&gt;0</f>
        <v>0</v>
      </c>
    </row>
    <row r="3393" spans="1:9">
      <c r="A3393" t="s">
        <v>12559</v>
      </c>
      <c r="B3393" t="s">
        <v>10</v>
      </c>
      <c r="C3393" t="s">
        <v>12560</v>
      </c>
      <c r="D3393" t="s">
        <v>12561</v>
      </c>
      <c r="E3393" t="s">
        <v>1879</v>
      </c>
      <c r="F3393" t="s">
        <v>12562</v>
      </c>
      <c r="G3393" t="s">
        <v>12563</v>
      </c>
      <c r="H3393" t="s">
        <v>30</v>
      </c>
      <c r="I3393" t="b">
        <f>COUNTIF(Estadísticas!I:I,'centraldecomunicacion.es'!H3393)&gt;0</f>
        <v>0</v>
      </c>
    </row>
    <row r="3394" spans="1:9">
      <c r="A3394" t="s">
        <v>12564</v>
      </c>
      <c r="B3394" t="s">
        <v>10</v>
      </c>
      <c r="C3394" t="s">
        <v>12565</v>
      </c>
      <c r="D3394" t="s">
        <v>12542</v>
      </c>
      <c r="E3394" t="s">
        <v>1879</v>
      </c>
      <c r="F3394" t="s">
        <v>28</v>
      </c>
      <c r="G3394" t="s">
        <v>12566</v>
      </c>
      <c r="H3394" t="s">
        <v>30</v>
      </c>
      <c r="I3394" t="b">
        <f>COUNTIF(Estadísticas!I:I,'centraldecomunicacion.es'!H3394)&gt;0</f>
        <v>0</v>
      </c>
    </row>
    <row r="3395" spans="1:9">
      <c r="A3395" t="s">
        <v>12567</v>
      </c>
      <c r="B3395" t="s">
        <v>10</v>
      </c>
      <c r="C3395" t="s">
        <v>12568</v>
      </c>
      <c r="D3395" t="s">
        <v>12569</v>
      </c>
      <c r="E3395" t="s">
        <v>1879</v>
      </c>
      <c r="F3395" t="s">
        <v>12570</v>
      </c>
      <c r="G3395" t="s">
        <v>12571</v>
      </c>
      <c r="H3395" t="s">
        <v>30</v>
      </c>
      <c r="I3395" t="b">
        <f>COUNTIF(Estadísticas!I:I,'centraldecomunicacion.es'!H3395)&gt;0</f>
        <v>0</v>
      </c>
    </row>
    <row r="3396" spans="1:9">
      <c r="A3396" t="s">
        <v>12572</v>
      </c>
      <c r="B3396" t="s">
        <v>10</v>
      </c>
      <c r="C3396" t="s">
        <v>12573</v>
      </c>
      <c r="D3396" t="s">
        <v>12561</v>
      </c>
      <c r="E3396" t="s">
        <v>1879</v>
      </c>
      <c r="F3396" t="s">
        <v>28</v>
      </c>
      <c r="G3396" t="s">
        <v>12574</v>
      </c>
      <c r="H3396" t="s">
        <v>30</v>
      </c>
      <c r="I3396" t="b">
        <f>COUNTIF(Estadísticas!I:I,'centraldecomunicacion.es'!H3396)&gt;0</f>
        <v>0</v>
      </c>
    </row>
    <row r="3397" spans="1:9">
      <c r="A3397" t="s">
        <v>12575</v>
      </c>
      <c r="B3397" t="s">
        <v>10</v>
      </c>
      <c r="C3397" t="s">
        <v>12576</v>
      </c>
      <c r="D3397" t="s">
        <v>12537</v>
      </c>
      <c r="E3397" t="s">
        <v>1879</v>
      </c>
      <c r="F3397" t="s">
        <v>12577</v>
      </c>
      <c r="G3397" t="s">
        <v>12578</v>
      </c>
      <c r="H3397" t="s">
        <v>30</v>
      </c>
      <c r="I3397" t="b">
        <f>COUNTIF(Estadísticas!I:I,'centraldecomunicacion.es'!H3397)&gt;0</f>
        <v>0</v>
      </c>
    </row>
    <row r="3398" spans="1:9">
      <c r="A3398" t="s">
        <v>12579</v>
      </c>
      <c r="B3398" t="s">
        <v>10</v>
      </c>
      <c r="C3398" t="s">
        <v>12580</v>
      </c>
      <c r="D3398" t="s">
        <v>12561</v>
      </c>
      <c r="E3398" t="s">
        <v>1879</v>
      </c>
      <c r="F3398" t="s">
        <v>12581</v>
      </c>
      <c r="G3398" t="s">
        <v>12582</v>
      </c>
      <c r="H3398" t="s">
        <v>12583</v>
      </c>
      <c r="I3398" t="b">
        <f>COUNTIF(Estadísticas!I:I,'centraldecomunicacion.es'!H3398)&gt;0</f>
        <v>0</v>
      </c>
    </row>
    <row r="3399" spans="1:9">
      <c r="A3399" t="s">
        <v>12584</v>
      </c>
      <c r="B3399" t="s">
        <v>10</v>
      </c>
      <c r="C3399" t="s">
        <v>12585</v>
      </c>
      <c r="D3399" t="s">
        <v>12586</v>
      </c>
      <c r="E3399" t="s">
        <v>1879</v>
      </c>
      <c r="F3399" t="s">
        <v>12587</v>
      </c>
      <c r="G3399" t="s">
        <v>12588</v>
      </c>
      <c r="H3399" t="s">
        <v>12589</v>
      </c>
      <c r="I3399" t="b">
        <f>COUNTIF(Estadísticas!I:I,'centraldecomunicacion.es'!H3399)&gt;0</f>
        <v>1</v>
      </c>
    </row>
    <row r="3400" spans="1:9">
      <c r="A3400" t="s">
        <v>12590</v>
      </c>
      <c r="B3400" t="s">
        <v>10</v>
      </c>
      <c r="C3400" t="s">
        <v>12591</v>
      </c>
      <c r="D3400" t="s">
        <v>12150</v>
      </c>
      <c r="E3400" t="s">
        <v>1879</v>
      </c>
      <c r="F3400" t="s">
        <v>12592</v>
      </c>
      <c r="G3400" t="s">
        <v>12593</v>
      </c>
      <c r="H3400" t="s">
        <v>12594</v>
      </c>
      <c r="I3400" t="b">
        <f>COUNTIF(Estadísticas!I:I,'centraldecomunicacion.es'!H3400)&gt;0</f>
        <v>0</v>
      </c>
    </row>
    <row r="3401" spans="1:9">
      <c r="A3401" t="s">
        <v>12595</v>
      </c>
      <c r="B3401" t="s">
        <v>10</v>
      </c>
      <c r="C3401" t="s">
        <v>12596</v>
      </c>
      <c r="D3401" t="s">
        <v>12586</v>
      </c>
      <c r="E3401" t="s">
        <v>1879</v>
      </c>
      <c r="F3401" t="s">
        <v>12597</v>
      </c>
      <c r="G3401" t="s">
        <v>12598</v>
      </c>
      <c r="H3401" t="s">
        <v>12599</v>
      </c>
      <c r="I3401" t="b">
        <f>COUNTIF(Estadísticas!I:I,'centraldecomunicacion.es'!H3401)&gt;0</f>
        <v>0</v>
      </c>
    </row>
    <row r="3402" spans="1:9">
      <c r="A3402" t="s">
        <v>12600</v>
      </c>
      <c r="B3402" t="s">
        <v>219</v>
      </c>
      <c r="C3402" t="s">
        <v>12601</v>
      </c>
      <c r="D3402" t="s">
        <v>1879</v>
      </c>
      <c r="E3402" t="s">
        <v>1879</v>
      </c>
      <c r="F3402" t="s">
        <v>12602</v>
      </c>
      <c r="G3402" t="s">
        <v>12603</v>
      </c>
      <c r="H3402" t="s">
        <v>12604</v>
      </c>
      <c r="I3402" t="b">
        <f>COUNTIF(Estadísticas!I:I,'centraldecomunicacion.es'!H3402)&gt;0</f>
        <v>0</v>
      </c>
    </row>
    <row r="3403" spans="1:9">
      <c r="A3403" t="s">
        <v>12605</v>
      </c>
      <c r="B3403" t="s">
        <v>10</v>
      </c>
      <c r="C3403" t="s">
        <v>12606</v>
      </c>
      <c r="D3403" t="s">
        <v>12607</v>
      </c>
      <c r="E3403" t="s">
        <v>1879</v>
      </c>
      <c r="F3403" t="s">
        <v>12608</v>
      </c>
      <c r="G3403" t="s">
        <v>12609</v>
      </c>
      <c r="H3403" t="s">
        <v>12610</v>
      </c>
      <c r="I3403" t="b">
        <f>COUNTIF(Estadísticas!I:I,'centraldecomunicacion.es'!H3403)&gt;0</f>
        <v>1</v>
      </c>
    </row>
    <row r="3404" spans="1:9">
      <c r="A3404" t="s">
        <v>12611</v>
      </c>
      <c r="B3404" t="s">
        <v>10</v>
      </c>
      <c r="C3404" t="s">
        <v>12612</v>
      </c>
      <c r="D3404" t="s">
        <v>12613</v>
      </c>
      <c r="E3404" t="s">
        <v>1879</v>
      </c>
      <c r="F3404" t="s">
        <v>12614</v>
      </c>
      <c r="G3404" t="s">
        <v>12615</v>
      </c>
      <c r="H3404" t="s">
        <v>30</v>
      </c>
      <c r="I3404" t="b">
        <f>COUNTIF(Estadísticas!I:I,'centraldecomunicacion.es'!H3404)&gt;0</f>
        <v>0</v>
      </c>
    </row>
    <row r="3405" spans="1:9">
      <c r="A3405" t="s">
        <v>12616</v>
      </c>
      <c r="B3405" t="s">
        <v>10</v>
      </c>
      <c r="C3405" t="s">
        <v>12617</v>
      </c>
      <c r="D3405" t="s">
        <v>12561</v>
      </c>
      <c r="E3405" t="s">
        <v>1879</v>
      </c>
      <c r="F3405" t="s">
        <v>28</v>
      </c>
      <c r="G3405" t="s">
        <v>12618</v>
      </c>
      <c r="H3405" t="s">
        <v>30</v>
      </c>
      <c r="I3405" t="b">
        <f>COUNTIF(Estadísticas!I:I,'centraldecomunicacion.es'!H3405)&gt;0</f>
        <v>0</v>
      </c>
    </row>
    <row r="3406" spans="1:9">
      <c r="A3406" t="s">
        <v>12619</v>
      </c>
      <c r="B3406" t="s">
        <v>10</v>
      </c>
      <c r="C3406" t="s">
        <v>12620</v>
      </c>
      <c r="D3406" t="s">
        <v>12613</v>
      </c>
      <c r="E3406" t="s">
        <v>1879</v>
      </c>
      <c r="F3406" t="s">
        <v>12621</v>
      </c>
      <c r="G3406" t="s">
        <v>12622</v>
      </c>
      <c r="H3406" t="s">
        <v>12623</v>
      </c>
      <c r="I3406" t="b">
        <f>COUNTIF(Estadísticas!I:I,'centraldecomunicacion.es'!H3406)&gt;0</f>
        <v>0</v>
      </c>
    </row>
    <row r="3407" spans="1:9">
      <c r="A3407" t="s">
        <v>12624</v>
      </c>
      <c r="B3407" t="s">
        <v>10</v>
      </c>
      <c r="C3407" t="s">
        <v>12625</v>
      </c>
      <c r="D3407" t="s">
        <v>12626</v>
      </c>
      <c r="E3407" t="s">
        <v>1879</v>
      </c>
      <c r="F3407" t="s">
        <v>28</v>
      </c>
      <c r="G3407" t="s">
        <v>12627</v>
      </c>
      <c r="H3407" t="s">
        <v>30</v>
      </c>
      <c r="I3407" t="b">
        <f>COUNTIF(Estadísticas!I:I,'centraldecomunicacion.es'!H3407)&gt;0</f>
        <v>0</v>
      </c>
    </row>
    <row r="3408" spans="1:9">
      <c r="A3408" t="s">
        <v>12628</v>
      </c>
      <c r="B3408" t="s">
        <v>10</v>
      </c>
      <c r="C3408" t="s">
        <v>12629</v>
      </c>
      <c r="D3408" t="s">
        <v>12630</v>
      </c>
      <c r="E3408" t="s">
        <v>1879</v>
      </c>
      <c r="F3408" t="s">
        <v>12631</v>
      </c>
      <c r="G3408" t="s">
        <v>12632</v>
      </c>
      <c r="H3408" t="s">
        <v>12633</v>
      </c>
      <c r="I3408" t="b">
        <f>COUNTIF(Estadísticas!I:I,'centraldecomunicacion.es'!H3408)&gt;0</f>
        <v>1</v>
      </c>
    </row>
    <row r="3409" spans="1:9">
      <c r="A3409" t="s">
        <v>6780</v>
      </c>
      <c r="B3409" t="s">
        <v>10</v>
      </c>
      <c r="C3409" t="s">
        <v>12634</v>
      </c>
      <c r="D3409" t="s">
        <v>12626</v>
      </c>
      <c r="E3409" t="s">
        <v>1879</v>
      </c>
      <c r="F3409" t="s">
        <v>28</v>
      </c>
      <c r="G3409" t="s">
        <v>12635</v>
      </c>
      <c r="H3409" t="s">
        <v>30</v>
      </c>
      <c r="I3409" t="b">
        <f>COUNTIF(Estadísticas!I:I,'centraldecomunicacion.es'!H3409)&gt;0</f>
        <v>0</v>
      </c>
    </row>
    <row r="3410" spans="1:9">
      <c r="A3410" t="s">
        <v>12636</v>
      </c>
      <c r="B3410" t="s">
        <v>10</v>
      </c>
      <c r="C3410" t="s">
        <v>12637</v>
      </c>
      <c r="D3410" t="s">
        <v>12638</v>
      </c>
      <c r="E3410" t="s">
        <v>1879</v>
      </c>
      <c r="F3410" t="s">
        <v>28</v>
      </c>
      <c r="G3410" t="s">
        <v>12639</v>
      </c>
      <c r="H3410" t="s">
        <v>30</v>
      </c>
      <c r="I3410" t="b">
        <f>COUNTIF(Estadísticas!I:I,'centraldecomunicacion.es'!H3410)&gt;0</f>
        <v>0</v>
      </c>
    </row>
    <row r="3411" spans="1:9">
      <c r="A3411" t="s">
        <v>12640</v>
      </c>
      <c r="B3411" t="s">
        <v>10</v>
      </c>
      <c r="C3411" t="s">
        <v>12641</v>
      </c>
      <c r="D3411" t="s">
        <v>12626</v>
      </c>
      <c r="E3411" t="s">
        <v>1879</v>
      </c>
      <c r="F3411" t="s">
        <v>28</v>
      </c>
      <c r="G3411" t="s">
        <v>12642</v>
      </c>
      <c r="H3411" t="s">
        <v>30</v>
      </c>
      <c r="I3411" t="b">
        <f>COUNTIF(Estadísticas!I:I,'centraldecomunicacion.es'!H3411)&gt;0</f>
        <v>0</v>
      </c>
    </row>
    <row r="3412" spans="1:9">
      <c r="A3412" t="s">
        <v>12643</v>
      </c>
      <c r="B3412" t="s">
        <v>10</v>
      </c>
      <c r="C3412" t="s">
        <v>12644</v>
      </c>
      <c r="D3412" t="s">
        <v>12645</v>
      </c>
      <c r="E3412" t="s">
        <v>1879</v>
      </c>
      <c r="F3412" t="s">
        <v>28</v>
      </c>
      <c r="G3412" t="s">
        <v>12646</v>
      </c>
      <c r="H3412" t="s">
        <v>30</v>
      </c>
      <c r="I3412" t="b">
        <f>COUNTIF(Estadísticas!I:I,'centraldecomunicacion.es'!H3412)&gt;0</f>
        <v>0</v>
      </c>
    </row>
    <row r="3413" spans="1:9">
      <c r="A3413" t="s">
        <v>12647</v>
      </c>
      <c r="B3413" t="s">
        <v>10</v>
      </c>
      <c r="C3413" t="s">
        <v>12648</v>
      </c>
      <c r="D3413" t="s">
        <v>12649</v>
      </c>
      <c r="E3413" t="s">
        <v>1879</v>
      </c>
      <c r="F3413" t="s">
        <v>28</v>
      </c>
      <c r="G3413" t="s">
        <v>12650</v>
      </c>
      <c r="H3413" t="s">
        <v>30</v>
      </c>
      <c r="I3413" t="b">
        <f>COUNTIF(Estadísticas!I:I,'centraldecomunicacion.es'!H3413)&gt;0</f>
        <v>0</v>
      </c>
    </row>
    <row r="3414" spans="1:9">
      <c r="A3414" t="s">
        <v>12651</v>
      </c>
      <c r="B3414" t="s">
        <v>10</v>
      </c>
      <c r="C3414" t="s">
        <v>12652</v>
      </c>
      <c r="D3414" t="s">
        <v>12653</v>
      </c>
      <c r="E3414" t="s">
        <v>1879</v>
      </c>
      <c r="F3414" t="s">
        <v>28</v>
      </c>
      <c r="G3414" t="s">
        <v>12654</v>
      </c>
      <c r="H3414" t="s">
        <v>30</v>
      </c>
      <c r="I3414" t="b">
        <f>COUNTIF(Estadísticas!I:I,'centraldecomunicacion.es'!H3414)&gt;0</f>
        <v>0</v>
      </c>
    </row>
    <row r="3415" spans="1:9">
      <c r="A3415" t="s">
        <v>12655</v>
      </c>
      <c r="B3415" t="s">
        <v>10</v>
      </c>
      <c r="C3415" t="s">
        <v>12656</v>
      </c>
      <c r="D3415" t="s">
        <v>12657</v>
      </c>
      <c r="E3415" t="s">
        <v>1879</v>
      </c>
      <c r="F3415" t="s">
        <v>12658</v>
      </c>
      <c r="G3415" t="s">
        <v>12659</v>
      </c>
      <c r="H3415" t="s">
        <v>30</v>
      </c>
      <c r="I3415" t="b">
        <f>COUNTIF(Estadísticas!I:I,'centraldecomunicacion.es'!H3415)&gt;0</f>
        <v>0</v>
      </c>
    </row>
    <row r="3416" spans="1:9">
      <c r="A3416" t="s">
        <v>12660</v>
      </c>
      <c r="B3416" t="s">
        <v>10</v>
      </c>
      <c r="C3416" t="s">
        <v>12661</v>
      </c>
      <c r="D3416" t="s">
        <v>12662</v>
      </c>
      <c r="E3416" t="s">
        <v>1879</v>
      </c>
      <c r="F3416" t="s">
        <v>28</v>
      </c>
      <c r="G3416" t="s">
        <v>28</v>
      </c>
      <c r="H3416" t="s">
        <v>30</v>
      </c>
      <c r="I3416" t="b">
        <f>COUNTIF(Estadísticas!I:I,'centraldecomunicacion.es'!H3416)&gt;0</f>
        <v>0</v>
      </c>
    </row>
    <row r="3417" spans="1:9">
      <c r="A3417" t="s">
        <v>12663</v>
      </c>
      <c r="B3417" t="s">
        <v>10</v>
      </c>
      <c r="C3417" t="s">
        <v>12664</v>
      </c>
      <c r="D3417" t="s">
        <v>12657</v>
      </c>
      <c r="E3417" t="s">
        <v>1879</v>
      </c>
      <c r="F3417" t="s">
        <v>28</v>
      </c>
      <c r="G3417" t="s">
        <v>12665</v>
      </c>
      <c r="H3417" t="s">
        <v>30</v>
      </c>
      <c r="I3417" t="b">
        <f>COUNTIF(Estadísticas!I:I,'centraldecomunicacion.es'!H3417)&gt;0</f>
        <v>0</v>
      </c>
    </row>
    <row r="3418" spans="1:9">
      <c r="A3418" t="s">
        <v>12666</v>
      </c>
      <c r="B3418" t="s">
        <v>10</v>
      </c>
      <c r="C3418" t="s">
        <v>12667</v>
      </c>
      <c r="D3418" t="s">
        <v>12668</v>
      </c>
      <c r="E3418" t="s">
        <v>1879</v>
      </c>
      <c r="F3418" t="s">
        <v>38</v>
      </c>
      <c r="G3418" t="s">
        <v>12669</v>
      </c>
      <c r="H3418" t="s">
        <v>30</v>
      </c>
      <c r="I3418" t="b">
        <f>COUNTIF(Estadísticas!I:I,'centraldecomunicacion.es'!H3418)&gt;0</f>
        <v>0</v>
      </c>
    </row>
    <row r="3419" spans="1:9">
      <c r="A3419" t="s">
        <v>12670</v>
      </c>
      <c r="B3419" t="s">
        <v>10</v>
      </c>
      <c r="C3419" t="s">
        <v>12671</v>
      </c>
      <c r="D3419" t="s">
        <v>12668</v>
      </c>
      <c r="E3419" t="s">
        <v>1879</v>
      </c>
      <c r="F3419" t="s">
        <v>28</v>
      </c>
      <c r="G3419" t="s">
        <v>12672</v>
      </c>
      <c r="H3419" t="s">
        <v>30</v>
      </c>
      <c r="I3419" t="b">
        <f>COUNTIF(Estadísticas!I:I,'centraldecomunicacion.es'!H3419)&gt;0</f>
        <v>0</v>
      </c>
    </row>
    <row r="3420" spans="1:9">
      <c r="A3420" t="s">
        <v>12673</v>
      </c>
      <c r="B3420" t="s">
        <v>10</v>
      </c>
      <c r="C3420" t="s">
        <v>12674</v>
      </c>
      <c r="D3420" t="s">
        <v>12675</v>
      </c>
      <c r="E3420" t="s">
        <v>1879</v>
      </c>
      <c r="F3420" t="s">
        <v>12676</v>
      </c>
      <c r="G3420" t="s">
        <v>12677</v>
      </c>
      <c r="H3420" t="s">
        <v>12678</v>
      </c>
      <c r="I3420" t="b">
        <f>COUNTIF(Estadísticas!I:I,'centraldecomunicacion.es'!H3420)&gt;0</f>
        <v>0</v>
      </c>
    </row>
    <row r="3421" spans="1:9">
      <c r="A3421" t="s">
        <v>12679</v>
      </c>
      <c r="B3421" t="s">
        <v>10</v>
      </c>
      <c r="C3421" t="s">
        <v>12680</v>
      </c>
      <c r="D3421" t="s">
        <v>12668</v>
      </c>
      <c r="E3421" t="s">
        <v>1879</v>
      </c>
      <c r="F3421" t="s">
        <v>28</v>
      </c>
      <c r="G3421" t="s">
        <v>12681</v>
      </c>
      <c r="H3421" t="s">
        <v>30</v>
      </c>
      <c r="I3421" t="b">
        <f>COUNTIF(Estadísticas!I:I,'centraldecomunicacion.es'!H3421)&gt;0</f>
        <v>0</v>
      </c>
    </row>
    <row r="3422" spans="1:9">
      <c r="A3422" t="s">
        <v>12682</v>
      </c>
      <c r="B3422" t="s">
        <v>10</v>
      </c>
      <c r="C3422" t="s">
        <v>12683</v>
      </c>
      <c r="D3422" t="s">
        <v>12613</v>
      </c>
      <c r="E3422" t="s">
        <v>1879</v>
      </c>
      <c r="F3422" t="s">
        <v>12684</v>
      </c>
      <c r="G3422" t="s">
        <v>12685</v>
      </c>
      <c r="H3422" t="s">
        <v>12686</v>
      </c>
      <c r="I3422" t="b">
        <f>COUNTIF(Estadísticas!I:I,'centraldecomunicacion.es'!H3422)&gt;0</f>
        <v>0</v>
      </c>
    </row>
    <row r="3423" spans="1:9">
      <c r="A3423" t="s">
        <v>12687</v>
      </c>
      <c r="B3423" t="s">
        <v>10</v>
      </c>
      <c r="C3423" t="s">
        <v>12688</v>
      </c>
      <c r="D3423" t="s">
        <v>12689</v>
      </c>
      <c r="E3423" t="s">
        <v>1879</v>
      </c>
      <c r="F3423" t="s">
        <v>28</v>
      </c>
      <c r="G3423" t="s">
        <v>12690</v>
      </c>
      <c r="H3423" t="s">
        <v>30</v>
      </c>
      <c r="I3423" t="b">
        <f>COUNTIF(Estadísticas!I:I,'centraldecomunicacion.es'!H3423)&gt;0</f>
        <v>0</v>
      </c>
    </row>
    <row r="3424" spans="1:9">
      <c r="A3424" t="s">
        <v>12691</v>
      </c>
      <c r="B3424" t="s">
        <v>219</v>
      </c>
      <c r="C3424" t="s">
        <v>12486</v>
      </c>
      <c r="D3424" t="s">
        <v>1879</v>
      </c>
      <c r="E3424" t="s">
        <v>1879</v>
      </c>
      <c r="F3424" t="s">
        <v>12692</v>
      </c>
      <c r="G3424" t="s">
        <v>12693</v>
      </c>
      <c r="H3424" t="s">
        <v>30</v>
      </c>
      <c r="I3424" t="b">
        <f>COUNTIF(Estadísticas!I:I,'centraldecomunicacion.es'!H3424)&gt;0</f>
        <v>0</v>
      </c>
    </row>
    <row r="3425" spans="1:9">
      <c r="A3425" t="s">
        <v>12694</v>
      </c>
      <c r="B3425" t="s">
        <v>10</v>
      </c>
      <c r="C3425" t="s">
        <v>12695</v>
      </c>
      <c r="D3425" t="s">
        <v>12696</v>
      </c>
      <c r="E3425" t="s">
        <v>1879</v>
      </c>
      <c r="F3425" t="s">
        <v>28</v>
      </c>
      <c r="G3425" t="s">
        <v>12697</v>
      </c>
      <c r="H3425" t="s">
        <v>30</v>
      </c>
      <c r="I3425" t="b">
        <f>COUNTIF(Estadísticas!I:I,'centraldecomunicacion.es'!H3425)&gt;0</f>
        <v>0</v>
      </c>
    </row>
    <row r="3426" spans="1:9">
      <c r="A3426" t="s">
        <v>12698</v>
      </c>
      <c r="B3426" t="s">
        <v>10</v>
      </c>
      <c r="C3426" t="s">
        <v>12699</v>
      </c>
      <c r="D3426" t="s">
        <v>12700</v>
      </c>
      <c r="E3426" t="s">
        <v>1879</v>
      </c>
      <c r="F3426" t="s">
        <v>12701</v>
      </c>
      <c r="G3426" t="s">
        <v>12702</v>
      </c>
      <c r="H3426" t="s">
        <v>12703</v>
      </c>
      <c r="I3426" t="b">
        <f>COUNTIF(Estadísticas!I:I,'centraldecomunicacion.es'!H3426)&gt;0</f>
        <v>0</v>
      </c>
    </row>
    <row r="3427" spans="1:9">
      <c r="A3427" t="s">
        <v>12704</v>
      </c>
      <c r="B3427" t="s">
        <v>10</v>
      </c>
      <c r="C3427" t="s">
        <v>28</v>
      </c>
      <c r="D3427" t="s">
        <v>12033</v>
      </c>
      <c r="E3427" t="s">
        <v>28</v>
      </c>
      <c r="F3427" t="s">
        <v>12705</v>
      </c>
      <c r="G3427" t="s">
        <v>12706</v>
      </c>
      <c r="H3427" t="s">
        <v>12707</v>
      </c>
      <c r="I3427" t="b">
        <f>COUNTIF(Estadísticas!I:I,'centraldecomunicacion.es'!H3427)&gt;0</f>
        <v>0</v>
      </c>
    </row>
    <row r="3428" spans="1:9">
      <c r="A3428" t="s">
        <v>12708</v>
      </c>
      <c r="B3428" t="s">
        <v>10</v>
      </c>
      <c r="C3428" t="s">
        <v>12709</v>
      </c>
      <c r="D3428" t="s">
        <v>12710</v>
      </c>
      <c r="E3428" t="s">
        <v>1879</v>
      </c>
      <c r="F3428" t="s">
        <v>28</v>
      </c>
      <c r="G3428" t="s">
        <v>12711</v>
      </c>
      <c r="H3428" t="s">
        <v>30</v>
      </c>
      <c r="I3428" t="b">
        <f>COUNTIF(Estadísticas!I:I,'centraldecomunicacion.es'!H3428)&gt;0</f>
        <v>0</v>
      </c>
    </row>
    <row r="3429" spans="1:9">
      <c r="A3429" t="s">
        <v>12712</v>
      </c>
      <c r="B3429" t="s">
        <v>10</v>
      </c>
      <c r="C3429" t="s">
        <v>12713</v>
      </c>
      <c r="D3429" t="s">
        <v>12714</v>
      </c>
      <c r="E3429" t="s">
        <v>1879</v>
      </c>
      <c r="F3429" t="s">
        <v>28</v>
      </c>
      <c r="G3429" t="s">
        <v>12715</v>
      </c>
      <c r="H3429" t="s">
        <v>30</v>
      </c>
      <c r="I3429" t="b">
        <f>COUNTIF(Estadísticas!I:I,'centraldecomunicacion.es'!H3429)&gt;0</f>
        <v>0</v>
      </c>
    </row>
    <row r="3430" spans="1:9">
      <c r="A3430" t="s">
        <v>12716</v>
      </c>
      <c r="B3430" t="s">
        <v>219</v>
      </c>
      <c r="C3430" t="s">
        <v>12717</v>
      </c>
      <c r="D3430" t="s">
        <v>12542</v>
      </c>
      <c r="E3430" t="s">
        <v>1879</v>
      </c>
      <c r="F3430" t="s">
        <v>12718</v>
      </c>
      <c r="G3430" t="s">
        <v>12719</v>
      </c>
      <c r="H3430" t="s">
        <v>12720</v>
      </c>
      <c r="I3430" t="b">
        <f>COUNTIF(Estadísticas!I:I,'centraldecomunicacion.es'!H3430)&gt;0</f>
        <v>0</v>
      </c>
    </row>
    <row r="3431" spans="1:9">
      <c r="A3431" t="s">
        <v>12721</v>
      </c>
      <c r="B3431" t="s">
        <v>10</v>
      </c>
      <c r="C3431" t="s">
        <v>12722</v>
      </c>
      <c r="D3431" t="s">
        <v>10693</v>
      </c>
      <c r="E3431" t="s">
        <v>1879</v>
      </c>
      <c r="F3431" t="s">
        <v>28</v>
      </c>
      <c r="G3431" t="s">
        <v>12723</v>
      </c>
      <c r="H3431" t="s">
        <v>30</v>
      </c>
      <c r="I3431" t="b">
        <f>COUNTIF(Estadísticas!I:I,'centraldecomunicacion.es'!H3431)&gt;0</f>
        <v>0</v>
      </c>
    </row>
    <row r="3432" spans="1:9">
      <c r="A3432" t="s">
        <v>12724</v>
      </c>
      <c r="B3432" t="s">
        <v>10</v>
      </c>
      <c r="C3432" t="s">
        <v>12725</v>
      </c>
      <c r="D3432" t="s">
        <v>12726</v>
      </c>
      <c r="E3432" t="s">
        <v>1879</v>
      </c>
      <c r="F3432" t="s">
        <v>28</v>
      </c>
      <c r="G3432" t="s">
        <v>12727</v>
      </c>
      <c r="H3432" t="s">
        <v>30</v>
      </c>
      <c r="I3432" t="b">
        <f>COUNTIF(Estadísticas!I:I,'centraldecomunicacion.es'!H3432)&gt;0</f>
        <v>0</v>
      </c>
    </row>
    <row r="3433" spans="1:9">
      <c r="A3433" t="s">
        <v>12728</v>
      </c>
      <c r="B3433" t="s">
        <v>10</v>
      </c>
      <c r="C3433" t="s">
        <v>12729</v>
      </c>
      <c r="D3433" t="s">
        <v>12730</v>
      </c>
      <c r="E3433" t="s">
        <v>1879</v>
      </c>
      <c r="F3433" t="s">
        <v>12731</v>
      </c>
      <c r="G3433" t="s">
        <v>12732</v>
      </c>
      <c r="H3433" t="s">
        <v>12733</v>
      </c>
      <c r="I3433" t="b">
        <f>COUNTIF(Estadísticas!I:I,'centraldecomunicacion.es'!H3433)&gt;0</f>
        <v>0</v>
      </c>
    </row>
    <row r="3434" spans="1:9">
      <c r="A3434" t="s">
        <v>12734</v>
      </c>
      <c r="B3434" t="s">
        <v>10</v>
      </c>
      <c r="C3434" t="s">
        <v>12735</v>
      </c>
      <c r="D3434" t="s">
        <v>12736</v>
      </c>
      <c r="E3434" t="s">
        <v>1879</v>
      </c>
      <c r="F3434" t="s">
        <v>12737</v>
      </c>
      <c r="G3434" t="s">
        <v>12738</v>
      </c>
      <c r="H3434" t="s">
        <v>12739</v>
      </c>
      <c r="I3434" t="b">
        <f>COUNTIF(Estadísticas!I:I,'centraldecomunicacion.es'!H3434)&gt;0</f>
        <v>1</v>
      </c>
    </row>
    <row r="3435" spans="1:9">
      <c r="A3435" t="s">
        <v>12740</v>
      </c>
      <c r="B3435" t="s">
        <v>10</v>
      </c>
      <c r="C3435" t="s">
        <v>12741</v>
      </c>
      <c r="D3435" t="s">
        <v>12742</v>
      </c>
      <c r="E3435" t="s">
        <v>1879</v>
      </c>
      <c r="F3435" t="s">
        <v>12743</v>
      </c>
      <c r="G3435" t="s">
        <v>12744</v>
      </c>
      <c r="H3435" t="s">
        <v>12745</v>
      </c>
      <c r="I3435" t="b">
        <f>COUNTIF(Estadísticas!I:I,'centraldecomunicacion.es'!H3435)&gt;0</f>
        <v>0</v>
      </c>
    </row>
    <row r="3436" spans="1:9">
      <c r="A3436" t="s">
        <v>12746</v>
      </c>
      <c r="B3436" t="s">
        <v>10</v>
      </c>
      <c r="C3436" t="s">
        <v>12747</v>
      </c>
      <c r="D3436" t="s">
        <v>10693</v>
      </c>
      <c r="E3436" t="s">
        <v>1879</v>
      </c>
      <c r="F3436" t="s">
        <v>28</v>
      </c>
      <c r="G3436" t="s">
        <v>12748</v>
      </c>
      <c r="H3436" t="s">
        <v>30</v>
      </c>
      <c r="I3436" t="b">
        <f>COUNTIF(Estadísticas!I:I,'centraldecomunicacion.es'!H3436)&gt;0</f>
        <v>0</v>
      </c>
    </row>
    <row r="3437" spans="1:9">
      <c r="A3437" t="s">
        <v>12749</v>
      </c>
      <c r="B3437" t="s">
        <v>10</v>
      </c>
      <c r="C3437" t="s">
        <v>12750</v>
      </c>
      <c r="D3437" t="s">
        <v>12751</v>
      </c>
      <c r="E3437" t="s">
        <v>1879</v>
      </c>
      <c r="F3437" t="s">
        <v>12752</v>
      </c>
      <c r="G3437" t="s">
        <v>12753</v>
      </c>
      <c r="H3437" t="s">
        <v>12754</v>
      </c>
      <c r="I3437" t="b">
        <f>COUNTIF(Estadísticas!I:I,'centraldecomunicacion.es'!H3437)&gt;0</f>
        <v>0</v>
      </c>
    </row>
    <row r="3438" spans="1:9">
      <c r="A3438" t="s">
        <v>11081</v>
      </c>
      <c r="B3438" t="s">
        <v>10</v>
      </c>
      <c r="C3438" t="s">
        <v>12755</v>
      </c>
      <c r="D3438" t="s">
        <v>12751</v>
      </c>
      <c r="E3438" t="s">
        <v>1879</v>
      </c>
      <c r="F3438" t="s">
        <v>12756</v>
      </c>
      <c r="G3438" t="s">
        <v>12757</v>
      </c>
      <c r="H3438" t="s">
        <v>30</v>
      </c>
      <c r="I3438" t="b">
        <f>COUNTIF(Estadísticas!I:I,'centraldecomunicacion.es'!H3438)&gt;0</f>
        <v>0</v>
      </c>
    </row>
    <row r="3439" spans="1:9">
      <c r="A3439" t="s">
        <v>12758</v>
      </c>
      <c r="B3439" t="s">
        <v>10</v>
      </c>
      <c r="C3439" t="s">
        <v>12759</v>
      </c>
      <c r="D3439" t="s">
        <v>12760</v>
      </c>
      <c r="E3439" t="s">
        <v>1879</v>
      </c>
      <c r="F3439" t="s">
        <v>28</v>
      </c>
      <c r="G3439" t="s">
        <v>12761</v>
      </c>
      <c r="H3439" t="s">
        <v>30</v>
      </c>
      <c r="I3439" t="b">
        <f>COUNTIF(Estadísticas!I:I,'centraldecomunicacion.es'!H3439)&gt;0</f>
        <v>0</v>
      </c>
    </row>
    <row r="3440" spans="1:9">
      <c r="A3440" t="s">
        <v>12762</v>
      </c>
      <c r="B3440" t="s">
        <v>10</v>
      </c>
      <c r="C3440" t="s">
        <v>12763</v>
      </c>
      <c r="D3440" t="s">
        <v>12764</v>
      </c>
      <c r="E3440" t="s">
        <v>6786</v>
      </c>
      <c r="F3440" t="s">
        <v>28</v>
      </c>
      <c r="G3440" t="s">
        <v>12765</v>
      </c>
      <c r="H3440" t="s">
        <v>30</v>
      </c>
      <c r="I3440" t="b">
        <f>COUNTIF(Estadísticas!I:I,'centraldecomunicacion.es'!H3440)&gt;0</f>
        <v>0</v>
      </c>
    </row>
    <row r="3441" spans="1:9">
      <c r="A3441" t="s">
        <v>12766</v>
      </c>
      <c r="B3441" t="s">
        <v>10</v>
      </c>
      <c r="C3441" t="s">
        <v>12767</v>
      </c>
      <c r="D3441" t="s">
        <v>12768</v>
      </c>
      <c r="E3441" t="s">
        <v>1879</v>
      </c>
      <c r="F3441" t="s">
        <v>28</v>
      </c>
      <c r="G3441" t="s">
        <v>12769</v>
      </c>
      <c r="H3441" t="s">
        <v>30</v>
      </c>
      <c r="I3441" t="b">
        <f>COUNTIF(Estadísticas!I:I,'centraldecomunicacion.es'!H3441)&gt;0</f>
        <v>0</v>
      </c>
    </row>
    <row r="3442" spans="1:9">
      <c r="A3442" t="s">
        <v>12770</v>
      </c>
      <c r="B3442" t="s">
        <v>10</v>
      </c>
      <c r="C3442" t="s">
        <v>12771</v>
      </c>
      <c r="D3442" t="s">
        <v>12742</v>
      </c>
      <c r="E3442" t="s">
        <v>1879</v>
      </c>
      <c r="F3442" t="s">
        <v>12772</v>
      </c>
      <c r="G3442" t="s">
        <v>12773</v>
      </c>
      <c r="H3442" t="s">
        <v>12774</v>
      </c>
      <c r="I3442" t="b">
        <f>COUNTIF(Estadísticas!I:I,'centraldecomunicacion.es'!H3442)&gt;0</f>
        <v>1</v>
      </c>
    </row>
    <row r="3443" spans="1:9">
      <c r="A3443" t="s">
        <v>12775</v>
      </c>
      <c r="B3443" t="s">
        <v>219</v>
      </c>
      <c r="C3443" t="s">
        <v>12776</v>
      </c>
      <c r="D3443" t="s">
        <v>12668</v>
      </c>
      <c r="E3443" t="s">
        <v>1879</v>
      </c>
      <c r="F3443" t="s">
        <v>12777</v>
      </c>
      <c r="G3443" t="s">
        <v>28</v>
      </c>
      <c r="H3443" t="s">
        <v>30</v>
      </c>
      <c r="I3443" t="b">
        <f>COUNTIF(Estadísticas!I:I,'centraldecomunicacion.es'!H3443)&gt;0</f>
        <v>0</v>
      </c>
    </row>
    <row r="3444" spans="1:9">
      <c r="A3444" t="s">
        <v>12778</v>
      </c>
      <c r="B3444" t="s">
        <v>10</v>
      </c>
      <c r="C3444" t="s">
        <v>12779</v>
      </c>
      <c r="D3444" t="s">
        <v>12780</v>
      </c>
      <c r="E3444" t="s">
        <v>1879</v>
      </c>
      <c r="F3444" t="s">
        <v>28</v>
      </c>
      <c r="G3444" t="s">
        <v>12781</v>
      </c>
      <c r="H3444" t="s">
        <v>30</v>
      </c>
      <c r="I3444" t="b">
        <f>COUNTIF(Estadísticas!I:I,'centraldecomunicacion.es'!H3444)&gt;0</f>
        <v>0</v>
      </c>
    </row>
    <row r="3445" spans="1:9">
      <c r="A3445" t="s">
        <v>12782</v>
      </c>
      <c r="B3445" t="s">
        <v>219</v>
      </c>
      <c r="C3445" t="s">
        <v>12783</v>
      </c>
      <c r="D3445" t="s">
        <v>12626</v>
      </c>
      <c r="E3445" t="s">
        <v>1879</v>
      </c>
      <c r="F3445" t="s">
        <v>12784</v>
      </c>
      <c r="G3445" t="s">
        <v>12785</v>
      </c>
      <c r="H3445" t="s">
        <v>30</v>
      </c>
      <c r="I3445" t="b">
        <f>COUNTIF(Estadísticas!I:I,'centraldecomunicacion.es'!H3445)&gt;0</f>
        <v>0</v>
      </c>
    </row>
    <row r="3446" spans="1:9">
      <c r="A3446" t="s">
        <v>12786</v>
      </c>
      <c r="B3446" t="s">
        <v>219</v>
      </c>
      <c r="C3446" t="s">
        <v>12787</v>
      </c>
      <c r="D3446" t="s">
        <v>12788</v>
      </c>
      <c r="E3446" t="s">
        <v>1879</v>
      </c>
      <c r="F3446" t="s">
        <v>28</v>
      </c>
      <c r="G3446" t="s">
        <v>12789</v>
      </c>
      <c r="H3446" t="s">
        <v>30</v>
      </c>
      <c r="I3446" t="b">
        <f>COUNTIF(Estadísticas!I:I,'centraldecomunicacion.es'!H3446)&gt;0</f>
        <v>0</v>
      </c>
    </row>
    <row r="3447" spans="1:9">
      <c r="A3447" t="s">
        <v>12790</v>
      </c>
      <c r="B3447" t="s">
        <v>10</v>
      </c>
      <c r="C3447" t="s">
        <v>12791</v>
      </c>
      <c r="D3447" t="s">
        <v>1861</v>
      </c>
      <c r="E3447" t="s">
        <v>1861</v>
      </c>
      <c r="F3447" t="s">
        <v>12792</v>
      </c>
      <c r="G3447" t="s">
        <v>12793</v>
      </c>
      <c r="H3447" t="s">
        <v>12794</v>
      </c>
      <c r="I3447" t="b">
        <f>COUNTIF(Estadísticas!I:I,'centraldecomunicacion.es'!H3447)&gt;0</f>
        <v>1</v>
      </c>
    </row>
    <row r="3448" spans="1:9">
      <c r="A3448" t="s">
        <v>12795</v>
      </c>
      <c r="B3448" t="s">
        <v>10</v>
      </c>
      <c r="C3448" t="s">
        <v>12796</v>
      </c>
      <c r="D3448" t="s">
        <v>1861</v>
      </c>
      <c r="E3448" t="s">
        <v>1861</v>
      </c>
      <c r="F3448" t="s">
        <v>28</v>
      </c>
      <c r="G3448" t="s">
        <v>12797</v>
      </c>
      <c r="H3448" t="s">
        <v>30</v>
      </c>
      <c r="I3448" t="b">
        <f>COUNTIF(Estadísticas!I:I,'centraldecomunicacion.es'!H3448)&gt;0</f>
        <v>0</v>
      </c>
    </row>
    <row r="3449" spans="1:9">
      <c r="A3449" t="s">
        <v>12798</v>
      </c>
      <c r="B3449" t="s">
        <v>10</v>
      </c>
      <c r="C3449" t="s">
        <v>12799</v>
      </c>
      <c r="D3449" t="s">
        <v>1861</v>
      </c>
      <c r="E3449" t="s">
        <v>1861</v>
      </c>
      <c r="F3449" t="s">
        <v>28</v>
      </c>
      <c r="G3449" t="s">
        <v>12800</v>
      </c>
      <c r="H3449" t="s">
        <v>30</v>
      </c>
      <c r="I3449" t="b">
        <f>COUNTIF(Estadísticas!I:I,'centraldecomunicacion.es'!H3449)&gt;0</f>
        <v>0</v>
      </c>
    </row>
    <row r="3450" spans="1:9">
      <c r="A3450" t="s">
        <v>12801</v>
      </c>
      <c r="B3450" t="s">
        <v>10</v>
      </c>
      <c r="C3450" t="s">
        <v>12802</v>
      </c>
      <c r="D3450" t="s">
        <v>1861</v>
      </c>
      <c r="E3450" t="s">
        <v>1861</v>
      </c>
      <c r="F3450" t="s">
        <v>12803</v>
      </c>
      <c r="G3450" t="s">
        <v>12804</v>
      </c>
      <c r="H3450" t="s">
        <v>30</v>
      </c>
      <c r="I3450" t="b">
        <f>COUNTIF(Estadísticas!I:I,'centraldecomunicacion.es'!H3450)&gt;0</f>
        <v>0</v>
      </c>
    </row>
    <row r="3451" spans="1:9">
      <c r="A3451" t="s">
        <v>12805</v>
      </c>
      <c r="B3451" t="s">
        <v>10</v>
      </c>
      <c r="C3451" t="s">
        <v>12806</v>
      </c>
      <c r="D3451" t="s">
        <v>1861</v>
      </c>
      <c r="E3451" t="s">
        <v>1861</v>
      </c>
      <c r="F3451" t="s">
        <v>12807</v>
      </c>
      <c r="G3451" t="s">
        <v>12808</v>
      </c>
      <c r="H3451" t="s">
        <v>30</v>
      </c>
      <c r="I3451" t="b">
        <f>COUNTIF(Estadísticas!I:I,'centraldecomunicacion.es'!H3451)&gt;0</f>
        <v>0</v>
      </c>
    </row>
    <row r="3452" spans="1:9">
      <c r="A3452" t="s">
        <v>12809</v>
      </c>
      <c r="B3452" t="s">
        <v>10</v>
      </c>
      <c r="C3452" t="s">
        <v>12810</v>
      </c>
      <c r="D3452" t="s">
        <v>1861</v>
      </c>
      <c r="E3452" t="s">
        <v>1861</v>
      </c>
      <c r="F3452" t="s">
        <v>28</v>
      </c>
      <c r="G3452" t="s">
        <v>12811</v>
      </c>
      <c r="H3452" t="s">
        <v>30</v>
      </c>
      <c r="I3452" t="b">
        <f>COUNTIF(Estadísticas!I:I,'centraldecomunicacion.es'!H3452)&gt;0</f>
        <v>0</v>
      </c>
    </row>
    <row r="3453" spans="1:9">
      <c r="A3453" t="s">
        <v>12812</v>
      </c>
      <c r="B3453" t="s">
        <v>10</v>
      </c>
      <c r="C3453" t="s">
        <v>12813</v>
      </c>
      <c r="D3453" t="s">
        <v>1861</v>
      </c>
      <c r="E3453" t="s">
        <v>1861</v>
      </c>
      <c r="F3453" t="s">
        <v>12814</v>
      </c>
      <c r="G3453" t="s">
        <v>12815</v>
      </c>
      <c r="H3453" t="s">
        <v>12816</v>
      </c>
      <c r="I3453" t="b">
        <f>COUNTIF(Estadísticas!I:I,'centraldecomunicacion.es'!H3453)&gt;0</f>
        <v>1</v>
      </c>
    </row>
    <row r="3454" spans="1:9">
      <c r="A3454" t="s">
        <v>3340</v>
      </c>
      <c r="B3454" t="s">
        <v>10</v>
      </c>
      <c r="C3454" t="s">
        <v>12817</v>
      </c>
      <c r="D3454" t="s">
        <v>1861</v>
      </c>
      <c r="E3454" t="s">
        <v>1861</v>
      </c>
      <c r="F3454" t="s">
        <v>28</v>
      </c>
      <c r="G3454" t="s">
        <v>12818</v>
      </c>
      <c r="H3454" t="s">
        <v>30</v>
      </c>
      <c r="I3454" t="b">
        <f>COUNTIF(Estadísticas!I:I,'centraldecomunicacion.es'!H3454)&gt;0</f>
        <v>0</v>
      </c>
    </row>
    <row r="3455" spans="1:9">
      <c r="A3455" t="s">
        <v>12819</v>
      </c>
      <c r="B3455" t="s">
        <v>10</v>
      </c>
      <c r="C3455" t="s">
        <v>12820</v>
      </c>
      <c r="D3455" t="s">
        <v>1861</v>
      </c>
      <c r="E3455" t="s">
        <v>1861</v>
      </c>
      <c r="F3455" t="s">
        <v>28</v>
      </c>
      <c r="G3455" t="s">
        <v>12821</v>
      </c>
      <c r="H3455" t="s">
        <v>30</v>
      </c>
      <c r="I3455" t="b">
        <f>COUNTIF(Estadísticas!I:I,'centraldecomunicacion.es'!H3455)&gt;0</f>
        <v>0</v>
      </c>
    </row>
    <row r="3456" spans="1:9">
      <c r="A3456" t="s">
        <v>12822</v>
      </c>
      <c r="B3456" t="s">
        <v>10</v>
      </c>
      <c r="C3456" t="s">
        <v>12823</v>
      </c>
      <c r="D3456" t="s">
        <v>1861</v>
      </c>
      <c r="E3456" t="s">
        <v>1861</v>
      </c>
      <c r="F3456" t="s">
        <v>12824</v>
      </c>
      <c r="G3456" t="s">
        <v>12825</v>
      </c>
      <c r="H3456" t="s">
        <v>12826</v>
      </c>
      <c r="I3456" t="b">
        <f>COUNTIF(Estadísticas!I:I,'centraldecomunicacion.es'!H3456)&gt;0</f>
        <v>1</v>
      </c>
    </row>
    <row r="3457" spans="1:9">
      <c r="A3457" t="s">
        <v>12827</v>
      </c>
      <c r="B3457" t="s">
        <v>10</v>
      </c>
      <c r="C3457" t="s">
        <v>12828</v>
      </c>
      <c r="D3457" t="s">
        <v>1861</v>
      </c>
      <c r="E3457" t="s">
        <v>1861</v>
      </c>
      <c r="F3457" t="s">
        <v>38</v>
      </c>
      <c r="G3457" t="s">
        <v>12829</v>
      </c>
      <c r="H3457" t="s">
        <v>30</v>
      </c>
      <c r="I3457" t="b">
        <f>COUNTIF(Estadísticas!I:I,'centraldecomunicacion.es'!H3457)&gt;0</f>
        <v>0</v>
      </c>
    </row>
    <row r="3458" spans="1:9">
      <c r="A3458" t="s">
        <v>12830</v>
      </c>
      <c r="B3458" t="s">
        <v>10</v>
      </c>
      <c r="C3458" t="s">
        <v>12831</v>
      </c>
      <c r="D3458" t="s">
        <v>1861</v>
      </c>
      <c r="E3458" t="s">
        <v>1861</v>
      </c>
      <c r="F3458" t="s">
        <v>28</v>
      </c>
      <c r="G3458" t="s">
        <v>12832</v>
      </c>
      <c r="H3458" t="s">
        <v>30</v>
      </c>
      <c r="I3458" t="b">
        <f>COUNTIF(Estadísticas!I:I,'centraldecomunicacion.es'!H3458)&gt;0</f>
        <v>0</v>
      </c>
    </row>
    <row r="3459" spans="1:9">
      <c r="A3459" t="s">
        <v>12833</v>
      </c>
      <c r="B3459" t="s">
        <v>10</v>
      </c>
      <c r="C3459" t="s">
        <v>12834</v>
      </c>
      <c r="D3459" t="s">
        <v>1861</v>
      </c>
      <c r="E3459" t="s">
        <v>1861</v>
      </c>
      <c r="F3459" t="s">
        <v>28</v>
      </c>
      <c r="G3459" t="s">
        <v>12835</v>
      </c>
      <c r="H3459" t="s">
        <v>30</v>
      </c>
      <c r="I3459" t="b">
        <f>COUNTIF(Estadísticas!I:I,'centraldecomunicacion.es'!H3459)&gt;0</f>
        <v>0</v>
      </c>
    </row>
    <row r="3460" spans="1:9">
      <c r="A3460" t="s">
        <v>12836</v>
      </c>
      <c r="B3460" t="s">
        <v>10</v>
      </c>
      <c r="C3460" t="s">
        <v>12837</v>
      </c>
      <c r="D3460" t="s">
        <v>1861</v>
      </c>
      <c r="E3460" t="s">
        <v>1861</v>
      </c>
      <c r="F3460" t="s">
        <v>12838</v>
      </c>
      <c r="G3460" t="s">
        <v>12839</v>
      </c>
      <c r="H3460" t="s">
        <v>12840</v>
      </c>
      <c r="I3460" t="b">
        <f>COUNTIF(Estadísticas!I:I,'centraldecomunicacion.es'!H3460)&gt;0</f>
        <v>1</v>
      </c>
    </row>
    <row r="3461" spans="1:9">
      <c r="A3461" t="s">
        <v>12841</v>
      </c>
      <c r="B3461" t="s">
        <v>10</v>
      </c>
      <c r="C3461" t="s">
        <v>12842</v>
      </c>
      <c r="D3461" t="s">
        <v>1861</v>
      </c>
      <c r="E3461" t="s">
        <v>1861</v>
      </c>
      <c r="F3461" t="s">
        <v>28</v>
      </c>
      <c r="G3461" t="s">
        <v>12843</v>
      </c>
      <c r="H3461" t="s">
        <v>30</v>
      </c>
      <c r="I3461" t="b">
        <f>COUNTIF(Estadísticas!I:I,'centraldecomunicacion.es'!H3461)&gt;0</f>
        <v>0</v>
      </c>
    </row>
    <row r="3462" spans="1:9">
      <c r="A3462" t="s">
        <v>12844</v>
      </c>
      <c r="B3462" t="s">
        <v>10</v>
      </c>
      <c r="C3462" t="s">
        <v>12845</v>
      </c>
      <c r="D3462" t="s">
        <v>1861</v>
      </c>
      <c r="E3462" t="s">
        <v>1861</v>
      </c>
      <c r="F3462" t="s">
        <v>28</v>
      </c>
      <c r="G3462" t="s">
        <v>12846</v>
      </c>
      <c r="H3462" t="s">
        <v>30</v>
      </c>
      <c r="I3462" t="b">
        <f>COUNTIF(Estadísticas!I:I,'centraldecomunicacion.es'!H3462)&gt;0</f>
        <v>0</v>
      </c>
    </row>
    <row r="3463" spans="1:9">
      <c r="A3463" t="s">
        <v>11476</v>
      </c>
      <c r="B3463" t="s">
        <v>10</v>
      </c>
      <c r="C3463" t="s">
        <v>12847</v>
      </c>
      <c r="D3463" t="s">
        <v>1861</v>
      </c>
      <c r="E3463" t="s">
        <v>1861</v>
      </c>
      <c r="F3463" t="s">
        <v>38</v>
      </c>
      <c r="G3463" t="s">
        <v>12848</v>
      </c>
      <c r="H3463" t="s">
        <v>30</v>
      </c>
      <c r="I3463" t="b">
        <f>COUNTIF(Estadísticas!I:I,'centraldecomunicacion.es'!H3463)&gt;0</f>
        <v>0</v>
      </c>
    </row>
    <row r="3464" spans="1:9">
      <c r="A3464" t="s">
        <v>12849</v>
      </c>
      <c r="B3464" t="s">
        <v>10</v>
      </c>
      <c r="C3464" t="s">
        <v>12810</v>
      </c>
      <c r="D3464" t="s">
        <v>1861</v>
      </c>
      <c r="E3464" t="s">
        <v>1861</v>
      </c>
      <c r="F3464" t="s">
        <v>28</v>
      </c>
      <c r="G3464" t="s">
        <v>12811</v>
      </c>
      <c r="H3464" t="s">
        <v>30</v>
      </c>
      <c r="I3464" t="b">
        <f>COUNTIF(Estadísticas!I:I,'centraldecomunicacion.es'!H3464)&gt;0</f>
        <v>0</v>
      </c>
    </row>
    <row r="3465" spans="1:9">
      <c r="A3465" t="s">
        <v>12850</v>
      </c>
      <c r="B3465" t="s">
        <v>10</v>
      </c>
      <c r="C3465" t="s">
        <v>12851</v>
      </c>
      <c r="D3465" t="s">
        <v>1861</v>
      </c>
      <c r="E3465" t="s">
        <v>1861</v>
      </c>
      <c r="F3465" t="s">
        <v>28</v>
      </c>
      <c r="G3465" t="s">
        <v>12852</v>
      </c>
      <c r="H3465" t="s">
        <v>30</v>
      </c>
      <c r="I3465" t="b">
        <f>COUNTIF(Estadísticas!I:I,'centraldecomunicacion.es'!H3465)&gt;0</f>
        <v>0</v>
      </c>
    </row>
    <row r="3466" spans="1:9">
      <c r="A3466" t="s">
        <v>12853</v>
      </c>
      <c r="B3466" t="s">
        <v>10</v>
      </c>
      <c r="C3466" t="s">
        <v>12854</v>
      </c>
      <c r="D3466" t="s">
        <v>1861</v>
      </c>
      <c r="E3466" t="s">
        <v>1861</v>
      </c>
      <c r="F3466" t="s">
        <v>28</v>
      </c>
      <c r="G3466" t="s">
        <v>12855</v>
      </c>
      <c r="H3466" t="s">
        <v>30</v>
      </c>
      <c r="I3466" t="b">
        <f>COUNTIF(Estadísticas!I:I,'centraldecomunicacion.es'!H3466)&gt;0</f>
        <v>0</v>
      </c>
    </row>
    <row r="3467" spans="1:9">
      <c r="A3467" t="s">
        <v>12856</v>
      </c>
      <c r="B3467" t="s">
        <v>10</v>
      </c>
      <c r="C3467" t="s">
        <v>12857</v>
      </c>
      <c r="D3467" t="s">
        <v>1861</v>
      </c>
      <c r="E3467" t="s">
        <v>1861</v>
      </c>
      <c r="F3467" t="s">
        <v>28</v>
      </c>
      <c r="G3467" t="s">
        <v>12858</v>
      </c>
      <c r="H3467" t="s">
        <v>30</v>
      </c>
      <c r="I3467" t="b">
        <f>COUNTIF(Estadísticas!I:I,'centraldecomunicacion.es'!H3467)&gt;0</f>
        <v>0</v>
      </c>
    </row>
    <row r="3468" spans="1:9">
      <c r="A3468" t="s">
        <v>12859</v>
      </c>
      <c r="B3468" t="s">
        <v>10</v>
      </c>
      <c r="C3468" t="s">
        <v>12860</v>
      </c>
      <c r="D3468" t="s">
        <v>1861</v>
      </c>
      <c r="E3468" t="s">
        <v>1861</v>
      </c>
      <c r="F3468" t="s">
        <v>28</v>
      </c>
      <c r="G3468" t="s">
        <v>12861</v>
      </c>
      <c r="H3468" t="s">
        <v>30</v>
      </c>
      <c r="I3468" t="b">
        <f>COUNTIF(Estadísticas!I:I,'centraldecomunicacion.es'!H3468)&gt;0</f>
        <v>0</v>
      </c>
    </row>
    <row r="3469" spans="1:9">
      <c r="A3469" t="s">
        <v>12862</v>
      </c>
      <c r="B3469" t="s">
        <v>10</v>
      </c>
      <c r="C3469" t="s">
        <v>12863</v>
      </c>
      <c r="D3469" t="s">
        <v>1861</v>
      </c>
      <c r="E3469" t="s">
        <v>1861</v>
      </c>
      <c r="F3469" t="s">
        <v>28</v>
      </c>
      <c r="G3469" t="s">
        <v>12864</v>
      </c>
      <c r="H3469" t="s">
        <v>30</v>
      </c>
      <c r="I3469" t="b">
        <f>COUNTIF(Estadísticas!I:I,'centraldecomunicacion.es'!H3469)&gt;0</f>
        <v>0</v>
      </c>
    </row>
    <row r="3470" spans="1:9">
      <c r="A3470" t="s">
        <v>12865</v>
      </c>
      <c r="B3470" t="s">
        <v>10</v>
      </c>
      <c r="C3470" t="s">
        <v>12866</v>
      </c>
      <c r="D3470" t="s">
        <v>1861</v>
      </c>
      <c r="E3470" t="s">
        <v>1861</v>
      </c>
      <c r="F3470" t="s">
        <v>12867</v>
      </c>
      <c r="G3470" t="s">
        <v>12868</v>
      </c>
      <c r="H3470" t="s">
        <v>12869</v>
      </c>
      <c r="I3470" t="b">
        <f>COUNTIF(Estadísticas!I:I,'centraldecomunicacion.es'!H3470)&gt;0</f>
        <v>1</v>
      </c>
    </row>
    <row r="3471" spans="1:9">
      <c r="A3471" t="s">
        <v>12870</v>
      </c>
      <c r="B3471" t="s">
        <v>10</v>
      </c>
      <c r="C3471" t="s">
        <v>12847</v>
      </c>
      <c r="D3471" t="s">
        <v>1861</v>
      </c>
      <c r="E3471" t="s">
        <v>1861</v>
      </c>
      <c r="F3471" t="s">
        <v>28</v>
      </c>
      <c r="G3471" t="s">
        <v>12848</v>
      </c>
      <c r="H3471" t="s">
        <v>30</v>
      </c>
      <c r="I3471" t="b">
        <f>COUNTIF(Estadísticas!I:I,'centraldecomunicacion.es'!H3471)&gt;0</f>
        <v>0</v>
      </c>
    </row>
    <row r="3472" spans="1:9">
      <c r="A3472" t="s">
        <v>1123</v>
      </c>
      <c r="B3472" t="s">
        <v>10</v>
      </c>
      <c r="C3472" t="s">
        <v>12871</v>
      </c>
      <c r="D3472" t="s">
        <v>1861</v>
      </c>
      <c r="E3472" t="s">
        <v>1861</v>
      </c>
      <c r="F3472" t="s">
        <v>12872</v>
      </c>
      <c r="G3472" t="s">
        <v>28</v>
      </c>
      <c r="H3472" t="s">
        <v>12873</v>
      </c>
      <c r="I3472" t="b">
        <f>COUNTIF(Estadísticas!I:I,'centraldecomunicacion.es'!H3472)&gt;0</f>
        <v>1</v>
      </c>
    </row>
    <row r="3473" spans="1:9">
      <c r="A3473" t="s">
        <v>12874</v>
      </c>
      <c r="B3473" t="s">
        <v>10</v>
      </c>
      <c r="C3473" t="s">
        <v>12875</v>
      </c>
      <c r="D3473" t="s">
        <v>1861</v>
      </c>
      <c r="E3473" t="s">
        <v>1861</v>
      </c>
      <c r="F3473" t="s">
        <v>28</v>
      </c>
      <c r="G3473" t="s">
        <v>12876</v>
      </c>
      <c r="H3473" t="s">
        <v>30</v>
      </c>
      <c r="I3473" t="b">
        <f>COUNTIF(Estadísticas!I:I,'centraldecomunicacion.es'!H3473)&gt;0</f>
        <v>0</v>
      </c>
    </row>
    <row r="3474" spans="1:9">
      <c r="A3474" t="s">
        <v>12877</v>
      </c>
      <c r="B3474" t="s">
        <v>10</v>
      </c>
      <c r="C3474" t="s">
        <v>12878</v>
      </c>
      <c r="D3474" t="s">
        <v>1861</v>
      </c>
      <c r="E3474" t="s">
        <v>1861</v>
      </c>
      <c r="F3474" t="s">
        <v>28</v>
      </c>
      <c r="G3474" t="s">
        <v>12879</v>
      </c>
      <c r="H3474" t="s">
        <v>30</v>
      </c>
      <c r="I3474" t="b">
        <f>COUNTIF(Estadísticas!I:I,'centraldecomunicacion.es'!H3474)&gt;0</f>
        <v>0</v>
      </c>
    </row>
    <row r="3475" spans="1:9">
      <c r="A3475" t="s">
        <v>12880</v>
      </c>
      <c r="B3475" t="s">
        <v>10</v>
      </c>
      <c r="C3475" t="s">
        <v>12881</v>
      </c>
      <c r="D3475" t="s">
        <v>1861</v>
      </c>
      <c r="E3475" t="s">
        <v>1861</v>
      </c>
      <c r="F3475" t="s">
        <v>28</v>
      </c>
      <c r="G3475" t="s">
        <v>12882</v>
      </c>
      <c r="H3475" t="s">
        <v>30</v>
      </c>
      <c r="I3475" t="b">
        <f>COUNTIF(Estadísticas!I:I,'centraldecomunicacion.es'!H3475)&gt;0</f>
        <v>0</v>
      </c>
    </row>
    <row r="3476" spans="1:9">
      <c r="A3476" t="s">
        <v>12883</v>
      </c>
      <c r="B3476" t="s">
        <v>219</v>
      </c>
      <c r="C3476" t="s">
        <v>12884</v>
      </c>
      <c r="D3476" t="s">
        <v>1861</v>
      </c>
      <c r="E3476" t="s">
        <v>1861</v>
      </c>
      <c r="F3476" t="s">
        <v>28</v>
      </c>
      <c r="G3476" t="s">
        <v>12885</v>
      </c>
      <c r="H3476" t="s">
        <v>30</v>
      </c>
      <c r="I3476" t="b">
        <f>COUNTIF(Estadísticas!I:I,'centraldecomunicacion.es'!H3476)&gt;0</f>
        <v>0</v>
      </c>
    </row>
    <row r="3477" spans="1:9">
      <c r="A3477" t="s">
        <v>12886</v>
      </c>
      <c r="B3477" t="s">
        <v>10</v>
      </c>
      <c r="C3477" t="s">
        <v>12887</v>
      </c>
      <c r="D3477" t="s">
        <v>12888</v>
      </c>
      <c r="E3477" t="s">
        <v>1861</v>
      </c>
      <c r="F3477" t="s">
        <v>28</v>
      </c>
      <c r="G3477" t="s">
        <v>12889</v>
      </c>
      <c r="H3477" t="s">
        <v>30</v>
      </c>
      <c r="I3477" t="b">
        <f>COUNTIF(Estadísticas!I:I,'centraldecomunicacion.es'!H3477)&gt;0</f>
        <v>0</v>
      </c>
    </row>
    <row r="3478" spans="1:9">
      <c r="A3478" t="s">
        <v>12890</v>
      </c>
      <c r="B3478" t="s">
        <v>10</v>
      </c>
      <c r="C3478" t="s">
        <v>12891</v>
      </c>
      <c r="D3478" t="s">
        <v>12892</v>
      </c>
      <c r="E3478" t="s">
        <v>1861</v>
      </c>
      <c r="F3478" t="s">
        <v>28</v>
      </c>
      <c r="G3478" t="s">
        <v>12893</v>
      </c>
      <c r="H3478" t="s">
        <v>30</v>
      </c>
      <c r="I3478" t="b">
        <f>COUNTIF(Estadísticas!I:I,'centraldecomunicacion.es'!H3478)&gt;0</f>
        <v>0</v>
      </c>
    </row>
    <row r="3479" spans="1:9">
      <c r="A3479" t="s">
        <v>833</v>
      </c>
      <c r="B3479" t="s">
        <v>10</v>
      </c>
      <c r="C3479" t="s">
        <v>12894</v>
      </c>
      <c r="D3479" t="s">
        <v>12892</v>
      </c>
      <c r="E3479" t="s">
        <v>1861</v>
      </c>
      <c r="F3479" t="s">
        <v>28</v>
      </c>
      <c r="G3479" t="s">
        <v>12895</v>
      </c>
      <c r="H3479" t="s">
        <v>30</v>
      </c>
      <c r="I3479" t="b">
        <f>COUNTIF(Estadísticas!I:I,'centraldecomunicacion.es'!H3479)&gt;0</f>
        <v>0</v>
      </c>
    </row>
    <row r="3480" spans="1:9">
      <c r="A3480" t="s">
        <v>12896</v>
      </c>
      <c r="B3480" t="s">
        <v>10</v>
      </c>
      <c r="C3480" t="s">
        <v>12897</v>
      </c>
      <c r="D3480" t="s">
        <v>12888</v>
      </c>
      <c r="E3480" t="s">
        <v>1861</v>
      </c>
      <c r="F3480" t="s">
        <v>12898</v>
      </c>
      <c r="G3480" t="s">
        <v>12899</v>
      </c>
      <c r="H3480" t="s">
        <v>30</v>
      </c>
      <c r="I3480" t="b">
        <f>COUNTIF(Estadísticas!I:I,'centraldecomunicacion.es'!H3480)&gt;0</f>
        <v>0</v>
      </c>
    </row>
    <row r="3481" spans="1:9">
      <c r="A3481" t="s">
        <v>12900</v>
      </c>
      <c r="B3481" t="s">
        <v>10</v>
      </c>
      <c r="C3481" t="s">
        <v>12901</v>
      </c>
      <c r="D3481" t="s">
        <v>12902</v>
      </c>
      <c r="E3481" t="s">
        <v>1861</v>
      </c>
      <c r="F3481" t="s">
        <v>28</v>
      </c>
      <c r="G3481" t="s">
        <v>12903</v>
      </c>
      <c r="H3481" t="s">
        <v>30</v>
      </c>
      <c r="I3481" t="b">
        <f>COUNTIF(Estadísticas!I:I,'centraldecomunicacion.es'!H3481)&gt;0</f>
        <v>0</v>
      </c>
    </row>
    <row r="3482" spans="1:9">
      <c r="A3482" t="s">
        <v>12904</v>
      </c>
      <c r="B3482" t="s">
        <v>10</v>
      </c>
      <c r="C3482" t="s">
        <v>12905</v>
      </c>
      <c r="D3482" t="s">
        <v>12892</v>
      </c>
      <c r="E3482" t="s">
        <v>1861</v>
      </c>
      <c r="F3482" t="s">
        <v>28</v>
      </c>
      <c r="G3482" t="s">
        <v>12906</v>
      </c>
      <c r="H3482" t="s">
        <v>30</v>
      </c>
      <c r="I3482" t="b">
        <f>COUNTIF(Estadísticas!I:I,'centraldecomunicacion.es'!H3482)&gt;0</f>
        <v>0</v>
      </c>
    </row>
    <row r="3483" spans="1:9">
      <c r="A3483" t="s">
        <v>12907</v>
      </c>
      <c r="B3483" t="s">
        <v>10</v>
      </c>
      <c r="C3483" t="s">
        <v>12908</v>
      </c>
      <c r="D3483" t="s">
        <v>12902</v>
      </c>
      <c r="E3483" t="s">
        <v>1861</v>
      </c>
      <c r="F3483" t="s">
        <v>12909</v>
      </c>
      <c r="G3483" t="s">
        <v>12910</v>
      </c>
      <c r="H3483" t="s">
        <v>30</v>
      </c>
      <c r="I3483" t="b">
        <f>COUNTIF(Estadísticas!I:I,'centraldecomunicacion.es'!H3483)&gt;0</f>
        <v>0</v>
      </c>
    </row>
    <row r="3484" spans="1:9">
      <c r="A3484" t="s">
        <v>12911</v>
      </c>
      <c r="B3484" t="s">
        <v>10</v>
      </c>
      <c r="C3484" t="s">
        <v>12912</v>
      </c>
      <c r="D3484" t="s">
        <v>12902</v>
      </c>
      <c r="E3484" t="s">
        <v>1861</v>
      </c>
      <c r="F3484" t="s">
        <v>12913</v>
      </c>
      <c r="G3484" t="s">
        <v>12914</v>
      </c>
      <c r="H3484" t="s">
        <v>30</v>
      </c>
      <c r="I3484" t="b">
        <f>COUNTIF(Estadísticas!I:I,'centraldecomunicacion.es'!H3484)&gt;0</f>
        <v>0</v>
      </c>
    </row>
    <row r="3485" spans="1:9">
      <c r="A3485" t="s">
        <v>12915</v>
      </c>
      <c r="B3485" t="s">
        <v>10</v>
      </c>
      <c r="C3485" t="s">
        <v>12916</v>
      </c>
      <c r="D3485" t="s">
        <v>12917</v>
      </c>
      <c r="E3485" t="s">
        <v>1861</v>
      </c>
      <c r="F3485" t="s">
        <v>28</v>
      </c>
      <c r="G3485" t="s">
        <v>12918</v>
      </c>
      <c r="H3485" t="s">
        <v>30</v>
      </c>
      <c r="I3485" t="b">
        <f>COUNTIF(Estadísticas!I:I,'centraldecomunicacion.es'!H3485)&gt;0</f>
        <v>0</v>
      </c>
    </row>
    <row r="3486" spans="1:9">
      <c r="A3486" t="s">
        <v>4062</v>
      </c>
      <c r="B3486" t="s">
        <v>10</v>
      </c>
      <c r="C3486" t="s">
        <v>12919</v>
      </c>
      <c r="D3486" t="s">
        <v>12920</v>
      </c>
      <c r="E3486" t="s">
        <v>1861</v>
      </c>
      <c r="F3486" t="s">
        <v>28</v>
      </c>
      <c r="G3486" t="s">
        <v>12921</v>
      </c>
      <c r="H3486" t="s">
        <v>30</v>
      </c>
      <c r="I3486" t="b">
        <f>COUNTIF(Estadísticas!I:I,'centraldecomunicacion.es'!H3486)&gt;0</f>
        <v>0</v>
      </c>
    </row>
    <row r="3487" spans="1:9">
      <c r="A3487" t="s">
        <v>12922</v>
      </c>
      <c r="B3487" t="s">
        <v>10</v>
      </c>
      <c r="C3487" t="s">
        <v>12923</v>
      </c>
      <c r="D3487" t="s">
        <v>12920</v>
      </c>
      <c r="E3487" t="s">
        <v>1861</v>
      </c>
      <c r="F3487" t="s">
        <v>28</v>
      </c>
      <c r="G3487" t="s">
        <v>12924</v>
      </c>
      <c r="H3487" t="s">
        <v>30</v>
      </c>
      <c r="I3487" t="b">
        <f>COUNTIF(Estadísticas!I:I,'centraldecomunicacion.es'!H3487)&gt;0</f>
        <v>0</v>
      </c>
    </row>
    <row r="3488" spans="1:9">
      <c r="A3488" t="s">
        <v>12925</v>
      </c>
      <c r="B3488" t="s">
        <v>10</v>
      </c>
      <c r="C3488" t="s">
        <v>12926</v>
      </c>
      <c r="D3488" t="s">
        <v>12927</v>
      </c>
      <c r="E3488" t="s">
        <v>1861</v>
      </c>
      <c r="F3488" t="s">
        <v>28</v>
      </c>
      <c r="G3488" t="s">
        <v>12928</v>
      </c>
      <c r="H3488" t="s">
        <v>30</v>
      </c>
      <c r="I3488" t="b">
        <f>COUNTIF(Estadísticas!I:I,'centraldecomunicacion.es'!H3488)&gt;0</f>
        <v>0</v>
      </c>
    </row>
    <row r="3489" spans="1:9">
      <c r="A3489" t="s">
        <v>12929</v>
      </c>
      <c r="B3489" t="s">
        <v>10</v>
      </c>
      <c r="C3489" t="s">
        <v>12930</v>
      </c>
      <c r="D3489" t="s">
        <v>9293</v>
      </c>
      <c r="E3489" t="s">
        <v>1861</v>
      </c>
      <c r="F3489" t="s">
        <v>12931</v>
      </c>
      <c r="G3489" t="s">
        <v>12932</v>
      </c>
      <c r="H3489" t="s">
        <v>30</v>
      </c>
      <c r="I3489" t="b">
        <f>COUNTIF(Estadísticas!I:I,'centraldecomunicacion.es'!H3489)&gt;0</f>
        <v>0</v>
      </c>
    </row>
    <row r="3490" spans="1:9">
      <c r="A3490" t="s">
        <v>12933</v>
      </c>
      <c r="B3490" t="s">
        <v>10</v>
      </c>
      <c r="C3490" t="s">
        <v>12934</v>
      </c>
      <c r="D3490" t="s">
        <v>12935</v>
      </c>
      <c r="E3490" t="s">
        <v>1861</v>
      </c>
      <c r="F3490" t="s">
        <v>12807</v>
      </c>
      <c r="G3490" t="s">
        <v>12936</v>
      </c>
      <c r="H3490" t="s">
        <v>30</v>
      </c>
      <c r="I3490" t="b">
        <f>COUNTIF(Estadísticas!I:I,'centraldecomunicacion.es'!H3490)&gt;0</f>
        <v>0</v>
      </c>
    </row>
    <row r="3491" spans="1:9">
      <c r="A3491" t="s">
        <v>12937</v>
      </c>
      <c r="B3491" t="s">
        <v>10</v>
      </c>
      <c r="C3491" t="s">
        <v>12938</v>
      </c>
      <c r="D3491" t="s">
        <v>12935</v>
      </c>
      <c r="E3491" t="s">
        <v>1861</v>
      </c>
      <c r="F3491" t="s">
        <v>12939</v>
      </c>
      <c r="G3491" t="s">
        <v>12940</v>
      </c>
      <c r="H3491" t="s">
        <v>12941</v>
      </c>
      <c r="I3491" t="b">
        <f>COUNTIF(Estadísticas!I:I,'centraldecomunicacion.es'!H3491)&gt;0</f>
        <v>1</v>
      </c>
    </row>
    <row r="3492" spans="1:9">
      <c r="A3492" t="s">
        <v>12942</v>
      </c>
      <c r="B3492" t="s">
        <v>10</v>
      </c>
      <c r="C3492" t="s">
        <v>12943</v>
      </c>
      <c r="D3492" t="s">
        <v>12944</v>
      </c>
      <c r="E3492" t="s">
        <v>1861</v>
      </c>
      <c r="F3492" t="s">
        <v>50</v>
      </c>
      <c r="G3492" t="s">
        <v>12945</v>
      </c>
      <c r="H3492" t="s">
        <v>30</v>
      </c>
      <c r="I3492" t="b">
        <f>COUNTIF(Estadísticas!I:I,'centraldecomunicacion.es'!H3492)&gt;0</f>
        <v>0</v>
      </c>
    </row>
    <row r="3493" spans="1:9">
      <c r="A3493" t="s">
        <v>12946</v>
      </c>
      <c r="B3493" t="s">
        <v>10</v>
      </c>
      <c r="C3493" t="s">
        <v>12947</v>
      </c>
      <c r="D3493" t="s">
        <v>9293</v>
      </c>
      <c r="E3493" t="s">
        <v>1861</v>
      </c>
      <c r="F3493" t="s">
        <v>12948</v>
      </c>
      <c r="G3493" t="s">
        <v>12949</v>
      </c>
      <c r="H3493" t="s">
        <v>12950</v>
      </c>
      <c r="I3493" t="b">
        <f>COUNTIF(Estadísticas!I:I,'centraldecomunicacion.es'!H3493)&gt;0</f>
        <v>1</v>
      </c>
    </row>
    <row r="3494" spans="1:9">
      <c r="A3494" t="s">
        <v>12911</v>
      </c>
      <c r="B3494" t="s">
        <v>10</v>
      </c>
      <c r="C3494" t="s">
        <v>12951</v>
      </c>
      <c r="D3494" t="s">
        <v>12902</v>
      </c>
      <c r="E3494" t="s">
        <v>1861</v>
      </c>
      <c r="F3494" t="s">
        <v>12913</v>
      </c>
      <c r="G3494" t="s">
        <v>12914</v>
      </c>
      <c r="H3494" t="s">
        <v>30</v>
      </c>
      <c r="I3494" t="b">
        <f>COUNTIF(Estadísticas!I:I,'centraldecomunicacion.es'!H3494)&gt;0</f>
        <v>0</v>
      </c>
    </row>
    <row r="3495" spans="1:9">
      <c r="A3495" t="s">
        <v>12952</v>
      </c>
      <c r="B3495" t="s">
        <v>10</v>
      </c>
      <c r="C3495" t="s">
        <v>12953</v>
      </c>
      <c r="D3495" t="s">
        <v>12954</v>
      </c>
      <c r="E3495" t="s">
        <v>1861</v>
      </c>
      <c r="F3495" t="s">
        <v>28</v>
      </c>
      <c r="G3495" t="s">
        <v>12955</v>
      </c>
      <c r="H3495" t="s">
        <v>30</v>
      </c>
      <c r="I3495" t="b">
        <f>COUNTIF(Estadísticas!I:I,'centraldecomunicacion.es'!H3495)&gt;0</f>
        <v>0</v>
      </c>
    </row>
    <row r="3496" spans="1:9">
      <c r="A3496" t="s">
        <v>12956</v>
      </c>
      <c r="B3496" t="s">
        <v>10</v>
      </c>
      <c r="C3496" t="s">
        <v>12957</v>
      </c>
      <c r="D3496" t="s">
        <v>12935</v>
      </c>
      <c r="E3496" t="s">
        <v>1861</v>
      </c>
      <c r="F3496" t="s">
        <v>28</v>
      </c>
      <c r="G3496" t="s">
        <v>28</v>
      </c>
      <c r="H3496" t="s">
        <v>30</v>
      </c>
      <c r="I3496" t="b">
        <f>COUNTIF(Estadísticas!I:I,'centraldecomunicacion.es'!H3496)&gt;0</f>
        <v>0</v>
      </c>
    </row>
    <row r="3497" spans="1:9">
      <c r="A3497" t="s">
        <v>1936</v>
      </c>
      <c r="B3497" t="s">
        <v>10</v>
      </c>
      <c r="C3497" t="s">
        <v>12958</v>
      </c>
      <c r="D3497" t="s">
        <v>12959</v>
      </c>
      <c r="E3497" t="s">
        <v>1861</v>
      </c>
      <c r="F3497" t="s">
        <v>28</v>
      </c>
      <c r="G3497" t="s">
        <v>12960</v>
      </c>
      <c r="H3497" t="s">
        <v>30</v>
      </c>
      <c r="I3497" t="b">
        <f>COUNTIF(Estadísticas!I:I,'centraldecomunicacion.es'!H3497)&gt;0</f>
        <v>0</v>
      </c>
    </row>
    <row r="3498" spans="1:9">
      <c r="A3498" t="s">
        <v>12961</v>
      </c>
      <c r="B3498" t="s">
        <v>10</v>
      </c>
      <c r="C3498" t="s">
        <v>12962</v>
      </c>
      <c r="D3498" t="s">
        <v>9293</v>
      </c>
      <c r="E3498" t="s">
        <v>1861</v>
      </c>
      <c r="F3498" t="s">
        <v>12963</v>
      </c>
      <c r="G3498" t="s">
        <v>12964</v>
      </c>
      <c r="H3498" t="s">
        <v>12965</v>
      </c>
      <c r="I3498" t="b">
        <f>COUNTIF(Estadísticas!I:I,'centraldecomunicacion.es'!H3498)&gt;0</f>
        <v>0</v>
      </c>
    </row>
    <row r="3499" spans="1:9">
      <c r="A3499" t="s">
        <v>12966</v>
      </c>
      <c r="B3499" t="s">
        <v>10</v>
      </c>
      <c r="C3499" t="s">
        <v>12967</v>
      </c>
      <c r="D3499" t="s">
        <v>12935</v>
      </c>
      <c r="E3499" t="s">
        <v>1861</v>
      </c>
      <c r="F3499" t="s">
        <v>28</v>
      </c>
      <c r="G3499" t="s">
        <v>12968</v>
      </c>
      <c r="H3499" t="s">
        <v>30</v>
      </c>
      <c r="I3499" t="b">
        <f>COUNTIF(Estadísticas!I:I,'centraldecomunicacion.es'!H3499)&gt;0</f>
        <v>0</v>
      </c>
    </row>
    <row r="3500" spans="1:9">
      <c r="A3500" t="s">
        <v>4062</v>
      </c>
      <c r="B3500" t="s">
        <v>10</v>
      </c>
      <c r="C3500" t="s">
        <v>12969</v>
      </c>
      <c r="D3500" t="s">
        <v>9293</v>
      </c>
      <c r="E3500" t="s">
        <v>1861</v>
      </c>
      <c r="F3500" t="s">
        <v>28</v>
      </c>
      <c r="G3500" t="s">
        <v>12970</v>
      </c>
      <c r="H3500" t="s">
        <v>30</v>
      </c>
      <c r="I3500" t="b">
        <f>COUNTIF(Estadísticas!I:I,'centraldecomunicacion.es'!H3500)&gt;0</f>
        <v>0</v>
      </c>
    </row>
    <row r="3501" spans="1:9">
      <c r="A3501" t="s">
        <v>12971</v>
      </c>
      <c r="B3501" t="s">
        <v>10</v>
      </c>
      <c r="C3501" t="s">
        <v>12972</v>
      </c>
      <c r="D3501" t="s">
        <v>12973</v>
      </c>
      <c r="E3501" t="s">
        <v>1861</v>
      </c>
      <c r="F3501" t="s">
        <v>28</v>
      </c>
      <c r="G3501" t="s">
        <v>12974</v>
      </c>
      <c r="H3501" t="s">
        <v>30</v>
      </c>
      <c r="I3501" t="b">
        <f>COUNTIF(Estadísticas!I:I,'centraldecomunicacion.es'!H3501)&gt;0</f>
        <v>0</v>
      </c>
    </row>
    <row r="3502" spans="1:9">
      <c r="A3502" t="s">
        <v>12975</v>
      </c>
      <c r="B3502" t="s">
        <v>10</v>
      </c>
      <c r="C3502" t="s">
        <v>12976</v>
      </c>
      <c r="D3502" t="s">
        <v>12973</v>
      </c>
      <c r="E3502" t="s">
        <v>1861</v>
      </c>
      <c r="F3502" t="s">
        <v>50</v>
      </c>
      <c r="G3502" t="s">
        <v>12977</v>
      </c>
      <c r="H3502" t="s">
        <v>30</v>
      </c>
      <c r="I3502" t="b">
        <f>COUNTIF(Estadísticas!I:I,'centraldecomunicacion.es'!H3502)&gt;0</f>
        <v>0</v>
      </c>
    </row>
    <row r="3503" spans="1:9">
      <c r="A3503" t="s">
        <v>6878</v>
      </c>
      <c r="B3503" t="s">
        <v>10</v>
      </c>
      <c r="C3503" t="s">
        <v>12978</v>
      </c>
      <c r="D3503" t="s">
        <v>12979</v>
      </c>
      <c r="E3503" t="s">
        <v>1861</v>
      </c>
      <c r="F3503" t="s">
        <v>28</v>
      </c>
      <c r="G3503" t="s">
        <v>12980</v>
      </c>
      <c r="H3503" t="s">
        <v>30</v>
      </c>
      <c r="I3503" t="b">
        <f>COUNTIF(Estadísticas!I:I,'centraldecomunicacion.es'!H3503)&gt;0</f>
        <v>0</v>
      </c>
    </row>
    <row r="3504" spans="1:9">
      <c r="A3504" t="s">
        <v>12981</v>
      </c>
      <c r="B3504" t="s">
        <v>10</v>
      </c>
      <c r="C3504" t="s">
        <v>12982</v>
      </c>
      <c r="D3504" t="s">
        <v>12983</v>
      </c>
      <c r="E3504" t="s">
        <v>1861</v>
      </c>
      <c r="F3504" t="s">
        <v>28</v>
      </c>
      <c r="G3504" t="s">
        <v>12984</v>
      </c>
      <c r="H3504" t="s">
        <v>30</v>
      </c>
      <c r="I3504" t="b">
        <f>COUNTIF(Estadísticas!I:I,'centraldecomunicacion.es'!H3504)&gt;0</f>
        <v>0</v>
      </c>
    </row>
    <row r="3505" spans="1:9">
      <c r="A3505" t="s">
        <v>12971</v>
      </c>
      <c r="B3505" t="s">
        <v>10</v>
      </c>
      <c r="C3505" t="s">
        <v>28</v>
      </c>
      <c r="D3505" t="s">
        <v>12985</v>
      </c>
      <c r="E3505" t="s">
        <v>28</v>
      </c>
      <c r="F3505" t="s">
        <v>28</v>
      </c>
      <c r="G3505" t="s">
        <v>12986</v>
      </c>
      <c r="H3505" t="s">
        <v>30</v>
      </c>
      <c r="I3505" t="b">
        <f>COUNTIF(Estadísticas!I:I,'centraldecomunicacion.es'!H3505)&gt;0</f>
        <v>0</v>
      </c>
    </row>
    <row r="3506" spans="1:9">
      <c r="A3506" t="s">
        <v>12987</v>
      </c>
      <c r="B3506" t="s">
        <v>10</v>
      </c>
      <c r="C3506" t="s">
        <v>12988</v>
      </c>
      <c r="D3506" t="s">
        <v>12989</v>
      </c>
      <c r="E3506" t="s">
        <v>1861</v>
      </c>
      <c r="F3506" t="s">
        <v>28</v>
      </c>
      <c r="G3506" t="s">
        <v>12990</v>
      </c>
      <c r="H3506" t="s">
        <v>30</v>
      </c>
      <c r="I3506" t="b">
        <f>COUNTIF(Estadísticas!I:I,'centraldecomunicacion.es'!H3506)&gt;0</f>
        <v>0</v>
      </c>
    </row>
    <row r="3507" spans="1:9">
      <c r="A3507" t="s">
        <v>12991</v>
      </c>
      <c r="B3507" t="s">
        <v>10</v>
      </c>
      <c r="C3507" t="s">
        <v>12992</v>
      </c>
      <c r="D3507" t="s">
        <v>12920</v>
      </c>
      <c r="E3507" t="s">
        <v>1861</v>
      </c>
      <c r="F3507" t="s">
        <v>28</v>
      </c>
      <c r="G3507" t="s">
        <v>12993</v>
      </c>
      <c r="H3507" t="s">
        <v>30</v>
      </c>
      <c r="I3507" t="b">
        <f>COUNTIF(Estadísticas!I:I,'centraldecomunicacion.es'!H3507)&gt;0</f>
        <v>0</v>
      </c>
    </row>
    <row r="3508" spans="1:9">
      <c r="A3508" t="s">
        <v>12994</v>
      </c>
      <c r="B3508" t="s">
        <v>10</v>
      </c>
      <c r="C3508" t="s">
        <v>12995</v>
      </c>
      <c r="D3508" t="s">
        <v>12996</v>
      </c>
      <c r="E3508" t="s">
        <v>1861</v>
      </c>
      <c r="F3508" t="s">
        <v>28</v>
      </c>
      <c r="G3508" t="s">
        <v>12997</v>
      </c>
      <c r="H3508" t="s">
        <v>30</v>
      </c>
      <c r="I3508" t="b">
        <f>COUNTIF(Estadísticas!I:I,'centraldecomunicacion.es'!H3508)&gt;0</f>
        <v>0</v>
      </c>
    </row>
    <row r="3509" spans="1:9">
      <c r="A3509" t="s">
        <v>12998</v>
      </c>
      <c r="B3509" t="s">
        <v>10</v>
      </c>
      <c r="C3509" t="s">
        <v>12999</v>
      </c>
      <c r="D3509" t="s">
        <v>13000</v>
      </c>
      <c r="E3509" t="s">
        <v>1861</v>
      </c>
      <c r="F3509" t="s">
        <v>28</v>
      </c>
      <c r="G3509" t="s">
        <v>28</v>
      </c>
      <c r="H3509" t="s">
        <v>30</v>
      </c>
      <c r="I3509" t="b">
        <f>COUNTIF(Estadísticas!I:I,'centraldecomunicacion.es'!H3509)&gt;0</f>
        <v>0</v>
      </c>
    </row>
    <row r="3510" spans="1:9">
      <c r="A3510" t="s">
        <v>13001</v>
      </c>
      <c r="B3510" t="s">
        <v>10</v>
      </c>
      <c r="C3510" t="s">
        <v>13002</v>
      </c>
      <c r="D3510" t="s">
        <v>12973</v>
      </c>
      <c r="E3510" t="s">
        <v>1861</v>
      </c>
      <c r="F3510" t="s">
        <v>50</v>
      </c>
      <c r="G3510" t="s">
        <v>13003</v>
      </c>
      <c r="H3510" t="s">
        <v>30</v>
      </c>
      <c r="I3510" t="b">
        <f>COUNTIF(Estadísticas!I:I,'centraldecomunicacion.es'!H3510)&gt;0</f>
        <v>0</v>
      </c>
    </row>
    <row r="3511" spans="1:9">
      <c r="A3511" t="s">
        <v>13004</v>
      </c>
      <c r="B3511" t="s">
        <v>10</v>
      </c>
      <c r="C3511" t="s">
        <v>13005</v>
      </c>
      <c r="D3511" t="s">
        <v>13006</v>
      </c>
      <c r="E3511" t="s">
        <v>1861</v>
      </c>
      <c r="F3511" t="s">
        <v>28</v>
      </c>
      <c r="G3511" t="s">
        <v>13007</v>
      </c>
      <c r="H3511" t="s">
        <v>30</v>
      </c>
      <c r="I3511" t="b">
        <f>COUNTIF(Estadísticas!I:I,'centraldecomunicacion.es'!H3511)&gt;0</f>
        <v>0</v>
      </c>
    </row>
    <row r="3512" spans="1:9">
      <c r="A3512" t="s">
        <v>13008</v>
      </c>
      <c r="B3512" t="s">
        <v>10</v>
      </c>
      <c r="C3512" t="s">
        <v>13009</v>
      </c>
      <c r="D3512" t="s">
        <v>12979</v>
      </c>
      <c r="E3512" t="s">
        <v>1861</v>
      </c>
      <c r="F3512" t="s">
        <v>28</v>
      </c>
      <c r="G3512" t="s">
        <v>13010</v>
      </c>
      <c r="H3512" t="s">
        <v>30</v>
      </c>
      <c r="I3512" t="b">
        <f>COUNTIF(Estadísticas!I:I,'centraldecomunicacion.es'!H3512)&gt;0</f>
        <v>0</v>
      </c>
    </row>
    <row r="3513" spans="1:9">
      <c r="A3513" t="s">
        <v>13011</v>
      </c>
      <c r="B3513" t="s">
        <v>10</v>
      </c>
      <c r="C3513" t="s">
        <v>13012</v>
      </c>
      <c r="D3513" t="s">
        <v>13013</v>
      </c>
      <c r="E3513" t="s">
        <v>1861</v>
      </c>
      <c r="F3513" t="s">
        <v>28</v>
      </c>
      <c r="G3513" t="s">
        <v>28</v>
      </c>
      <c r="H3513" t="s">
        <v>30</v>
      </c>
      <c r="I3513" t="b">
        <f>COUNTIF(Estadísticas!I:I,'centraldecomunicacion.es'!H3513)&gt;0</f>
        <v>0</v>
      </c>
    </row>
    <row r="3514" spans="1:9">
      <c r="A3514" t="s">
        <v>1136</v>
      </c>
      <c r="B3514" t="s">
        <v>10</v>
      </c>
      <c r="C3514" t="s">
        <v>13014</v>
      </c>
      <c r="D3514" t="s">
        <v>13015</v>
      </c>
      <c r="E3514" t="s">
        <v>1861</v>
      </c>
      <c r="F3514" t="s">
        <v>50</v>
      </c>
      <c r="G3514" t="s">
        <v>13016</v>
      </c>
      <c r="H3514" t="s">
        <v>30</v>
      </c>
      <c r="I3514" t="b">
        <f>COUNTIF(Estadísticas!I:I,'centraldecomunicacion.es'!H3514)&gt;0</f>
        <v>0</v>
      </c>
    </row>
    <row r="3515" spans="1:9">
      <c r="A3515" t="s">
        <v>448</v>
      </c>
      <c r="B3515" t="s">
        <v>10</v>
      </c>
      <c r="C3515" t="s">
        <v>13017</v>
      </c>
      <c r="D3515" t="s">
        <v>13018</v>
      </c>
      <c r="E3515" t="s">
        <v>1861</v>
      </c>
      <c r="F3515" t="s">
        <v>28</v>
      </c>
      <c r="G3515" t="s">
        <v>13019</v>
      </c>
      <c r="H3515" t="s">
        <v>30</v>
      </c>
      <c r="I3515" t="b">
        <f>COUNTIF(Estadísticas!I:I,'centraldecomunicacion.es'!H3515)&gt;0</f>
        <v>0</v>
      </c>
    </row>
    <row r="3516" spans="1:9">
      <c r="A3516" t="s">
        <v>13020</v>
      </c>
      <c r="B3516" t="s">
        <v>10</v>
      </c>
      <c r="C3516" t="s">
        <v>13021</v>
      </c>
      <c r="D3516" t="s">
        <v>13022</v>
      </c>
      <c r="E3516" t="s">
        <v>1861</v>
      </c>
      <c r="F3516" t="s">
        <v>28</v>
      </c>
      <c r="G3516" t="s">
        <v>13023</v>
      </c>
      <c r="H3516" t="s">
        <v>30</v>
      </c>
      <c r="I3516" t="b">
        <f>COUNTIF(Estadísticas!I:I,'centraldecomunicacion.es'!H3516)&gt;0</f>
        <v>0</v>
      </c>
    </row>
    <row r="3517" spans="1:9">
      <c r="A3517" t="s">
        <v>13024</v>
      </c>
      <c r="B3517" t="s">
        <v>10</v>
      </c>
      <c r="C3517" t="s">
        <v>13025</v>
      </c>
      <c r="D3517" t="s">
        <v>12973</v>
      </c>
      <c r="E3517" t="s">
        <v>1861</v>
      </c>
      <c r="F3517" t="s">
        <v>28</v>
      </c>
      <c r="G3517" t="s">
        <v>13026</v>
      </c>
      <c r="H3517" t="s">
        <v>30</v>
      </c>
      <c r="I3517" t="b">
        <f>COUNTIF(Estadísticas!I:I,'centraldecomunicacion.es'!H3517)&gt;0</f>
        <v>0</v>
      </c>
    </row>
    <row r="3518" spans="1:9">
      <c r="A3518" t="s">
        <v>13027</v>
      </c>
      <c r="B3518" t="s">
        <v>10</v>
      </c>
      <c r="C3518" t="s">
        <v>13028</v>
      </c>
      <c r="D3518" t="s">
        <v>12935</v>
      </c>
      <c r="E3518" t="s">
        <v>1861</v>
      </c>
      <c r="F3518" t="s">
        <v>28</v>
      </c>
      <c r="G3518" t="s">
        <v>13029</v>
      </c>
      <c r="H3518" t="s">
        <v>30</v>
      </c>
      <c r="I3518" t="b">
        <f>COUNTIF(Estadísticas!I:I,'centraldecomunicacion.es'!H3518)&gt;0</f>
        <v>0</v>
      </c>
    </row>
    <row r="3519" spans="1:9">
      <c r="A3519" t="s">
        <v>13030</v>
      </c>
      <c r="B3519" t="s">
        <v>10</v>
      </c>
      <c r="C3519" t="s">
        <v>13031</v>
      </c>
      <c r="D3519" t="s">
        <v>9293</v>
      </c>
      <c r="E3519" t="s">
        <v>1861</v>
      </c>
      <c r="F3519" t="s">
        <v>28</v>
      </c>
      <c r="G3519" t="s">
        <v>13032</v>
      </c>
      <c r="H3519" t="s">
        <v>30</v>
      </c>
      <c r="I3519" t="b">
        <f>COUNTIF(Estadísticas!I:I,'centraldecomunicacion.es'!H3519)&gt;0</f>
        <v>0</v>
      </c>
    </row>
    <row r="3520" spans="1:9">
      <c r="A3520" t="s">
        <v>13033</v>
      </c>
      <c r="B3520" t="s">
        <v>10</v>
      </c>
      <c r="C3520" t="s">
        <v>13034</v>
      </c>
      <c r="D3520" t="s">
        <v>12935</v>
      </c>
      <c r="E3520" t="s">
        <v>1861</v>
      </c>
      <c r="F3520" t="s">
        <v>13035</v>
      </c>
      <c r="G3520" t="s">
        <v>13036</v>
      </c>
      <c r="H3520" t="s">
        <v>13037</v>
      </c>
      <c r="I3520" t="b">
        <f>COUNTIF(Estadísticas!I:I,'centraldecomunicacion.es'!H3520)&gt;0</f>
        <v>1</v>
      </c>
    </row>
    <row r="3521" spans="1:9">
      <c r="A3521" t="s">
        <v>13038</v>
      </c>
      <c r="B3521" t="s">
        <v>10</v>
      </c>
      <c r="C3521" t="s">
        <v>13039</v>
      </c>
      <c r="D3521" t="s">
        <v>13040</v>
      </c>
      <c r="E3521" t="s">
        <v>1861</v>
      </c>
      <c r="F3521" t="s">
        <v>87</v>
      </c>
      <c r="G3521" t="s">
        <v>13041</v>
      </c>
      <c r="H3521" t="s">
        <v>30</v>
      </c>
      <c r="I3521" t="b">
        <f>COUNTIF(Estadísticas!I:I,'centraldecomunicacion.es'!H3521)&gt;0</f>
        <v>0</v>
      </c>
    </row>
    <row r="3522" spans="1:9">
      <c r="A3522" t="s">
        <v>13042</v>
      </c>
      <c r="B3522" t="s">
        <v>10</v>
      </c>
      <c r="C3522" t="s">
        <v>13043</v>
      </c>
      <c r="D3522" t="s">
        <v>12935</v>
      </c>
      <c r="E3522" t="s">
        <v>1861</v>
      </c>
      <c r="F3522" t="s">
        <v>28</v>
      </c>
      <c r="G3522" t="s">
        <v>13044</v>
      </c>
      <c r="H3522" t="s">
        <v>30</v>
      </c>
      <c r="I3522" t="b">
        <f>COUNTIF(Estadísticas!I:I,'centraldecomunicacion.es'!H3522)&gt;0</f>
        <v>0</v>
      </c>
    </row>
    <row r="3523" spans="1:9">
      <c r="A3523" t="s">
        <v>13045</v>
      </c>
      <c r="B3523" t="s">
        <v>10</v>
      </c>
      <c r="C3523" t="s">
        <v>13046</v>
      </c>
      <c r="D3523" t="s">
        <v>12989</v>
      </c>
      <c r="E3523" t="s">
        <v>1861</v>
      </c>
      <c r="F3523" t="s">
        <v>28</v>
      </c>
      <c r="G3523" t="s">
        <v>13047</v>
      </c>
      <c r="H3523" t="s">
        <v>30</v>
      </c>
      <c r="I3523" t="b">
        <f>COUNTIF(Estadísticas!I:I,'centraldecomunicacion.es'!H3523)&gt;0</f>
        <v>0</v>
      </c>
    </row>
    <row r="3524" spans="1:9">
      <c r="A3524" t="s">
        <v>13048</v>
      </c>
      <c r="B3524" t="s">
        <v>10</v>
      </c>
      <c r="C3524" t="s">
        <v>13049</v>
      </c>
      <c r="D3524" t="s">
        <v>9293</v>
      </c>
      <c r="E3524" t="s">
        <v>9293</v>
      </c>
      <c r="F3524" t="s">
        <v>13050</v>
      </c>
      <c r="G3524" t="s">
        <v>13051</v>
      </c>
      <c r="H3524" t="s">
        <v>12965</v>
      </c>
      <c r="I3524" t="b">
        <f>COUNTIF(Estadísticas!I:I,'centraldecomunicacion.es'!H3524)&gt;0</f>
        <v>0</v>
      </c>
    </row>
    <row r="3525" spans="1:9">
      <c r="A3525" t="s">
        <v>13052</v>
      </c>
      <c r="B3525" t="s">
        <v>10</v>
      </c>
      <c r="C3525" t="s">
        <v>13053</v>
      </c>
      <c r="D3525" t="s">
        <v>13022</v>
      </c>
      <c r="E3525" t="s">
        <v>1861</v>
      </c>
      <c r="F3525" t="s">
        <v>746</v>
      </c>
      <c r="G3525" t="s">
        <v>13054</v>
      </c>
      <c r="H3525" t="s">
        <v>30</v>
      </c>
      <c r="I3525" t="b">
        <f>COUNTIF(Estadísticas!I:I,'centraldecomunicacion.es'!H3525)&gt;0</f>
        <v>0</v>
      </c>
    </row>
    <row r="3526" spans="1:9">
      <c r="A3526" t="s">
        <v>13055</v>
      </c>
      <c r="B3526" t="s">
        <v>10</v>
      </c>
      <c r="C3526" t="s">
        <v>13056</v>
      </c>
      <c r="D3526" t="s">
        <v>13057</v>
      </c>
      <c r="E3526" t="s">
        <v>1861</v>
      </c>
      <c r="F3526" t="s">
        <v>38</v>
      </c>
      <c r="G3526" t="s">
        <v>13058</v>
      </c>
      <c r="H3526" t="s">
        <v>30</v>
      </c>
      <c r="I3526" t="b">
        <f>COUNTIF(Estadísticas!I:I,'centraldecomunicacion.es'!H3526)&gt;0</f>
        <v>0</v>
      </c>
    </row>
    <row r="3527" spans="1:9">
      <c r="A3527" t="s">
        <v>13059</v>
      </c>
      <c r="B3527" t="s">
        <v>10</v>
      </c>
      <c r="C3527" t="s">
        <v>13060</v>
      </c>
      <c r="D3527" t="s">
        <v>12935</v>
      </c>
      <c r="E3527" t="s">
        <v>1861</v>
      </c>
      <c r="F3527" t="s">
        <v>12807</v>
      </c>
      <c r="G3527" t="s">
        <v>13061</v>
      </c>
      <c r="H3527" t="s">
        <v>30</v>
      </c>
      <c r="I3527" t="b">
        <f>COUNTIF(Estadísticas!I:I,'centraldecomunicacion.es'!H3527)&gt;0</f>
        <v>0</v>
      </c>
    </row>
    <row r="3528" spans="1:9">
      <c r="A3528" t="s">
        <v>13062</v>
      </c>
      <c r="B3528" t="s">
        <v>10</v>
      </c>
      <c r="C3528" t="s">
        <v>13063</v>
      </c>
      <c r="D3528" t="s">
        <v>13040</v>
      </c>
      <c r="E3528" t="s">
        <v>1861</v>
      </c>
      <c r="F3528" t="s">
        <v>28</v>
      </c>
      <c r="G3528" t="s">
        <v>13064</v>
      </c>
      <c r="H3528" t="s">
        <v>30</v>
      </c>
      <c r="I3528" t="b">
        <f>COUNTIF(Estadísticas!I:I,'centraldecomunicacion.es'!H3528)&gt;0</f>
        <v>0</v>
      </c>
    </row>
    <row r="3529" spans="1:9">
      <c r="A3529" t="s">
        <v>13065</v>
      </c>
      <c r="B3529" t="s">
        <v>10</v>
      </c>
      <c r="C3529" t="s">
        <v>13066</v>
      </c>
      <c r="D3529" t="s">
        <v>9293</v>
      </c>
      <c r="E3529" t="s">
        <v>1861</v>
      </c>
      <c r="F3529" t="s">
        <v>28</v>
      </c>
      <c r="G3529" t="s">
        <v>13067</v>
      </c>
      <c r="H3529" t="s">
        <v>30</v>
      </c>
      <c r="I3529" t="b">
        <f>COUNTIF(Estadísticas!I:I,'centraldecomunicacion.es'!H3529)&gt;0</f>
        <v>0</v>
      </c>
    </row>
    <row r="3530" spans="1:9">
      <c r="A3530" t="s">
        <v>13027</v>
      </c>
      <c r="B3530" t="s">
        <v>10</v>
      </c>
      <c r="C3530" t="s">
        <v>13068</v>
      </c>
      <c r="D3530" t="s">
        <v>9293</v>
      </c>
      <c r="E3530" t="s">
        <v>1861</v>
      </c>
      <c r="F3530" t="s">
        <v>13069</v>
      </c>
      <c r="G3530" t="s">
        <v>13070</v>
      </c>
      <c r="H3530" t="s">
        <v>30</v>
      </c>
      <c r="I3530" t="b">
        <f>COUNTIF(Estadísticas!I:I,'centraldecomunicacion.es'!H3530)&gt;0</f>
        <v>0</v>
      </c>
    </row>
    <row r="3531" spans="1:9">
      <c r="A3531" t="s">
        <v>13071</v>
      </c>
      <c r="B3531" t="s">
        <v>10</v>
      </c>
      <c r="C3531" t="s">
        <v>13072</v>
      </c>
      <c r="D3531" t="s">
        <v>13073</v>
      </c>
      <c r="E3531" t="s">
        <v>1861</v>
      </c>
      <c r="F3531" t="s">
        <v>28</v>
      </c>
      <c r="G3531" t="s">
        <v>13074</v>
      </c>
      <c r="H3531" t="s">
        <v>30</v>
      </c>
      <c r="I3531" t="b">
        <f>COUNTIF(Estadísticas!I:I,'centraldecomunicacion.es'!H3531)&gt;0</f>
        <v>0</v>
      </c>
    </row>
    <row r="3532" spans="1:9">
      <c r="A3532" t="s">
        <v>13075</v>
      </c>
      <c r="B3532" t="s">
        <v>10</v>
      </c>
      <c r="C3532" t="s">
        <v>13076</v>
      </c>
      <c r="D3532" t="s">
        <v>13077</v>
      </c>
      <c r="E3532" t="s">
        <v>1861</v>
      </c>
      <c r="F3532" t="s">
        <v>416</v>
      </c>
      <c r="G3532" t="s">
        <v>13078</v>
      </c>
      <c r="H3532" t="s">
        <v>30</v>
      </c>
      <c r="I3532" t="b">
        <f>COUNTIF(Estadísticas!I:I,'centraldecomunicacion.es'!H3532)&gt;0</f>
        <v>0</v>
      </c>
    </row>
    <row r="3533" spans="1:9">
      <c r="A3533" t="s">
        <v>13079</v>
      </c>
      <c r="B3533" t="s">
        <v>10</v>
      </c>
      <c r="C3533" t="s">
        <v>13080</v>
      </c>
      <c r="D3533" t="s">
        <v>9293</v>
      </c>
      <c r="E3533" t="s">
        <v>1861</v>
      </c>
      <c r="F3533" t="s">
        <v>28</v>
      </c>
      <c r="G3533" t="s">
        <v>13081</v>
      </c>
      <c r="H3533" t="s">
        <v>30</v>
      </c>
      <c r="I3533" t="b">
        <f>COUNTIF(Estadísticas!I:I,'centraldecomunicacion.es'!H3533)&gt;0</f>
        <v>0</v>
      </c>
    </row>
    <row r="3534" spans="1:9">
      <c r="A3534" t="s">
        <v>11987</v>
      </c>
      <c r="B3534" t="s">
        <v>10</v>
      </c>
      <c r="C3534" t="s">
        <v>13082</v>
      </c>
      <c r="D3534" t="s">
        <v>13083</v>
      </c>
      <c r="E3534" t="s">
        <v>1861</v>
      </c>
      <c r="F3534" t="s">
        <v>13084</v>
      </c>
      <c r="G3534" t="s">
        <v>13085</v>
      </c>
      <c r="H3534" t="s">
        <v>13086</v>
      </c>
      <c r="I3534" t="b">
        <f>COUNTIF(Estadísticas!I:I,'centraldecomunicacion.es'!H3534)&gt;0</f>
        <v>0</v>
      </c>
    </row>
    <row r="3535" spans="1:9">
      <c r="A3535" t="s">
        <v>13087</v>
      </c>
      <c r="B3535" t="s">
        <v>10</v>
      </c>
      <c r="C3535" t="s">
        <v>13088</v>
      </c>
      <c r="D3535" t="s">
        <v>13083</v>
      </c>
      <c r="E3535" t="s">
        <v>1861</v>
      </c>
      <c r="F3535" t="s">
        <v>38</v>
      </c>
      <c r="G3535" t="s">
        <v>13089</v>
      </c>
      <c r="H3535" t="s">
        <v>30</v>
      </c>
      <c r="I3535" t="b">
        <f>COUNTIF(Estadísticas!I:I,'centraldecomunicacion.es'!H3535)&gt;0</f>
        <v>0</v>
      </c>
    </row>
    <row r="3536" spans="1:9">
      <c r="A3536" t="s">
        <v>7035</v>
      </c>
      <c r="B3536" t="s">
        <v>10</v>
      </c>
      <c r="C3536" t="s">
        <v>13090</v>
      </c>
      <c r="D3536" t="s">
        <v>13083</v>
      </c>
      <c r="E3536" t="s">
        <v>1861</v>
      </c>
      <c r="F3536" t="s">
        <v>13091</v>
      </c>
      <c r="G3536" t="s">
        <v>13092</v>
      </c>
      <c r="H3536" t="s">
        <v>30</v>
      </c>
      <c r="I3536" t="b">
        <f>COUNTIF(Estadísticas!I:I,'centraldecomunicacion.es'!H3536)&gt;0</f>
        <v>0</v>
      </c>
    </row>
    <row r="3537" spans="1:9">
      <c r="A3537" t="s">
        <v>13093</v>
      </c>
      <c r="B3537" t="s">
        <v>10</v>
      </c>
      <c r="C3537" t="s">
        <v>13094</v>
      </c>
      <c r="D3537" t="s">
        <v>13095</v>
      </c>
      <c r="E3537" t="s">
        <v>1861</v>
      </c>
      <c r="F3537" t="s">
        <v>38</v>
      </c>
      <c r="G3537" t="s">
        <v>13096</v>
      </c>
      <c r="H3537" t="s">
        <v>30</v>
      </c>
      <c r="I3537" t="b">
        <f>COUNTIF(Estadísticas!I:I,'centraldecomunicacion.es'!H3537)&gt;0</f>
        <v>0</v>
      </c>
    </row>
    <row r="3538" spans="1:9">
      <c r="A3538" t="s">
        <v>13097</v>
      </c>
      <c r="B3538" t="s">
        <v>10</v>
      </c>
      <c r="C3538" t="s">
        <v>13098</v>
      </c>
      <c r="D3538" t="s">
        <v>13099</v>
      </c>
      <c r="E3538" t="s">
        <v>1861</v>
      </c>
      <c r="F3538" t="s">
        <v>28</v>
      </c>
      <c r="G3538" t="s">
        <v>28</v>
      </c>
      <c r="H3538" t="s">
        <v>30</v>
      </c>
      <c r="I3538" t="b">
        <f>COUNTIF(Estadísticas!I:I,'centraldecomunicacion.es'!H3538)&gt;0</f>
        <v>0</v>
      </c>
    </row>
    <row r="3539" spans="1:9">
      <c r="A3539" t="s">
        <v>13100</v>
      </c>
      <c r="B3539" t="s">
        <v>10</v>
      </c>
      <c r="C3539" t="s">
        <v>13101</v>
      </c>
      <c r="D3539" t="s">
        <v>13057</v>
      </c>
      <c r="E3539" t="s">
        <v>1861</v>
      </c>
      <c r="F3539" t="s">
        <v>28</v>
      </c>
      <c r="G3539" t="s">
        <v>13102</v>
      </c>
      <c r="H3539" t="s">
        <v>30</v>
      </c>
      <c r="I3539" t="b">
        <f>COUNTIF(Estadísticas!I:I,'centraldecomunicacion.es'!H3539)&gt;0</f>
        <v>0</v>
      </c>
    </row>
    <row r="3540" spans="1:9">
      <c r="A3540" t="s">
        <v>2141</v>
      </c>
      <c r="B3540" t="s">
        <v>10</v>
      </c>
      <c r="C3540" t="s">
        <v>13103</v>
      </c>
      <c r="D3540" t="s">
        <v>13077</v>
      </c>
      <c r="E3540" t="s">
        <v>1861</v>
      </c>
      <c r="F3540" t="s">
        <v>13104</v>
      </c>
      <c r="G3540" t="s">
        <v>13105</v>
      </c>
      <c r="H3540" t="s">
        <v>30</v>
      </c>
      <c r="I3540" t="b">
        <f>COUNTIF(Estadísticas!I:I,'centraldecomunicacion.es'!H3540)&gt;0</f>
        <v>0</v>
      </c>
    </row>
    <row r="3541" spans="1:9">
      <c r="A3541" t="s">
        <v>13106</v>
      </c>
      <c r="B3541" t="s">
        <v>10</v>
      </c>
      <c r="C3541" t="s">
        <v>13107</v>
      </c>
      <c r="D3541" t="s">
        <v>13108</v>
      </c>
      <c r="E3541" t="s">
        <v>1861</v>
      </c>
      <c r="F3541" t="s">
        <v>28</v>
      </c>
      <c r="G3541" t="s">
        <v>13109</v>
      </c>
      <c r="H3541" t="s">
        <v>30</v>
      </c>
      <c r="I3541" t="b">
        <f>COUNTIF(Estadísticas!I:I,'centraldecomunicacion.es'!H3541)&gt;0</f>
        <v>0</v>
      </c>
    </row>
    <row r="3542" spans="1:9">
      <c r="A3542" t="s">
        <v>13110</v>
      </c>
      <c r="B3542" t="s">
        <v>10</v>
      </c>
      <c r="C3542" t="s">
        <v>13111</v>
      </c>
      <c r="D3542" t="s">
        <v>13083</v>
      </c>
      <c r="E3542" t="s">
        <v>1861</v>
      </c>
      <c r="F3542" t="s">
        <v>13112</v>
      </c>
      <c r="G3542" t="s">
        <v>13113</v>
      </c>
      <c r="H3542" t="s">
        <v>13114</v>
      </c>
      <c r="I3542" t="b">
        <f>COUNTIF(Estadísticas!I:I,'centraldecomunicacion.es'!H3542)&gt;0</f>
        <v>0</v>
      </c>
    </row>
    <row r="3543" spans="1:9">
      <c r="A3543" t="s">
        <v>13115</v>
      </c>
      <c r="B3543" t="s">
        <v>10</v>
      </c>
      <c r="C3543" t="s">
        <v>13116</v>
      </c>
      <c r="D3543" t="s">
        <v>13117</v>
      </c>
      <c r="E3543" t="s">
        <v>1861</v>
      </c>
      <c r="F3543" t="s">
        <v>13118</v>
      </c>
      <c r="G3543" t="s">
        <v>13119</v>
      </c>
      <c r="H3543" t="s">
        <v>30</v>
      </c>
      <c r="I3543" t="b">
        <f>COUNTIF(Estadísticas!I:I,'centraldecomunicacion.es'!H3543)&gt;0</f>
        <v>0</v>
      </c>
    </row>
    <row r="3544" spans="1:9">
      <c r="A3544" t="s">
        <v>13120</v>
      </c>
      <c r="B3544" t="s">
        <v>10</v>
      </c>
      <c r="C3544" t="s">
        <v>13121</v>
      </c>
      <c r="D3544" t="s">
        <v>13122</v>
      </c>
      <c r="E3544" t="s">
        <v>1861</v>
      </c>
      <c r="F3544" t="s">
        <v>13123</v>
      </c>
      <c r="G3544" t="s">
        <v>13124</v>
      </c>
      <c r="H3544" t="s">
        <v>13125</v>
      </c>
      <c r="I3544" t="b">
        <f>COUNTIF(Estadísticas!I:I,'centraldecomunicacion.es'!H3544)&gt;0</f>
        <v>0</v>
      </c>
    </row>
    <row r="3545" spans="1:9">
      <c r="A3545" t="s">
        <v>13126</v>
      </c>
      <c r="B3545" t="s">
        <v>10</v>
      </c>
      <c r="C3545" t="s">
        <v>13127</v>
      </c>
      <c r="D3545" t="s">
        <v>13128</v>
      </c>
      <c r="E3545" t="s">
        <v>1861</v>
      </c>
      <c r="F3545" t="s">
        <v>13129</v>
      </c>
      <c r="G3545" t="s">
        <v>13130</v>
      </c>
      <c r="H3545" t="s">
        <v>13131</v>
      </c>
      <c r="I3545" t="b">
        <f>COUNTIF(Estadísticas!I:I,'centraldecomunicacion.es'!H3545)&gt;0</f>
        <v>0</v>
      </c>
    </row>
    <row r="3546" spans="1:9">
      <c r="A3546" t="s">
        <v>13132</v>
      </c>
      <c r="B3546" t="s">
        <v>219</v>
      </c>
      <c r="C3546" t="s">
        <v>13133</v>
      </c>
      <c r="D3546" t="s">
        <v>12935</v>
      </c>
      <c r="E3546" t="s">
        <v>1861</v>
      </c>
      <c r="F3546" t="s">
        <v>13134</v>
      </c>
      <c r="G3546" t="s">
        <v>13135</v>
      </c>
      <c r="H3546" t="s">
        <v>13136</v>
      </c>
      <c r="I3546" t="b">
        <f>COUNTIF(Estadísticas!I:I,'centraldecomunicacion.es'!H3546)&gt;0</f>
        <v>1</v>
      </c>
    </row>
    <row r="3547" spans="1:9">
      <c r="A3547" t="s">
        <v>1015</v>
      </c>
      <c r="B3547" t="s">
        <v>10</v>
      </c>
      <c r="C3547" t="s">
        <v>13137</v>
      </c>
      <c r="D3547" t="s">
        <v>13138</v>
      </c>
      <c r="E3547" t="s">
        <v>7768</v>
      </c>
      <c r="F3547" t="s">
        <v>28</v>
      </c>
      <c r="G3547" t="s">
        <v>13139</v>
      </c>
      <c r="H3547" t="s">
        <v>30</v>
      </c>
      <c r="I3547" t="b">
        <f>COUNTIF(Estadísticas!I:I,'centraldecomunicacion.es'!H3547)&gt;0</f>
        <v>0</v>
      </c>
    </row>
    <row r="3548" spans="1:9">
      <c r="A3548" t="s">
        <v>13140</v>
      </c>
      <c r="B3548" t="s">
        <v>10</v>
      </c>
      <c r="C3548" t="s">
        <v>13141</v>
      </c>
      <c r="D3548" t="s">
        <v>13083</v>
      </c>
      <c r="E3548" t="s">
        <v>1861</v>
      </c>
      <c r="F3548" t="s">
        <v>13142</v>
      </c>
      <c r="G3548" t="s">
        <v>13143</v>
      </c>
      <c r="H3548" t="s">
        <v>13144</v>
      </c>
      <c r="I3548" t="b">
        <f>COUNTIF(Estadísticas!I:I,'centraldecomunicacion.es'!H3548)&gt;0</f>
        <v>0</v>
      </c>
    </row>
    <row r="3549" spans="1:9">
      <c r="A3549" t="s">
        <v>13145</v>
      </c>
      <c r="B3549" t="s">
        <v>10</v>
      </c>
      <c r="C3549" t="s">
        <v>13146</v>
      </c>
      <c r="D3549" t="s">
        <v>13147</v>
      </c>
      <c r="E3549" t="s">
        <v>1861</v>
      </c>
      <c r="F3549" t="s">
        <v>13148</v>
      </c>
      <c r="G3549" t="s">
        <v>13149</v>
      </c>
      <c r="H3549" t="s">
        <v>30</v>
      </c>
      <c r="I3549" t="b">
        <f>COUNTIF(Estadísticas!I:I,'centraldecomunicacion.es'!H3549)&gt;0</f>
        <v>0</v>
      </c>
    </row>
    <row r="3550" spans="1:9">
      <c r="A3550" t="s">
        <v>13150</v>
      </c>
      <c r="B3550" t="s">
        <v>10</v>
      </c>
      <c r="C3550" t="s">
        <v>13151</v>
      </c>
      <c r="D3550" t="s">
        <v>7768</v>
      </c>
      <c r="E3550" t="s">
        <v>7768</v>
      </c>
      <c r="F3550" t="s">
        <v>13152</v>
      </c>
      <c r="G3550" t="s">
        <v>13153</v>
      </c>
      <c r="H3550" t="s">
        <v>13154</v>
      </c>
      <c r="I3550" t="b">
        <f>COUNTIF(Estadísticas!I:I,'centraldecomunicacion.es'!H3550)&gt;0</f>
        <v>0</v>
      </c>
    </row>
    <row r="3551" spans="1:9">
      <c r="A3551" t="s">
        <v>13155</v>
      </c>
      <c r="B3551" t="s">
        <v>10</v>
      </c>
      <c r="C3551" t="s">
        <v>13156</v>
      </c>
      <c r="D3551" t="s">
        <v>7768</v>
      </c>
      <c r="E3551" t="s">
        <v>7768</v>
      </c>
      <c r="F3551" t="s">
        <v>13157</v>
      </c>
      <c r="G3551" t="s">
        <v>13158</v>
      </c>
      <c r="H3551" t="s">
        <v>13159</v>
      </c>
      <c r="I3551" t="b">
        <f>COUNTIF(Estadísticas!I:I,'centraldecomunicacion.es'!H3551)&gt;0</f>
        <v>1</v>
      </c>
    </row>
    <row r="3552" spans="1:9">
      <c r="A3552" t="s">
        <v>13160</v>
      </c>
      <c r="B3552" t="s">
        <v>10</v>
      </c>
      <c r="C3552" t="s">
        <v>13161</v>
      </c>
      <c r="D3552" t="s">
        <v>7768</v>
      </c>
      <c r="E3552" t="s">
        <v>7768</v>
      </c>
      <c r="F3552" t="s">
        <v>13162</v>
      </c>
      <c r="G3552" t="s">
        <v>13163</v>
      </c>
      <c r="H3552" t="s">
        <v>13164</v>
      </c>
      <c r="I3552" t="b">
        <f>COUNTIF(Estadísticas!I:I,'centraldecomunicacion.es'!H3552)&gt;0</f>
        <v>0</v>
      </c>
    </row>
    <row r="3553" spans="1:9">
      <c r="A3553" t="s">
        <v>13165</v>
      </c>
      <c r="B3553" t="s">
        <v>10</v>
      </c>
      <c r="C3553" t="s">
        <v>13166</v>
      </c>
      <c r="D3553" t="s">
        <v>7768</v>
      </c>
      <c r="E3553" t="s">
        <v>7768</v>
      </c>
      <c r="F3553" t="s">
        <v>28</v>
      </c>
      <c r="G3553" t="s">
        <v>13167</v>
      </c>
      <c r="H3553" t="s">
        <v>30</v>
      </c>
      <c r="I3553" t="b">
        <f>COUNTIF(Estadísticas!I:I,'centraldecomunicacion.es'!H3553)&gt;0</f>
        <v>0</v>
      </c>
    </row>
    <row r="3554" spans="1:9">
      <c r="A3554" t="s">
        <v>13168</v>
      </c>
      <c r="B3554" t="s">
        <v>10</v>
      </c>
      <c r="C3554" t="s">
        <v>13169</v>
      </c>
      <c r="D3554" t="s">
        <v>7768</v>
      </c>
      <c r="E3554" t="s">
        <v>7768</v>
      </c>
      <c r="F3554" t="s">
        <v>28</v>
      </c>
      <c r="G3554" t="s">
        <v>13170</v>
      </c>
      <c r="H3554" t="s">
        <v>30</v>
      </c>
      <c r="I3554" t="b">
        <f>COUNTIF(Estadísticas!I:I,'centraldecomunicacion.es'!H3554)&gt;0</f>
        <v>0</v>
      </c>
    </row>
    <row r="3555" spans="1:9">
      <c r="A3555" t="s">
        <v>13171</v>
      </c>
      <c r="B3555" t="s">
        <v>10</v>
      </c>
      <c r="C3555" t="s">
        <v>13172</v>
      </c>
      <c r="D3555" t="s">
        <v>7768</v>
      </c>
      <c r="E3555" t="s">
        <v>7768</v>
      </c>
      <c r="F3555" t="s">
        <v>28</v>
      </c>
      <c r="G3555" t="s">
        <v>13173</v>
      </c>
      <c r="H3555" t="s">
        <v>30</v>
      </c>
      <c r="I3555" t="b">
        <f>COUNTIF(Estadísticas!I:I,'centraldecomunicacion.es'!H3555)&gt;0</f>
        <v>0</v>
      </c>
    </row>
    <row r="3556" spans="1:9">
      <c r="A3556" t="s">
        <v>13174</v>
      </c>
      <c r="B3556" t="s">
        <v>10</v>
      </c>
      <c r="C3556" t="s">
        <v>13175</v>
      </c>
      <c r="D3556" t="s">
        <v>7768</v>
      </c>
      <c r="E3556" t="s">
        <v>7768</v>
      </c>
      <c r="F3556" t="s">
        <v>38</v>
      </c>
      <c r="G3556" t="s">
        <v>13176</v>
      </c>
      <c r="H3556" t="s">
        <v>30</v>
      </c>
      <c r="I3556" t="b">
        <f>COUNTIF(Estadísticas!I:I,'centraldecomunicacion.es'!H3556)&gt;0</f>
        <v>0</v>
      </c>
    </row>
    <row r="3557" spans="1:9">
      <c r="A3557" t="s">
        <v>13177</v>
      </c>
      <c r="B3557" t="s">
        <v>10</v>
      </c>
      <c r="C3557" t="s">
        <v>13178</v>
      </c>
      <c r="D3557" t="s">
        <v>7768</v>
      </c>
      <c r="E3557" t="s">
        <v>7768</v>
      </c>
      <c r="F3557" t="s">
        <v>28</v>
      </c>
      <c r="G3557" t="s">
        <v>28</v>
      </c>
      <c r="H3557" t="s">
        <v>30</v>
      </c>
      <c r="I3557" t="b">
        <f>COUNTIF(Estadísticas!I:I,'centraldecomunicacion.es'!H3557)&gt;0</f>
        <v>0</v>
      </c>
    </row>
    <row r="3558" spans="1:9">
      <c r="A3558" t="s">
        <v>13179</v>
      </c>
      <c r="B3558" t="s">
        <v>10</v>
      </c>
      <c r="C3558" t="s">
        <v>13180</v>
      </c>
      <c r="D3558" t="s">
        <v>7768</v>
      </c>
      <c r="E3558" t="s">
        <v>7768</v>
      </c>
      <c r="F3558" t="s">
        <v>13181</v>
      </c>
      <c r="G3558" t="s">
        <v>13182</v>
      </c>
      <c r="H3558" t="s">
        <v>30</v>
      </c>
      <c r="I3558" t="b">
        <f>COUNTIF(Estadísticas!I:I,'centraldecomunicacion.es'!H3558)&gt;0</f>
        <v>0</v>
      </c>
    </row>
    <row r="3559" spans="1:9">
      <c r="A3559" t="s">
        <v>13183</v>
      </c>
      <c r="B3559" t="s">
        <v>10</v>
      </c>
      <c r="C3559" t="s">
        <v>13184</v>
      </c>
      <c r="D3559" t="s">
        <v>7768</v>
      </c>
      <c r="E3559" t="s">
        <v>7768</v>
      </c>
      <c r="F3559" t="s">
        <v>50</v>
      </c>
      <c r="G3559" t="s">
        <v>13185</v>
      </c>
      <c r="H3559" t="s">
        <v>30</v>
      </c>
      <c r="I3559" t="b">
        <f>COUNTIF(Estadísticas!I:I,'centraldecomunicacion.es'!H3559)&gt;0</f>
        <v>0</v>
      </c>
    </row>
    <row r="3560" spans="1:9">
      <c r="A3560" t="s">
        <v>13186</v>
      </c>
      <c r="B3560" t="s">
        <v>10</v>
      </c>
      <c r="C3560" t="s">
        <v>13187</v>
      </c>
      <c r="D3560" t="s">
        <v>13188</v>
      </c>
      <c r="E3560" t="s">
        <v>7768</v>
      </c>
      <c r="F3560" t="s">
        <v>50</v>
      </c>
      <c r="G3560" t="s">
        <v>13189</v>
      </c>
      <c r="H3560" t="s">
        <v>30</v>
      </c>
      <c r="I3560" t="b">
        <f>COUNTIF(Estadísticas!I:I,'centraldecomunicacion.es'!H3560)&gt;0</f>
        <v>0</v>
      </c>
    </row>
    <row r="3561" spans="1:9">
      <c r="A3561" t="s">
        <v>13190</v>
      </c>
      <c r="B3561" t="s">
        <v>10</v>
      </c>
      <c r="C3561" t="s">
        <v>13191</v>
      </c>
      <c r="D3561" t="s">
        <v>13192</v>
      </c>
      <c r="E3561" t="s">
        <v>7768</v>
      </c>
      <c r="F3561" t="s">
        <v>28</v>
      </c>
      <c r="G3561" t="s">
        <v>13193</v>
      </c>
      <c r="H3561" t="s">
        <v>30</v>
      </c>
      <c r="I3561" t="b">
        <f>COUNTIF(Estadísticas!I:I,'centraldecomunicacion.es'!H3561)&gt;0</f>
        <v>0</v>
      </c>
    </row>
    <row r="3562" spans="1:9">
      <c r="A3562" t="s">
        <v>13194</v>
      </c>
      <c r="B3562" t="s">
        <v>10</v>
      </c>
      <c r="C3562" t="s">
        <v>13195</v>
      </c>
      <c r="D3562" t="s">
        <v>13196</v>
      </c>
      <c r="E3562" t="s">
        <v>7768</v>
      </c>
      <c r="F3562" t="s">
        <v>50</v>
      </c>
      <c r="G3562" t="s">
        <v>13197</v>
      </c>
      <c r="H3562" t="s">
        <v>30</v>
      </c>
      <c r="I3562" t="b">
        <f>COUNTIF(Estadísticas!I:I,'centraldecomunicacion.es'!H3562)&gt;0</f>
        <v>0</v>
      </c>
    </row>
    <row r="3563" spans="1:9">
      <c r="A3563" t="s">
        <v>13198</v>
      </c>
      <c r="B3563" t="s">
        <v>10</v>
      </c>
      <c r="C3563" t="s">
        <v>13199</v>
      </c>
      <c r="D3563" t="s">
        <v>13200</v>
      </c>
      <c r="E3563" t="s">
        <v>7768</v>
      </c>
      <c r="F3563" t="s">
        <v>28</v>
      </c>
      <c r="G3563" t="s">
        <v>13201</v>
      </c>
      <c r="H3563" t="s">
        <v>30</v>
      </c>
      <c r="I3563" t="b">
        <f>COUNTIF(Estadísticas!I:I,'centraldecomunicacion.es'!H3563)&gt;0</f>
        <v>0</v>
      </c>
    </row>
    <row r="3564" spans="1:9">
      <c r="A3564" t="s">
        <v>13202</v>
      </c>
      <c r="B3564" t="s">
        <v>10</v>
      </c>
      <c r="C3564" t="s">
        <v>13203</v>
      </c>
      <c r="D3564" t="s">
        <v>13200</v>
      </c>
      <c r="E3564" t="s">
        <v>7768</v>
      </c>
      <c r="F3564" t="s">
        <v>38</v>
      </c>
      <c r="G3564" t="s">
        <v>13204</v>
      </c>
      <c r="H3564" t="s">
        <v>30</v>
      </c>
      <c r="I3564" t="b">
        <f>COUNTIF(Estadísticas!I:I,'centraldecomunicacion.es'!H3564)&gt;0</f>
        <v>0</v>
      </c>
    </row>
    <row r="3565" spans="1:9">
      <c r="A3565" t="s">
        <v>13205</v>
      </c>
      <c r="B3565" t="s">
        <v>10</v>
      </c>
      <c r="C3565" t="s">
        <v>13206</v>
      </c>
      <c r="D3565" t="s">
        <v>13207</v>
      </c>
      <c r="E3565" t="s">
        <v>7768</v>
      </c>
      <c r="F3565" t="s">
        <v>13208</v>
      </c>
      <c r="G3565" t="s">
        <v>13209</v>
      </c>
      <c r="H3565" t="s">
        <v>13210</v>
      </c>
      <c r="I3565" t="b">
        <f>COUNTIF(Estadísticas!I:I,'centraldecomunicacion.es'!H3565)&gt;0</f>
        <v>0</v>
      </c>
    </row>
    <row r="3566" spans="1:9">
      <c r="A3566" t="s">
        <v>13211</v>
      </c>
      <c r="B3566" t="s">
        <v>10</v>
      </c>
      <c r="C3566" t="s">
        <v>13212</v>
      </c>
      <c r="D3566" t="s">
        <v>13213</v>
      </c>
      <c r="E3566" t="s">
        <v>7768</v>
      </c>
      <c r="F3566" t="s">
        <v>28</v>
      </c>
      <c r="G3566" t="s">
        <v>13214</v>
      </c>
      <c r="H3566" t="s">
        <v>30</v>
      </c>
      <c r="I3566" t="b">
        <f>COUNTIF(Estadísticas!I:I,'centraldecomunicacion.es'!H3566)&gt;0</f>
        <v>0</v>
      </c>
    </row>
    <row r="3567" spans="1:9">
      <c r="A3567" t="s">
        <v>8271</v>
      </c>
      <c r="B3567" t="s">
        <v>10</v>
      </c>
      <c r="C3567" t="s">
        <v>13215</v>
      </c>
      <c r="D3567" t="s">
        <v>13216</v>
      </c>
      <c r="E3567" t="s">
        <v>7768</v>
      </c>
      <c r="F3567" t="s">
        <v>28</v>
      </c>
      <c r="G3567" t="s">
        <v>13217</v>
      </c>
      <c r="H3567" t="s">
        <v>30</v>
      </c>
      <c r="I3567" t="b">
        <f>COUNTIF(Estadísticas!I:I,'centraldecomunicacion.es'!H3567)&gt;0</f>
        <v>0</v>
      </c>
    </row>
    <row r="3568" spans="1:9">
      <c r="A3568" t="s">
        <v>13218</v>
      </c>
      <c r="B3568" t="s">
        <v>10</v>
      </c>
      <c r="C3568" t="s">
        <v>13219</v>
      </c>
      <c r="D3568" t="s">
        <v>13138</v>
      </c>
      <c r="E3568" t="s">
        <v>7768</v>
      </c>
      <c r="F3568" t="s">
        <v>50</v>
      </c>
      <c r="G3568" t="s">
        <v>13220</v>
      </c>
      <c r="H3568" t="s">
        <v>30</v>
      </c>
      <c r="I3568" t="b">
        <f>COUNTIF(Estadísticas!I:I,'centraldecomunicacion.es'!H3568)&gt;0</f>
        <v>0</v>
      </c>
    </row>
    <row r="3569" spans="1:9">
      <c r="A3569" t="s">
        <v>6389</v>
      </c>
      <c r="B3569" t="s">
        <v>10</v>
      </c>
      <c r="C3569" t="s">
        <v>13221</v>
      </c>
      <c r="D3569" t="s">
        <v>13222</v>
      </c>
      <c r="E3569" t="s">
        <v>7768</v>
      </c>
      <c r="F3569" t="s">
        <v>28</v>
      </c>
      <c r="G3569" t="s">
        <v>13223</v>
      </c>
      <c r="H3569" t="s">
        <v>30</v>
      </c>
      <c r="I3569" t="b">
        <f>COUNTIF(Estadísticas!I:I,'centraldecomunicacion.es'!H3569)&gt;0</f>
        <v>0</v>
      </c>
    </row>
    <row r="3570" spans="1:9">
      <c r="A3570" t="s">
        <v>13224</v>
      </c>
      <c r="B3570" t="s">
        <v>10</v>
      </c>
      <c r="C3570" t="s">
        <v>13225</v>
      </c>
      <c r="D3570" t="s">
        <v>13222</v>
      </c>
      <c r="E3570" t="s">
        <v>7768</v>
      </c>
      <c r="F3570" t="s">
        <v>13226</v>
      </c>
      <c r="G3570" t="s">
        <v>13227</v>
      </c>
      <c r="H3570" t="s">
        <v>30</v>
      </c>
      <c r="I3570" t="b">
        <f>COUNTIF(Estadísticas!I:I,'centraldecomunicacion.es'!H3570)&gt;0</f>
        <v>0</v>
      </c>
    </row>
    <row r="3571" spans="1:9">
      <c r="A3571" t="s">
        <v>13228</v>
      </c>
      <c r="B3571" t="s">
        <v>10</v>
      </c>
      <c r="C3571" t="s">
        <v>13229</v>
      </c>
      <c r="D3571" t="s">
        <v>13230</v>
      </c>
      <c r="E3571" t="s">
        <v>7768</v>
      </c>
      <c r="F3571" t="s">
        <v>87</v>
      </c>
      <c r="G3571" t="s">
        <v>13231</v>
      </c>
      <c r="H3571" t="s">
        <v>30</v>
      </c>
      <c r="I3571" t="b">
        <f>COUNTIF(Estadísticas!I:I,'centraldecomunicacion.es'!H3571)&gt;0</f>
        <v>0</v>
      </c>
    </row>
    <row r="3572" spans="1:9">
      <c r="A3572" t="s">
        <v>13224</v>
      </c>
      <c r="B3572" t="s">
        <v>10</v>
      </c>
      <c r="C3572" t="s">
        <v>13232</v>
      </c>
      <c r="D3572" t="s">
        <v>13233</v>
      </c>
      <c r="E3572" t="s">
        <v>7768</v>
      </c>
      <c r="F3572" t="s">
        <v>28</v>
      </c>
      <c r="G3572" t="s">
        <v>13234</v>
      </c>
      <c r="H3572" t="s">
        <v>30</v>
      </c>
      <c r="I3572" t="b">
        <f>COUNTIF(Estadísticas!I:I,'centraldecomunicacion.es'!H3572)&gt;0</f>
        <v>0</v>
      </c>
    </row>
    <row r="3573" spans="1:9">
      <c r="A3573" t="s">
        <v>13235</v>
      </c>
      <c r="B3573" t="s">
        <v>10</v>
      </c>
      <c r="C3573" t="s">
        <v>13236</v>
      </c>
      <c r="D3573" t="s">
        <v>13237</v>
      </c>
      <c r="E3573" t="s">
        <v>7768</v>
      </c>
      <c r="F3573" t="s">
        <v>28</v>
      </c>
      <c r="G3573" t="s">
        <v>13238</v>
      </c>
      <c r="H3573" t="s">
        <v>30</v>
      </c>
      <c r="I3573" t="b">
        <f>COUNTIF(Estadísticas!I:I,'centraldecomunicacion.es'!H3573)&gt;0</f>
        <v>0</v>
      </c>
    </row>
    <row r="3574" spans="1:9">
      <c r="A3574" t="s">
        <v>13239</v>
      </c>
      <c r="B3574" t="s">
        <v>10</v>
      </c>
      <c r="C3574" t="s">
        <v>13240</v>
      </c>
      <c r="D3574" t="s">
        <v>13241</v>
      </c>
      <c r="E3574" t="s">
        <v>7768</v>
      </c>
      <c r="F3574" t="s">
        <v>50</v>
      </c>
      <c r="G3574" t="s">
        <v>13242</v>
      </c>
      <c r="H3574" t="s">
        <v>30</v>
      </c>
      <c r="I3574" t="b">
        <f>COUNTIF(Estadísticas!I:I,'centraldecomunicacion.es'!H3574)&gt;0</f>
        <v>0</v>
      </c>
    </row>
    <row r="3575" spans="1:9">
      <c r="A3575" t="s">
        <v>13243</v>
      </c>
      <c r="B3575" t="s">
        <v>10</v>
      </c>
      <c r="C3575" t="s">
        <v>13244</v>
      </c>
      <c r="D3575" t="s">
        <v>13230</v>
      </c>
      <c r="E3575" t="s">
        <v>7768</v>
      </c>
      <c r="F3575" t="s">
        <v>38</v>
      </c>
      <c r="G3575" t="s">
        <v>13245</v>
      </c>
      <c r="H3575" t="s">
        <v>30</v>
      </c>
      <c r="I3575" t="b">
        <f>COUNTIF(Estadísticas!I:I,'centraldecomunicacion.es'!H3575)&gt;0</f>
        <v>0</v>
      </c>
    </row>
    <row r="3576" spans="1:9">
      <c r="A3576" t="s">
        <v>13246</v>
      </c>
      <c r="B3576" t="s">
        <v>10</v>
      </c>
      <c r="C3576" t="s">
        <v>13247</v>
      </c>
      <c r="D3576" t="s">
        <v>13248</v>
      </c>
      <c r="E3576" t="s">
        <v>7768</v>
      </c>
      <c r="F3576" t="s">
        <v>13249</v>
      </c>
      <c r="G3576" t="s">
        <v>13250</v>
      </c>
      <c r="H3576" t="s">
        <v>30</v>
      </c>
      <c r="I3576" t="b">
        <f>COUNTIF(Estadísticas!I:I,'centraldecomunicacion.es'!H3576)&gt;0</f>
        <v>0</v>
      </c>
    </row>
    <row r="3577" spans="1:9">
      <c r="A3577" t="s">
        <v>13251</v>
      </c>
      <c r="B3577" t="s">
        <v>10</v>
      </c>
      <c r="C3577" t="s">
        <v>13252</v>
      </c>
      <c r="D3577" t="s">
        <v>13253</v>
      </c>
      <c r="E3577" t="s">
        <v>7768</v>
      </c>
      <c r="F3577" t="s">
        <v>28</v>
      </c>
      <c r="G3577" t="s">
        <v>13254</v>
      </c>
      <c r="H3577" t="s">
        <v>30</v>
      </c>
      <c r="I3577" t="b">
        <f>COUNTIF(Estadísticas!I:I,'centraldecomunicacion.es'!H3577)&gt;0</f>
        <v>0</v>
      </c>
    </row>
    <row r="3578" spans="1:9">
      <c r="A3578" t="s">
        <v>13255</v>
      </c>
      <c r="B3578" t="s">
        <v>10</v>
      </c>
      <c r="C3578" t="s">
        <v>13256</v>
      </c>
      <c r="D3578" t="s">
        <v>13253</v>
      </c>
      <c r="E3578" t="s">
        <v>7768</v>
      </c>
      <c r="F3578" t="s">
        <v>12807</v>
      </c>
      <c r="G3578" t="s">
        <v>13257</v>
      </c>
      <c r="H3578" t="s">
        <v>30</v>
      </c>
      <c r="I3578" t="b">
        <f>COUNTIF(Estadísticas!I:I,'centraldecomunicacion.es'!H3578)&gt;0</f>
        <v>0</v>
      </c>
    </row>
    <row r="3579" spans="1:9">
      <c r="A3579" t="s">
        <v>13258</v>
      </c>
      <c r="B3579" t="s">
        <v>10</v>
      </c>
      <c r="C3579" t="s">
        <v>13259</v>
      </c>
      <c r="D3579" t="s">
        <v>13253</v>
      </c>
      <c r="E3579" t="s">
        <v>7768</v>
      </c>
      <c r="F3579" t="s">
        <v>28</v>
      </c>
      <c r="G3579" t="s">
        <v>13260</v>
      </c>
      <c r="H3579" t="s">
        <v>30</v>
      </c>
      <c r="I3579" t="b">
        <f>COUNTIF(Estadísticas!I:I,'centraldecomunicacion.es'!H3579)&gt;0</f>
        <v>0</v>
      </c>
    </row>
    <row r="3580" spans="1:9">
      <c r="A3580" t="s">
        <v>13261</v>
      </c>
      <c r="B3580" t="s">
        <v>10</v>
      </c>
      <c r="C3580" t="s">
        <v>13262</v>
      </c>
      <c r="D3580" t="s">
        <v>13253</v>
      </c>
      <c r="E3580" t="s">
        <v>7768</v>
      </c>
      <c r="F3580" t="s">
        <v>12807</v>
      </c>
      <c r="G3580" t="s">
        <v>28</v>
      </c>
      <c r="H3580" t="s">
        <v>30</v>
      </c>
      <c r="I3580" t="b">
        <f>COUNTIF(Estadísticas!I:I,'centraldecomunicacion.es'!H3580)&gt;0</f>
        <v>0</v>
      </c>
    </row>
    <row r="3581" spans="1:9">
      <c r="A3581" t="s">
        <v>13263</v>
      </c>
      <c r="B3581" t="s">
        <v>10</v>
      </c>
      <c r="C3581" t="s">
        <v>13264</v>
      </c>
      <c r="D3581" t="s">
        <v>13265</v>
      </c>
      <c r="E3581" t="s">
        <v>7768</v>
      </c>
      <c r="F3581" t="s">
        <v>28</v>
      </c>
      <c r="G3581" t="s">
        <v>13266</v>
      </c>
      <c r="H3581" t="s">
        <v>30</v>
      </c>
      <c r="I3581" t="b">
        <f>COUNTIF(Estadísticas!I:I,'centraldecomunicacion.es'!H3581)&gt;0</f>
        <v>0</v>
      </c>
    </row>
    <row r="3582" spans="1:9">
      <c r="A3582" t="s">
        <v>1034</v>
      </c>
      <c r="B3582" t="s">
        <v>10</v>
      </c>
      <c r="C3582" t="s">
        <v>13267</v>
      </c>
      <c r="D3582" t="s">
        <v>13268</v>
      </c>
      <c r="E3582" t="s">
        <v>7768</v>
      </c>
      <c r="F3582" t="s">
        <v>28</v>
      </c>
      <c r="G3582" t="s">
        <v>13269</v>
      </c>
      <c r="H3582" t="s">
        <v>30</v>
      </c>
      <c r="I3582" t="b">
        <f>COUNTIF(Estadísticas!I:I,'centraldecomunicacion.es'!H3582)&gt;0</f>
        <v>0</v>
      </c>
    </row>
    <row r="3583" spans="1:9">
      <c r="A3583" t="s">
        <v>13270</v>
      </c>
      <c r="B3583" t="s">
        <v>10</v>
      </c>
      <c r="C3583" t="s">
        <v>13271</v>
      </c>
      <c r="D3583" t="s">
        <v>13253</v>
      </c>
      <c r="E3583" t="s">
        <v>7768</v>
      </c>
      <c r="F3583" t="s">
        <v>28</v>
      </c>
      <c r="G3583" t="s">
        <v>13272</v>
      </c>
      <c r="H3583" t="s">
        <v>30</v>
      </c>
      <c r="I3583" t="b">
        <f>COUNTIF(Estadísticas!I:I,'centraldecomunicacion.es'!H3583)&gt;0</f>
        <v>0</v>
      </c>
    </row>
    <row r="3584" spans="1:9">
      <c r="A3584" t="s">
        <v>13273</v>
      </c>
      <c r="B3584" t="s">
        <v>10</v>
      </c>
      <c r="C3584" t="s">
        <v>13274</v>
      </c>
      <c r="D3584" t="s">
        <v>13248</v>
      </c>
      <c r="E3584" t="s">
        <v>7768</v>
      </c>
      <c r="F3584" t="s">
        <v>28</v>
      </c>
      <c r="G3584" t="s">
        <v>13275</v>
      </c>
      <c r="H3584" t="s">
        <v>30</v>
      </c>
      <c r="I3584" t="b">
        <f>COUNTIF(Estadísticas!I:I,'centraldecomunicacion.es'!H3584)&gt;0</f>
        <v>0</v>
      </c>
    </row>
    <row r="3585" spans="1:9">
      <c r="A3585" t="s">
        <v>13276</v>
      </c>
      <c r="B3585" t="s">
        <v>10</v>
      </c>
      <c r="C3585" t="s">
        <v>13277</v>
      </c>
      <c r="D3585" t="s">
        <v>13278</v>
      </c>
      <c r="E3585" t="s">
        <v>7768</v>
      </c>
      <c r="F3585" t="s">
        <v>28</v>
      </c>
      <c r="G3585" t="s">
        <v>13279</v>
      </c>
      <c r="H3585" t="s">
        <v>30</v>
      </c>
      <c r="I3585" t="b">
        <f>COUNTIF(Estadísticas!I:I,'centraldecomunicacion.es'!H3585)&gt;0</f>
        <v>0</v>
      </c>
    </row>
    <row r="3586" spans="1:9">
      <c r="A3586" t="s">
        <v>13280</v>
      </c>
      <c r="B3586" t="s">
        <v>10</v>
      </c>
      <c r="C3586" t="s">
        <v>13281</v>
      </c>
      <c r="D3586" t="s">
        <v>13282</v>
      </c>
      <c r="E3586" t="s">
        <v>7768</v>
      </c>
      <c r="F3586" t="s">
        <v>50</v>
      </c>
      <c r="G3586" t="s">
        <v>13283</v>
      </c>
      <c r="H3586" t="s">
        <v>30</v>
      </c>
      <c r="I3586" t="b">
        <f>COUNTIF(Estadísticas!I:I,'centraldecomunicacion.es'!H3586)&gt;0</f>
        <v>0</v>
      </c>
    </row>
    <row r="3587" spans="1:9">
      <c r="A3587" t="s">
        <v>7881</v>
      </c>
      <c r="B3587" t="s">
        <v>10</v>
      </c>
      <c r="C3587" t="s">
        <v>13284</v>
      </c>
      <c r="D3587" t="s">
        <v>13253</v>
      </c>
      <c r="E3587" t="s">
        <v>7768</v>
      </c>
      <c r="F3587" t="s">
        <v>28</v>
      </c>
      <c r="G3587" t="s">
        <v>13285</v>
      </c>
      <c r="H3587" t="s">
        <v>30</v>
      </c>
      <c r="I3587" t="b">
        <f>COUNTIF(Estadísticas!I:I,'centraldecomunicacion.es'!H3587)&gt;0</f>
        <v>0</v>
      </c>
    </row>
    <row r="3588" spans="1:9">
      <c r="A3588" t="s">
        <v>13286</v>
      </c>
      <c r="B3588" t="s">
        <v>10</v>
      </c>
      <c r="C3588" t="s">
        <v>13287</v>
      </c>
      <c r="D3588" t="s">
        <v>13288</v>
      </c>
      <c r="E3588" t="s">
        <v>7768</v>
      </c>
      <c r="F3588" t="s">
        <v>13289</v>
      </c>
      <c r="G3588" t="s">
        <v>13290</v>
      </c>
      <c r="H3588" t="s">
        <v>13291</v>
      </c>
      <c r="I3588" t="b">
        <f>COUNTIF(Estadísticas!I:I,'centraldecomunicacion.es'!H3588)&gt;0</f>
        <v>0</v>
      </c>
    </row>
    <row r="3589" spans="1:9">
      <c r="A3589" t="s">
        <v>13292</v>
      </c>
      <c r="B3589" t="s">
        <v>10</v>
      </c>
      <c r="C3589" t="s">
        <v>13293</v>
      </c>
      <c r="D3589" t="s">
        <v>13248</v>
      </c>
      <c r="E3589" t="s">
        <v>7768</v>
      </c>
      <c r="F3589" t="s">
        <v>38</v>
      </c>
      <c r="G3589" t="s">
        <v>13294</v>
      </c>
      <c r="H3589" t="s">
        <v>30</v>
      </c>
      <c r="I3589" t="b">
        <f>COUNTIF(Estadísticas!I:I,'centraldecomunicacion.es'!H3589)&gt;0</f>
        <v>0</v>
      </c>
    </row>
    <row r="3590" spans="1:9">
      <c r="A3590" t="s">
        <v>13295</v>
      </c>
      <c r="B3590" t="s">
        <v>10</v>
      </c>
      <c r="C3590" t="s">
        <v>13296</v>
      </c>
      <c r="D3590" t="s">
        <v>13248</v>
      </c>
      <c r="E3590" t="s">
        <v>7768</v>
      </c>
      <c r="F3590" t="s">
        <v>13297</v>
      </c>
      <c r="G3590" t="s">
        <v>13298</v>
      </c>
      <c r="H3590" t="s">
        <v>13299</v>
      </c>
      <c r="I3590" t="b">
        <f>COUNTIF(Estadísticas!I:I,'centraldecomunicacion.es'!H3590)&gt;0</f>
        <v>0</v>
      </c>
    </row>
    <row r="3591" spans="1:9">
      <c r="A3591" t="s">
        <v>13300</v>
      </c>
      <c r="B3591" t="s">
        <v>10</v>
      </c>
      <c r="C3591" t="s">
        <v>13301</v>
      </c>
      <c r="D3591" t="s">
        <v>13302</v>
      </c>
      <c r="E3591" t="s">
        <v>7768</v>
      </c>
      <c r="F3591" t="s">
        <v>13303</v>
      </c>
      <c r="G3591" t="s">
        <v>13304</v>
      </c>
      <c r="H3591" t="s">
        <v>30</v>
      </c>
      <c r="I3591" t="b">
        <f>COUNTIF(Estadísticas!I:I,'centraldecomunicacion.es'!H3591)&gt;0</f>
        <v>0</v>
      </c>
    </row>
    <row r="3592" spans="1:9">
      <c r="A3592" t="s">
        <v>2718</v>
      </c>
      <c r="B3592" t="s">
        <v>10</v>
      </c>
      <c r="C3592" t="s">
        <v>13305</v>
      </c>
      <c r="D3592" t="s">
        <v>13230</v>
      </c>
      <c r="E3592" t="s">
        <v>7768</v>
      </c>
      <c r="F3592" t="s">
        <v>13306</v>
      </c>
      <c r="G3592" t="s">
        <v>13307</v>
      </c>
      <c r="H3592" t="s">
        <v>30</v>
      </c>
      <c r="I3592" t="b">
        <f>COUNTIF(Estadísticas!I:I,'centraldecomunicacion.es'!H3592)&gt;0</f>
        <v>0</v>
      </c>
    </row>
    <row r="3593" spans="1:9">
      <c r="A3593" t="s">
        <v>13308</v>
      </c>
      <c r="B3593" t="s">
        <v>10</v>
      </c>
      <c r="C3593" t="s">
        <v>13309</v>
      </c>
      <c r="D3593" t="s">
        <v>13253</v>
      </c>
      <c r="E3593" t="s">
        <v>7768</v>
      </c>
      <c r="F3593" t="s">
        <v>13310</v>
      </c>
      <c r="G3593" t="s">
        <v>13311</v>
      </c>
      <c r="H3593" t="s">
        <v>30</v>
      </c>
      <c r="I3593" t="b">
        <f>COUNTIF(Estadísticas!I:I,'centraldecomunicacion.es'!H3593)&gt;0</f>
        <v>0</v>
      </c>
    </row>
    <row r="3594" spans="1:9">
      <c r="A3594" t="s">
        <v>13312</v>
      </c>
      <c r="B3594" t="s">
        <v>10</v>
      </c>
      <c r="C3594" t="s">
        <v>13313</v>
      </c>
      <c r="D3594" t="s">
        <v>13265</v>
      </c>
      <c r="E3594" t="s">
        <v>7768</v>
      </c>
      <c r="F3594" t="s">
        <v>38</v>
      </c>
      <c r="G3594" t="s">
        <v>13314</v>
      </c>
      <c r="H3594" t="s">
        <v>30</v>
      </c>
      <c r="I3594" t="b">
        <f>COUNTIF(Estadísticas!I:I,'centraldecomunicacion.es'!H3594)&gt;0</f>
        <v>0</v>
      </c>
    </row>
    <row r="3595" spans="1:9">
      <c r="A3595" t="s">
        <v>13315</v>
      </c>
      <c r="B3595" t="s">
        <v>10</v>
      </c>
      <c r="C3595" t="s">
        <v>13316</v>
      </c>
      <c r="D3595" t="s">
        <v>9303</v>
      </c>
      <c r="E3595" t="s">
        <v>9303</v>
      </c>
      <c r="F3595" t="s">
        <v>13317</v>
      </c>
      <c r="G3595" t="s">
        <v>13318</v>
      </c>
      <c r="H3595" t="s">
        <v>13319</v>
      </c>
      <c r="I3595" t="b">
        <f>COUNTIF(Estadísticas!I:I,'centraldecomunicacion.es'!H3595)&gt;0</f>
        <v>1</v>
      </c>
    </row>
    <row r="3596" spans="1:9">
      <c r="A3596" t="s">
        <v>13320</v>
      </c>
      <c r="B3596" t="s">
        <v>10</v>
      </c>
      <c r="C3596" t="s">
        <v>13321</v>
      </c>
      <c r="D3596" t="s">
        <v>9303</v>
      </c>
      <c r="E3596" t="s">
        <v>9303</v>
      </c>
      <c r="F3596" t="s">
        <v>13322</v>
      </c>
      <c r="G3596" t="s">
        <v>13323</v>
      </c>
      <c r="H3596" t="s">
        <v>13324</v>
      </c>
      <c r="I3596" t="b">
        <f>COUNTIF(Estadísticas!I:I,'centraldecomunicacion.es'!H3596)&gt;0</f>
        <v>0</v>
      </c>
    </row>
    <row r="3597" spans="1:9">
      <c r="A3597" t="s">
        <v>13325</v>
      </c>
      <c r="B3597" t="s">
        <v>10</v>
      </c>
      <c r="C3597" t="s">
        <v>13326</v>
      </c>
      <c r="D3597" t="s">
        <v>9303</v>
      </c>
      <c r="E3597" t="s">
        <v>9303</v>
      </c>
      <c r="F3597" t="s">
        <v>13327</v>
      </c>
      <c r="G3597" t="s">
        <v>13328</v>
      </c>
      <c r="H3597" t="s">
        <v>30</v>
      </c>
      <c r="I3597" t="b">
        <f>COUNTIF(Estadísticas!I:I,'centraldecomunicacion.es'!H3597)&gt;0</f>
        <v>0</v>
      </c>
    </row>
    <row r="3598" spans="1:9">
      <c r="A3598" t="s">
        <v>13329</v>
      </c>
      <c r="B3598" t="s">
        <v>10</v>
      </c>
      <c r="C3598" t="s">
        <v>13330</v>
      </c>
      <c r="D3598" t="s">
        <v>9303</v>
      </c>
      <c r="E3598" t="s">
        <v>9303</v>
      </c>
      <c r="F3598" t="s">
        <v>13331</v>
      </c>
      <c r="G3598" t="s">
        <v>13332</v>
      </c>
      <c r="H3598" t="s">
        <v>30</v>
      </c>
      <c r="I3598" t="b">
        <f>COUNTIF(Estadísticas!I:I,'centraldecomunicacion.es'!H3598)&gt;0</f>
        <v>0</v>
      </c>
    </row>
    <row r="3599" spans="1:9">
      <c r="A3599" t="s">
        <v>13333</v>
      </c>
      <c r="B3599" t="s">
        <v>10</v>
      </c>
      <c r="C3599" t="s">
        <v>13334</v>
      </c>
      <c r="D3599" t="s">
        <v>9303</v>
      </c>
      <c r="E3599" t="s">
        <v>9303</v>
      </c>
      <c r="F3599" t="s">
        <v>28</v>
      </c>
      <c r="G3599" t="s">
        <v>13335</v>
      </c>
      <c r="H3599" t="s">
        <v>30</v>
      </c>
      <c r="I3599" t="b">
        <f>COUNTIF(Estadísticas!I:I,'centraldecomunicacion.es'!H3599)&gt;0</f>
        <v>0</v>
      </c>
    </row>
    <row r="3600" spans="1:9">
      <c r="A3600" t="s">
        <v>13336</v>
      </c>
      <c r="B3600" t="s">
        <v>10</v>
      </c>
      <c r="C3600" t="s">
        <v>13337</v>
      </c>
      <c r="D3600" t="s">
        <v>9303</v>
      </c>
      <c r="E3600" t="s">
        <v>9303</v>
      </c>
      <c r="F3600" t="s">
        <v>13338</v>
      </c>
      <c r="G3600" t="s">
        <v>13339</v>
      </c>
      <c r="H3600" t="s">
        <v>13340</v>
      </c>
      <c r="I3600" t="b">
        <f>COUNTIF(Estadísticas!I:I,'centraldecomunicacion.es'!H3600)&gt;0</f>
        <v>1</v>
      </c>
    </row>
    <row r="3601" spans="1:9">
      <c r="A3601" t="s">
        <v>13341</v>
      </c>
      <c r="B3601" t="s">
        <v>10</v>
      </c>
      <c r="C3601" t="s">
        <v>13342</v>
      </c>
      <c r="D3601" t="s">
        <v>9303</v>
      </c>
      <c r="E3601" t="s">
        <v>9303</v>
      </c>
      <c r="F3601" t="s">
        <v>13343</v>
      </c>
      <c r="G3601" t="s">
        <v>13344</v>
      </c>
      <c r="H3601" t="s">
        <v>13345</v>
      </c>
      <c r="I3601" t="b">
        <f>COUNTIF(Estadísticas!I:I,'centraldecomunicacion.es'!H3601)&gt;0</f>
        <v>1</v>
      </c>
    </row>
    <row r="3602" spans="1:9">
      <c r="A3602" t="s">
        <v>13346</v>
      </c>
      <c r="B3602" t="s">
        <v>10</v>
      </c>
      <c r="C3602" t="s">
        <v>13347</v>
      </c>
      <c r="D3602" t="s">
        <v>9303</v>
      </c>
      <c r="E3602" t="s">
        <v>9303</v>
      </c>
      <c r="F3602" t="s">
        <v>28</v>
      </c>
      <c r="G3602" t="s">
        <v>13348</v>
      </c>
      <c r="H3602" t="s">
        <v>30</v>
      </c>
      <c r="I3602" t="b">
        <f>COUNTIF(Estadísticas!I:I,'centraldecomunicacion.es'!H3602)&gt;0</f>
        <v>0</v>
      </c>
    </row>
    <row r="3603" spans="1:9">
      <c r="A3603" t="s">
        <v>13349</v>
      </c>
      <c r="B3603" t="s">
        <v>10</v>
      </c>
      <c r="C3603" t="s">
        <v>13350</v>
      </c>
      <c r="D3603" t="s">
        <v>9303</v>
      </c>
      <c r="E3603" t="s">
        <v>9303</v>
      </c>
      <c r="F3603" t="s">
        <v>28</v>
      </c>
      <c r="G3603" t="s">
        <v>13351</v>
      </c>
      <c r="H3603" t="s">
        <v>30</v>
      </c>
      <c r="I3603" t="b">
        <f>COUNTIF(Estadísticas!I:I,'centraldecomunicacion.es'!H3603)&gt;0</f>
        <v>0</v>
      </c>
    </row>
    <row r="3604" spans="1:9">
      <c r="A3604" t="s">
        <v>13352</v>
      </c>
      <c r="B3604" t="s">
        <v>10</v>
      </c>
      <c r="C3604" t="s">
        <v>13353</v>
      </c>
      <c r="D3604" t="s">
        <v>9303</v>
      </c>
      <c r="E3604" t="s">
        <v>9303</v>
      </c>
      <c r="F3604" t="s">
        <v>28</v>
      </c>
      <c r="G3604" t="s">
        <v>13354</v>
      </c>
      <c r="H3604" t="s">
        <v>30</v>
      </c>
      <c r="I3604" t="b">
        <f>COUNTIF(Estadísticas!I:I,'centraldecomunicacion.es'!H3604)&gt;0</f>
        <v>0</v>
      </c>
    </row>
    <row r="3605" spans="1:9">
      <c r="A3605" t="s">
        <v>13355</v>
      </c>
      <c r="B3605" t="s">
        <v>10</v>
      </c>
      <c r="C3605" t="s">
        <v>13356</v>
      </c>
      <c r="D3605" t="s">
        <v>9303</v>
      </c>
      <c r="E3605" t="s">
        <v>9303</v>
      </c>
      <c r="F3605" t="s">
        <v>13357</v>
      </c>
      <c r="G3605" t="s">
        <v>13358</v>
      </c>
      <c r="H3605" t="s">
        <v>30</v>
      </c>
      <c r="I3605" t="b">
        <f>COUNTIF(Estadísticas!I:I,'centraldecomunicacion.es'!H3605)&gt;0</f>
        <v>0</v>
      </c>
    </row>
    <row r="3606" spans="1:9">
      <c r="A3606" t="s">
        <v>13359</v>
      </c>
      <c r="B3606" t="s">
        <v>10</v>
      </c>
      <c r="C3606" t="s">
        <v>13360</v>
      </c>
      <c r="D3606" t="s">
        <v>9303</v>
      </c>
      <c r="E3606" t="s">
        <v>9303</v>
      </c>
      <c r="F3606" t="s">
        <v>13361</v>
      </c>
      <c r="G3606" t="s">
        <v>13362</v>
      </c>
      <c r="H3606" t="s">
        <v>13363</v>
      </c>
      <c r="I3606" t="b">
        <f>COUNTIF(Estadísticas!I:I,'centraldecomunicacion.es'!H3606)&gt;0</f>
        <v>0</v>
      </c>
    </row>
    <row r="3607" spans="1:9">
      <c r="A3607" t="s">
        <v>13364</v>
      </c>
      <c r="B3607" t="s">
        <v>10</v>
      </c>
      <c r="C3607" t="s">
        <v>13365</v>
      </c>
      <c r="D3607" t="s">
        <v>9303</v>
      </c>
      <c r="E3607" t="s">
        <v>9303</v>
      </c>
      <c r="F3607" t="s">
        <v>746</v>
      </c>
      <c r="G3607" t="s">
        <v>13366</v>
      </c>
      <c r="H3607" t="s">
        <v>30</v>
      </c>
      <c r="I3607" t="b">
        <f>COUNTIF(Estadísticas!I:I,'centraldecomunicacion.es'!H3607)&gt;0</f>
        <v>0</v>
      </c>
    </row>
    <row r="3608" spans="1:9">
      <c r="A3608" t="s">
        <v>11271</v>
      </c>
      <c r="B3608" t="s">
        <v>10</v>
      </c>
      <c r="C3608" t="s">
        <v>13367</v>
      </c>
      <c r="D3608" t="s">
        <v>9303</v>
      </c>
      <c r="E3608" t="s">
        <v>9303</v>
      </c>
      <c r="F3608" t="s">
        <v>28</v>
      </c>
      <c r="G3608" t="s">
        <v>13368</v>
      </c>
      <c r="H3608" t="s">
        <v>30</v>
      </c>
      <c r="I3608" t="b">
        <f>COUNTIF(Estadísticas!I:I,'centraldecomunicacion.es'!H3608)&gt;0</f>
        <v>0</v>
      </c>
    </row>
    <row r="3609" spans="1:9">
      <c r="A3609" t="s">
        <v>13369</v>
      </c>
      <c r="B3609" t="s">
        <v>10</v>
      </c>
      <c r="C3609" t="s">
        <v>13370</v>
      </c>
      <c r="D3609" t="s">
        <v>9303</v>
      </c>
      <c r="E3609" t="s">
        <v>9303</v>
      </c>
      <c r="F3609" t="s">
        <v>13371</v>
      </c>
      <c r="G3609" t="s">
        <v>13372</v>
      </c>
      <c r="H3609" t="s">
        <v>30</v>
      </c>
      <c r="I3609" t="b">
        <f>COUNTIF(Estadísticas!I:I,'centraldecomunicacion.es'!H3609)&gt;0</f>
        <v>0</v>
      </c>
    </row>
    <row r="3610" spans="1:9">
      <c r="A3610" t="s">
        <v>13373</v>
      </c>
      <c r="B3610" t="s">
        <v>10</v>
      </c>
      <c r="C3610" t="s">
        <v>13374</v>
      </c>
      <c r="D3610" t="s">
        <v>9303</v>
      </c>
      <c r="E3610" t="s">
        <v>9303</v>
      </c>
      <c r="F3610" t="s">
        <v>13375</v>
      </c>
      <c r="G3610" t="s">
        <v>13376</v>
      </c>
      <c r="H3610" t="s">
        <v>13377</v>
      </c>
      <c r="I3610" t="b">
        <f>COUNTIF(Estadísticas!I:I,'centraldecomunicacion.es'!H3610)&gt;0</f>
        <v>1</v>
      </c>
    </row>
    <row r="3611" spans="1:9">
      <c r="A3611" t="s">
        <v>13378</v>
      </c>
      <c r="B3611" t="s">
        <v>10</v>
      </c>
      <c r="C3611" t="s">
        <v>13379</v>
      </c>
      <c r="D3611" t="s">
        <v>9303</v>
      </c>
      <c r="E3611" t="s">
        <v>9303</v>
      </c>
      <c r="F3611" t="s">
        <v>13380</v>
      </c>
      <c r="G3611" t="s">
        <v>13381</v>
      </c>
      <c r="H3611" t="s">
        <v>13382</v>
      </c>
      <c r="I3611" t="b">
        <f>COUNTIF(Estadísticas!I:I,'centraldecomunicacion.es'!H3611)&gt;0</f>
        <v>1</v>
      </c>
    </row>
    <row r="3612" spans="1:9">
      <c r="A3612" t="s">
        <v>13383</v>
      </c>
      <c r="B3612" t="s">
        <v>10</v>
      </c>
      <c r="C3612" t="s">
        <v>13384</v>
      </c>
      <c r="D3612" t="s">
        <v>9303</v>
      </c>
      <c r="E3612" t="s">
        <v>9303</v>
      </c>
      <c r="F3612" t="s">
        <v>50</v>
      </c>
      <c r="G3612" t="s">
        <v>13385</v>
      </c>
      <c r="H3612" t="s">
        <v>30</v>
      </c>
      <c r="I3612" t="b">
        <f>COUNTIF(Estadísticas!I:I,'centraldecomunicacion.es'!H3612)&gt;0</f>
        <v>0</v>
      </c>
    </row>
    <row r="3613" spans="1:9">
      <c r="A3613" t="s">
        <v>13386</v>
      </c>
      <c r="B3613" t="s">
        <v>10</v>
      </c>
      <c r="C3613" t="s">
        <v>13387</v>
      </c>
      <c r="D3613" t="s">
        <v>9303</v>
      </c>
      <c r="E3613" t="s">
        <v>9303</v>
      </c>
      <c r="F3613" t="s">
        <v>13388</v>
      </c>
      <c r="G3613" t="s">
        <v>13389</v>
      </c>
      <c r="H3613" t="s">
        <v>30</v>
      </c>
      <c r="I3613" t="b">
        <f>COUNTIF(Estadísticas!I:I,'centraldecomunicacion.es'!H3613)&gt;0</f>
        <v>0</v>
      </c>
    </row>
    <row r="3614" spans="1:9">
      <c r="A3614" t="s">
        <v>13390</v>
      </c>
      <c r="B3614" t="s">
        <v>10</v>
      </c>
      <c r="C3614" t="s">
        <v>13391</v>
      </c>
      <c r="D3614" t="s">
        <v>9303</v>
      </c>
      <c r="E3614" t="s">
        <v>9303</v>
      </c>
      <c r="F3614" t="s">
        <v>28</v>
      </c>
      <c r="G3614" t="s">
        <v>28</v>
      </c>
      <c r="H3614" t="s">
        <v>30</v>
      </c>
      <c r="I3614" t="b">
        <f>COUNTIF(Estadísticas!I:I,'centraldecomunicacion.es'!H3614)&gt;0</f>
        <v>0</v>
      </c>
    </row>
    <row r="3615" spans="1:9">
      <c r="A3615" t="s">
        <v>13392</v>
      </c>
      <c r="B3615" t="s">
        <v>10</v>
      </c>
      <c r="C3615" t="s">
        <v>13393</v>
      </c>
      <c r="D3615" t="s">
        <v>9303</v>
      </c>
      <c r="E3615" t="s">
        <v>9303</v>
      </c>
      <c r="F3615" t="s">
        <v>28</v>
      </c>
      <c r="G3615" t="s">
        <v>13394</v>
      </c>
      <c r="H3615" t="s">
        <v>30</v>
      </c>
      <c r="I3615" t="b">
        <f>COUNTIF(Estadísticas!I:I,'centraldecomunicacion.es'!H3615)&gt;0</f>
        <v>0</v>
      </c>
    </row>
    <row r="3616" spans="1:9">
      <c r="A3616" t="s">
        <v>13395</v>
      </c>
      <c r="B3616" t="s">
        <v>10</v>
      </c>
      <c r="C3616" t="s">
        <v>13396</v>
      </c>
      <c r="D3616" t="s">
        <v>13397</v>
      </c>
      <c r="E3616" t="s">
        <v>9303</v>
      </c>
      <c r="F3616" t="s">
        <v>28</v>
      </c>
      <c r="G3616" t="s">
        <v>13398</v>
      </c>
      <c r="H3616" t="s">
        <v>30</v>
      </c>
      <c r="I3616" t="b">
        <f>COUNTIF(Estadísticas!I:I,'centraldecomunicacion.es'!H3616)&gt;0</f>
        <v>0</v>
      </c>
    </row>
    <row r="3617" spans="1:9">
      <c r="A3617" t="s">
        <v>13399</v>
      </c>
      <c r="B3617" t="s">
        <v>10</v>
      </c>
      <c r="C3617" t="s">
        <v>13400</v>
      </c>
      <c r="D3617" t="s">
        <v>9303</v>
      </c>
      <c r="E3617" t="s">
        <v>9303</v>
      </c>
      <c r="F3617" t="s">
        <v>13401</v>
      </c>
      <c r="G3617" t="s">
        <v>13402</v>
      </c>
      <c r="H3617" t="s">
        <v>30</v>
      </c>
      <c r="I3617" t="b">
        <f>COUNTIF(Estadísticas!I:I,'centraldecomunicacion.es'!H3617)&gt;0</f>
        <v>0</v>
      </c>
    </row>
    <row r="3618" spans="1:9">
      <c r="A3618" t="s">
        <v>13403</v>
      </c>
      <c r="B3618" t="s">
        <v>10</v>
      </c>
      <c r="C3618" t="s">
        <v>13404</v>
      </c>
      <c r="D3618" t="s">
        <v>9303</v>
      </c>
      <c r="E3618" t="s">
        <v>9303</v>
      </c>
      <c r="F3618" t="s">
        <v>28</v>
      </c>
      <c r="G3618" t="s">
        <v>13405</v>
      </c>
      <c r="H3618" t="s">
        <v>30</v>
      </c>
      <c r="I3618" t="b">
        <f>COUNTIF(Estadísticas!I:I,'centraldecomunicacion.es'!H3618)&gt;0</f>
        <v>0</v>
      </c>
    </row>
    <row r="3619" spans="1:9">
      <c r="A3619" t="s">
        <v>13406</v>
      </c>
      <c r="B3619" t="s">
        <v>10</v>
      </c>
      <c r="C3619" t="s">
        <v>13407</v>
      </c>
      <c r="D3619" t="s">
        <v>9303</v>
      </c>
      <c r="E3619" t="s">
        <v>9303</v>
      </c>
      <c r="F3619" t="s">
        <v>13408</v>
      </c>
      <c r="G3619" t="s">
        <v>13409</v>
      </c>
      <c r="H3619" t="s">
        <v>13410</v>
      </c>
      <c r="I3619" t="b">
        <f>COUNTIF(Estadísticas!I:I,'centraldecomunicacion.es'!H3619)&gt;0</f>
        <v>1</v>
      </c>
    </row>
    <row r="3620" spans="1:9">
      <c r="A3620" t="s">
        <v>13411</v>
      </c>
      <c r="B3620" t="s">
        <v>10</v>
      </c>
      <c r="C3620" t="s">
        <v>13412</v>
      </c>
      <c r="D3620" t="s">
        <v>9303</v>
      </c>
      <c r="E3620" t="s">
        <v>9303</v>
      </c>
      <c r="F3620" t="s">
        <v>28</v>
      </c>
      <c r="G3620" t="s">
        <v>13413</v>
      </c>
      <c r="H3620" t="s">
        <v>30</v>
      </c>
      <c r="I3620" t="b">
        <f>COUNTIF(Estadísticas!I:I,'centraldecomunicacion.es'!H3620)&gt;0</f>
        <v>0</v>
      </c>
    </row>
    <row r="3621" spans="1:9">
      <c r="A3621" t="s">
        <v>13414</v>
      </c>
      <c r="B3621" t="s">
        <v>10</v>
      </c>
      <c r="C3621" t="s">
        <v>13415</v>
      </c>
      <c r="D3621" t="s">
        <v>9303</v>
      </c>
      <c r="E3621" t="s">
        <v>9303</v>
      </c>
      <c r="F3621" t="s">
        <v>13416</v>
      </c>
      <c r="G3621" t="s">
        <v>13417</v>
      </c>
      <c r="H3621" t="s">
        <v>1643</v>
      </c>
      <c r="I3621" t="b">
        <f>COUNTIF(Estadísticas!I:I,'centraldecomunicacion.es'!H3621)&gt;0</f>
        <v>0</v>
      </c>
    </row>
    <row r="3622" spans="1:9">
      <c r="A3622" t="s">
        <v>13418</v>
      </c>
      <c r="B3622" t="s">
        <v>10</v>
      </c>
      <c r="C3622" t="s">
        <v>13419</v>
      </c>
      <c r="D3622" t="s">
        <v>13420</v>
      </c>
      <c r="E3622" t="s">
        <v>13421</v>
      </c>
      <c r="F3622" t="s">
        <v>13408</v>
      </c>
      <c r="G3622" t="s">
        <v>13422</v>
      </c>
      <c r="H3622" t="s">
        <v>13410</v>
      </c>
      <c r="I3622" t="b">
        <f>COUNTIF(Estadísticas!I:I,'centraldecomunicacion.es'!H3622)&gt;0</f>
        <v>1</v>
      </c>
    </row>
    <row r="3623" spans="1:9">
      <c r="A3623" t="s">
        <v>13423</v>
      </c>
      <c r="B3623" t="s">
        <v>10</v>
      </c>
      <c r="C3623" t="s">
        <v>13424</v>
      </c>
      <c r="D3623" t="s">
        <v>9303</v>
      </c>
      <c r="E3623" t="s">
        <v>9303</v>
      </c>
      <c r="F3623" t="s">
        <v>28</v>
      </c>
      <c r="G3623" t="s">
        <v>13425</v>
      </c>
      <c r="H3623" t="s">
        <v>30</v>
      </c>
      <c r="I3623" t="b">
        <f>COUNTIF(Estadísticas!I:I,'centraldecomunicacion.es'!H3623)&gt;0</f>
        <v>0</v>
      </c>
    </row>
    <row r="3624" spans="1:9">
      <c r="A3624" t="s">
        <v>13426</v>
      </c>
      <c r="B3624" t="s">
        <v>10</v>
      </c>
      <c r="C3624" t="s">
        <v>13427</v>
      </c>
      <c r="D3624" t="s">
        <v>13428</v>
      </c>
      <c r="E3624" t="s">
        <v>9303</v>
      </c>
      <c r="F3624" t="s">
        <v>28</v>
      </c>
      <c r="G3624" t="s">
        <v>13429</v>
      </c>
      <c r="H3624" t="s">
        <v>30</v>
      </c>
      <c r="I3624" t="b">
        <f>COUNTIF(Estadísticas!I:I,'centraldecomunicacion.es'!H3624)&gt;0</f>
        <v>0</v>
      </c>
    </row>
    <row r="3625" spans="1:9">
      <c r="A3625" t="s">
        <v>13430</v>
      </c>
      <c r="B3625" t="s">
        <v>10</v>
      </c>
      <c r="C3625" t="s">
        <v>13431</v>
      </c>
      <c r="D3625" t="s">
        <v>13432</v>
      </c>
      <c r="E3625" t="s">
        <v>9303</v>
      </c>
      <c r="F3625" t="s">
        <v>13433</v>
      </c>
      <c r="G3625" t="s">
        <v>13434</v>
      </c>
      <c r="H3625" t="s">
        <v>13435</v>
      </c>
      <c r="I3625" t="b">
        <f>COUNTIF(Estadísticas!I:I,'centraldecomunicacion.es'!H3625)&gt;0</f>
        <v>1</v>
      </c>
    </row>
    <row r="3626" spans="1:9">
      <c r="A3626" t="s">
        <v>13436</v>
      </c>
      <c r="B3626" t="s">
        <v>10</v>
      </c>
      <c r="C3626" t="s">
        <v>13437</v>
      </c>
      <c r="D3626" t="s">
        <v>13432</v>
      </c>
      <c r="E3626" t="s">
        <v>9303</v>
      </c>
      <c r="F3626" t="s">
        <v>28</v>
      </c>
      <c r="G3626" t="s">
        <v>13438</v>
      </c>
      <c r="H3626" t="s">
        <v>30</v>
      </c>
      <c r="I3626" t="b">
        <f>COUNTIF(Estadísticas!I:I,'centraldecomunicacion.es'!H3626)&gt;0</f>
        <v>0</v>
      </c>
    </row>
    <row r="3627" spans="1:9">
      <c r="A3627" t="s">
        <v>13439</v>
      </c>
      <c r="B3627" t="s">
        <v>10</v>
      </c>
      <c r="C3627" t="s">
        <v>13440</v>
      </c>
      <c r="D3627" t="s">
        <v>13441</v>
      </c>
      <c r="E3627" t="s">
        <v>9303</v>
      </c>
      <c r="F3627" t="s">
        <v>13442</v>
      </c>
      <c r="G3627" t="s">
        <v>13443</v>
      </c>
      <c r="H3627" t="s">
        <v>30</v>
      </c>
      <c r="I3627" t="b">
        <f>COUNTIF(Estadísticas!I:I,'centraldecomunicacion.es'!H3627)&gt;0</f>
        <v>0</v>
      </c>
    </row>
    <row r="3628" spans="1:9">
      <c r="A3628" t="s">
        <v>13444</v>
      </c>
      <c r="B3628" t="s">
        <v>10</v>
      </c>
      <c r="C3628" t="s">
        <v>13445</v>
      </c>
      <c r="D3628" t="s">
        <v>13432</v>
      </c>
      <c r="E3628" t="s">
        <v>9303</v>
      </c>
      <c r="F3628" t="s">
        <v>13416</v>
      </c>
      <c r="G3628" t="s">
        <v>13446</v>
      </c>
      <c r="H3628" t="s">
        <v>1643</v>
      </c>
      <c r="I3628" t="b">
        <f>COUNTIF(Estadísticas!I:I,'centraldecomunicacion.es'!H3628)&gt;0</f>
        <v>0</v>
      </c>
    </row>
    <row r="3629" spans="1:9">
      <c r="A3629" t="s">
        <v>13447</v>
      </c>
      <c r="B3629" t="s">
        <v>10</v>
      </c>
      <c r="C3629" t="s">
        <v>13448</v>
      </c>
      <c r="D3629" t="s">
        <v>13449</v>
      </c>
      <c r="E3629" t="s">
        <v>9303</v>
      </c>
      <c r="F3629" t="s">
        <v>28</v>
      </c>
      <c r="G3629" t="s">
        <v>28</v>
      </c>
      <c r="H3629" t="s">
        <v>30</v>
      </c>
      <c r="I3629" t="b">
        <f>COUNTIF(Estadísticas!I:I,'centraldecomunicacion.es'!H3629)&gt;0</f>
        <v>0</v>
      </c>
    </row>
    <row r="3630" spans="1:9">
      <c r="A3630" t="s">
        <v>13450</v>
      </c>
      <c r="B3630" t="s">
        <v>10</v>
      </c>
      <c r="C3630" t="s">
        <v>13451</v>
      </c>
      <c r="D3630" t="s">
        <v>13452</v>
      </c>
      <c r="E3630" t="s">
        <v>9303</v>
      </c>
      <c r="F3630" t="s">
        <v>28</v>
      </c>
      <c r="G3630" t="s">
        <v>13453</v>
      </c>
      <c r="H3630" t="s">
        <v>30</v>
      </c>
      <c r="I3630" t="b">
        <f>COUNTIF(Estadísticas!I:I,'centraldecomunicacion.es'!H3630)&gt;0</f>
        <v>0</v>
      </c>
    </row>
    <row r="3631" spans="1:9">
      <c r="A3631" t="s">
        <v>2641</v>
      </c>
      <c r="B3631" t="s">
        <v>10</v>
      </c>
      <c r="C3631" t="s">
        <v>13454</v>
      </c>
      <c r="D3631" t="s">
        <v>13455</v>
      </c>
      <c r="E3631" t="s">
        <v>9303</v>
      </c>
      <c r="F3631" t="s">
        <v>28</v>
      </c>
      <c r="G3631" t="s">
        <v>13456</v>
      </c>
      <c r="H3631" t="s">
        <v>30</v>
      </c>
      <c r="I3631" t="b">
        <f>COUNTIF(Estadísticas!I:I,'centraldecomunicacion.es'!H3631)&gt;0</f>
        <v>0</v>
      </c>
    </row>
    <row r="3632" spans="1:9">
      <c r="A3632" t="s">
        <v>13457</v>
      </c>
      <c r="B3632" t="s">
        <v>10</v>
      </c>
      <c r="C3632" t="s">
        <v>13458</v>
      </c>
      <c r="D3632" t="s">
        <v>13459</v>
      </c>
      <c r="E3632" t="s">
        <v>9303</v>
      </c>
      <c r="F3632" t="s">
        <v>28</v>
      </c>
      <c r="G3632" t="s">
        <v>13460</v>
      </c>
      <c r="H3632" t="s">
        <v>30</v>
      </c>
      <c r="I3632" t="b">
        <f>COUNTIF(Estadísticas!I:I,'centraldecomunicacion.es'!H3632)&gt;0</f>
        <v>0</v>
      </c>
    </row>
    <row r="3633" spans="1:9">
      <c r="A3633" t="s">
        <v>13461</v>
      </c>
      <c r="B3633" t="s">
        <v>10</v>
      </c>
      <c r="C3633" t="s">
        <v>13462</v>
      </c>
      <c r="D3633" t="s">
        <v>13463</v>
      </c>
      <c r="E3633" t="s">
        <v>9303</v>
      </c>
      <c r="F3633" t="s">
        <v>28</v>
      </c>
      <c r="G3633" t="s">
        <v>13464</v>
      </c>
      <c r="H3633" t="s">
        <v>30</v>
      </c>
      <c r="I3633" t="b">
        <f>COUNTIF(Estadísticas!I:I,'centraldecomunicacion.es'!H3633)&gt;0</f>
        <v>0</v>
      </c>
    </row>
    <row r="3634" spans="1:9">
      <c r="A3634" t="s">
        <v>13465</v>
      </c>
      <c r="B3634" t="s">
        <v>10</v>
      </c>
      <c r="C3634" t="s">
        <v>13466</v>
      </c>
      <c r="D3634" t="s">
        <v>13459</v>
      </c>
      <c r="E3634" t="s">
        <v>9303</v>
      </c>
      <c r="F3634" t="s">
        <v>28</v>
      </c>
      <c r="G3634" t="s">
        <v>13467</v>
      </c>
      <c r="H3634" t="s">
        <v>30</v>
      </c>
      <c r="I3634" t="b">
        <f>COUNTIF(Estadísticas!I:I,'centraldecomunicacion.es'!H3634)&gt;0</f>
        <v>0</v>
      </c>
    </row>
    <row r="3635" spans="1:9">
      <c r="A3635" t="s">
        <v>13468</v>
      </c>
      <c r="B3635" t="s">
        <v>10</v>
      </c>
      <c r="C3635" t="s">
        <v>13469</v>
      </c>
      <c r="D3635" t="s">
        <v>13470</v>
      </c>
      <c r="E3635" t="s">
        <v>9303</v>
      </c>
      <c r="F3635" t="s">
        <v>13361</v>
      </c>
      <c r="G3635" t="s">
        <v>13471</v>
      </c>
      <c r="H3635" t="s">
        <v>13363</v>
      </c>
      <c r="I3635" t="b">
        <f>COUNTIF(Estadísticas!I:I,'centraldecomunicacion.es'!H3635)&gt;0</f>
        <v>0</v>
      </c>
    </row>
    <row r="3636" spans="1:9">
      <c r="A3636" t="s">
        <v>13472</v>
      </c>
      <c r="B3636" t="s">
        <v>10</v>
      </c>
      <c r="C3636" t="s">
        <v>13473</v>
      </c>
      <c r="D3636" t="s">
        <v>13474</v>
      </c>
      <c r="E3636" t="s">
        <v>9303</v>
      </c>
      <c r="F3636" t="s">
        <v>28</v>
      </c>
      <c r="G3636" t="s">
        <v>13475</v>
      </c>
      <c r="H3636" t="s">
        <v>30</v>
      </c>
      <c r="I3636" t="b">
        <f>COUNTIF(Estadísticas!I:I,'centraldecomunicacion.es'!H3636)&gt;0</f>
        <v>0</v>
      </c>
    </row>
    <row r="3637" spans="1:9">
      <c r="A3637" t="s">
        <v>13476</v>
      </c>
      <c r="B3637" t="s">
        <v>10</v>
      </c>
      <c r="C3637" t="s">
        <v>13477</v>
      </c>
      <c r="D3637" t="s">
        <v>13470</v>
      </c>
      <c r="E3637" t="s">
        <v>9303</v>
      </c>
      <c r="F3637" t="s">
        <v>28</v>
      </c>
      <c r="G3637" t="s">
        <v>28</v>
      </c>
      <c r="H3637" t="s">
        <v>30</v>
      </c>
      <c r="I3637" t="b">
        <f>COUNTIF(Estadísticas!I:I,'centraldecomunicacion.es'!H3637)&gt;0</f>
        <v>0</v>
      </c>
    </row>
    <row r="3638" spans="1:9">
      <c r="A3638" t="s">
        <v>13478</v>
      </c>
      <c r="B3638" t="s">
        <v>10</v>
      </c>
      <c r="C3638" t="s">
        <v>13479</v>
      </c>
      <c r="D3638" t="s">
        <v>13474</v>
      </c>
      <c r="E3638" t="s">
        <v>9303</v>
      </c>
      <c r="F3638" t="s">
        <v>28</v>
      </c>
      <c r="G3638" t="s">
        <v>13480</v>
      </c>
      <c r="H3638" t="s">
        <v>30</v>
      </c>
      <c r="I3638" t="b">
        <f>COUNTIF(Estadísticas!I:I,'centraldecomunicacion.es'!H3638)&gt;0</f>
        <v>0</v>
      </c>
    </row>
    <row r="3639" spans="1:9">
      <c r="A3639" t="s">
        <v>13481</v>
      </c>
      <c r="B3639" t="s">
        <v>10</v>
      </c>
      <c r="C3639" t="s">
        <v>13482</v>
      </c>
      <c r="D3639" t="s">
        <v>13483</v>
      </c>
      <c r="E3639" t="s">
        <v>9303</v>
      </c>
      <c r="F3639" t="s">
        <v>13484</v>
      </c>
      <c r="G3639" t="s">
        <v>13485</v>
      </c>
      <c r="H3639" t="s">
        <v>1643</v>
      </c>
      <c r="I3639" t="b">
        <f>COUNTIF(Estadísticas!I:I,'centraldecomunicacion.es'!H3639)&gt;0</f>
        <v>0</v>
      </c>
    </row>
    <row r="3640" spans="1:9">
      <c r="A3640" t="s">
        <v>13486</v>
      </c>
      <c r="B3640" t="s">
        <v>10</v>
      </c>
      <c r="C3640" t="s">
        <v>13487</v>
      </c>
      <c r="D3640" t="s">
        <v>13483</v>
      </c>
      <c r="E3640" t="s">
        <v>9303</v>
      </c>
      <c r="F3640" t="s">
        <v>13488</v>
      </c>
      <c r="G3640" t="s">
        <v>13489</v>
      </c>
      <c r="H3640" t="s">
        <v>1643</v>
      </c>
      <c r="I3640" t="b">
        <f>COUNTIF(Estadísticas!I:I,'centraldecomunicacion.es'!H3640)&gt;0</f>
        <v>0</v>
      </c>
    </row>
    <row r="3641" spans="1:9">
      <c r="A3641" t="s">
        <v>13490</v>
      </c>
      <c r="B3641" t="s">
        <v>10</v>
      </c>
      <c r="C3641" t="s">
        <v>13491</v>
      </c>
      <c r="D3641" t="s">
        <v>13492</v>
      </c>
      <c r="E3641" t="s">
        <v>9303</v>
      </c>
      <c r="F3641" t="s">
        <v>28</v>
      </c>
      <c r="G3641" t="s">
        <v>13493</v>
      </c>
      <c r="H3641" t="s">
        <v>30</v>
      </c>
      <c r="I3641" t="b">
        <f>COUNTIF(Estadísticas!I:I,'centraldecomunicacion.es'!H3641)&gt;0</f>
        <v>0</v>
      </c>
    </row>
    <row r="3642" spans="1:9">
      <c r="A3642" t="s">
        <v>13494</v>
      </c>
      <c r="B3642" t="s">
        <v>10</v>
      </c>
      <c r="C3642" t="s">
        <v>13495</v>
      </c>
      <c r="D3642" t="s">
        <v>13492</v>
      </c>
      <c r="E3642" t="s">
        <v>9303</v>
      </c>
      <c r="F3642" t="s">
        <v>28</v>
      </c>
      <c r="G3642" t="s">
        <v>13496</v>
      </c>
      <c r="H3642" t="s">
        <v>30</v>
      </c>
      <c r="I3642" t="b">
        <f>COUNTIF(Estadísticas!I:I,'centraldecomunicacion.es'!H3642)&gt;0</f>
        <v>0</v>
      </c>
    </row>
    <row r="3643" spans="1:9">
      <c r="A3643" t="s">
        <v>13497</v>
      </c>
      <c r="B3643" t="s">
        <v>10</v>
      </c>
      <c r="C3643" t="s">
        <v>13498</v>
      </c>
      <c r="D3643" t="s">
        <v>13499</v>
      </c>
      <c r="E3643" t="s">
        <v>9303</v>
      </c>
      <c r="F3643" t="s">
        <v>28</v>
      </c>
      <c r="G3643" t="s">
        <v>13500</v>
      </c>
      <c r="H3643" t="s">
        <v>30</v>
      </c>
      <c r="I3643" t="b">
        <f>COUNTIF(Estadísticas!I:I,'centraldecomunicacion.es'!H3643)&gt;0</f>
        <v>0</v>
      </c>
    </row>
    <row r="3644" spans="1:9">
      <c r="A3644" t="s">
        <v>13501</v>
      </c>
      <c r="B3644" t="s">
        <v>10</v>
      </c>
      <c r="C3644" t="s">
        <v>13502</v>
      </c>
      <c r="D3644" t="s">
        <v>13474</v>
      </c>
      <c r="E3644" t="s">
        <v>9303</v>
      </c>
      <c r="F3644" t="s">
        <v>28</v>
      </c>
      <c r="G3644" t="s">
        <v>13475</v>
      </c>
      <c r="H3644" t="s">
        <v>30</v>
      </c>
      <c r="I3644" t="b">
        <f>COUNTIF(Estadísticas!I:I,'centraldecomunicacion.es'!H3644)&gt;0</f>
        <v>0</v>
      </c>
    </row>
    <row r="3645" spans="1:9">
      <c r="A3645" t="s">
        <v>13503</v>
      </c>
      <c r="B3645" t="s">
        <v>10</v>
      </c>
      <c r="C3645" t="s">
        <v>13504</v>
      </c>
      <c r="D3645" t="s">
        <v>13505</v>
      </c>
      <c r="E3645" t="s">
        <v>9303</v>
      </c>
      <c r="F3645" t="s">
        <v>28</v>
      </c>
      <c r="G3645" t="s">
        <v>13506</v>
      </c>
      <c r="H3645" t="s">
        <v>30</v>
      </c>
      <c r="I3645" t="b">
        <f>COUNTIF(Estadísticas!I:I,'centraldecomunicacion.es'!H3645)&gt;0</f>
        <v>0</v>
      </c>
    </row>
    <row r="3646" spans="1:9">
      <c r="A3646" t="s">
        <v>13507</v>
      </c>
      <c r="B3646" t="s">
        <v>10</v>
      </c>
      <c r="C3646" t="s">
        <v>13508</v>
      </c>
      <c r="D3646" t="s">
        <v>13509</v>
      </c>
      <c r="E3646" t="s">
        <v>9303</v>
      </c>
      <c r="F3646" t="s">
        <v>13510</v>
      </c>
      <c r="G3646" t="s">
        <v>13511</v>
      </c>
      <c r="H3646" t="s">
        <v>13512</v>
      </c>
      <c r="I3646" t="b">
        <f>COUNTIF(Estadísticas!I:I,'centraldecomunicacion.es'!H3646)&gt;0</f>
        <v>0</v>
      </c>
    </row>
    <row r="3647" spans="1:9">
      <c r="A3647" t="s">
        <v>5691</v>
      </c>
      <c r="B3647" t="s">
        <v>10</v>
      </c>
      <c r="C3647" t="s">
        <v>13513</v>
      </c>
      <c r="D3647" t="s">
        <v>13463</v>
      </c>
      <c r="E3647" t="s">
        <v>9303</v>
      </c>
      <c r="F3647" t="s">
        <v>13514</v>
      </c>
      <c r="G3647" t="s">
        <v>13515</v>
      </c>
      <c r="H3647" t="s">
        <v>5396</v>
      </c>
      <c r="I3647" t="b">
        <f>COUNTIF(Estadísticas!I:I,'centraldecomunicacion.es'!H3647)&gt;0</f>
        <v>0</v>
      </c>
    </row>
    <row r="3648" spans="1:9">
      <c r="A3648" t="s">
        <v>5691</v>
      </c>
      <c r="B3648" t="s">
        <v>10</v>
      </c>
      <c r="C3648" t="s">
        <v>13516</v>
      </c>
      <c r="D3648" t="s">
        <v>13517</v>
      </c>
      <c r="E3648" t="s">
        <v>9303</v>
      </c>
      <c r="F3648" t="s">
        <v>13514</v>
      </c>
      <c r="G3648" t="s">
        <v>13518</v>
      </c>
      <c r="H3648" t="s">
        <v>5396</v>
      </c>
      <c r="I3648" t="b">
        <f>COUNTIF(Estadísticas!I:I,'centraldecomunicacion.es'!H3648)&gt;0</f>
        <v>0</v>
      </c>
    </row>
    <row r="3649" spans="1:9">
      <c r="A3649" t="s">
        <v>13457</v>
      </c>
      <c r="B3649" t="s">
        <v>10</v>
      </c>
      <c r="C3649" t="s">
        <v>13519</v>
      </c>
      <c r="D3649" t="s">
        <v>13505</v>
      </c>
      <c r="E3649" t="s">
        <v>9303</v>
      </c>
      <c r="F3649" t="s">
        <v>28</v>
      </c>
      <c r="G3649" t="s">
        <v>13520</v>
      </c>
      <c r="H3649" t="s">
        <v>30</v>
      </c>
      <c r="I3649" t="b">
        <f>COUNTIF(Estadísticas!I:I,'centraldecomunicacion.es'!H3649)&gt;0</f>
        <v>0</v>
      </c>
    </row>
    <row r="3650" spans="1:9">
      <c r="A3650" t="s">
        <v>13521</v>
      </c>
      <c r="B3650" t="s">
        <v>10</v>
      </c>
      <c r="C3650" t="s">
        <v>13522</v>
      </c>
      <c r="D3650" t="s">
        <v>13523</v>
      </c>
      <c r="E3650" t="s">
        <v>9303</v>
      </c>
      <c r="F3650" t="s">
        <v>28</v>
      </c>
      <c r="G3650" t="s">
        <v>13524</v>
      </c>
      <c r="H3650" t="s">
        <v>30</v>
      </c>
      <c r="I3650" t="b">
        <f>COUNTIF(Estadísticas!I:I,'centraldecomunicacion.es'!H3650)&gt;0</f>
        <v>0</v>
      </c>
    </row>
    <row r="3651" spans="1:9">
      <c r="A3651" t="s">
        <v>13525</v>
      </c>
      <c r="B3651" t="s">
        <v>10</v>
      </c>
      <c r="C3651" t="s">
        <v>13526</v>
      </c>
      <c r="D3651" t="s">
        <v>13509</v>
      </c>
      <c r="E3651" t="s">
        <v>9303</v>
      </c>
      <c r="F3651" t="s">
        <v>13527</v>
      </c>
      <c r="G3651" t="s">
        <v>13528</v>
      </c>
      <c r="H3651" t="s">
        <v>13529</v>
      </c>
      <c r="I3651" t="b">
        <f>COUNTIF(Estadísticas!I:I,'centraldecomunicacion.es'!H3651)&gt;0</f>
        <v>0</v>
      </c>
    </row>
    <row r="3652" spans="1:9">
      <c r="A3652" t="s">
        <v>11987</v>
      </c>
      <c r="B3652" t="s">
        <v>10</v>
      </c>
      <c r="C3652" t="s">
        <v>13530</v>
      </c>
      <c r="D3652" t="s">
        <v>13531</v>
      </c>
      <c r="E3652" t="s">
        <v>9303</v>
      </c>
      <c r="F3652" t="s">
        <v>28</v>
      </c>
      <c r="G3652" t="s">
        <v>13532</v>
      </c>
      <c r="H3652" t="s">
        <v>30</v>
      </c>
      <c r="I3652" t="b">
        <f>COUNTIF(Estadísticas!I:I,'centraldecomunicacion.es'!H3652)&gt;0</f>
        <v>0</v>
      </c>
    </row>
    <row r="3653" spans="1:9">
      <c r="A3653" t="s">
        <v>13533</v>
      </c>
      <c r="B3653" t="s">
        <v>10</v>
      </c>
      <c r="C3653" t="s">
        <v>13534</v>
      </c>
      <c r="D3653" t="s">
        <v>13535</v>
      </c>
      <c r="E3653" t="s">
        <v>9303</v>
      </c>
      <c r="F3653" t="s">
        <v>13536</v>
      </c>
      <c r="G3653" t="s">
        <v>13537</v>
      </c>
      <c r="H3653" t="s">
        <v>30</v>
      </c>
      <c r="I3653" t="b">
        <f>COUNTIF(Estadísticas!I:I,'centraldecomunicacion.es'!H3653)&gt;0</f>
        <v>0</v>
      </c>
    </row>
    <row r="3654" spans="1:9">
      <c r="A3654" t="s">
        <v>13538</v>
      </c>
      <c r="B3654" t="s">
        <v>10</v>
      </c>
      <c r="C3654" t="s">
        <v>13539</v>
      </c>
      <c r="D3654" t="s">
        <v>13540</v>
      </c>
      <c r="E3654" t="s">
        <v>9303</v>
      </c>
      <c r="F3654" t="s">
        <v>13541</v>
      </c>
      <c r="G3654" t="s">
        <v>13542</v>
      </c>
      <c r="H3654" t="s">
        <v>13543</v>
      </c>
      <c r="I3654" t="b">
        <f>COUNTIF(Estadísticas!I:I,'centraldecomunicacion.es'!H3654)&gt;0</f>
        <v>0</v>
      </c>
    </row>
    <row r="3655" spans="1:9">
      <c r="A3655" t="s">
        <v>13544</v>
      </c>
      <c r="B3655" t="s">
        <v>10</v>
      </c>
      <c r="C3655" t="s">
        <v>13545</v>
      </c>
      <c r="D3655" t="s">
        <v>13546</v>
      </c>
      <c r="E3655" t="s">
        <v>9303</v>
      </c>
      <c r="F3655" t="s">
        <v>28</v>
      </c>
      <c r="G3655" t="s">
        <v>13547</v>
      </c>
      <c r="H3655" t="s">
        <v>30</v>
      </c>
      <c r="I3655" t="b">
        <f>COUNTIF(Estadísticas!I:I,'centraldecomunicacion.es'!H3655)&gt;0</f>
        <v>0</v>
      </c>
    </row>
    <row r="3656" spans="1:9">
      <c r="A3656" t="s">
        <v>13548</v>
      </c>
      <c r="B3656" t="s">
        <v>10</v>
      </c>
      <c r="C3656" t="s">
        <v>13549</v>
      </c>
      <c r="D3656" t="s">
        <v>13509</v>
      </c>
      <c r="E3656" t="s">
        <v>9303</v>
      </c>
      <c r="F3656" t="s">
        <v>28</v>
      </c>
      <c r="G3656" t="s">
        <v>13550</v>
      </c>
      <c r="H3656" t="s">
        <v>30</v>
      </c>
      <c r="I3656" t="b">
        <f>COUNTIF(Estadísticas!I:I,'centraldecomunicacion.es'!H3656)&gt;0</f>
        <v>0</v>
      </c>
    </row>
    <row r="3657" spans="1:9">
      <c r="A3657" t="s">
        <v>1925</v>
      </c>
      <c r="B3657" t="s">
        <v>10</v>
      </c>
      <c r="C3657" t="s">
        <v>13551</v>
      </c>
      <c r="D3657" t="s">
        <v>13552</v>
      </c>
      <c r="E3657" t="s">
        <v>9303</v>
      </c>
      <c r="F3657" t="s">
        <v>28</v>
      </c>
      <c r="G3657" t="s">
        <v>13553</v>
      </c>
      <c r="H3657" t="s">
        <v>30</v>
      </c>
      <c r="I3657" t="b">
        <f>COUNTIF(Estadísticas!I:I,'centraldecomunicacion.es'!H3657)&gt;0</f>
        <v>0</v>
      </c>
    </row>
    <row r="3658" spans="1:9">
      <c r="A3658" t="s">
        <v>13554</v>
      </c>
      <c r="B3658" t="s">
        <v>10</v>
      </c>
      <c r="C3658" t="s">
        <v>13555</v>
      </c>
      <c r="D3658" t="s">
        <v>13556</v>
      </c>
      <c r="E3658" t="s">
        <v>9303</v>
      </c>
      <c r="F3658" t="s">
        <v>28</v>
      </c>
      <c r="G3658" t="s">
        <v>13557</v>
      </c>
      <c r="H3658" t="s">
        <v>30</v>
      </c>
      <c r="I3658" t="b">
        <f>COUNTIF(Estadísticas!I:I,'centraldecomunicacion.es'!H3658)&gt;0</f>
        <v>0</v>
      </c>
    </row>
    <row r="3659" spans="1:9">
      <c r="A3659" t="s">
        <v>13558</v>
      </c>
      <c r="B3659" t="s">
        <v>10</v>
      </c>
      <c r="C3659" t="s">
        <v>13559</v>
      </c>
      <c r="D3659" t="s">
        <v>13556</v>
      </c>
      <c r="E3659" t="s">
        <v>9303</v>
      </c>
      <c r="F3659" t="s">
        <v>13560</v>
      </c>
      <c r="G3659" t="s">
        <v>13561</v>
      </c>
      <c r="H3659" t="s">
        <v>13562</v>
      </c>
      <c r="I3659" t="b">
        <f>COUNTIF(Estadísticas!I:I,'centraldecomunicacion.es'!H3659)&gt;0</f>
        <v>0</v>
      </c>
    </row>
    <row r="3660" spans="1:9">
      <c r="A3660" t="s">
        <v>13563</v>
      </c>
      <c r="B3660" t="s">
        <v>10</v>
      </c>
      <c r="C3660" t="s">
        <v>13564</v>
      </c>
      <c r="D3660" t="s">
        <v>13546</v>
      </c>
      <c r="E3660" t="s">
        <v>9303</v>
      </c>
      <c r="F3660" t="s">
        <v>13565</v>
      </c>
      <c r="G3660" t="s">
        <v>13566</v>
      </c>
      <c r="H3660" t="s">
        <v>13567</v>
      </c>
      <c r="I3660" t="b">
        <f>COUNTIF(Estadísticas!I:I,'centraldecomunicacion.es'!H3660)&gt;0</f>
        <v>1</v>
      </c>
    </row>
    <row r="3661" spans="1:9">
      <c r="A3661" t="s">
        <v>13568</v>
      </c>
      <c r="B3661" t="s">
        <v>10</v>
      </c>
      <c r="C3661" t="s">
        <v>13569</v>
      </c>
      <c r="D3661" t="s">
        <v>13570</v>
      </c>
      <c r="E3661" t="s">
        <v>9303</v>
      </c>
      <c r="F3661" t="s">
        <v>50</v>
      </c>
      <c r="G3661" t="s">
        <v>13571</v>
      </c>
      <c r="H3661" t="s">
        <v>30</v>
      </c>
      <c r="I3661" t="b">
        <f>COUNTIF(Estadísticas!I:I,'centraldecomunicacion.es'!H3661)&gt;0</f>
        <v>0</v>
      </c>
    </row>
    <row r="3662" spans="1:9">
      <c r="A3662" t="s">
        <v>13572</v>
      </c>
      <c r="B3662" t="s">
        <v>10</v>
      </c>
      <c r="C3662" t="s">
        <v>13573</v>
      </c>
      <c r="D3662" t="s">
        <v>13509</v>
      </c>
      <c r="E3662" t="s">
        <v>9303</v>
      </c>
      <c r="F3662" t="s">
        <v>13574</v>
      </c>
      <c r="G3662" t="s">
        <v>13575</v>
      </c>
      <c r="H3662" t="s">
        <v>13576</v>
      </c>
      <c r="I3662" t="b">
        <f>COUNTIF(Estadísticas!I:I,'centraldecomunicacion.es'!H3662)&gt;0</f>
        <v>1</v>
      </c>
    </row>
    <row r="3663" spans="1:9">
      <c r="A3663" t="s">
        <v>6878</v>
      </c>
      <c r="B3663" t="s">
        <v>10</v>
      </c>
      <c r="C3663" t="s">
        <v>13577</v>
      </c>
      <c r="D3663" t="s">
        <v>13552</v>
      </c>
      <c r="E3663" t="s">
        <v>9303</v>
      </c>
      <c r="F3663" t="s">
        <v>13578</v>
      </c>
      <c r="G3663" t="s">
        <v>13579</v>
      </c>
      <c r="H3663" t="s">
        <v>13580</v>
      </c>
      <c r="I3663" t="b">
        <f>COUNTIF(Estadísticas!I:I,'centraldecomunicacion.es'!H3663)&gt;0</f>
        <v>0</v>
      </c>
    </row>
    <row r="3664" spans="1:9">
      <c r="A3664" t="s">
        <v>13581</v>
      </c>
      <c r="B3664" t="s">
        <v>10</v>
      </c>
      <c r="C3664" t="s">
        <v>13582</v>
      </c>
      <c r="D3664" t="s">
        <v>13483</v>
      </c>
      <c r="E3664" t="s">
        <v>9303</v>
      </c>
      <c r="F3664" t="s">
        <v>28</v>
      </c>
      <c r="G3664" t="s">
        <v>13583</v>
      </c>
      <c r="H3664" t="s">
        <v>30</v>
      </c>
      <c r="I3664" t="b">
        <f>COUNTIF(Estadísticas!I:I,'centraldecomunicacion.es'!H3664)&gt;0</f>
        <v>0</v>
      </c>
    </row>
    <row r="3665" spans="1:9">
      <c r="A3665" t="s">
        <v>13584</v>
      </c>
      <c r="B3665" t="s">
        <v>10</v>
      </c>
      <c r="C3665" t="s">
        <v>13585</v>
      </c>
      <c r="D3665" t="s">
        <v>13586</v>
      </c>
      <c r="E3665" t="s">
        <v>13587</v>
      </c>
      <c r="F3665" t="s">
        <v>28</v>
      </c>
      <c r="G3665" t="s">
        <v>13588</v>
      </c>
      <c r="H3665" t="s">
        <v>30</v>
      </c>
      <c r="I3665" t="b">
        <f>COUNTIF(Estadísticas!I:I,'centraldecomunicacion.es'!H3665)&gt;0</f>
        <v>0</v>
      </c>
    </row>
    <row r="3666" spans="1:9">
      <c r="A3666" t="s">
        <v>13589</v>
      </c>
      <c r="B3666" t="s">
        <v>10</v>
      </c>
      <c r="C3666" t="s">
        <v>13590</v>
      </c>
      <c r="D3666" t="s">
        <v>13591</v>
      </c>
      <c r="E3666" t="s">
        <v>9303</v>
      </c>
      <c r="F3666" t="s">
        <v>28</v>
      </c>
      <c r="G3666" t="s">
        <v>13592</v>
      </c>
      <c r="H3666" t="s">
        <v>30</v>
      </c>
      <c r="I3666" t="b">
        <f>COUNTIF(Estadísticas!I:I,'centraldecomunicacion.es'!H3666)&gt;0</f>
        <v>0</v>
      </c>
    </row>
    <row r="3667" spans="1:9">
      <c r="A3667" t="s">
        <v>13593</v>
      </c>
      <c r="B3667" t="s">
        <v>10</v>
      </c>
      <c r="C3667" t="s">
        <v>13594</v>
      </c>
      <c r="D3667" t="s">
        <v>13552</v>
      </c>
      <c r="E3667" t="s">
        <v>9303</v>
      </c>
      <c r="F3667" t="s">
        <v>28</v>
      </c>
      <c r="G3667" t="s">
        <v>13595</v>
      </c>
      <c r="H3667" t="s">
        <v>30</v>
      </c>
      <c r="I3667" t="b">
        <f>COUNTIF(Estadísticas!I:I,'centraldecomunicacion.es'!H3667)&gt;0</f>
        <v>0</v>
      </c>
    </row>
    <row r="3668" spans="1:9">
      <c r="A3668" t="s">
        <v>13596</v>
      </c>
      <c r="B3668" t="s">
        <v>10</v>
      </c>
      <c r="C3668" t="s">
        <v>13597</v>
      </c>
      <c r="D3668" t="s">
        <v>13586</v>
      </c>
      <c r="E3668" t="s">
        <v>13587</v>
      </c>
      <c r="F3668" t="s">
        <v>13598</v>
      </c>
      <c r="G3668" t="s">
        <v>13599</v>
      </c>
      <c r="H3668" t="s">
        <v>13600</v>
      </c>
      <c r="I3668" t="b">
        <f>COUNTIF(Estadísticas!I:I,'centraldecomunicacion.es'!H3668)&gt;0</f>
        <v>0</v>
      </c>
    </row>
    <row r="3669" spans="1:9">
      <c r="A3669" t="s">
        <v>13601</v>
      </c>
      <c r="B3669" t="s">
        <v>10</v>
      </c>
      <c r="C3669" t="s">
        <v>13602</v>
      </c>
      <c r="D3669" t="s">
        <v>13603</v>
      </c>
      <c r="E3669" t="s">
        <v>9303</v>
      </c>
      <c r="F3669" t="s">
        <v>28</v>
      </c>
      <c r="G3669" t="s">
        <v>13604</v>
      </c>
      <c r="H3669" t="s">
        <v>30</v>
      </c>
      <c r="I3669" t="b">
        <f>COUNTIF(Estadísticas!I:I,'centraldecomunicacion.es'!H3669)&gt;0</f>
        <v>0</v>
      </c>
    </row>
    <row r="3670" spans="1:9">
      <c r="A3670" t="s">
        <v>13605</v>
      </c>
      <c r="B3670" t="s">
        <v>10</v>
      </c>
      <c r="C3670" t="s">
        <v>13606</v>
      </c>
      <c r="D3670" t="s">
        <v>13397</v>
      </c>
      <c r="E3670" t="s">
        <v>13607</v>
      </c>
      <c r="F3670" t="s">
        <v>28</v>
      </c>
      <c r="G3670" t="s">
        <v>13608</v>
      </c>
      <c r="H3670" t="s">
        <v>30</v>
      </c>
      <c r="I3670" t="b">
        <f>COUNTIF(Estadísticas!I:I,'centraldecomunicacion.es'!H3670)&gt;0</f>
        <v>0</v>
      </c>
    </row>
    <row r="3671" spans="1:9">
      <c r="A3671" t="s">
        <v>13609</v>
      </c>
      <c r="B3671" t="s">
        <v>10</v>
      </c>
      <c r="C3671" t="s">
        <v>13559</v>
      </c>
      <c r="D3671" t="s">
        <v>13556</v>
      </c>
      <c r="E3671" t="s">
        <v>9303</v>
      </c>
      <c r="F3671" t="s">
        <v>28</v>
      </c>
      <c r="G3671" t="s">
        <v>28</v>
      </c>
      <c r="H3671" t="s">
        <v>30</v>
      </c>
      <c r="I3671" t="b">
        <f>COUNTIF(Estadísticas!I:I,'centraldecomunicacion.es'!H3671)&gt;0</f>
        <v>0</v>
      </c>
    </row>
    <row r="3672" spans="1:9">
      <c r="A3672" t="s">
        <v>13610</v>
      </c>
      <c r="B3672" t="s">
        <v>10</v>
      </c>
      <c r="C3672" t="s">
        <v>13611</v>
      </c>
      <c r="D3672" t="s">
        <v>13612</v>
      </c>
      <c r="E3672" t="s">
        <v>9303</v>
      </c>
      <c r="F3672" t="s">
        <v>28</v>
      </c>
      <c r="G3672" t="s">
        <v>13613</v>
      </c>
      <c r="H3672" t="s">
        <v>30</v>
      </c>
      <c r="I3672" t="b">
        <f>COUNTIF(Estadísticas!I:I,'centraldecomunicacion.es'!H3672)&gt;0</f>
        <v>0</v>
      </c>
    </row>
    <row r="3673" spans="1:9">
      <c r="A3673" t="s">
        <v>13614</v>
      </c>
      <c r="B3673" t="s">
        <v>10</v>
      </c>
      <c r="C3673" t="s">
        <v>13615</v>
      </c>
      <c r="D3673" t="s">
        <v>13616</v>
      </c>
      <c r="E3673" t="s">
        <v>13587</v>
      </c>
      <c r="F3673" t="s">
        <v>13617</v>
      </c>
      <c r="G3673" t="s">
        <v>13618</v>
      </c>
      <c r="H3673" t="s">
        <v>13619</v>
      </c>
      <c r="I3673" t="b">
        <f>COUNTIF(Estadísticas!I:I,'centraldecomunicacion.es'!H3673)&gt;0</f>
        <v>0</v>
      </c>
    </row>
    <row r="3674" spans="1:9">
      <c r="A3674" t="s">
        <v>13620</v>
      </c>
      <c r="B3674" t="s">
        <v>10</v>
      </c>
      <c r="C3674" t="s">
        <v>13621</v>
      </c>
      <c r="D3674" t="s">
        <v>13616</v>
      </c>
      <c r="E3674" t="s">
        <v>13587</v>
      </c>
      <c r="F3674" t="s">
        <v>13622</v>
      </c>
      <c r="G3674" t="s">
        <v>13623</v>
      </c>
      <c r="H3674" t="s">
        <v>13624</v>
      </c>
      <c r="I3674" t="b">
        <f>COUNTIF(Estadísticas!I:I,'centraldecomunicacion.es'!H3674)&gt;0</f>
        <v>1</v>
      </c>
    </row>
    <row r="3675" spans="1:9">
      <c r="A3675" t="s">
        <v>13625</v>
      </c>
      <c r="B3675" t="s">
        <v>10</v>
      </c>
      <c r="C3675" t="s">
        <v>13626</v>
      </c>
      <c r="D3675" t="s">
        <v>13627</v>
      </c>
      <c r="E3675" t="s">
        <v>13587</v>
      </c>
      <c r="F3675" t="s">
        <v>28</v>
      </c>
      <c r="G3675" t="s">
        <v>13628</v>
      </c>
      <c r="H3675" t="s">
        <v>30</v>
      </c>
      <c r="I3675" t="b">
        <f>COUNTIF(Estadísticas!I:I,'centraldecomunicacion.es'!H3675)&gt;0</f>
        <v>0</v>
      </c>
    </row>
    <row r="3676" spans="1:9">
      <c r="A3676" t="s">
        <v>13629</v>
      </c>
      <c r="B3676" t="s">
        <v>10</v>
      </c>
      <c r="C3676" t="s">
        <v>13630</v>
      </c>
      <c r="D3676" t="s">
        <v>13631</v>
      </c>
      <c r="E3676" t="s">
        <v>13607</v>
      </c>
      <c r="F3676" t="s">
        <v>13632</v>
      </c>
      <c r="G3676" t="s">
        <v>13633</v>
      </c>
      <c r="H3676" t="s">
        <v>30</v>
      </c>
      <c r="I3676" t="b">
        <f>COUNTIF(Estadísticas!I:I,'centraldecomunicacion.es'!H3676)&gt;0</f>
        <v>0</v>
      </c>
    </row>
    <row r="3677" spans="1:9">
      <c r="A3677" t="s">
        <v>13634</v>
      </c>
      <c r="B3677" t="s">
        <v>10</v>
      </c>
      <c r="C3677" t="s">
        <v>13635</v>
      </c>
      <c r="D3677" t="s">
        <v>13616</v>
      </c>
      <c r="E3677" t="s">
        <v>13587</v>
      </c>
      <c r="F3677" t="s">
        <v>13636</v>
      </c>
      <c r="G3677" t="s">
        <v>13637</v>
      </c>
      <c r="H3677" t="s">
        <v>13638</v>
      </c>
      <c r="I3677" t="b">
        <f>COUNTIF(Estadísticas!I:I,'centraldecomunicacion.es'!H3677)&gt;0</f>
        <v>0</v>
      </c>
    </row>
    <row r="3678" spans="1:9">
      <c r="A3678" t="s">
        <v>13639</v>
      </c>
      <c r="B3678" t="s">
        <v>10</v>
      </c>
      <c r="C3678" t="s">
        <v>13640</v>
      </c>
      <c r="D3678" t="s">
        <v>13641</v>
      </c>
      <c r="E3678" t="s">
        <v>13587</v>
      </c>
      <c r="F3678" t="s">
        <v>28</v>
      </c>
      <c r="G3678" t="s">
        <v>13642</v>
      </c>
      <c r="H3678" t="s">
        <v>30</v>
      </c>
      <c r="I3678" t="b">
        <f>COUNTIF(Estadísticas!I:I,'centraldecomunicacion.es'!H3678)&gt;0</f>
        <v>0</v>
      </c>
    </row>
    <row r="3679" spans="1:9">
      <c r="A3679" t="s">
        <v>13643</v>
      </c>
      <c r="B3679" t="s">
        <v>10</v>
      </c>
      <c r="C3679" t="s">
        <v>13644</v>
      </c>
      <c r="D3679" t="s">
        <v>13645</v>
      </c>
      <c r="E3679" t="s">
        <v>13587</v>
      </c>
      <c r="F3679" t="s">
        <v>13646</v>
      </c>
      <c r="G3679" t="s">
        <v>13647</v>
      </c>
      <c r="H3679" t="s">
        <v>30</v>
      </c>
      <c r="I3679" t="b">
        <f>COUNTIF(Estadísticas!I:I,'centraldecomunicacion.es'!H3679)&gt;0</f>
        <v>0</v>
      </c>
    </row>
    <row r="3680" spans="1:9">
      <c r="A3680" t="s">
        <v>13648</v>
      </c>
      <c r="B3680" t="s">
        <v>10</v>
      </c>
      <c r="C3680" t="s">
        <v>13649</v>
      </c>
      <c r="D3680" t="s">
        <v>13650</v>
      </c>
      <c r="E3680" t="s">
        <v>13587</v>
      </c>
      <c r="F3680" t="s">
        <v>28</v>
      </c>
      <c r="G3680" t="s">
        <v>13651</v>
      </c>
      <c r="H3680" t="s">
        <v>30</v>
      </c>
      <c r="I3680" t="b">
        <f>COUNTIF(Estadísticas!I:I,'centraldecomunicacion.es'!H3680)&gt;0</f>
        <v>0</v>
      </c>
    </row>
    <row r="3681" spans="1:9">
      <c r="A3681" t="s">
        <v>13652</v>
      </c>
      <c r="B3681" t="s">
        <v>10</v>
      </c>
      <c r="C3681" t="s">
        <v>28</v>
      </c>
      <c r="D3681" t="s">
        <v>13397</v>
      </c>
      <c r="E3681" t="s">
        <v>28</v>
      </c>
      <c r="F3681" t="s">
        <v>13653</v>
      </c>
      <c r="G3681" t="s">
        <v>13654</v>
      </c>
      <c r="H3681" t="s">
        <v>13655</v>
      </c>
      <c r="I3681" t="b">
        <f>COUNTIF(Estadísticas!I:I,'centraldecomunicacion.es'!H3681)&gt;0</f>
        <v>0</v>
      </c>
    </row>
    <row r="3682" spans="1:9">
      <c r="A3682" t="s">
        <v>13656</v>
      </c>
      <c r="B3682" t="s">
        <v>10</v>
      </c>
      <c r="C3682" t="s">
        <v>13657</v>
      </c>
      <c r="D3682" t="s">
        <v>13616</v>
      </c>
      <c r="E3682" t="s">
        <v>13607</v>
      </c>
      <c r="F3682" t="s">
        <v>13658</v>
      </c>
      <c r="G3682" t="s">
        <v>13659</v>
      </c>
      <c r="H3682" t="s">
        <v>13660</v>
      </c>
      <c r="I3682" t="b">
        <f>COUNTIF(Estadísticas!I:I,'centraldecomunicacion.es'!H3682)&gt;0</f>
        <v>1</v>
      </c>
    </row>
    <row r="3683" spans="1:9">
      <c r="A3683" t="s">
        <v>13661</v>
      </c>
      <c r="B3683" t="s">
        <v>10</v>
      </c>
      <c r="C3683" t="s">
        <v>13662</v>
      </c>
      <c r="D3683" t="s">
        <v>13616</v>
      </c>
      <c r="E3683" t="s">
        <v>13587</v>
      </c>
      <c r="F3683" t="s">
        <v>13663</v>
      </c>
      <c r="G3683" t="s">
        <v>13664</v>
      </c>
      <c r="H3683" t="s">
        <v>13665</v>
      </c>
      <c r="I3683" t="b">
        <f>COUNTIF(Estadísticas!I:I,'centraldecomunicacion.es'!H3683)&gt;0</f>
        <v>0</v>
      </c>
    </row>
    <row r="3684" spans="1:9">
      <c r="A3684" t="s">
        <v>13666</v>
      </c>
      <c r="B3684" t="s">
        <v>10</v>
      </c>
      <c r="C3684" t="s">
        <v>13667</v>
      </c>
      <c r="D3684" t="s">
        <v>9272</v>
      </c>
      <c r="E3684" t="s">
        <v>9273</v>
      </c>
      <c r="F3684" t="s">
        <v>13668</v>
      </c>
      <c r="G3684" t="s">
        <v>13669</v>
      </c>
      <c r="H3684" t="s">
        <v>13670</v>
      </c>
      <c r="I3684" t="b">
        <f>COUNTIF(Estadísticas!I:I,'centraldecomunicacion.es'!H3684)&gt;0</f>
        <v>0</v>
      </c>
    </row>
    <row r="3685" spans="1:9">
      <c r="A3685" t="s">
        <v>13671</v>
      </c>
      <c r="B3685" t="s">
        <v>10</v>
      </c>
      <c r="C3685" t="s">
        <v>13672</v>
      </c>
      <c r="D3685" t="s">
        <v>9272</v>
      </c>
      <c r="E3685" t="s">
        <v>13673</v>
      </c>
      <c r="F3685" t="s">
        <v>13674</v>
      </c>
      <c r="G3685" t="s">
        <v>13675</v>
      </c>
      <c r="H3685" t="s">
        <v>13676</v>
      </c>
      <c r="I3685" t="b">
        <f>COUNTIF(Estadísticas!I:I,'centraldecomunicacion.es'!H3685)&gt;0</f>
        <v>0</v>
      </c>
    </row>
    <row r="3686" spans="1:9">
      <c r="A3686" t="s">
        <v>13677</v>
      </c>
      <c r="B3686" t="s">
        <v>10</v>
      </c>
      <c r="C3686" t="s">
        <v>13678</v>
      </c>
      <c r="D3686" t="s">
        <v>9272</v>
      </c>
      <c r="E3686" t="s">
        <v>9273</v>
      </c>
      <c r="F3686" t="s">
        <v>28</v>
      </c>
      <c r="G3686" t="s">
        <v>13679</v>
      </c>
      <c r="H3686" t="s">
        <v>30</v>
      </c>
      <c r="I3686" t="b">
        <f>COUNTIF(Estadísticas!I:I,'centraldecomunicacion.es'!H3686)&gt;0</f>
        <v>0</v>
      </c>
    </row>
    <row r="3687" spans="1:9">
      <c r="A3687" t="s">
        <v>13680</v>
      </c>
      <c r="B3687" t="s">
        <v>10</v>
      </c>
      <c r="C3687" t="s">
        <v>13681</v>
      </c>
      <c r="D3687" t="s">
        <v>9272</v>
      </c>
      <c r="E3687" t="s">
        <v>9273</v>
      </c>
      <c r="F3687" t="s">
        <v>13682</v>
      </c>
      <c r="G3687" t="s">
        <v>13683</v>
      </c>
      <c r="H3687" t="s">
        <v>13684</v>
      </c>
      <c r="I3687" t="b">
        <f>COUNTIF(Estadísticas!I:I,'centraldecomunicacion.es'!H3687)&gt;0</f>
        <v>1</v>
      </c>
    </row>
    <row r="3688" spans="1:9">
      <c r="A3688" t="s">
        <v>13685</v>
      </c>
      <c r="B3688" t="s">
        <v>10</v>
      </c>
      <c r="C3688" t="s">
        <v>13686</v>
      </c>
      <c r="D3688" t="s">
        <v>9272</v>
      </c>
      <c r="E3688" t="s">
        <v>13673</v>
      </c>
      <c r="F3688" t="s">
        <v>13687</v>
      </c>
      <c r="G3688" t="s">
        <v>13688</v>
      </c>
      <c r="H3688" t="s">
        <v>13689</v>
      </c>
      <c r="I3688" t="b">
        <f>COUNTIF(Estadísticas!I:I,'centraldecomunicacion.es'!H3688)&gt;0</f>
        <v>0</v>
      </c>
    </row>
    <row r="3689" spans="1:9">
      <c r="A3689" t="s">
        <v>13690</v>
      </c>
      <c r="B3689" t="s">
        <v>10</v>
      </c>
      <c r="C3689" t="s">
        <v>13691</v>
      </c>
      <c r="D3689" t="s">
        <v>9272</v>
      </c>
      <c r="E3689" t="s">
        <v>9273</v>
      </c>
      <c r="F3689" t="s">
        <v>28</v>
      </c>
      <c r="G3689" t="s">
        <v>13692</v>
      </c>
      <c r="H3689" t="s">
        <v>30</v>
      </c>
      <c r="I3689" t="b">
        <f>COUNTIF(Estadísticas!I:I,'centraldecomunicacion.es'!H3689)&gt;0</f>
        <v>0</v>
      </c>
    </row>
    <row r="3690" spans="1:9">
      <c r="A3690" t="s">
        <v>13693</v>
      </c>
      <c r="B3690" t="s">
        <v>10</v>
      </c>
      <c r="C3690" t="s">
        <v>13694</v>
      </c>
      <c r="D3690" t="s">
        <v>13695</v>
      </c>
      <c r="E3690" t="s">
        <v>9273</v>
      </c>
      <c r="F3690" t="s">
        <v>28</v>
      </c>
      <c r="G3690" t="s">
        <v>13696</v>
      </c>
      <c r="H3690" t="s">
        <v>30</v>
      </c>
      <c r="I3690" t="b">
        <f>COUNTIF(Estadísticas!I:I,'centraldecomunicacion.es'!H3690)&gt;0</f>
        <v>0</v>
      </c>
    </row>
    <row r="3691" spans="1:9">
      <c r="A3691" t="s">
        <v>13697</v>
      </c>
      <c r="B3691" t="s">
        <v>10</v>
      </c>
      <c r="C3691" t="s">
        <v>13698</v>
      </c>
      <c r="D3691" t="s">
        <v>9272</v>
      </c>
      <c r="E3691" t="s">
        <v>9273</v>
      </c>
      <c r="F3691" t="s">
        <v>13699</v>
      </c>
      <c r="G3691" t="s">
        <v>13700</v>
      </c>
      <c r="H3691" t="s">
        <v>13701</v>
      </c>
      <c r="I3691" t="b">
        <f>COUNTIF(Estadísticas!I:I,'centraldecomunicacion.es'!H3691)&gt;0</f>
        <v>0</v>
      </c>
    </row>
    <row r="3692" spans="1:9">
      <c r="A3692" t="s">
        <v>6953</v>
      </c>
      <c r="B3692" t="s">
        <v>10</v>
      </c>
      <c r="C3692" t="s">
        <v>13702</v>
      </c>
      <c r="D3692" t="s">
        <v>9272</v>
      </c>
      <c r="E3692" t="s">
        <v>9273</v>
      </c>
      <c r="F3692" t="s">
        <v>13703</v>
      </c>
      <c r="G3692" t="s">
        <v>13704</v>
      </c>
      <c r="H3692" t="s">
        <v>30</v>
      </c>
      <c r="I3692" t="b">
        <f>COUNTIF(Estadísticas!I:I,'centraldecomunicacion.es'!H3692)&gt;0</f>
        <v>0</v>
      </c>
    </row>
    <row r="3693" spans="1:9">
      <c r="A3693" t="s">
        <v>13705</v>
      </c>
      <c r="B3693" t="s">
        <v>10</v>
      </c>
      <c r="C3693" t="s">
        <v>13706</v>
      </c>
      <c r="D3693" t="s">
        <v>9272</v>
      </c>
      <c r="E3693" t="s">
        <v>13673</v>
      </c>
      <c r="F3693" t="s">
        <v>13707</v>
      </c>
      <c r="G3693" t="s">
        <v>13708</v>
      </c>
      <c r="H3693" t="s">
        <v>13655</v>
      </c>
      <c r="I3693" t="b">
        <f>COUNTIF(Estadísticas!I:I,'centraldecomunicacion.es'!H3693)&gt;0</f>
        <v>0</v>
      </c>
    </row>
    <row r="3694" spans="1:9">
      <c r="A3694" t="s">
        <v>13709</v>
      </c>
      <c r="B3694" t="s">
        <v>10</v>
      </c>
      <c r="C3694" t="s">
        <v>13710</v>
      </c>
      <c r="D3694" t="s">
        <v>9272</v>
      </c>
      <c r="E3694" t="s">
        <v>13673</v>
      </c>
      <c r="F3694" t="s">
        <v>13711</v>
      </c>
      <c r="G3694" t="s">
        <v>13712</v>
      </c>
      <c r="H3694" t="s">
        <v>13713</v>
      </c>
      <c r="I3694" t="b">
        <f>COUNTIF(Estadísticas!I:I,'centraldecomunicacion.es'!H3694)&gt;0</f>
        <v>0</v>
      </c>
    </row>
    <row r="3695" spans="1:9">
      <c r="A3695" t="s">
        <v>13714</v>
      </c>
      <c r="B3695" t="s">
        <v>10</v>
      </c>
      <c r="C3695" t="s">
        <v>13715</v>
      </c>
      <c r="D3695" t="s">
        <v>9272</v>
      </c>
      <c r="E3695" t="s">
        <v>13673</v>
      </c>
      <c r="F3695" t="s">
        <v>28</v>
      </c>
      <c r="G3695" t="s">
        <v>13716</v>
      </c>
      <c r="H3695" t="s">
        <v>30</v>
      </c>
      <c r="I3695" t="b">
        <f>COUNTIF(Estadísticas!I:I,'centraldecomunicacion.es'!H3695)&gt;0</f>
        <v>0</v>
      </c>
    </row>
    <row r="3696" spans="1:9">
      <c r="A3696" t="s">
        <v>13717</v>
      </c>
      <c r="B3696" t="s">
        <v>10</v>
      </c>
      <c r="C3696" t="s">
        <v>13718</v>
      </c>
      <c r="D3696" t="s">
        <v>9272</v>
      </c>
      <c r="E3696" t="s">
        <v>13673</v>
      </c>
      <c r="F3696" t="s">
        <v>50</v>
      </c>
      <c r="G3696" t="s">
        <v>13719</v>
      </c>
      <c r="H3696" t="s">
        <v>30</v>
      </c>
      <c r="I3696" t="b">
        <f>COUNTIF(Estadísticas!I:I,'centraldecomunicacion.es'!H3696)&gt;0</f>
        <v>0</v>
      </c>
    </row>
    <row r="3697" spans="1:9">
      <c r="A3697" t="s">
        <v>13720</v>
      </c>
      <c r="B3697" t="s">
        <v>10</v>
      </c>
      <c r="C3697" t="s">
        <v>13721</v>
      </c>
      <c r="D3697" t="s">
        <v>9272</v>
      </c>
      <c r="E3697" t="s">
        <v>9273</v>
      </c>
      <c r="F3697" t="s">
        <v>50</v>
      </c>
      <c r="G3697" t="s">
        <v>13722</v>
      </c>
      <c r="H3697" t="s">
        <v>30</v>
      </c>
      <c r="I3697" t="b">
        <f>COUNTIF(Estadísticas!I:I,'centraldecomunicacion.es'!H3697)&gt;0</f>
        <v>0</v>
      </c>
    </row>
    <row r="3698" spans="1:9">
      <c r="A3698" t="s">
        <v>13723</v>
      </c>
      <c r="B3698" t="s">
        <v>10</v>
      </c>
      <c r="C3698" t="s">
        <v>13724</v>
      </c>
      <c r="D3698" t="s">
        <v>9272</v>
      </c>
      <c r="E3698" t="s">
        <v>13673</v>
      </c>
      <c r="F3698" t="s">
        <v>13725</v>
      </c>
      <c r="G3698" t="s">
        <v>13726</v>
      </c>
      <c r="H3698" t="s">
        <v>13727</v>
      </c>
      <c r="I3698" t="b">
        <f>COUNTIF(Estadísticas!I:I,'centraldecomunicacion.es'!H3698)&gt;0</f>
        <v>0</v>
      </c>
    </row>
    <row r="3699" spans="1:9">
      <c r="A3699" t="s">
        <v>13521</v>
      </c>
      <c r="B3699" t="s">
        <v>10</v>
      </c>
      <c r="C3699" t="s">
        <v>13728</v>
      </c>
      <c r="D3699" t="s">
        <v>9272</v>
      </c>
      <c r="E3699" t="s">
        <v>9273</v>
      </c>
      <c r="F3699" t="s">
        <v>28</v>
      </c>
      <c r="G3699" t="s">
        <v>28</v>
      </c>
      <c r="H3699" t="s">
        <v>30</v>
      </c>
      <c r="I3699" t="b">
        <f>COUNTIF(Estadísticas!I:I,'centraldecomunicacion.es'!H3699)&gt;0</f>
        <v>0</v>
      </c>
    </row>
    <row r="3700" spans="1:9">
      <c r="A3700" t="s">
        <v>13729</v>
      </c>
      <c r="B3700" t="s">
        <v>10</v>
      </c>
      <c r="C3700" t="s">
        <v>13730</v>
      </c>
      <c r="D3700" t="s">
        <v>9272</v>
      </c>
      <c r="E3700" t="s">
        <v>13673</v>
      </c>
      <c r="F3700" t="s">
        <v>28</v>
      </c>
      <c r="G3700" t="s">
        <v>28</v>
      </c>
      <c r="H3700" t="s">
        <v>30</v>
      </c>
      <c r="I3700" t="b">
        <f>COUNTIF(Estadísticas!I:I,'centraldecomunicacion.es'!H3700)&gt;0</f>
        <v>0</v>
      </c>
    </row>
    <row r="3701" spans="1:9">
      <c r="A3701" t="s">
        <v>13731</v>
      </c>
      <c r="B3701" t="s">
        <v>10</v>
      </c>
      <c r="C3701" t="s">
        <v>13732</v>
      </c>
      <c r="D3701" t="s">
        <v>9272</v>
      </c>
      <c r="E3701" t="s">
        <v>13673</v>
      </c>
      <c r="F3701" t="s">
        <v>28</v>
      </c>
      <c r="G3701" t="s">
        <v>13733</v>
      </c>
      <c r="H3701" t="s">
        <v>30</v>
      </c>
      <c r="I3701" t="b">
        <f>COUNTIF(Estadísticas!I:I,'centraldecomunicacion.es'!H3701)&gt;0</f>
        <v>0</v>
      </c>
    </row>
    <row r="3702" spans="1:9">
      <c r="A3702" t="s">
        <v>13734</v>
      </c>
      <c r="B3702" t="s">
        <v>10</v>
      </c>
      <c r="C3702" t="s">
        <v>13735</v>
      </c>
      <c r="D3702" t="s">
        <v>9272</v>
      </c>
      <c r="E3702" t="s">
        <v>9273</v>
      </c>
      <c r="F3702" t="s">
        <v>13736</v>
      </c>
      <c r="G3702" t="s">
        <v>13737</v>
      </c>
      <c r="H3702" t="s">
        <v>13738</v>
      </c>
      <c r="I3702" t="b">
        <f>COUNTIF(Estadísticas!I:I,'centraldecomunicacion.es'!H3702)&gt;0</f>
        <v>0</v>
      </c>
    </row>
    <row r="3703" spans="1:9">
      <c r="A3703" t="s">
        <v>13739</v>
      </c>
      <c r="B3703" t="s">
        <v>10</v>
      </c>
      <c r="C3703" t="s">
        <v>13740</v>
      </c>
      <c r="D3703" t="s">
        <v>9272</v>
      </c>
      <c r="E3703" t="s">
        <v>13673</v>
      </c>
      <c r="F3703" t="s">
        <v>13741</v>
      </c>
      <c r="G3703" t="s">
        <v>13742</v>
      </c>
      <c r="H3703" t="s">
        <v>30</v>
      </c>
      <c r="I3703" t="b">
        <f>COUNTIF(Estadísticas!I:I,'centraldecomunicacion.es'!H3703)&gt;0</f>
        <v>0</v>
      </c>
    </row>
    <row r="3704" spans="1:9">
      <c r="A3704" t="s">
        <v>13743</v>
      </c>
      <c r="B3704" t="s">
        <v>10</v>
      </c>
      <c r="C3704" t="s">
        <v>13744</v>
      </c>
      <c r="D3704" t="s">
        <v>13745</v>
      </c>
      <c r="E3704" t="s">
        <v>13673</v>
      </c>
      <c r="F3704" t="s">
        <v>13746</v>
      </c>
      <c r="G3704" t="s">
        <v>13747</v>
      </c>
      <c r="H3704" t="s">
        <v>1643</v>
      </c>
      <c r="I3704" t="b">
        <f>COUNTIF(Estadísticas!I:I,'centraldecomunicacion.es'!H3704)&gt;0</f>
        <v>0</v>
      </c>
    </row>
    <row r="3705" spans="1:9">
      <c r="A3705" t="s">
        <v>13748</v>
      </c>
      <c r="B3705" t="s">
        <v>10</v>
      </c>
      <c r="C3705" t="s">
        <v>13749</v>
      </c>
      <c r="D3705" t="s">
        <v>13750</v>
      </c>
      <c r="E3705" t="s">
        <v>9273</v>
      </c>
      <c r="F3705" t="s">
        <v>50</v>
      </c>
      <c r="G3705" t="s">
        <v>13751</v>
      </c>
      <c r="H3705" t="s">
        <v>30</v>
      </c>
      <c r="I3705" t="b">
        <f>COUNTIF(Estadísticas!I:I,'centraldecomunicacion.es'!H3705)&gt;0</f>
        <v>0</v>
      </c>
    </row>
    <row r="3706" spans="1:9">
      <c r="A3706" t="s">
        <v>10</v>
      </c>
      <c r="B3706" t="s">
        <v>10</v>
      </c>
      <c r="C3706" t="s">
        <v>13752</v>
      </c>
      <c r="D3706" t="s">
        <v>13753</v>
      </c>
      <c r="E3706" t="s">
        <v>9273</v>
      </c>
      <c r="F3706" t="s">
        <v>28</v>
      </c>
      <c r="G3706" t="s">
        <v>28</v>
      </c>
      <c r="H3706" t="s">
        <v>30</v>
      </c>
      <c r="I3706" t="b">
        <f>COUNTIF(Estadísticas!I:I,'centraldecomunicacion.es'!H3706)&gt;0</f>
        <v>0</v>
      </c>
    </row>
    <row r="3707" spans="1:9">
      <c r="A3707" t="s">
        <v>13754</v>
      </c>
      <c r="B3707" t="s">
        <v>10</v>
      </c>
      <c r="C3707" t="s">
        <v>13755</v>
      </c>
      <c r="D3707" t="s">
        <v>13753</v>
      </c>
      <c r="E3707" t="s">
        <v>9273</v>
      </c>
      <c r="F3707" t="s">
        <v>28</v>
      </c>
      <c r="G3707" t="s">
        <v>13756</v>
      </c>
      <c r="H3707" t="s">
        <v>30</v>
      </c>
      <c r="I3707" t="b">
        <f>COUNTIF(Estadísticas!I:I,'centraldecomunicacion.es'!H3707)&gt;0</f>
        <v>0</v>
      </c>
    </row>
    <row r="3708" spans="1:9">
      <c r="A3708" t="s">
        <v>13757</v>
      </c>
      <c r="B3708" t="s">
        <v>10</v>
      </c>
      <c r="C3708" t="s">
        <v>13758</v>
      </c>
      <c r="D3708" t="s">
        <v>13759</v>
      </c>
      <c r="E3708" t="s">
        <v>13673</v>
      </c>
      <c r="F3708" t="s">
        <v>28</v>
      </c>
      <c r="G3708" t="s">
        <v>13760</v>
      </c>
      <c r="H3708" t="s">
        <v>30</v>
      </c>
      <c r="I3708" t="b">
        <f>COUNTIF(Estadísticas!I:I,'centraldecomunicacion.es'!H3708)&gt;0</f>
        <v>0</v>
      </c>
    </row>
    <row r="3709" spans="1:9">
      <c r="A3709" t="s">
        <v>13761</v>
      </c>
      <c r="B3709" t="s">
        <v>10</v>
      </c>
      <c r="C3709" t="s">
        <v>13762</v>
      </c>
      <c r="D3709" t="s">
        <v>13763</v>
      </c>
      <c r="E3709" t="s">
        <v>13673</v>
      </c>
      <c r="F3709" t="s">
        <v>13764</v>
      </c>
      <c r="G3709" t="s">
        <v>13765</v>
      </c>
      <c r="H3709" t="s">
        <v>30</v>
      </c>
      <c r="I3709" t="b">
        <f>COUNTIF(Estadísticas!I:I,'centraldecomunicacion.es'!H3709)&gt;0</f>
        <v>0</v>
      </c>
    </row>
    <row r="3710" spans="1:9">
      <c r="A3710" t="s">
        <v>13766</v>
      </c>
      <c r="B3710" t="s">
        <v>10</v>
      </c>
      <c r="C3710" t="s">
        <v>13767</v>
      </c>
      <c r="D3710" t="s">
        <v>13768</v>
      </c>
      <c r="E3710" t="s">
        <v>13673</v>
      </c>
      <c r="F3710" t="s">
        <v>28</v>
      </c>
      <c r="G3710" t="s">
        <v>13769</v>
      </c>
      <c r="H3710" t="s">
        <v>30</v>
      </c>
      <c r="I3710" t="b">
        <f>COUNTIF(Estadísticas!I:I,'centraldecomunicacion.es'!H3710)&gt;0</f>
        <v>0</v>
      </c>
    </row>
    <row r="3711" spans="1:9">
      <c r="A3711" t="s">
        <v>13770</v>
      </c>
      <c r="B3711" t="s">
        <v>10</v>
      </c>
      <c r="C3711" t="s">
        <v>13771</v>
      </c>
      <c r="D3711" t="s">
        <v>13772</v>
      </c>
      <c r="E3711" t="s">
        <v>9273</v>
      </c>
      <c r="F3711" t="s">
        <v>13773</v>
      </c>
      <c r="G3711" t="s">
        <v>13774</v>
      </c>
      <c r="H3711" t="s">
        <v>13775</v>
      </c>
      <c r="I3711" t="b">
        <f>COUNTIF(Estadísticas!I:I,'centraldecomunicacion.es'!H3711)&gt;0</f>
        <v>0</v>
      </c>
    </row>
    <row r="3712" spans="1:9">
      <c r="A3712" t="s">
        <v>13776</v>
      </c>
      <c r="B3712" t="s">
        <v>10</v>
      </c>
      <c r="C3712" t="s">
        <v>13777</v>
      </c>
      <c r="D3712" t="s">
        <v>13778</v>
      </c>
      <c r="E3712" t="s">
        <v>13673</v>
      </c>
      <c r="F3712" t="s">
        <v>28</v>
      </c>
      <c r="G3712" t="s">
        <v>13779</v>
      </c>
      <c r="H3712" t="s">
        <v>30</v>
      </c>
      <c r="I3712" t="b">
        <f>COUNTIF(Estadísticas!I:I,'centraldecomunicacion.es'!H3712)&gt;0</f>
        <v>0</v>
      </c>
    </row>
    <row r="3713" spans="1:9">
      <c r="A3713" t="s">
        <v>13780</v>
      </c>
      <c r="B3713" t="s">
        <v>10</v>
      </c>
      <c r="C3713" t="s">
        <v>13781</v>
      </c>
      <c r="D3713" t="s">
        <v>13763</v>
      </c>
      <c r="E3713" t="s">
        <v>13673</v>
      </c>
      <c r="F3713" t="s">
        <v>28</v>
      </c>
      <c r="G3713" t="s">
        <v>13782</v>
      </c>
      <c r="H3713" t="s">
        <v>30</v>
      </c>
      <c r="I3713" t="b">
        <f>COUNTIF(Estadísticas!I:I,'centraldecomunicacion.es'!H3713)&gt;0</f>
        <v>0</v>
      </c>
    </row>
    <row r="3714" spans="1:9">
      <c r="A3714" t="s">
        <v>13783</v>
      </c>
      <c r="B3714" t="s">
        <v>10</v>
      </c>
      <c r="C3714" t="s">
        <v>13784</v>
      </c>
      <c r="D3714" t="s">
        <v>13772</v>
      </c>
      <c r="E3714" t="s">
        <v>13673</v>
      </c>
      <c r="F3714" t="s">
        <v>28</v>
      </c>
      <c r="G3714" t="s">
        <v>13785</v>
      </c>
      <c r="H3714" t="s">
        <v>30</v>
      </c>
      <c r="I3714" t="b">
        <f>COUNTIF(Estadísticas!I:I,'centraldecomunicacion.es'!H3714)&gt;0</f>
        <v>0</v>
      </c>
    </row>
    <row r="3715" spans="1:9">
      <c r="A3715" t="s">
        <v>13786</v>
      </c>
      <c r="B3715" t="s">
        <v>10</v>
      </c>
      <c r="C3715" t="s">
        <v>13787</v>
      </c>
      <c r="D3715" t="s">
        <v>13763</v>
      </c>
      <c r="E3715" t="s">
        <v>13673</v>
      </c>
      <c r="F3715" t="s">
        <v>28</v>
      </c>
      <c r="G3715" t="s">
        <v>13788</v>
      </c>
      <c r="H3715" t="s">
        <v>30</v>
      </c>
      <c r="I3715" t="b">
        <f>COUNTIF(Estadísticas!I:I,'centraldecomunicacion.es'!H3715)&gt;0</f>
        <v>0</v>
      </c>
    </row>
    <row r="3716" spans="1:9">
      <c r="A3716" t="s">
        <v>13789</v>
      </c>
      <c r="B3716" t="s">
        <v>10</v>
      </c>
      <c r="C3716" t="s">
        <v>13790</v>
      </c>
      <c r="D3716" t="s">
        <v>9299</v>
      </c>
      <c r="E3716" t="s">
        <v>9299</v>
      </c>
      <c r="F3716" t="s">
        <v>13791</v>
      </c>
      <c r="G3716" t="s">
        <v>13792</v>
      </c>
      <c r="H3716" t="s">
        <v>30</v>
      </c>
      <c r="I3716" t="b">
        <f>COUNTIF(Estadísticas!I:I,'centraldecomunicacion.es'!H3716)&gt;0</f>
        <v>0</v>
      </c>
    </row>
    <row r="3717" spans="1:9">
      <c r="A3717" t="s">
        <v>13793</v>
      </c>
      <c r="B3717" t="s">
        <v>10</v>
      </c>
      <c r="C3717" t="s">
        <v>13794</v>
      </c>
      <c r="D3717" t="s">
        <v>9299</v>
      </c>
      <c r="E3717" t="s">
        <v>9299</v>
      </c>
      <c r="F3717" t="s">
        <v>13795</v>
      </c>
      <c r="G3717" t="s">
        <v>13796</v>
      </c>
      <c r="H3717" t="s">
        <v>13797</v>
      </c>
      <c r="I3717" t="b">
        <f>COUNTIF(Estadísticas!I:I,'centraldecomunicacion.es'!H3717)&gt;0</f>
        <v>0</v>
      </c>
    </row>
    <row r="3718" spans="1:9">
      <c r="A3718" t="s">
        <v>13798</v>
      </c>
      <c r="B3718" t="s">
        <v>10</v>
      </c>
      <c r="C3718" t="s">
        <v>13799</v>
      </c>
      <c r="D3718" t="s">
        <v>9299</v>
      </c>
      <c r="E3718" t="s">
        <v>9299</v>
      </c>
      <c r="F3718" t="s">
        <v>13800</v>
      </c>
      <c r="G3718" t="s">
        <v>13801</v>
      </c>
      <c r="H3718" t="s">
        <v>13802</v>
      </c>
      <c r="I3718" t="b">
        <f>COUNTIF(Estadísticas!I:I,'centraldecomunicacion.es'!H3718)&gt;0</f>
        <v>1</v>
      </c>
    </row>
    <row r="3719" spans="1:9">
      <c r="A3719" t="s">
        <v>841</v>
      </c>
      <c r="B3719" t="s">
        <v>10</v>
      </c>
      <c r="C3719" t="s">
        <v>13803</v>
      </c>
      <c r="D3719" t="s">
        <v>9299</v>
      </c>
      <c r="E3719" t="s">
        <v>9299</v>
      </c>
      <c r="F3719" t="s">
        <v>13804</v>
      </c>
      <c r="G3719" t="s">
        <v>13805</v>
      </c>
      <c r="H3719" t="s">
        <v>30</v>
      </c>
      <c r="I3719" t="b">
        <f>COUNTIF(Estadísticas!I:I,'centraldecomunicacion.es'!H3719)&gt;0</f>
        <v>0</v>
      </c>
    </row>
    <row r="3720" spans="1:9">
      <c r="A3720" t="s">
        <v>13685</v>
      </c>
      <c r="B3720" t="s">
        <v>10</v>
      </c>
      <c r="C3720" t="s">
        <v>13806</v>
      </c>
      <c r="D3720" t="s">
        <v>9299</v>
      </c>
      <c r="E3720" t="s">
        <v>9299</v>
      </c>
      <c r="F3720" t="s">
        <v>28</v>
      </c>
      <c r="G3720" t="s">
        <v>13807</v>
      </c>
      <c r="H3720" t="s">
        <v>30</v>
      </c>
      <c r="I3720" t="b">
        <f>COUNTIF(Estadísticas!I:I,'centraldecomunicacion.es'!H3720)&gt;0</f>
        <v>0</v>
      </c>
    </row>
    <row r="3721" spans="1:9">
      <c r="A3721" t="s">
        <v>13808</v>
      </c>
      <c r="B3721" t="s">
        <v>10</v>
      </c>
      <c r="C3721" t="s">
        <v>13809</v>
      </c>
      <c r="D3721" t="s">
        <v>9299</v>
      </c>
      <c r="E3721" t="s">
        <v>9299</v>
      </c>
      <c r="F3721" t="s">
        <v>28</v>
      </c>
      <c r="G3721" t="s">
        <v>13810</v>
      </c>
      <c r="H3721" t="s">
        <v>30</v>
      </c>
      <c r="I3721" t="b">
        <f>COUNTIF(Estadísticas!I:I,'centraldecomunicacion.es'!H3721)&gt;0</f>
        <v>0</v>
      </c>
    </row>
    <row r="3722" spans="1:9">
      <c r="A3722" t="s">
        <v>13811</v>
      </c>
      <c r="B3722" t="s">
        <v>10</v>
      </c>
      <c r="C3722" t="s">
        <v>13812</v>
      </c>
      <c r="D3722" t="s">
        <v>9299</v>
      </c>
      <c r="E3722" t="s">
        <v>9289</v>
      </c>
      <c r="F3722" t="s">
        <v>38</v>
      </c>
      <c r="G3722" t="s">
        <v>13813</v>
      </c>
      <c r="H3722" t="s">
        <v>30</v>
      </c>
      <c r="I3722" t="b">
        <f>COUNTIF(Estadísticas!I:I,'centraldecomunicacion.es'!H3722)&gt;0</f>
        <v>0</v>
      </c>
    </row>
    <row r="3723" spans="1:9">
      <c r="A3723" t="s">
        <v>4079</v>
      </c>
      <c r="B3723" t="s">
        <v>10</v>
      </c>
      <c r="C3723" t="s">
        <v>13814</v>
      </c>
      <c r="D3723" t="s">
        <v>9299</v>
      </c>
      <c r="E3723" t="s">
        <v>9299</v>
      </c>
      <c r="F3723" t="s">
        <v>746</v>
      </c>
      <c r="G3723" t="s">
        <v>13815</v>
      </c>
      <c r="H3723" t="s">
        <v>30</v>
      </c>
      <c r="I3723" t="b">
        <f>COUNTIF(Estadísticas!I:I,'centraldecomunicacion.es'!H3723)&gt;0</f>
        <v>0</v>
      </c>
    </row>
    <row r="3724" spans="1:9">
      <c r="A3724" t="s">
        <v>7829</v>
      </c>
      <c r="B3724" t="s">
        <v>10</v>
      </c>
      <c r="C3724" t="s">
        <v>13816</v>
      </c>
      <c r="D3724" t="s">
        <v>9299</v>
      </c>
      <c r="E3724" t="s">
        <v>9299</v>
      </c>
      <c r="F3724" t="s">
        <v>13817</v>
      </c>
      <c r="G3724" t="s">
        <v>13818</v>
      </c>
      <c r="H3724" t="s">
        <v>30</v>
      </c>
      <c r="I3724" t="b">
        <f>COUNTIF(Estadísticas!I:I,'centraldecomunicacion.es'!H3724)&gt;0</f>
        <v>0</v>
      </c>
    </row>
    <row r="3725" spans="1:9">
      <c r="A3725" t="s">
        <v>13819</v>
      </c>
      <c r="B3725" t="s">
        <v>10</v>
      </c>
      <c r="C3725" t="s">
        <v>13820</v>
      </c>
      <c r="D3725" t="s">
        <v>9299</v>
      </c>
      <c r="E3725" t="s">
        <v>9299</v>
      </c>
      <c r="F3725" t="s">
        <v>28</v>
      </c>
      <c r="G3725" t="s">
        <v>13821</v>
      </c>
      <c r="H3725" t="s">
        <v>30</v>
      </c>
      <c r="I3725" t="b">
        <f>COUNTIF(Estadísticas!I:I,'centraldecomunicacion.es'!H3725)&gt;0</f>
        <v>0</v>
      </c>
    </row>
    <row r="3726" spans="1:9">
      <c r="A3726" t="s">
        <v>13822</v>
      </c>
      <c r="B3726" t="s">
        <v>10</v>
      </c>
      <c r="C3726" t="s">
        <v>13823</v>
      </c>
      <c r="D3726" t="s">
        <v>9299</v>
      </c>
      <c r="E3726" t="s">
        <v>9299</v>
      </c>
      <c r="F3726" t="s">
        <v>28</v>
      </c>
      <c r="G3726" t="s">
        <v>13824</v>
      </c>
      <c r="H3726" t="s">
        <v>30</v>
      </c>
      <c r="I3726" t="b">
        <f>COUNTIF(Estadísticas!I:I,'centraldecomunicacion.es'!H3726)&gt;0</f>
        <v>0</v>
      </c>
    </row>
    <row r="3727" spans="1:9">
      <c r="A3727" t="s">
        <v>13825</v>
      </c>
      <c r="B3727" t="s">
        <v>10</v>
      </c>
      <c r="C3727" t="s">
        <v>13826</v>
      </c>
      <c r="D3727" t="s">
        <v>9299</v>
      </c>
      <c r="E3727" t="s">
        <v>9299</v>
      </c>
      <c r="F3727" t="s">
        <v>13827</v>
      </c>
      <c r="G3727" t="s">
        <v>13828</v>
      </c>
      <c r="H3727" t="s">
        <v>13829</v>
      </c>
      <c r="I3727" t="b">
        <f>COUNTIF(Estadísticas!I:I,'centraldecomunicacion.es'!H3727)&gt;0</f>
        <v>0</v>
      </c>
    </row>
    <row r="3728" spans="1:9">
      <c r="A3728" t="s">
        <v>13830</v>
      </c>
      <c r="B3728" t="s">
        <v>10</v>
      </c>
      <c r="C3728" t="s">
        <v>13831</v>
      </c>
      <c r="D3728" t="s">
        <v>9299</v>
      </c>
      <c r="E3728" t="s">
        <v>9299</v>
      </c>
      <c r="F3728" t="s">
        <v>28</v>
      </c>
      <c r="G3728" t="s">
        <v>13832</v>
      </c>
      <c r="H3728" t="s">
        <v>30</v>
      </c>
      <c r="I3728" t="b">
        <f>COUNTIF(Estadísticas!I:I,'centraldecomunicacion.es'!H3728)&gt;0</f>
        <v>0</v>
      </c>
    </row>
    <row r="3729" spans="1:9">
      <c r="A3729" t="s">
        <v>13833</v>
      </c>
      <c r="B3729" t="s">
        <v>10</v>
      </c>
      <c r="C3729" t="s">
        <v>13834</v>
      </c>
      <c r="D3729" t="s">
        <v>9299</v>
      </c>
      <c r="E3729" t="s">
        <v>9289</v>
      </c>
      <c r="F3729" t="s">
        <v>28</v>
      </c>
      <c r="G3729" t="s">
        <v>13835</v>
      </c>
      <c r="H3729" t="s">
        <v>30</v>
      </c>
      <c r="I3729" t="b">
        <f>COUNTIF(Estadísticas!I:I,'centraldecomunicacion.es'!H3729)&gt;0</f>
        <v>0</v>
      </c>
    </row>
    <row r="3730" spans="1:9">
      <c r="A3730" t="s">
        <v>13836</v>
      </c>
      <c r="B3730" t="s">
        <v>10</v>
      </c>
      <c r="C3730" t="s">
        <v>13823</v>
      </c>
      <c r="D3730" t="s">
        <v>9299</v>
      </c>
      <c r="E3730" t="s">
        <v>9299</v>
      </c>
      <c r="F3730" t="s">
        <v>28</v>
      </c>
      <c r="G3730" t="s">
        <v>13837</v>
      </c>
      <c r="H3730" t="s">
        <v>30</v>
      </c>
      <c r="I3730" t="b">
        <f>COUNTIF(Estadísticas!I:I,'centraldecomunicacion.es'!H3730)&gt;0</f>
        <v>0</v>
      </c>
    </row>
    <row r="3731" spans="1:9">
      <c r="A3731" t="s">
        <v>167</v>
      </c>
      <c r="B3731" t="s">
        <v>10</v>
      </c>
      <c r="C3731" t="s">
        <v>13838</v>
      </c>
      <c r="D3731" t="s">
        <v>9299</v>
      </c>
      <c r="E3731" t="s">
        <v>9299</v>
      </c>
      <c r="F3731" t="s">
        <v>28</v>
      </c>
      <c r="G3731" t="s">
        <v>13839</v>
      </c>
      <c r="H3731" t="s">
        <v>30</v>
      </c>
      <c r="I3731" t="b">
        <f>COUNTIF(Estadísticas!I:I,'centraldecomunicacion.es'!H3731)&gt;0</f>
        <v>0</v>
      </c>
    </row>
    <row r="3732" spans="1:9">
      <c r="A3732" t="s">
        <v>13840</v>
      </c>
      <c r="B3732" t="s">
        <v>10</v>
      </c>
      <c r="C3732" t="s">
        <v>13841</v>
      </c>
      <c r="D3732" t="s">
        <v>9299</v>
      </c>
      <c r="E3732" t="s">
        <v>9299</v>
      </c>
      <c r="F3732" t="s">
        <v>13842</v>
      </c>
      <c r="G3732" t="s">
        <v>13843</v>
      </c>
      <c r="H3732" t="s">
        <v>13844</v>
      </c>
      <c r="I3732" t="b">
        <f>COUNTIF(Estadísticas!I:I,'centraldecomunicacion.es'!H3732)&gt;0</f>
        <v>0</v>
      </c>
    </row>
    <row r="3733" spans="1:9">
      <c r="A3733" t="s">
        <v>13845</v>
      </c>
      <c r="B3733" t="s">
        <v>10</v>
      </c>
      <c r="C3733" t="s">
        <v>13846</v>
      </c>
      <c r="D3733" t="s">
        <v>9299</v>
      </c>
      <c r="E3733" t="s">
        <v>9299</v>
      </c>
      <c r="F3733" t="s">
        <v>13847</v>
      </c>
      <c r="G3733" t="s">
        <v>13848</v>
      </c>
      <c r="H3733" t="s">
        <v>13849</v>
      </c>
      <c r="I3733" t="b">
        <f>COUNTIF(Estadísticas!I:I,'centraldecomunicacion.es'!H3733)&gt;0</f>
        <v>1</v>
      </c>
    </row>
    <row r="3734" spans="1:9">
      <c r="A3734" t="s">
        <v>13850</v>
      </c>
      <c r="B3734" t="s">
        <v>10</v>
      </c>
      <c r="C3734" t="s">
        <v>13851</v>
      </c>
      <c r="D3734" t="s">
        <v>9299</v>
      </c>
      <c r="E3734" t="s">
        <v>9299</v>
      </c>
      <c r="F3734" t="s">
        <v>28</v>
      </c>
      <c r="G3734" t="s">
        <v>13852</v>
      </c>
      <c r="H3734" t="s">
        <v>30</v>
      </c>
      <c r="I3734" t="b">
        <f>COUNTIF(Estadísticas!I:I,'centraldecomunicacion.es'!H3734)&gt;0</f>
        <v>0</v>
      </c>
    </row>
    <row r="3735" spans="1:9">
      <c r="A3735" t="s">
        <v>13853</v>
      </c>
      <c r="B3735" t="s">
        <v>10</v>
      </c>
      <c r="C3735" t="s">
        <v>13854</v>
      </c>
      <c r="D3735" t="s">
        <v>9299</v>
      </c>
      <c r="E3735" t="s">
        <v>9299</v>
      </c>
      <c r="F3735" t="s">
        <v>28</v>
      </c>
      <c r="G3735" t="s">
        <v>28</v>
      </c>
      <c r="H3735" t="s">
        <v>30</v>
      </c>
      <c r="I3735" t="b">
        <f>COUNTIF(Estadísticas!I:I,'centraldecomunicacion.es'!H3735)&gt;0</f>
        <v>0</v>
      </c>
    </row>
    <row r="3736" spans="1:9">
      <c r="A3736" t="s">
        <v>13855</v>
      </c>
      <c r="B3736" t="s">
        <v>10</v>
      </c>
      <c r="C3736" t="s">
        <v>13856</v>
      </c>
      <c r="D3736" t="s">
        <v>9299</v>
      </c>
      <c r="E3736" t="s">
        <v>9289</v>
      </c>
      <c r="F3736" t="s">
        <v>28</v>
      </c>
      <c r="G3736" t="s">
        <v>13857</v>
      </c>
      <c r="H3736" t="s">
        <v>30</v>
      </c>
      <c r="I3736" t="b">
        <f>COUNTIF(Estadísticas!I:I,'centraldecomunicacion.es'!H3736)&gt;0</f>
        <v>0</v>
      </c>
    </row>
    <row r="3737" spans="1:9">
      <c r="A3737" t="s">
        <v>13858</v>
      </c>
      <c r="B3737" t="s">
        <v>10</v>
      </c>
      <c r="C3737" t="s">
        <v>13859</v>
      </c>
      <c r="D3737" t="s">
        <v>9299</v>
      </c>
      <c r="E3737" t="s">
        <v>9299</v>
      </c>
      <c r="F3737" t="s">
        <v>28</v>
      </c>
      <c r="G3737" t="s">
        <v>13860</v>
      </c>
      <c r="H3737" t="s">
        <v>30</v>
      </c>
      <c r="I3737" t="b">
        <f>COUNTIF(Estadísticas!I:I,'centraldecomunicacion.es'!H3737)&gt;0</f>
        <v>0</v>
      </c>
    </row>
    <row r="3738" spans="1:9">
      <c r="A3738" t="s">
        <v>340</v>
      </c>
      <c r="B3738" t="s">
        <v>10</v>
      </c>
      <c r="C3738" t="s">
        <v>13861</v>
      </c>
      <c r="D3738" t="s">
        <v>9299</v>
      </c>
      <c r="E3738" t="s">
        <v>9299</v>
      </c>
      <c r="F3738" t="s">
        <v>28</v>
      </c>
      <c r="G3738" t="s">
        <v>28</v>
      </c>
      <c r="H3738" t="s">
        <v>30</v>
      </c>
      <c r="I3738" t="b">
        <f>COUNTIF(Estadísticas!I:I,'centraldecomunicacion.es'!H3738)&gt;0</f>
        <v>0</v>
      </c>
    </row>
    <row r="3739" spans="1:9">
      <c r="A3739" t="s">
        <v>13862</v>
      </c>
      <c r="B3739" t="s">
        <v>10</v>
      </c>
      <c r="C3739" t="s">
        <v>13863</v>
      </c>
      <c r="D3739" t="s">
        <v>13864</v>
      </c>
      <c r="E3739" t="s">
        <v>9289</v>
      </c>
      <c r="F3739" t="s">
        <v>28</v>
      </c>
      <c r="G3739" t="s">
        <v>13865</v>
      </c>
      <c r="H3739" t="s">
        <v>30</v>
      </c>
      <c r="I3739" t="b">
        <f>COUNTIF(Estadísticas!I:I,'centraldecomunicacion.es'!H3739)&gt;0</f>
        <v>0</v>
      </c>
    </row>
    <row r="3740" spans="1:9">
      <c r="A3740" t="s">
        <v>13866</v>
      </c>
      <c r="B3740" t="s">
        <v>10</v>
      </c>
      <c r="C3740" t="s">
        <v>13867</v>
      </c>
      <c r="D3740" t="s">
        <v>13868</v>
      </c>
      <c r="E3740" t="s">
        <v>9299</v>
      </c>
      <c r="F3740" t="s">
        <v>28</v>
      </c>
      <c r="G3740" t="s">
        <v>13869</v>
      </c>
      <c r="H3740" t="s">
        <v>30</v>
      </c>
      <c r="I3740" t="b">
        <f>COUNTIF(Estadísticas!I:I,'centraldecomunicacion.es'!H3740)&gt;0</f>
        <v>0</v>
      </c>
    </row>
    <row r="3741" spans="1:9">
      <c r="A3741" t="s">
        <v>13870</v>
      </c>
      <c r="B3741" t="s">
        <v>10</v>
      </c>
      <c r="C3741" t="s">
        <v>13871</v>
      </c>
      <c r="D3741" t="s">
        <v>13868</v>
      </c>
      <c r="E3741" t="s">
        <v>9299</v>
      </c>
      <c r="F3741" t="s">
        <v>28</v>
      </c>
      <c r="G3741" t="s">
        <v>13872</v>
      </c>
      <c r="H3741" t="s">
        <v>30</v>
      </c>
      <c r="I3741" t="b">
        <f>COUNTIF(Estadísticas!I:I,'centraldecomunicacion.es'!H3741)&gt;0</f>
        <v>0</v>
      </c>
    </row>
    <row r="3742" spans="1:9">
      <c r="A3742" t="s">
        <v>13873</v>
      </c>
      <c r="B3742" t="s">
        <v>10</v>
      </c>
      <c r="C3742" t="s">
        <v>13874</v>
      </c>
      <c r="D3742" t="s">
        <v>13875</v>
      </c>
      <c r="E3742" t="s">
        <v>9299</v>
      </c>
      <c r="F3742" t="s">
        <v>13876</v>
      </c>
      <c r="G3742" t="s">
        <v>13877</v>
      </c>
      <c r="H3742" t="s">
        <v>30</v>
      </c>
      <c r="I3742" t="b">
        <f>COUNTIF(Estadísticas!I:I,'centraldecomunicacion.es'!H3742)&gt;0</f>
        <v>0</v>
      </c>
    </row>
    <row r="3743" spans="1:9">
      <c r="A3743" t="s">
        <v>13878</v>
      </c>
      <c r="B3743" t="s">
        <v>10</v>
      </c>
      <c r="C3743" t="s">
        <v>13879</v>
      </c>
      <c r="D3743" t="s">
        <v>13875</v>
      </c>
      <c r="E3743" t="s">
        <v>9299</v>
      </c>
      <c r="F3743" t="s">
        <v>28</v>
      </c>
      <c r="G3743" t="s">
        <v>13880</v>
      </c>
      <c r="H3743" t="s">
        <v>30</v>
      </c>
      <c r="I3743" t="b">
        <f>COUNTIF(Estadísticas!I:I,'centraldecomunicacion.es'!H3743)&gt;0</f>
        <v>0</v>
      </c>
    </row>
    <row r="3744" spans="1:9">
      <c r="A3744" t="s">
        <v>13881</v>
      </c>
      <c r="B3744" t="s">
        <v>10</v>
      </c>
      <c r="C3744" t="s">
        <v>13882</v>
      </c>
      <c r="D3744" t="s">
        <v>13875</v>
      </c>
      <c r="E3744" t="s">
        <v>9289</v>
      </c>
      <c r="F3744" t="s">
        <v>28</v>
      </c>
      <c r="G3744" t="s">
        <v>13883</v>
      </c>
      <c r="H3744" t="s">
        <v>30</v>
      </c>
      <c r="I3744" t="b">
        <f>COUNTIF(Estadísticas!I:I,'centraldecomunicacion.es'!H3744)&gt;0</f>
        <v>0</v>
      </c>
    </row>
    <row r="3745" spans="1:9">
      <c r="A3745" t="s">
        <v>13884</v>
      </c>
      <c r="B3745" t="s">
        <v>10</v>
      </c>
      <c r="C3745" t="s">
        <v>13885</v>
      </c>
      <c r="D3745" t="s">
        <v>13875</v>
      </c>
      <c r="E3745" t="s">
        <v>9299</v>
      </c>
      <c r="F3745" t="s">
        <v>28</v>
      </c>
      <c r="G3745" t="s">
        <v>13886</v>
      </c>
      <c r="H3745" t="s">
        <v>30</v>
      </c>
      <c r="I3745" t="b">
        <f>COUNTIF(Estadísticas!I:I,'centraldecomunicacion.es'!H3745)&gt;0</f>
        <v>0</v>
      </c>
    </row>
    <row r="3746" spans="1:9">
      <c r="A3746" t="s">
        <v>13887</v>
      </c>
      <c r="B3746" t="s">
        <v>10</v>
      </c>
      <c r="C3746" t="s">
        <v>13888</v>
      </c>
      <c r="D3746" t="s">
        <v>13889</v>
      </c>
      <c r="E3746" t="s">
        <v>9289</v>
      </c>
      <c r="F3746" t="s">
        <v>28</v>
      </c>
      <c r="G3746" t="s">
        <v>13890</v>
      </c>
      <c r="H3746" t="s">
        <v>30</v>
      </c>
      <c r="I3746" t="b">
        <f>COUNTIF(Estadísticas!I:I,'centraldecomunicacion.es'!H3746)&gt;0</f>
        <v>0</v>
      </c>
    </row>
    <row r="3747" spans="1:9">
      <c r="A3747" t="s">
        <v>13891</v>
      </c>
      <c r="B3747" t="s">
        <v>10</v>
      </c>
      <c r="C3747" t="s">
        <v>13892</v>
      </c>
      <c r="D3747" t="s">
        <v>13893</v>
      </c>
      <c r="E3747" t="s">
        <v>9299</v>
      </c>
      <c r="F3747" t="s">
        <v>13894</v>
      </c>
      <c r="G3747" t="s">
        <v>13895</v>
      </c>
      <c r="H3747" t="s">
        <v>30</v>
      </c>
      <c r="I3747" t="b">
        <f>COUNTIF(Estadísticas!I:I,'centraldecomunicacion.es'!H3747)&gt;0</f>
        <v>0</v>
      </c>
    </row>
    <row r="3748" spans="1:9">
      <c r="A3748" t="s">
        <v>8286</v>
      </c>
      <c r="B3748" t="s">
        <v>10</v>
      </c>
      <c r="C3748" t="s">
        <v>13896</v>
      </c>
      <c r="D3748" t="s">
        <v>13897</v>
      </c>
      <c r="E3748" t="s">
        <v>9289</v>
      </c>
      <c r="F3748" t="s">
        <v>28</v>
      </c>
      <c r="G3748" t="s">
        <v>13898</v>
      </c>
      <c r="H3748" t="s">
        <v>30</v>
      </c>
      <c r="I3748" t="b">
        <f>COUNTIF(Estadísticas!I:I,'centraldecomunicacion.es'!H3748)&gt;0</f>
        <v>0</v>
      </c>
    </row>
    <row r="3749" spans="1:9">
      <c r="A3749" t="s">
        <v>13899</v>
      </c>
      <c r="B3749" t="s">
        <v>10</v>
      </c>
      <c r="C3749" t="s">
        <v>13900</v>
      </c>
      <c r="D3749" t="s">
        <v>13901</v>
      </c>
      <c r="E3749" t="s">
        <v>9289</v>
      </c>
      <c r="F3749" t="s">
        <v>28</v>
      </c>
      <c r="G3749" t="s">
        <v>13902</v>
      </c>
      <c r="H3749" t="s">
        <v>30</v>
      </c>
      <c r="I3749" t="b">
        <f>COUNTIF(Estadísticas!I:I,'centraldecomunicacion.es'!H3749)&gt;0</f>
        <v>0</v>
      </c>
    </row>
    <row r="3750" spans="1:9">
      <c r="A3750" t="s">
        <v>13903</v>
      </c>
      <c r="B3750" t="s">
        <v>10</v>
      </c>
      <c r="C3750" t="s">
        <v>13904</v>
      </c>
      <c r="D3750" t="s">
        <v>13905</v>
      </c>
      <c r="E3750" t="s">
        <v>9289</v>
      </c>
      <c r="F3750" t="s">
        <v>28</v>
      </c>
      <c r="G3750" t="s">
        <v>28</v>
      </c>
      <c r="H3750" t="s">
        <v>30</v>
      </c>
      <c r="I3750" t="b">
        <f>COUNTIF(Estadísticas!I:I,'centraldecomunicacion.es'!H3750)&gt;0</f>
        <v>0</v>
      </c>
    </row>
    <row r="3751" spans="1:9">
      <c r="A3751" t="s">
        <v>13906</v>
      </c>
      <c r="B3751" t="s">
        <v>10</v>
      </c>
      <c r="C3751" t="s">
        <v>13907</v>
      </c>
      <c r="D3751" t="s">
        <v>13908</v>
      </c>
      <c r="E3751" t="s">
        <v>9289</v>
      </c>
      <c r="F3751" t="s">
        <v>13909</v>
      </c>
      <c r="G3751" t="s">
        <v>13910</v>
      </c>
      <c r="H3751" t="s">
        <v>13911</v>
      </c>
      <c r="I3751" t="b">
        <f>COUNTIF(Estadísticas!I:I,'centraldecomunicacion.es'!H3751)&gt;0</f>
        <v>1</v>
      </c>
    </row>
    <row r="3752" spans="1:9">
      <c r="A3752" t="s">
        <v>13912</v>
      </c>
      <c r="B3752" t="s">
        <v>10</v>
      </c>
      <c r="C3752" t="s">
        <v>13913</v>
      </c>
      <c r="D3752" t="s">
        <v>13914</v>
      </c>
      <c r="E3752" t="s">
        <v>9289</v>
      </c>
      <c r="F3752" t="s">
        <v>28</v>
      </c>
      <c r="G3752" t="s">
        <v>28</v>
      </c>
      <c r="H3752" t="s">
        <v>30</v>
      </c>
      <c r="I3752" t="b">
        <f>COUNTIF(Estadísticas!I:I,'centraldecomunicacion.es'!H3752)&gt;0</f>
        <v>0</v>
      </c>
    </row>
    <row r="3753" spans="1:9">
      <c r="A3753" t="s">
        <v>13915</v>
      </c>
      <c r="B3753" t="s">
        <v>10</v>
      </c>
      <c r="C3753" t="s">
        <v>13916</v>
      </c>
      <c r="D3753" t="s">
        <v>3563</v>
      </c>
      <c r="E3753" t="s">
        <v>3564</v>
      </c>
      <c r="F3753" t="s">
        <v>13917</v>
      </c>
      <c r="G3753" t="s">
        <v>13918</v>
      </c>
      <c r="H3753" t="s">
        <v>13919</v>
      </c>
      <c r="I3753" t="b">
        <f>COUNTIF(Estadísticas!I:I,'centraldecomunicacion.es'!H3753)&gt;0</f>
        <v>1</v>
      </c>
    </row>
    <row r="3754" spans="1:9">
      <c r="A3754" t="s">
        <v>13920</v>
      </c>
      <c r="B3754" t="s">
        <v>10</v>
      </c>
      <c r="C3754" t="s">
        <v>13921</v>
      </c>
      <c r="D3754" t="s">
        <v>13922</v>
      </c>
      <c r="E3754" t="s">
        <v>3564</v>
      </c>
      <c r="F3754" t="s">
        <v>13923</v>
      </c>
      <c r="G3754" t="s">
        <v>13924</v>
      </c>
      <c r="H3754" t="s">
        <v>30</v>
      </c>
      <c r="I3754" t="b">
        <f>COUNTIF(Estadísticas!I:I,'centraldecomunicacion.es'!H3754)&gt;0</f>
        <v>0</v>
      </c>
    </row>
    <row r="3755" spans="1:9">
      <c r="A3755" t="s">
        <v>13925</v>
      </c>
      <c r="B3755" t="s">
        <v>10</v>
      </c>
      <c r="C3755" t="s">
        <v>13926</v>
      </c>
      <c r="D3755" t="s">
        <v>13927</v>
      </c>
      <c r="E3755" t="s">
        <v>3564</v>
      </c>
      <c r="F3755" t="s">
        <v>28</v>
      </c>
      <c r="G3755" t="s">
        <v>13928</v>
      </c>
      <c r="H3755" t="s">
        <v>30</v>
      </c>
      <c r="I3755" t="b">
        <f>COUNTIF(Estadísticas!I:I,'centraldecomunicacion.es'!H3755)&gt;0</f>
        <v>0</v>
      </c>
    </row>
    <row r="3756" spans="1:9">
      <c r="A3756" t="s">
        <v>13929</v>
      </c>
      <c r="B3756" t="s">
        <v>10</v>
      </c>
      <c r="C3756" t="s">
        <v>13930</v>
      </c>
      <c r="D3756" t="s">
        <v>3563</v>
      </c>
      <c r="E3756" t="s">
        <v>3564</v>
      </c>
      <c r="F3756" t="s">
        <v>13931</v>
      </c>
      <c r="G3756" t="s">
        <v>13932</v>
      </c>
      <c r="H3756" t="s">
        <v>13933</v>
      </c>
      <c r="I3756" t="b">
        <f>COUNTIF(Estadísticas!I:I,'centraldecomunicacion.es'!H3756)&gt;0</f>
        <v>0</v>
      </c>
    </row>
    <row r="3757" spans="1:9">
      <c r="A3757" t="s">
        <v>8937</v>
      </c>
      <c r="B3757" t="s">
        <v>10</v>
      </c>
      <c r="C3757" t="s">
        <v>13934</v>
      </c>
      <c r="D3757" t="s">
        <v>3563</v>
      </c>
      <c r="E3757" t="s">
        <v>3564</v>
      </c>
      <c r="F3757" t="s">
        <v>13935</v>
      </c>
      <c r="G3757" t="s">
        <v>13936</v>
      </c>
      <c r="H3757" t="s">
        <v>30</v>
      </c>
      <c r="I3757" t="b">
        <f>COUNTIF(Estadísticas!I:I,'centraldecomunicacion.es'!H3757)&gt;0</f>
        <v>0</v>
      </c>
    </row>
    <row r="3758" spans="1:9">
      <c r="A3758" t="s">
        <v>436</v>
      </c>
      <c r="B3758" t="s">
        <v>10</v>
      </c>
      <c r="C3758" t="s">
        <v>13937</v>
      </c>
      <c r="D3758" t="s">
        <v>3563</v>
      </c>
      <c r="E3758" t="s">
        <v>3564</v>
      </c>
      <c r="F3758" t="s">
        <v>28</v>
      </c>
      <c r="G3758" t="s">
        <v>13938</v>
      </c>
      <c r="H3758" t="s">
        <v>30</v>
      </c>
      <c r="I3758" t="b">
        <f>COUNTIF(Estadísticas!I:I,'centraldecomunicacion.es'!H3758)&gt;0</f>
        <v>0</v>
      </c>
    </row>
    <row r="3759" spans="1:9">
      <c r="A3759" t="s">
        <v>4062</v>
      </c>
      <c r="B3759" t="s">
        <v>10</v>
      </c>
      <c r="C3759" t="s">
        <v>13939</v>
      </c>
      <c r="D3759" t="s">
        <v>3563</v>
      </c>
      <c r="E3759" t="s">
        <v>3564</v>
      </c>
      <c r="F3759" t="s">
        <v>13940</v>
      </c>
      <c r="G3759" t="s">
        <v>13941</v>
      </c>
      <c r="H3759" t="s">
        <v>30</v>
      </c>
      <c r="I3759" t="b">
        <f>COUNTIF(Estadísticas!I:I,'centraldecomunicacion.es'!H3759)&gt;0</f>
        <v>0</v>
      </c>
    </row>
    <row r="3760" spans="1:9">
      <c r="A3760" t="s">
        <v>13942</v>
      </c>
      <c r="B3760" t="s">
        <v>10</v>
      </c>
      <c r="C3760" t="s">
        <v>13943</v>
      </c>
      <c r="D3760" t="s">
        <v>13944</v>
      </c>
      <c r="E3760" t="s">
        <v>3564</v>
      </c>
      <c r="F3760" t="s">
        <v>28</v>
      </c>
      <c r="G3760" t="s">
        <v>13945</v>
      </c>
      <c r="H3760" t="s">
        <v>30</v>
      </c>
      <c r="I3760" t="b">
        <f>COUNTIF(Estadísticas!I:I,'centraldecomunicacion.es'!H3760)&gt;0</f>
        <v>0</v>
      </c>
    </row>
    <row r="3761" spans="1:9">
      <c r="A3761" t="s">
        <v>13946</v>
      </c>
      <c r="B3761" t="s">
        <v>10</v>
      </c>
      <c r="C3761" t="s">
        <v>13947</v>
      </c>
      <c r="D3761" t="s">
        <v>13948</v>
      </c>
      <c r="E3761" t="s">
        <v>3564</v>
      </c>
      <c r="F3761" t="s">
        <v>28</v>
      </c>
      <c r="G3761" t="s">
        <v>13949</v>
      </c>
      <c r="H3761" t="s">
        <v>30</v>
      </c>
      <c r="I3761" t="b">
        <f>COUNTIF(Estadísticas!I:I,'centraldecomunicacion.es'!H3761)&gt;0</f>
        <v>0</v>
      </c>
    </row>
    <row r="3762" spans="1:9">
      <c r="A3762" t="s">
        <v>13950</v>
      </c>
      <c r="B3762" t="s">
        <v>10</v>
      </c>
      <c r="C3762" t="s">
        <v>13951</v>
      </c>
      <c r="D3762" t="s">
        <v>3563</v>
      </c>
      <c r="E3762" t="s">
        <v>3564</v>
      </c>
      <c r="F3762" t="s">
        <v>28</v>
      </c>
      <c r="G3762" t="s">
        <v>13952</v>
      </c>
      <c r="H3762" t="s">
        <v>30</v>
      </c>
      <c r="I3762" t="b">
        <f>COUNTIF(Estadísticas!I:I,'centraldecomunicacion.es'!H3762)&gt;0</f>
        <v>0</v>
      </c>
    </row>
    <row r="3763" spans="1:9">
      <c r="A3763" t="s">
        <v>13953</v>
      </c>
      <c r="B3763" t="s">
        <v>10</v>
      </c>
      <c r="C3763" t="s">
        <v>13954</v>
      </c>
      <c r="D3763" t="s">
        <v>13922</v>
      </c>
      <c r="E3763" t="s">
        <v>3564</v>
      </c>
      <c r="F3763" t="s">
        <v>28</v>
      </c>
      <c r="G3763" t="s">
        <v>28</v>
      </c>
      <c r="H3763" t="s">
        <v>30</v>
      </c>
      <c r="I3763" t="b">
        <f>COUNTIF(Estadísticas!I:I,'centraldecomunicacion.es'!H3763)&gt;0</f>
        <v>0</v>
      </c>
    </row>
    <row r="3764" spans="1:9">
      <c r="A3764" t="s">
        <v>13955</v>
      </c>
      <c r="B3764" t="s">
        <v>10</v>
      </c>
      <c r="C3764" t="s">
        <v>13956</v>
      </c>
      <c r="D3764" t="s">
        <v>3563</v>
      </c>
      <c r="E3764" t="s">
        <v>3564</v>
      </c>
      <c r="F3764" t="s">
        <v>28</v>
      </c>
      <c r="G3764" t="s">
        <v>13957</v>
      </c>
      <c r="H3764" t="s">
        <v>30</v>
      </c>
      <c r="I3764" t="b">
        <f>COUNTIF(Estadísticas!I:I,'centraldecomunicacion.es'!H3764)&gt;0</f>
        <v>0</v>
      </c>
    </row>
    <row r="3765" spans="1:9">
      <c r="A3765" t="s">
        <v>13958</v>
      </c>
      <c r="B3765" t="s">
        <v>10</v>
      </c>
      <c r="C3765" t="s">
        <v>13959</v>
      </c>
      <c r="D3765" t="s">
        <v>13960</v>
      </c>
      <c r="E3765" t="s">
        <v>3564</v>
      </c>
      <c r="F3765" t="s">
        <v>28</v>
      </c>
      <c r="G3765" t="s">
        <v>13961</v>
      </c>
      <c r="H3765" t="s">
        <v>30</v>
      </c>
      <c r="I3765" t="b">
        <f>COUNTIF(Estadísticas!I:I,'centraldecomunicacion.es'!H3765)&gt;0</f>
        <v>0</v>
      </c>
    </row>
    <row r="3766" spans="1:9">
      <c r="A3766" t="s">
        <v>13962</v>
      </c>
      <c r="B3766" t="s">
        <v>10</v>
      </c>
      <c r="C3766" t="s">
        <v>13963</v>
      </c>
      <c r="D3766" t="s">
        <v>3563</v>
      </c>
      <c r="E3766" t="s">
        <v>3564</v>
      </c>
      <c r="F3766" t="s">
        <v>28</v>
      </c>
      <c r="G3766" t="s">
        <v>13964</v>
      </c>
      <c r="H3766" t="s">
        <v>30</v>
      </c>
      <c r="I3766" t="b">
        <f>COUNTIF(Estadísticas!I:I,'centraldecomunicacion.es'!H3766)&gt;0</f>
        <v>0</v>
      </c>
    </row>
    <row r="3767" spans="1:9">
      <c r="A3767" t="s">
        <v>13965</v>
      </c>
      <c r="B3767" t="s">
        <v>10</v>
      </c>
      <c r="C3767" t="s">
        <v>13966</v>
      </c>
      <c r="D3767" t="s">
        <v>3563</v>
      </c>
      <c r="E3767" t="s">
        <v>3564</v>
      </c>
      <c r="F3767" t="s">
        <v>13967</v>
      </c>
      <c r="G3767" t="s">
        <v>13968</v>
      </c>
      <c r="H3767" t="s">
        <v>30</v>
      </c>
      <c r="I3767" t="b">
        <f>COUNTIF(Estadísticas!I:I,'centraldecomunicacion.es'!H3767)&gt;0</f>
        <v>0</v>
      </c>
    </row>
    <row r="3768" spans="1:9">
      <c r="A3768" t="s">
        <v>13969</v>
      </c>
      <c r="B3768" t="s">
        <v>10</v>
      </c>
      <c r="C3768" t="s">
        <v>13970</v>
      </c>
      <c r="D3768" t="s">
        <v>3563</v>
      </c>
      <c r="E3768" t="s">
        <v>3564</v>
      </c>
      <c r="F3768" t="s">
        <v>13971</v>
      </c>
      <c r="G3768" t="s">
        <v>13972</v>
      </c>
      <c r="H3768" t="s">
        <v>13973</v>
      </c>
      <c r="I3768" t="b">
        <f>COUNTIF(Estadísticas!I:I,'centraldecomunicacion.es'!H3768)&gt;0</f>
        <v>0</v>
      </c>
    </row>
    <row r="3769" spans="1:9">
      <c r="A3769" t="s">
        <v>11964</v>
      </c>
      <c r="B3769" t="s">
        <v>10</v>
      </c>
      <c r="C3769" t="s">
        <v>13974</v>
      </c>
      <c r="D3769" t="s">
        <v>3563</v>
      </c>
      <c r="E3769" t="s">
        <v>3564</v>
      </c>
      <c r="F3769" t="s">
        <v>13975</v>
      </c>
      <c r="G3769" t="s">
        <v>13976</v>
      </c>
      <c r="H3769" t="s">
        <v>30</v>
      </c>
      <c r="I3769" t="b">
        <f>COUNTIF(Estadísticas!I:I,'centraldecomunicacion.es'!H3769)&gt;0</f>
        <v>0</v>
      </c>
    </row>
    <row r="3770" spans="1:9">
      <c r="A3770" t="s">
        <v>13977</v>
      </c>
      <c r="B3770" t="s">
        <v>10</v>
      </c>
      <c r="C3770" t="s">
        <v>13978</v>
      </c>
      <c r="D3770" t="s">
        <v>3563</v>
      </c>
      <c r="E3770" t="s">
        <v>3564</v>
      </c>
      <c r="F3770" t="s">
        <v>28</v>
      </c>
      <c r="G3770" t="s">
        <v>396</v>
      </c>
      <c r="H3770" t="s">
        <v>30</v>
      </c>
      <c r="I3770" t="b">
        <f>COUNTIF(Estadísticas!I:I,'centraldecomunicacion.es'!H3770)&gt;0</f>
        <v>0</v>
      </c>
    </row>
    <row r="3771" spans="1:9">
      <c r="A3771" t="s">
        <v>13979</v>
      </c>
      <c r="B3771" t="s">
        <v>10</v>
      </c>
      <c r="C3771" t="s">
        <v>13980</v>
      </c>
      <c r="D3771" t="s">
        <v>13981</v>
      </c>
      <c r="E3771" t="s">
        <v>3564</v>
      </c>
      <c r="F3771" t="s">
        <v>13982</v>
      </c>
      <c r="G3771" t="s">
        <v>13983</v>
      </c>
      <c r="H3771" t="s">
        <v>30</v>
      </c>
      <c r="I3771" t="b">
        <f>COUNTIF(Estadísticas!I:I,'centraldecomunicacion.es'!H3771)&gt;0</f>
        <v>0</v>
      </c>
    </row>
    <row r="3772" spans="1:9">
      <c r="A3772" t="s">
        <v>13969</v>
      </c>
      <c r="B3772" t="s">
        <v>10</v>
      </c>
      <c r="C3772" t="s">
        <v>13984</v>
      </c>
      <c r="D3772" t="s">
        <v>3563</v>
      </c>
      <c r="E3772" t="s">
        <v>3564</v>
      </c>
      <c r="F3772" t="s">
        <v>13971</v>
      </c>
      <c r="G3772" t="s">
        <v>13985</v>
      </c>
      <c r="H3772" t="s">
        <v>13973</v>
      </c>
      <c r="I3772" t="b">
        <f>COUNTIF(Estadísticas!I:I,'centraldecomunicacion.es'!H3772)&gt;0</f>
        <v>0</v>
      </c>
    </row>
    <row r="3773" spans="1:9">
      <c r="A3773" t="s">
        <v>13986</v>
      </c>
      <c r="B3773" t="s">
        <v>10</v>
      </c>
      <c r="C3773" t="s">
        <v>13987</v>
      </c>
      <c r="D3773" t="s">
        <v>3563</v>
      </c>
      <c r="E3773" t="s">
        <v>3564</v>
      </c>
      <c r="F3773" t="s">
        <v>7986</v>
      </c>
      <c r="G3773" t="s">
        <v>13988</v>
      </c>
      <c r="H3773" t="s">
        <v>7988</v>
      </c>
      <c r="I3773" t="b">
        <f>COUNTIF(Estadísticas!I:I,'centraldecomunicacion.es'!H3773)&gt;0</f>
        <v>0</v>
      </c>
    </row>
    <row r="3774" spans="1:9">
      <c r="A3774" t="s">
        <v>13989</v>
      </c>
      <c r="B3774" t="s">
        <v>10</v>
      </c>
      <c r="C3774" t="s">
        <v>13990</v>
      </c>
      <c r="D3774" t="s">
        <v>3563</v>
      </c>
      <c r="E3774" t="s">
        <v>3564</v>
      </c>
      <c r="F3774" t="s">
        <v>28</v>
      </c>
      <c r="G3774" t="s">
        <v>13991</v>
      </c>
      <c r="H3774" t="s">
        <v>30</v>
      </c>
      <c r="I3774" t="b">
        <f>COUNTIF(Estadísticas!I:I,'centraldecomunicacion.es'!H3774)&gt;0</f>
        <v>0</v>
      </c>
    </row>
    <row r="3775" spans="1:9">
      <c r="A3775" t="s">
        <v>2207</v>
      </c>
      <c r="B3775" t="s">
        <v>10</v>
      </c>
      <c r="C3775" t="s">
        <v>13992</v>
      </c>
      <c r="D3775" t="s">
        <v>3563</v>
      </c>
      <c r="E3775" t="s">
        <v>3564</v>
      </c>
      <c r="F3775" t="s">
        <v>13993</v>
      </c>
      <c r="G3775" t="s">
        <v>13994</v>
      </c>
      <c r="H3775" t="s">
        <v>30</v>
      </c>
      <c r="I3775" t="b">
        <f>COUNTIF(Estadísticas!I:I,'centraldecomunicacion.es'!H3775)&gt;0</f>
        <v>0</v>
      </c>
    </row>
    <row r="3776" spans="1:9">
      <c r="A3776" t="s">
        <v>13995</v>
      </c>
      <c r="B3776" t="s">
        <v>10</v>
      </c>
      <c r="C3776" t="s">
        <v>13996</v>
      </c>
      <c r="D3776" t="s">
        <v>3563</v>
      </c>
      <c r="E3776" t="s">
        <v>3564</v>
      </c>
      <c r="F3776" t="s">
        <v>13997</v>
      </c>
      <c r="G3776" t="s">
        <v>13998</v>
      </c>
      <c r="H3776" t="s">
        <v>30</v>
      </c>
      <c r="I3776" t="b">
        <f>COUNTIF(Estadísticas!I:I,'centraldecomunicacion.es'!H3776)&gt;0</f>
        <v>0</v>
      </c>
    </row>
    <row r="3777" spans="1:9">
      <c r="A3777" t="s">
        <v>13999</v>
      </c>
      <c r="B3777" t="s">
        <v>10</v>
      </c>
      <c r="C3777" t="s">
        <v>14000</v>
      </c>
      <c r="D3777" t="s">
        <v>3563</v>
      </c>
      <c r="E3777" t="s">
        <v>3564</v>
      </c>
      <c r="F3777" t="s">
        <v>14001</v>
      </c>
      <c r="G3777" t="s">
        <v>14002</v>
      </c>
      <c r="H3777" t="s">
        <v>14003</v>
      </c>
      <c r="I3777" t="b">
        <f>COUNTIF(Estadísticas!I:I,'centraldecomunicacion.es'!H3777)&gt;0</f>
        <v>0</v>
      </c>
    </row>
    <row r="3778" spans="1:9">
      <c r="A3778" t="s">
        <v>14004</v>
      </c>
      <c r="B3778" t="s">
        <v>10</v>
      </c>
      <c r="C3778" t="s">
        <v>14005</v>
      </c>
      <c r="D3778" t="s">
        <v>13922</v>
      </c>
      <c r="E3778" t="s">
        <v>3564</v>
      </c>
      <c r="F3778" t="s">
        <v>14006</v>
      </c>
      <c r="G3778" t="s">
        <v>14007</v>
      </c>
      <c r="H3778" t="s">
        <v>30</v>
      </c>
      <c r="I3778" t="b">
        <f>COUNTIF(Estadísticas!I:I,'centraldecomunicacion.es'!H3778)&gt;0</f>
        <v>0</v>
      </c>
    </row>
    <row r="3779" spans="1:9">
      <c r="A3779" t="s">
        <v>1161</v>
      </c>
      <c r="B3779" t="s">
        <v>10</v>
      </c>
      <c r="C3779" t="s">
        <v>14008</v>
      </c>
      <c r="D3779" t="s">
        <v>14009</v>
      </c>
      <c r="E3779" t="s">
        <v>3564</v>
      </c>
      <c r="F3779" t="s">
        <v>14010</v>
      </c>
      <c r="G3779" t="s">
        <v>14011</v>
      </c>
      <c r="H3779" t="s">
        <v>30</v>
      </c>
      <c r="I3779" t="b">
        <f>COUNTIF(Estadísticas!I:I,'centraldecomunicacion.es'!H3779)&gt;0</f>
        <v>0</v>
      </c>
    </row>
    <row r="3780" spans="1:9">
      <c r="A3780" t="s">
        <v>14012</v>
      </c>
      <c r="B3780" t="s">
        <v>10</v>
      </c>
      <c r="C3780" t="s">
        <v>14013</v>
      </c>
      <c r="D3780" t="s">
        <v>14014</v>
      </c>
      <c r="E3780" t="s">
        <v>3564</v>
      </c>
      <c r="F3780" t="s">
        <v>14015</v>
      </c>
      <c r="G3780" t="s">
        <v>14016</v>
      </c>
      <c r="H3780" t="s">
        <v>30</v>
      </c>
      <c r="I3780" t="b">
        <f>COUNTIF(Estadísticas!I:I,'centraldecomunicacion.es'!H3780)&gt;0</f>
        <v>0</v>
      </c>
    </row>
    <row r="3781" spans="1:9">
      <c r="A3781" t="s">
        <v>14017</v>
      </c>
      <c r="B3781" t="s">
        <v>10</v>
      </c>
      <c r="C3781" t="s">
        <v>14018</v>
      </c>
      <c r="D3781" t="s">
        <v>3563</v>
      </c>
      <c r="E3781" t="s">
        <v>3564</v>
      </c>
      <c r="F3781" t="s">
        <v>50</v>
      </c>
      <c r="G3781" t="s">
        <v>14019</v>
      </c>
      <c r="H3781" t="s">
        <v>30</v>
      </c>
      <c r="I3781" t="b">
        <f>COUNTIF(Estadísticas!I:I,'centraldecomunicacion.es'!H3781)&gt;0</f>
        <v>0</v>
      </c>
    </row>
    <row r="3782" spans="1:9">
      <c r="A3782" t="s">
        <v>14020</v>
      </c>
      <c r="B3782" t="s">
        <v>10</v>
      </c>
      <c r="C3782" t="s">
        <v>14021</v>
      </c>
      <c r="D3782" t="s">
        <v>14022</v>
      </c>
      <c r="E3782" t="s">
        <v>3564</v>
      </c>
      <c r="F3782" t="s">
        <v>14023</v>
      </c>
      <c r="G3782" t="s">
        <v>14024</v>
      </c>
      <c r="H3782" t="s">
        <v>30</v>
      </c>
      <c r="I3782" t="b">
        <f>COUNTIF(Estadísticas!I:I,'centraldecomunicacion.es'!H3782)&gt;0</f>
        <v>0</v>
      </c>
    </row>
    <row r="3783" spans="1:9">
      <c r="A3783" t="s">
        <v>14025</v>
      </c>
      <c r="B3783" t="s">
        <v>10</v>
      </c>
      <c r="C3783" t="s">
        <v>14026</v>
      </c>
      <c r="D3783" t="s">
        <v>3563</v>
      </c>
      <c r="E3783" t="s">
        <v>3564</v>
      </c>
      <c r="F3783" t="s">
        <v>14027</v>
      </c>
      <c r="G3783" t="s">
        <v>13941</v>
      </c>
      <c r="H3783" t="s">
        <v>14028</v>
      </c>
      <c r="I3783" t="b">
        <f>COUNTIF(Estadísticas!I:I,'centraldecomunicacion.es'!H3783)&gt;0</f>
        <v>0</v>
      </c>
    </row>
    <row r="3784" spans="1:9">
      <c r="A3784" t="s">
        <v>14029</v>
      </c>
      <c r="B3784" t="s">
        <v>10</v>
      </c>
      <c r="C3784" t="s">
        <v>14030</v>
      </c>
      <c r="D3784" t="s">
        <v>14031</v>
      </c>
      <c r="E3784" t="s">
        <v>3564</v>
      </c>
      <c r="F3784" t="s">
        <v>28</v>
      </c>
      <c r="G3784" t="s">
        <v>14032</v>
      </c>
      <c r="H3784" t="s">
        <v>30</v>
      </c>
      <c r="I3784" t="b">
        <f>COUNTIF(Estadísticas!I:I,'centraldecomunicacion.es'!H3784)&gt;0</f>
        <v>0</v>
      </c>
    </row>
    <row r="3785" spans="1:9">
      <c r="A3785" t="s">
        <v>14033</v>
      </c>
      <c r="B3785" t="s">
        <v>10</v>
      </c>
      <c r="C3785" t="s">
        <v>14034</v>
      </c>
      <c r="D3785" t="s">
        <v>14031</v>
      </c>
      <c r="E3785" t="s">
        <v>3564</v>
      </c>
      <c r="F3785" t="s">
        <v>14015</v>
      </c>
      <c r="G3785" t="s">
        <v>14035</v>
      </c>
      <c r="H3785" t="s">
        <v>5561</v>
      </c>
      <c r="I3785" t="b">
        <f>COUNTIF(Estadísticas!I:I,'centraldecomunicacion.es'!H3785)&gt;0</f>
        <v>0</v>
      </c>
    </row>
    <row r="3786" spans="1:9">
      <c r="A3786" t="s">
        <v>14036</v>
      </c>
      <c r="B3786" t="s">
        <v>10</v>
      </c>
      <c r="C3786" t="s">
        <v>14037</v>
      </c>
      <c r="D3786" t="s">
        <v>14009</v>
      </c>
      <c r="E3786" t="s">
        <v>3564</v>
      </c>
      <c r="F3786" t="s">
        <v>14038</v>
      </c>
      <c r="G3786" t="s">
        <v>14039</v>
      </c>
      <c r="H3786" t="s">
        <v>14040</v>
      </c>
      <c r="I3786" t="b">
        <f>COUNTIF(Estadísticas!I:I,'centraldecomunicacion.es'!H3786)&gt;0</f>
        <v>1</v>
      </c>
    </row>
    <row r="3787" spans="1:9">
      <c r="A3787" t="s">
        <v>14041</v>
      </c>
      <c r="B3787" t="s">
        <v>10</v>
      </c>
      <c r="C3787" t="s">
        <v>14042</v>
      </c>
      <c r="D3787" t="s">
        <v>14022</v>
      </c>
      <c r="E3787" t="s">
        <v>3564</v>
      </c>
      <c r="F3787" t="s">
        <v>14043</v>
      </c>
      <c r="G3787" t="s">
        <v>14044</v>
      </c>
      <c r="H3787" t="s">
        <v>14045</v>
      </c>
      <c r="I3787" t="b">
        <f>COUNTIF(Estadísticas!I:I,'centraldecomunicacion.es'!H3787)&gt;0</f>
        <v>0</v>
      </c>
    </row>
    <row r="3788" spans="1:9">
      <c r="A3788" t="s">
        <v>14046</v>
      </c>
      <c r="B3788" t="s">
        <v>10</v>
      </c>
      <c r="C3788" t="s">
        <v>14034</v>
      </c>
      <c r="D3788" t="s">
        <v>14031</v>
      </c>
      <c r="E3788" t="s">
        <v>3564</v>
      </c>
      <c r="F3788" t="s">
        <v>14047</v>
      </c>
      <c r="G3788" t="s">
        <v>14048</v>
      </c>
      <c r="H3788" t="s">
        <v>30</v>
      </c>
      <c r="I3788" t="b">
        <f>COUNTIF(Estadísticas!I:I,'centraldecomunicacion.es'!H3788)&gt;0</f>
        <v>0</v>
      </c>
    </row>
    <row r="3789" spans="1:9">
      <c r="A3789" t="s">
        <v>14049</v>
      </c>
      <c r="B3789" t="s">
        <v>10</v>
      </c>
      <c r="C3789" t="s">
        <v>14050</v>
      </c>
      <c r="D3789" t="s">
        <v>3563</v>
      </c>
      <c r="E3789" t="s">
        <v>3564</v>
      </c>
      <c r="F3789" t="s">
        <v>14051</v>
      </c>
      <c r="G3789" t="s">
        <v>14052</v>
      </c>
      <c r="H3789" t="s">
        <v>14053</v>
      </c>
      <c r="I3789" t="b">
        <f>COUNTIF(Estadísticas!I:I,'centraldecomunicacion.es'!H3789)&gt;0</f>
        <v>1</v>
      </c>
    </row>
    <row r="3790" spans="1:9">
      <c r="A3790" t="s">
        <v>14054</v>
      </c>
      <c r="B3790" t="s">
        <v>10</v>
      </c>
      <c r="C3790" t="s">
        <v>14055</v>
      </c>
      <c r="D3790" t="s">
        <v>3563</v>
      </c>
      <c r="E3790" t="s">
        <v>3564</v>
      </c>
      <c r="F3790" t="s">
        <v>14056</v>
      </c>
      <c r="G3790" t="s">
        <v>14057</v>
      </c>
      <c r="H3790" t="s">
        <v>14058</v>
      </c>
      <c r="I3790" t="b">
        <f>COUNTIF(Estadísticas!I:I,'centraldecomunicacion.es'!H3790)&gt;0</f>
        <v>0</v>
      </c>
    </row>
    <row r="3791" spans="1:9">
      <c r="A3791" t="s">
        <v>3776</v>
      </c>
      <c r="B3791" t="s">
        <v>10</v>
      </c>
      <c r="C3791" t="s">
        <v>14059</v>
      </c>
      <c r="D3791" t="s">
        <v>13948</v>
      </c>
      <c r="E3791" t="s">
        <v>3564</v>
      </c>
      <c r="F3791" t="s">
        <v>28</v>
      </c>
      <c r="G3791" t="s">
        <v>14060</v>
      </c>
      <c r="H3791" t="s">
        <v>30</v>
      </c>
      <c r="I3791" t="b">
        <f>COUNTIF(Estadísticas!I:I,'centraldecomunicacion.es'!H3791)&gt;0</f>
        <v>0</v>
      </c>
    </row>
    <row r="3792" spans="1:9">
      <c r="A3792" t="s">
        <v>13995</v>
      </c>
      <c r="B3792" t="s">
        <v>10</v>
      </c>
      <c r="C3792" t="s">
        <v>14061</v>
      </c>
      <c r="D3792" t="s">
        <v>14062</v>
      </c>
      <c r="E3792" t="s">
        <v>3564</v>
      </c>
      <c r="F3792" t="s">
        <v>13997</v>
      </c>
      <c r="G3792" t="s">
        <v>14063</v>
      </c>
      <c r="H3792" t="s">
        <v>30</v>
      </c>
      <c r="I3792" t="b">
        <f>COUNTIF(Estadísticas!I:I,'centraldecomunicacion.es'!H3792)&gt;0</f>
        <v>0</v>
      </c>
    </row>
    <row r="3793" spans="1:9">
      <c r="A3793" t="s">
        <v>14064</v>
      </c>
      <c r="B3793" t="s">
        <v>10</v>
      </c>
      <c r="C3793" t="s">
        <v>13992</v>
      </c>
      <c r="D3793" t="s">
        <v>3563</v>
      </c>
      <c r="E3793" t="s">
        <v>3564</v>
      </c>
      <c r="F3793" t="s">
        <v>28</v>
      </c>
      <c r="G3793" t="s">
        <v>28</v>
      </c>
      <c r="H3793" t="s">
        <v>30</v>
      </c>
      <c r="I3793" t="b">
        <f>COUNTIF(Estadísticas!I:I,'centraldecomunicacion.es'!H3793)&gt;0</f>
        <v>0</v>
      </c>
    </row>
    <row r="3794" spans="1:9">
      <c r="A3794" t="s">
        <v>14065</v>
      </c>
      <c r="B3794" t="s">
        <v>10</v>
      </c>
      <c r="C3794" t="s">
        <v>14066</v>
      </c>
      <c r="D3794" t="s">
        <v>14067</v>
      </c>
      <c r="E3794" t="s">
        <v>14067</v>
      </c>
      <c r="F3794" t="s">
        <v>28</v>
      </c>
      <c r="G3794" t="s">
        <v>28</v>
      </c>
      <c r="H3794" t="s">
        <v>30</v>
      </c>
      <c r="I3794" t="b">
        <f>COUNTIF(Estadísticas!I:I,'centraldecomunicacion.es'!H3794)&gt;0</f>
        <v>0</v>
      </c>
    </row>
    <row r="3795" spans="1:9">
      <c r="A3795" t="s">
        <v>14068</v>
      </c>
      <c r="B3795" t="s">
        <v>10</v>
      </c>
      <c r="C3795" t="s">
        <v>14069</v>
      </c>
      <c r="D3795" t="s">
        <v>3563</v>
      </c>
      <c r="E3795" t="s">
        <v>3564</v>
      </c>
      <c r="F3795" t="s">
        <v>14070</v>
      </c>
      <c r="G3795" t="s">
        <v>13941</v>
      </c>
      <c r="H3795" t="s">
        <v>14028</v>
      </c>
      <c r="I3795" t="b">
        <f>COUNTIF(Estadísticas!I:I,'centraldecomunicacion.es'!H3795)&gt;0</f>
        <v>0</v>
      </c>
    </row>
    <row r="3796" spans="1:9">
      <c r="A3796" t="s">
        <v>14071</v>
      </c>
      <c r="B3796" t="s">
        <v>10</v>
      </c>
      <c r="C3796" t="s">
        <v>14072</v>
      </c>
      <c r="D3796" t="s">
        <v>14073</v>
      </c>
      <c r="E3796" t="s">
        <v>3544</v>
      </c>
      <c r="F3796" t="s">
        <v>14074</v>
      </c>
      <c r="G3796" t="s">
        <v>14075</v>
      </c>
      <c r="H3796" t="s">
        <v>30</v>
      </c>
      <c r="I3796" t="b">
        <f>COUNTIF(Estadísticas!I:I,'centraldecomunicacion.es'!H3796)&gt;0</f>
        <v>0</v>
      </c>
    </row>
    <row r="3797" spans="1:9">
      <c r="A3797" t="s">
        <v>14076</v>
      </c>
      <c r="B3797" t="s">
        <v>10</v>
      </c>
      <c r="C3797" t="s">
        <v>14077</v>
      </c>
      <c r="D3797" t="s">
        <v>14078</v>
      </c>
      <c r="E3797" t="s">
        <v>3544</v>
      </c>
      <c r="F3797" t="s">
        <v>14079</v>
      </c>
      <c r="G3797" t="s">
        <v>14080</v>
      </c>
      <c r="H3797" t="s">
        <v>30</v>
      </c>
      <c r="I3797" t="b">
        <f>COUNTIF(Estadísticas!I:I,'centraldecomunicacion.es'!H3797)&gt;0</f>
        <v>0</v>
      </c>
    </row>
    <row r="3798" spans="1:9">
      <c r="A3798" t="s">
        <v>14081</v>
      </c>
      <c r="B3798" t="s">
        <v>10</v>
      </c>
      <c r="C3798" t="s">
        <v>14082</v>
      </c>
      <c r="D3798" t="s">
        <v>3563</v>
      </c>
      <c r="E3798" t="s">
        <v>3564</v>
      </c>
      <c r="F3798" t="s">
        <v>14083</v>
      </c>
      <c r="G3798" t="s">
        <v>14084</v>
      </c>
      <c r="H3798" t="s">
        <v>5561</v>
      </c>
      <c r="I3798" t="b">
        <f>COUNTIF(Estadísticas!I:I,'centraldecomunicacion.es'!H3798)&gt;0</f>
        <v>0</v>
      </c>
    </row>
    <row r="3799" spans="1:9">
      <c r="A3799" t="s">
        <v>14085</v>
      </c>
      <c r="B3799" t="s">
        <v>10</v>
      </c>
      <c r="C3799" t="s">
        <v>14086</v>
      </c>
      <c r="D3799" t="s">
        <v>14087</v>
      </c>
      <c r="E3799" t="s">
        <v>3544</v>
      </c>
      <c r="F3799" t="s">
        <v>28</v>
      </c>
      <c r="G3799" t="s">
        <v>14088</v>
      </c>
      <c r="H3799" t="s">
        <v>30</v>
      </c>
      <c r="I3799" t="b">
        <f>COUNTIF(Estadísticas!I:I,'centraldecomunicacion.es'!H3799)&gt;0</f>
        <v>0</v>
      </c>
    </row>
    <row r="3800" spans="1:9">
      <c r="A3800" t="s">
        <v>14089</v>
      </c>
      <c r="B3800" t="s">
        <v>10</v>
      </c>
      <c r="C3800" t="s">
        <v>14090</v>
      </c>
      <c r="D3800" t="s">
        <v>13927</v>
      </c>
      <c r="E3800" t="s">
        <v>3564</v>
      </c>
      <c r="F3800" t="s">
        <v>28</v>
      </c>
      <c r="G3800" t="s">
        <v>14091</v>
      </c>
      <c r="H3800" t="s">
        <v>30</v>
      </c>
      <c r="I3800" t="b">
        <f>COUNTIF(Estadísticas!I:I,'centraldecomunicacion.es'!H3800)&gt;0</f>
        <v>0</v>
      </c>
    </row>
    <row r="3801" spans="1:9">
      <c r="A3801" t="s">
        <v>14092</v>
      </c>
      <c r="B3801" t="s">
        <v>10</v>
      </c>
      <c r="C3801" t="s">
        <v>14093</v>
      </c>
      <c r="D3801" t="s">
        <v>14094</v>
      </c>
      <c r="E3801" t="s">
        <v>3544</v>
      </c>
      <c r="F3801" t="s">
        <v>28</v>
      </c>
      <c r="G3801" t="s">
        <v>14095</v>
      </c>
      <c r="H3801" t="s">
        <v>30</v>
      </c>
      <c r="I3801" t="b">
        <f>COUNTIF(Estadísticas!I:I,'centraldecomunicacion.es'!H3801)&gt;0</f>
        <v>0</v>
      </c>
    </row>
    <row r="3802" spans="1:9">
      <c r="A3802" t="s">
        <v>14096</v>
      </c>
      <c r="B3802" t="s">
        <v>219</v>
      </c>
      <c r="C3802" t="s">
        <v>14097</v>
      </c>
      <c r="D3802" t="s">
        <v>3563</v>
      </c>
      <c r="E3802" t="s">
        <v>3564</v>
      </c>
      <c r="F3802" t="s">
        <v>28</v>
      </c>
      <c r="G3802" t="s">
        <v>14098</v>
      </c>
      <c r="H3802" t="s">
        <v>30</v>
      </c>
      <c r="I3802" t="b">
        <f>COUNTIF(Estadísticas!I:I,'centraldecomunicacion.es'!H3802)&gt;0</f>
        <v>0</v>
      </c>
    </row>
    <row r="3803" spans="1:9">
      <c r="A3803" t="s">
        <v>14099</v>
      </c>
      <c r="B3803" t="s">
        <v>10</v>
      </c>
      <c r="C3803" t="s">
        <v>14100</v>
      </c>
      <c r="D3803" t="s">
        <v>14101</v>
      </c>
      <c r="E3803" t="s">
        <v>3544</v>
      </c>
      <c r="F3803" t="s">
        <v>28</v>
      </c>
      <c r="G3803" t="s">
        <v>28</v>
      </c>
      <c r="H3803" t="s">
        <v>30</v>
      </c>
      <c r="I3803" t="b">
        <f>COUNTIF(Estadísticas!I:I,'centraldecomunicacion.es'!H3803)&gt;0</f>
        <v>0</v>
      </c>
    </row>
    <row r="3804" spans="1:9">
      <c r="A3804" t="s">
        <v>7801</v>
      </c>
      <c r="B3804" t="s">
        <v>10</v>
      </c>
      <c r="C3804" t="s">
        <v>14102</v>
      </c>
      <c r="D3804" t="s">
        <v>14103</v>
      </c>
      <c r="E3804" t="s">
        <v>3544</v>
      </c>
      <c r="F3804" t="s">
        <v>14104</v>
      </c>
      <c r="G3804" t="s">
        <v>14105</v>
      </c>
      <c r="H3804" t="s">
        <v>30</v>
      </c>
      <c r="I3804" t="b">
        <f>COUNTIF(Estadísticas!I:I,'centraldecomunicacion.es'!H3804)&gt;0</f>
        <v>0</v>
      </c>
    </row>
    <row r="3805" spans="1:9">
      <c r="A3805" t="s">
        <v>14106</v>
      </c>
      <c r="B3805" t="s">
        <v>10</v>
      </c>
      <c r="C3805" t="s">
        <v>14107</v>
      </c>
      <c r="D3805" t="s">
        <v>14108</v>
      </c>
      <c r="E3805" t="s">
        <v>3544</v>
      </c>
      <c r="F3805" t="s">
        <v>28</v>
      </c>
      <c r="G3805" t="s">
        <v>14109</v>
      </c>
      <c r="H3805" t="s">
        <v>30</v>
      </c>
      <c r="I3805" t="b">
        <f>COUNTIF(Estadísticas!I:I,'centraldecomunicacion.es'!H3805)&gt;0</f>
        <v>0</v>
      </c>
    </row>
    <row r="3806" spans="1:9">
      <c r="A3806" t="s">
        <v>14110</v>
      </c>
      <c r="B3806" t="s">
        <v>10</v>
      </c>
      <c r="C3806" t="s">
        <v>14111</v>
      </c>
      <c r="D3806" t="s">
        <v>1868</v>
      </c>
      <c r="E3806" t="s">
        <v>1868</v>
      </c>
      <c r="F3806" t="s">
        <v>14112</v>
      </c>
      <c r="G3806" t="s">
        <v>14113</v>
      </c>
      <c r="H3806" t="s">
        <v>14114</v>
      </c>
      <c r="I3806" t="b">
        <f>COUNTIF(Estadísticas!I:I,'centraldecomunicacion.es'!H3806)&gt;0</f>
        <v>0</v>
      </c>
    </row>
    <row r="3807" spans="1:9">
      <c r="A3807" t="s">
        <v>14115</v>
      </c>
      <c r="B3807" t="s">
        <v>10</v>
      </c>
      <c r="C3807" t="s">
        <v>14116</v>
      </c>
      <c r="D3807" t="s">
        <v>1868</v>
      </c>
      <c r="E3807" t="s">
        <v>1868</v>
      </c>
      <c r="F3807" t="s">
        <v>14117</v>
      </c>
      <c r="G3807" t="s">
        <v>14118</v>
      </c>
      <c r="H3807" t="s">
        <v>14119</v>
      </c>
      <c r="I3807" t="b">
        <f>COUNTIF(Estadísticas!I:I,'centraldecomunicacion.es'!H3807)&gt;0</f>
        <v>0</v>
      </c>
    </row>
    <row r="3808" spans="1:9">
      <c r="A3808" t="s">
        <v>14120</v>
      </c>
      <c r="B3808" t="s">
        <v>10</v>
      </c>
      <c r="C3808" t="s">
        <v>14121</v>
      </c>
      <c r="D3808" t="s">
        <v>1868</v>
      </c>
      <c r="E3808" t="s">
        <v>1868</v>
      </c>
      <c r="F3808" t="s">
        <v>14122</v>
      </c>
      <c r="G3808" t="s">
        <v>14123</v>
      </c>
      <c r="H3808" t="s">
        <v>14124</v>
      </c>
      <c r="I3808" t="b">
        <f>COUNTIF(Estadísticas!I:I,'centraldecomunicacion.es'!H3808)&gt;0</f>
        <v>1</v>
      </c>
    </row>
    <row r="3809" spans="1:9">
      <c r="A3809" t="s">
        <v>14125</v>
      </c>
      <c r="B3809" t="s">
        <v>10</v>
      </c>
      <c r="C3809" t="s">
        <v>14126</v>
      </c>
      <c r="D3809" t="s">
        <v>1868</v>
      </c>
      <c r="E3809" t="s">
        <v>1868</v>
      </c>
      <c r="F3809" t="s">
        <v>14127</v>
      </c>
      <c r="G3809" t="s">
        <v>14128</v>
      </c>
      <c r="H3809" t="s">
        <v>30</v>
      </c>
      <c r="I3809" t="b">
        <f>COUNTIF(Estadísticas!I:I,'centraldecomunicacion.es'!H3809)&gt;0</f>
        <v>0</v>
      </c>
    </row>
    <row r="3810" spans="1:9">
      <c r="A3810" t="s">
        <v>14129</v>
      </c>
      <c r="B3810" t="s">
        <v>10</v>
      </c>
      <c r="C3810" t="s">
        <v>14130</v>
      </c>
      <c r="D3810" t="s">
        <v>1868</v>
      </c>
      <c r="E3810" t="s">
        <v>1868</v>
      </c>
      <c r="F3810" t="s">
        <v>14131</v>
      </c>
      <c r="G3810" t="s">
        <v>14132</v>
      </c>
      <c r="H3810" t="s">
        <v>14133</v>
      </c>
      <c r="I3810" t="b">
        <f>COUNTIF(Estadísticas!I:I,'centraldecomunicacion.es'!H3810)&gt;0</f>
        <v>0</v>
      </c>
    </row>
    <row r="3811" spans="1:9">
      <c r="A3811" t="s">
        <v>14134</v>
      </c>
      <c r="B3811" t="s">
        <v>10</v>
      </c>
      <c r="C3811" t="s">
        <v>14135</v>
      </c>
      <c r="D3811" t="s">
        <v>1868</v>
      </c>
      <c r="E3811" t="s">
        <v>1868</v>
      </c>
      <c r="F3811" t="s">
        <v>14136</v>
      </c>
      <c r="G3811" t="s">
        <v>14137</v>
      </c>
      <c r="H3811" t="s">
        <v>14138</v>
      </c>
      <c r="I3811" t="b">
        <f>COUNTIF(Estadísticas!I:I,'centraldecomunicacion.es'!H3811)&gt;0</f>
        <v>0</v>
      </c>
    </row>
    <row r="3812" spans="1:9">
      <c r="A3812" t="s">
        <v>14139</v>
      </c>
      <c r="B3812" t="s">
        <v>10</v>
      </c>
      <c r="C3812" t="s">
        <v>14140</v>
      </c>
      <c r="D3812" t="s">
        <v>1868</v>
      </c>
      <c r="E3812" t="s">
        <v>1868</v>
      </c>
      <c r="F3812" t="s">
        <v>14141</v>
      </c>
      <c r="G3812" t="s">
        <v>14142</v>
      </c>
      <c r="H3812" t="s">
        <v>30</v>
      </c>
      <c r="I3812" t="b">
        <f>COUNTIF(Estadísticas!I:I,'centraldecomunicacion.es'!H3812)&gt;0</f>
        <v>0</v>
      </c>
    </row>
    <row r="3813" spans="1:9">
      <c r="A3813" t="s">
        <v>14143</v>
      </c>
      <c r="B3813" t="s">
        <v>10</v>
      </c>
      <c r="C3813" t="s">
        <v>14144</v>
      </c>
      <c r="D3813" t="s">
        <v>1868</v>
      </c>
      <c r="E3813" t="s">
        <v>1868</v>
      </c>
      <c r="F3813" t="s">
        <v>14145</v>
      </c>
      <c r="G3813" t="s">
        <v>14146</v>
      </c>
      <c r="H3813" t="s">
        <v>1643</v>
      </c>
      <c r="I3813" t="b">
        <f>COUNTIF(Estadísticas!I:I,'centraldecomunicacion.es'!H3813)&gt;0</f>
        <v>0</v>
      </c>
    </row>
    <row r="3814" spans="1:9">
      <c r="A3814" t="s">
        <v>14147</v>
      </c>
      <c r="B3814" t="s">
        <v>10</v>
      </c>
      <c r="C3814" t="s">
        <v>14148</v>
      </c>
      <c r="D3814" t="s">
        <v>1868</v>
      </c>
      <c r="E3814" t="s">
        <v>1868</v>
      </c>
      <c r="F3814" t="s">
        <v>14149</v>
      </c>
      <c r="G3814" t="s">
        <v>14150</v>
      </c>
      <c r="H3814" t="s">
        <v>14151</v>
      </c>
      <c r="I3814" t="b">
        <f>COUNTIF(Estadísticas!I:I,'centraldecomunicacion.es'!H3814)&gt;0</f>
        <v>1</v>
      </c>
    </row>
    <row r="3815" spans="1:9">
      <c r="A3815" t="s">
        <v>14152</v>
      </c>
      <c r="B3815" t="s">
        <v>10</v>
      </c>
      <c r="C3815" t="s">
        <v>14153</v>
      </c>
      <c r="D3815" t="s">
        <v>1868</v>
      </c>
      <c r="E3815" t="s">
        <v>1868</v>
      </c>
      <c r="F3815" t="s">
        <v>14154</v>
      </c>
      <c r="G3815" t="s">
        <v>14155</v>
      </c>
      <c r="H3815" t="s">
        <v>30</v>
      </c>
      <c r="I3815" t="b">
        <f>COUNTIF(Estadísticas!I:I,'centraldecomunicacion.es'!H3815)&gt;0</f>
        <v>0</v>
      </c>
    </row>
    <row r="3816" spans="1:9">
      <c r="A3816" t="s">
        <v>14156</v>
      </c>
      <c r="B3816" t="s">
        <v>10</v>
      </c>
      <c r="C3816" t="s">
        <v>14157</v>
      </c>
      <c r="D3816" t="s">
        <v>1868</v>
      </c>
      <c r="E3816" t="s">
        <v>1868</v>
      </c>
      <c r="F3816" t="s">
        <v>14158</v>
      </c>
      <c r="G3816" t="s">
        <v>14159</v>
      </c>
      <c r="H3816" t="s">
        <v>14160</v>
      </c>
      <c r="I3816" t="b">
        <f>COUNTIF(Estadísticas!I:I,'centraldecomunicacion.es'!H3816)&gt;0</f>
        <v>0</v>
      </c>
    </row>
    <row r="3817" spans="1:9">
      <c r="A3817" t="s">
        <v>14161</v>
      </c>
      <c r="B3817" t="s">
        <v>10</v>
      </c>
      <c r="C3817" t="s">
        <v>14162</v>
      </c>
      <c r="D3817" t="s">
        <v>1868</v>
      </c>
      <c r="E3817" t="s">
        <v>1868</v>
      </c>
      <c r="F3817" t="s">
        <v>642</v>
      </c>
      <c r="G3817" t="s">
        <v>14163</v>
      </c>
      <c r="H3817" t="s">
        <v>30</v>
      </c>
      <c r="I3817" t="b">
        <f>COUNTIF(Estadísticas!I:I,'centraldecomunicacion.es'!H3817)&gt;0</f>
        <v>0</v>
      </c>
    </row>
    <row r="3818" spans="1:9">
      <c r="A3818" t="s">
        <v>1103</v>
      </c>
      <c r="B3818" t="s">
        <v>10</v>
      </c>
      <c r="C3818" t="s">
        <v>14164</v>
      </c>
      <c r="D3818" t="s">
        <v>1868</v>
      </c>
      <c r="E3818" t="s">
        <v>1868</v>
      </c>
      <c r="F3818" t="s">
        <v>28</v>
      </c>
      <c r="G3818" t="s">
        <v>14165</v>
      </c>
      <c r="H3818" t="s">
        <v>30</v>
      </c>
      <c r="I3818" t="b">
        <f>COUNTIF(Estadísticas!I:I,'centraldecomunicacion.es'!H3818)&gt;0</f>
        <v>0</v>
      </c>
    </row>
    <row r="3819" spans="1:9">
      <c r="A3819" t="s">
        <v>14166</v>
      </c>
      <c r="B3819" t="s">
        <v>10</v>
      </c>
      <c r="C3819" t="s">
        <v>14167</v>
      </c>
      <c r="D3819" t="s">
        <v>1868</v>
      </c>
      <c r="E3819" t="s">
        <v>1868</v>
      </c>
      <c r="F3819" t="s">
        <v>14168</v>
      </c>
      <c r="G3819" t="s">
        <v>14169</v>
      </c>
      <c r="H3819" t="s">
        <v>14170</v>
      </c>
      <c r="I3819" t="b">
        <f>COUNTIF(Estadísticas!I:I,'centraldecomunicacion.es'!H3819)&gt;0</f>
        <v>1</v>
      </c>
    </row>
    <row r="3820" spans="1:9">
      <c r="A3820" t="s">
        <v>14143</v>
      </c>
      <c r="B3820" t="s">
        <v>10</v>
      </c>
      <c r="C3820" t="s">
        <v>14171</v>
      </c>
      <c r="D3820" t="s">
        <v>1868</v>
      </c>
      <c r="E3820" t="s">
        <v>1868</v>
      </c>
      <c r="F3820" t="s">
        <v>642</v>
      </c>
      <c r="G3820" t="s">
        <v>14172</v>
      </c>
      <c r="H3820" t="s">
        <v>30</v>
      </c>
      <c r="I3820" t="b">
        <f>COUNTIF(Estadísticas!I:I,'centraldecomunicacion.es'!H3820)&gt;0</f>
        <v>0</v>
      </c>
    </row>
    <row r="3821" spans="1:9">
      <c r="A3821" t="s">
        <v>14173</v>
      </c>
      <c r="B3821" t="s">
        <v>10</v>
      </c>
      <c r="C3821" t="s">
        <v>14174</v>
      </c>
      <c r="D3821" t="s">
        <v>8024</v>
      </c>
      <c r="E3821" t="s">
        <v>1868</v>
      </c>
      <c r="F3821" t="s">
        <v>14175</v>
      </c>
      <c r="G3821" t="s">
        <v>14176</v>
      </c>
      <c r="H3821" t="s">
        <v>14177</v>
      </c>
      <c r="I3821" t="b">
        <f>COUNTIF(Estadísticas!I:I,'centraldecomunicacion.es'!H3821)&gt;0</f>
        <v>1</v>
      </c>
    </row>
    <row r="3822" spans="1:9">
      <c r="A3822" t="s">
        <v>14178</v>
      </c>
      <c r="B3822" t="s">
        <v>10</v>
      </c>
      <c r="C3822" t="s">
        <v>14179</v>
      </c>
      <c r="D3822" t="s">
        <v>1868</v>
      </c>
      <c r="E3822" t="s">
        <v>1868</v>
      </c>
      <c r="F3822" t="s">
        <v>14180</v>
      </c>
      <c r="G3822" t="s">
        <v>14181</v>
      </c>
      <c r="H3822" t="s">
        <v>14182</v>
      </c>
      <c r="I3822" t="b">
        <f>COUNTIF(Estadísticas!I:I,'centraldecomunicacion.es'!H3822)&gt;0</f>
        <v>0</v>
      </c>
    </row>
    <row r="3823" spans="1:9">
      <c r="A3823" t="s">
        <v>14183</v>
      </c>
      <c r="B3823" t="s">
        <v>10</v>
      </c>
      <c r="C3823" t="s">
        <v>14184</v>
      </c>
      <c r="D3823" t="s">
        <v>1868</v>
      </c>
      <c r="E3823" t="s">
        <v>1868</v>
      </c>
      <c r="F3823" t="s">
        <v>14185</v>
      </c>
      <c r="G3823" t="s">
        <v>14186</v>
      </c>
      <c r="H3823" t="s">
        <v>14187</v>
      </c>
      <c r="I3823" t="b">
        <f>COUNTIF(Estadísticas!I:I,'centraldecomunicacion.es'!H3823)&gt;0</f>
        <v>0</v>
      </c>
    </row>
    <row r="3824" spans="1:9">
      <c r="A3824" t="s">
        <v>14188</v>
      </c>
      <c r="B3824" t="s">
        <v>10</v>
      </c>
      <c r="C3824" t="s">
        <v>14189</v>
      </c>
      <c r="D3824" t="s">
        <v>1868</v>
      </c>
      <c r="E3824" t="s">
        <v>1868</v>
      </c>
      <c r="F3824" t="s">
        <v>14190</v>
      </c>
      <c r="G3824" t="s">
        <v>14191</v>
      </c>
      <c r="H3824" t="s">
        <v>14192</v>
      </c>
      <c r="I3824" t="b">
        <f>COUNTIF(Estadísticas!I:I,'centraldecomunicacion.es'!H3824)&gt;0</f>
        <v>0</v>
      </c>
    </row>
    <row r="3825" spans="1:9">
      <c r="A3825" t="s">
        <v>14193</v>
      </c>
      <c r="B3825" t="s">
        <v>10</v>
      </c>
      <c r="C3825" t="s">
        <v>14194</v>
      </c>
      <c r="D3825" t="s">
        <v>1868</v>
      </c>
      <c r="E3825" t="s">
        <v>1868</v>
      </c>
      <c r="F3825" t="s">
        <v>14195</v>
      </c>
      <c r="G3825" t="s">
        <v>14196</v>
      </c>
      <c r="H3825" t="s">
        <v>14197</v>
      </c>
      <c r="I3825" t="b">
        <f>COUNTIF(Estadísticas!I:I,'centraldecomunicacion.es'!H3825)&gt;0</f>
        <v>0</v>
      </c>
    </row>
    <row r="3826" spans="1:9">
      <c r="A3826" t="s">
        <v>14198</v>
      </c>
      <c r="B3826" t="s">
        <v>10</v>
      </c>
      <c r="C3826" t="s">
        <v>14199</v>
      </c>
      <c r="D3826" t="s">
        <v>1868</v>
      </c>
      <c r="E3826" t="s">
        <v>1868</v>
      </c>
      <c r="F3826" t="s">
        <v>28</v>
      </c>
      <c r="G3826" t="s">
        <v>14200</v>
      </c>
      <c r="H3826" t="s">
        <v>30</v>
      </c>
      <c r="I3826" t="b">
        <f>COUNTIF(Estadísticas!I:I,'centraldecomunicacion.es'!H3826)&gt;0</f>
        <v>0</v>
      </c>
    </row>
    <row r="3827" spans="1:9">
      <c r="A3827" t="s">
        <v>14201</v>
      </c>
      <c r="B3827" t="s">
        <v>10</v>
      </c>
      <c r="C3827" t="s">
        <v>14202</v>
      </c>
      <c r="D3827" t="s">
        <v>1868</v>
      </c>
      <c r="E3827" t="s">
        <v>1868</v>
      </c>
      <c r="F3827" t="s">
        <v>14203</v>
      </c>
      <c r="G3827" t="s">
        <v>14204</v>
      </c>
      <c r="H3827" t="s">
        <v>14205</v>
      </c>
      <c r="I3827" t="b">
        <f>COUNTIF(Estadísticas!I:I,'centraldecomunicacion.es'!H3827)&gt;0</f>
        <v>1</v>
      </c>
    </row>
    <row r="3828" spans="1:9">
      <c r="A3828" t="s">
        <v>14206</v>
      </c>
      <c r="B3828" t="s">
        <v>10</v>
      </c>
      <c r="C3828" t="s">
        <v>14207</v>
      </c>
      <c r="D3828" t="s">
        <v>1868</v>
      </c>
      <c r="E3828" t="s">
        <v>1868</v>
      </c>
      <c r="F3828" t="s">
        <v>14208</v>
      </c>
      <c r="G3828" t="s">
        <v>14209</v>
      </c>
      <c r="H3828" t="s">
        <v>14210</v>
      </c>
      <c r="I3828" t="b">
        <f>COUNTIF(Estadísticas!I:I,'centraldecomunicacion.es'!H3828)&gt;0</f>
        <v>1</v>
      </c>
    </row>
    <row r="3829" spans="1:9">
      <c r="A3829" t="s">
        <v>14211</v>
      </c>
      <c r="B3829" t="s">
        <v>10</v>
      </c>
      <c r="C3829" t="s">
        <v>14212</v>
      </c>
      <c r="D3829" t="s">
        <v>1868</v>
      </c>
      <c r="E3829" t="s">
        <v>1868</v>
      </c>
      <c r="F3829" t="s">
        <v>7273</v>
      </c>
      <c r="G3829" t="s">
        <v>14213</v>
      </c>
      <c r="H3829" t="s">
        <v>7318</v>
      </c>
      <c r="I3829" t="b">
        <f>COUNTIF(Estadísticas!I:I,'centraldecomunicacion.es'!H3829)&gt;0</f>
        <v>0</v>
      </c>
    </row>
    <row r="3830" spans="1:9">
      <c r="A3830" t="s">
        <v>14214</v>
      </c>
      <c r="B3830" t="s">
        <v>10</v>
      </c>
      <c r="C3830" t="s">
        <v>14215</v>
      </c>
      <c r="D3830" t="s">
        <v>1868</v>
      </c>
      <c r="E3830" t="s">
        <v>1868</v>
      </c>
      <c r="F3830" t="s">
        <v>14216</v>
      </c>
      <c r="G3830" t="s">
        <v>14217</v>
      </c>
      <c r="H3830" t="s">
        <v>14218</v>
      </c>
      <c r="I3830" t="b">
        <f>COUNTIF(Estadísticas!I:I,'centraldecomunicacion.es'!H3830)&gt;0</f>
        <v>1</v>
      </c>
    </row>
    <row r="3831" spans="1:9">
      <c r="A3831" t="s">
        <v>14219</v>
      </c>
      <c r="B3831" t="s">
        <v>10</v>
      </c>
      <c r="C3831" t="s">
        <v>14220</v>
      </c>
      <c r="D3831" t="s">
        <v>1868</v>
      </c>
      <c r="E3831" t="s">
        <v>1868</v>
      </c>
      <c r="F3831" t="s">
        <v>14221</v>
      </c>
      <c r="G3831" t="s">
        <v>14222</v>
      </c>
      <c r="H3831" t="s">
        <v>14223</v>
      </c>
      <c r="I3831" t="b">
        <f>COUNTIF(Estadísticas!I:I,'centraldecomunicacion.es'!H3831)&gt;0</f>
        <v>0</v>
      </c>
    </row>
    <row r="3832" spans="1:9">
      <c r="A3832" t="s">
        <v>14224</v>
      </c>
      <c r="B3832" t="s">
        <v>10</v>
      </c>
      <c r="C3832" t="s">
        <v>14225</v>
      </c>
      <c r="D3832" t="s">
        <v>1868</v>
      </c>
      <c r="E3832" t="s">
        <v>1868</v>
      </c>
      <c r="F3832" t="s">
        <v>14226</v>
      </c>
      <c r="G3832" t="s">
        <v>14227</v>
      </c>
      <c r="H3832" t="s">
        <v>14228</v>
      </c>
      <c r="I3832" t="b">
        <f>COUNTIF(Estadísticas!I:I,'centraldecomunicacion.es'!H3832)&gt;0</f>
        <v>1</v>
      </c>
    </row>
    <row r="3833" spans="1:9">
      <c r="A3833" t="s">
        <v>14229</v>
      </c>
      <c r="B3833" t="s">
        <v>10</v>
      </c>
      <c r="C3833" t="s">
        <v>14230</v>
      </c>
      <c r="D3833" t="s">
        <v>1868</v>
      </c>
      <c r="E3833" t="s">
        <v>1868</v>
      </c>
      <c r="F3833" t="s">
        <v>14231</v>
      </c>
      <c r="G3833" t="s">
        <v>14232</v>
      </c>
      <c r="H3833" t="s">
        <v>1242</v>
      </c>
      <c r="I3833" t="b">
        <f>COUNTIF(Estadísticas!I:I,'centraldecomunicacion.es'!H3833)&gt;0</f>
        <v>0</v>
      </c>
    </row>
    <row r="3834" spans="1:9">
      <c r="A3834" t="s">
        <v>14233</v>
      </c>
      <c r="B3834" t="s">
        <v>10</v>
      </c>
      <c r="C3834" t="s">
        <v>14234</v>
      </c>
      <c r="D3834" t="s">
        <v>1868</v>
      </c>
      <c r="E3834" t="s">
        <v>1868</v>
      </c>
      <c r="F3834" t="s">
        <v>14235</v>
      </c>
      <c r="G3834" t="s">
        <v>14236</v>
      </c>
      <c r="H3834" t="s">
        <v>14237</v>
      </c>
      <c r="I3834" t="b">
        <f>COUNTIF(Estadísticas!I:I,'centraldecomunicacion.es'!H3834)&gt;0</f>
        <v>0</v>
      </c>
    </row>
    <row r="3835" spans="1:9">
      <c r="A3835" t="s">
        <v>14238</v>
      </c>
      <c r="B3835" t="s">
        <v>10</v>
      </c>
      <c r="C3835" t="s">
        <v>14239</v>
      </c>
      <c r="D3835" t="s">
        <v>1868</v>
      </c>
      <c r="E3835" t="s">
        <v>1868</v>
      </c>
      <c r="F3835" t="s">
        <v>28</v>
      </c>
      <c r="G3835" t="s">
        <v>14240</v>
      </c>
      <c r="H3835" t="s">
        <v>30</v>
      </c>
      <c r="I3835" t="b">
        <f>COUNTIF(Estadísticas!I:I,'centraldecomunicacion.es'!H3835)&gt;0</f>
        <v>0</v>
      </c>
    </row>
    <row r="3836" spans="1:9">
      <c r="A3836" t="s">
        <v>14241</v>
      </c>
      <c r="B3836" t="s">
        <v>10</v>
      </c>
      <c r="C3836" t="s">
        <v>14242</v>
      </c>
      <c r="D3836" t="s">
        <v>1868</v>
      </c>
      <c r="E3836" t="s">
        <v>1868</v>
      </c>
      <c r="F3836" t="s">
        <v>14243</v>
      </c>
      <c r="G3836" t="s">
        <v>14244</v>
      </c>
      <c r="H3836" t="s">
        <v>691</v>
      </c>
      <c r="I3836" t="b">
        <f>COUNTIF(Estadísticas!I:I,'centraldecomunicacion.es'!H3836)&gt;0</f>
        <v>0</v>
      </c>
    </row>
    <row r="3837" spans="1:9">
      <c r="A3837" t="s">
        <v>14245</v>
      </c>
      <c r="B3837" t="s">
        <v>10</v>
      </c>
      <c r="C3837" t="s">
        <v>14246</v>
      </c>
      <c r="D3837" t="s">
        <v>14247</v>
      </c>
      <c r="E3837" t="s">
        <v>1868</v>
      </c>
      <c r="F3837" t="s">
        <v>14248</v>
      </c>
      <c r="G3837" t="s">
        <v>14249</v>
      </c>
      <c r="H3837" t="s">
        <v>14250</v>
      </c>
      <c r="I3837" t="b">
        <f>COUNTIF(Estadísticas!I:I,'centraldecomunicacion.es'!H3837)&gt;0</f>
        <v>0</v>
      </c>
    </row>
    <row r="3838" spans="1:9">
      <c r="A3838" t="s">
        <v>14251</v>
      </c>
      <c r="B3838" t="s">
        <v>10</v>
      </c>
      <c r="C3838" t="s">
        <v>14252</v>
      </c>
      <c r="D3838" t="s">
        <v>1868</v>
      </c>
      <c r="E3838" t="s">
        <v>1868</v>
      </c>
      <c r="F3838" t="s">
        <v>14253</v>
      </c>
      <c r="G3838" t="s">
        <v>14254</v>
      </c>
      <c r="H3838" t="s">
        <v>14255</v>
      </c>
      <c r="I3838" t="b">
        <f>COUNTIF(Estadísticas!I:I,'centraldecomunicacion.es'!H3838)&gt;0</f>
        <v>0</v>
      </c>
    </row>
    <row r="3839" spans="1:9">
      <c r="A3839" t="s">
        <v>14256</v>
      </c>
      <c r="B3839" t="s">
        <v>10</v>
      </c>
      <c r="C3839" t="s">
        <v>14257</v>
      </c>
      <c r="D3839" t="s">
        <v>1868</v>
      </c>
      <c r="E3839" t="s">
        <v>1868</v>
      </c>
      <c r="F3839" t="s">
        <v>14258</v>
      </c>
      <c r="G3839" t="s">
        <v>14259</v>
      </c>
      <c r="H3839" t="s">
        <v>30</v>
      </c>
      <c r="I3839" t="b">
        <f>COUNTIF(Estadísticas!I:I,'centraldecomunicacion.es'!H3839)&gt;0</f>
        <v>0</v>
      </c>
    </row>
    <row r="3840" spans="1:9">
      <c r="A3840" t="s">
        <v>14260</v>
      </c>
      <c r="B3840" t="s">
        <v>10</v>
      </c>
      <c r="C3840" t="s">
        <v>14261</v>
      </c>
      <c r="D3840" t="s">
        <v>1868</v>
      </c>
      <c r="E3840" t="s">
        <v>1868</v>
      </c>
      <c r="F3840" t="s">
        <v>14262</v>
      </c>
      <c r="G3840" t="s">
        <v>14263</v>
      </c>
      <c r="H3840" t="s">
        <v>14264</v>
      </c>
      <c r="I3840" t="b">
        <f>COUNTIF(Estadísticas!I:I,'centraldecomunicacion.es'!H3840)&gt;0</f>
        <v>0</v>
      </c>
    </row>
    <row r="3841" spans="1:9">
      <c r="A3841" t="s">
        <v>14265</v>
      </c>
      <c r="B3841" t="s">
        <v>10</v>
      </c>
      <c r="C3841" t="s">
        <v>14266</v>
      </c>
      <c r="D3841" t="s">
        <v>1868</v>
      </c>
      <c r="E3841" t="s">
        <v>1868</v>
      </c>
      <c r="F3841" t="s">
        <v>14267</v>
      </c>
      <c r="G3841" t="s">
        <v>14268</v>
      </c>
      <c r="H3841" t="s">
        <v>30</v>
      </c>
      <c r="I3841" t="b">
        <f>COUNTIF(Estadísticas!I:I,'centraldecomunicacion.es'!H3841)&gt;0</f>
        <v>0</v>
      </c>
    </row>
    <row r="3842" spans="1:9">
      <c r="A3842" t="s">
        <v>14269</v>
      </c>
      <c r="B3842" t="s">
        <v>10</v>
      </c>
      <c r="C3842" t="s">
        <v>14270</v>
      </c>
      <c r="D3842" t="s">
        <v>1868</v>
      </c>
      <c r="E3842" t="s">
        <v>1868</v>
      </c>
      <c r="F3842" t="s">
        <v>14271</v>
      </c>
      <c r="G3842" t="s">
        <v>14272</v>
      </c>
      <c r="H3842" t="s">
        <v>30</v>
      </c>
      <c r="I3842" t="b">
        <f>COUNTIF(Estadísticas!I:I,'centraldecomunicacion.es'!H3842)&gt;0</f>
        <v>0</v>
      </c>
    </row>
    <row r="3843" spans="1:9">
      <c r="A3843" t="s">
        <v>14273</v>
      </c>
      <c r="B3843" t="s">
        <v>10</v>
      </c>
      <c r="C3843" t="s">
        <v>14274</v>
      </c>
      <c r="D3843" t="s">
        <v>7779</v>
      </c>
      <c r="E3843" t="s">
        <v>1868</v>
      </c>
      <c r="F3843" t="s">
        <v>14275</v>
      </c>
      <c r="G3843" t="s">
        <v>14276</v>
      </c>
      <c r="H3843" t="s">
        <v>30</v>
      </c>
      <c r="I3843" t="b">
        <f>COUNTIF(Estadísticas!I:I,'centraldecomunicacion.es'!H3843)&gt;0</f>
        <v>0</v>
      </c>
    </row>
    <row r="3844" spans="1:9">
      <c r="A3844" t="s">
        <v>14277</v>
      </c>
      <c r="B3844" t="s">
        <v>10</v>
      </c>
      <c r="C3844" t="s">
        <v>14278</v>
      </c>
      <c r="D3844" t="s">
        <v>1868</v>
      </c>
      <c r="E3844" t="s">
        <v>1868</v>
      </c>
      <c r="F3844" t="s">
        <v>14279</v>
      </c>
      <c r="G3844" t="s">
        <v>14280</v>
      </c>
      <c r="H3844" t="s">
        <v>30</v>
      </c>
      <c r="I3844" t="b">
        <f>COUNTIF(Estadísticas!I:I,'centraldecomunicacion.es'!H3844)&gt;0</f>
        <v>0</v>
      </c>
    </row>
    <row r="3845" spans="1:9">
      <c r="A3845" t="s">
        <v>14281</v>
      </c>
      <c r="B3845" t="s">
        <v>10</v>
      </c>
      <c r="C3845" t="s">
        <v>14282</v>
      </c>
      <c r="D3845" t="s">
        <v>1868</v>
      </c>
      <c r="E3845" t="s">
        <v>1868</v>
      </c>
      <c r="F3845" t="s">
        <v>14283</v>
      </c>
      <c r="G3845" t="s">
        <v>14284</v>
      </c>
      <c r="H3845" t="s">
        <v>14285</v>
      </c>
      <c r="I3845" t="b">
        <f>COUNTIF(Estadísticas!I:I,'centraldecomunicacion.es'!H3845)&gt;0</f>
        <v>0</v>
      </c>
    </row>
    <row r="3846" spans="1:9">
      <c r="A3846" t="s">
        <v>14286</v>
      </c>
      <c r="B3846" t="s">
        <v>10</v>
      </c>
      <c r="C3846" t="s">
        <v>14287</v>
      </c>
      <c r="D3846" t="s">
        <v>1868</v>
      </c>
      <c r="E3846" t="s">
        <v>1868</v>
      </c>
      <c r="F3846" t="s">
        <v>14288</v>
      </c>
      <c r="G3846" t="s">
        <v>14289</v>
      </c>
      <c r="H3846" t="s">
        <v>14290</v>
      </c>
      <c r="I3846" t="b">
        <f>COUNTIF(Estadísticas!I:I,'centraldecomunicacion.es'!H3846)&gt;0</f>
        <v>0</v>
      </c>
    </row>
    <row r="3847" spans="1:9">
      <c r="A3847" t="s">
        <v>14291</v>
      </c>
      <c r="B3847" t="s">
        <v>10</v>
      </c>
      <c r="C3847" t="s">
        <v>14292</v>
      </c>
      <c r="D3847" t="s">
        <v>1868</v>
      </c>
      <c r="E3847" t="s">
        <v>1868</v>
      </c>
      <c r="F3847" t="s">
        <v>559</v>
      </c>
      <c r="G3847" t="s">
        <v>14293</v>
      </c>
      <c r="H3847" t="s">
        <v>561</v>
      </c>
      <c r="I3847" t="b">
        <f>COUNTIF(Estadísticas!I:I,'centraldecomunicacion.es'!H3847)&gt;0</f>
        <v>0</v>
      </c>
    </row>
    <row r="3848" spans="1:9">
      <c r="A3848" t="s">
        <v>14294</v>
      </c>
      <c r="B3848" t="s">
        <v>10</v>
      </c>
      <c r="C3848" t="s">
        <v>14295</v>
      </c>
      <c r="D3848" t="s">
        <v>1868</v>
      </c>
      <c r="E3848" t="s">
        <v>1868</v>
      </c>
      <c r="F3848" t="s">
        <v>28</v>
      </c>
      <c r="G3848" t="s">
        <v>14296</v>
      </c>
      <c r="H3848" t="s">
        <v>30</v>
      </c>
      <c r="I3848" t="b">
        <f>COUNTIF(Estadísticas!I:I,'centraldecomunicacion.es'!H3848)&gt;0</f>
        <v>0</v>
      </c>
    </row>
    <row r="3849" spans="1:9">
      <c r="A3849" t="s">
        <v>14297</v>
      </c>
      <c r="B3849" t="s">
        <v>10</v>
      </c>
      <c r="C3849" t="s">
        <v>14298</v>
      </c>
      <c r="D3849" t="s">
        <v>1868</v>
      </c>
      <c r="E3849" t="s">
        <v>1868</v>
      </c>
      <c r="F3849" t="s">
        <v>14122</v>
      </c>
      <c r="G3849" t="s">
        <v>14299</v>
      </c>
      <c r="H3849" t="s">
        <v>14124</v>
      </c>
      <c r="I3849" t="b">
        <f>COUNTIF(Estadísticas!I:I,'centraldecomunicacion.es'!H3849)&gt;0</f>
        <v>1</v>
      </c>
    </row>
    <row r="3850" spans="1:9">
      <c r="A3850" t="s">
        <v>14300</v>
      </c>
      <c r="B3850" t="s">
        <v>10</v>
      </c>
      <c r="C3850" t="s">
        <v>14301</v>
      </c>
      <c r="D3850" t="s">
        <v>1868</v>
      </c>
      <c r="E3850" t="s">
        <v>1868</v>
      </c>
      <c r="F3850" t="s">
        <v>14302</v>
      </c>
      <c r="G3850" t="s">
        <v>14303</v>
      </c>
      <c r="H3850" t="s">
        <v>30</v>
      </c>
      <c r="I3850" t="b">
        <f>COUNTIF(Estadísticas!I:I,'centraldecomunicacion.es'!H3850)&gt;0</f>
        <v>0</v>
      </c>
    </row>
    <row r="3851" spans="1:9">
      <c r="A3851" t="s">
        <v>14304</v>
      </c>
      <c r="B3851" t="s">
        <v>10</v>
      </c>
      <c r="C3851" t="s">
        <v>14305</v>
      </c>
      <c r="D3851" t="s">
        <v>1868</v>
      </c>
      <c r="E3851" t="s">
        <v>1868</v>
      </c>
      <c r="F3851" t="s">
        <v>14306</v>
      </c>
      <c r="G3851" t="s">
        <v>14307</v>
      </c>
      <c r="H3851" t="s">
        <v>14308</v>
      </c>
      <c r="I3851" t="b">
        <f>COUNTIF(Estadísticas!I:I,'centraldecomunicacion.es'!H3851)&gt;0</f>
        <v>0</v>
      </c>
    </row>
    <row r="3852" spans="1:9">
      <c r="A3852" t="s">
        <v>557</v>
      </c>
      <c r="B3852" t="s">
        <v>10</v>
      </c>
      <c r="C3852" t="s">
        <v>14309</v>
      </c>
      <c r="D3852" t="s">
        <v>1868</v>
      </c>
      <c r="E3852" t="s">
        <v>1868</v>
      </c>
      <c r="F3852" t="s">
        <v>559</v>
      </c>
      <c r="G3852" t="s">
        <v>14310</v>
      </c>
      <c r="H3852" t="s">
        <v>561</v>
      </c>
      <c r="I3852" t="b">
        <f>COUNTIF(Estadísticas!I:I,'centraldecomunicacion.es'!H3852)&gt;0</f>
        <v>0</v>
      </c>
    </row>
    <row r="3853" spans="1:9">
      <c r="A3853" t="s">
        <v>14311</v>
      </c>
      <c r="B3853" t="s">
        <v>10</v>
      </c>
      <c r="C3853" t="s">
        <v>14312</v>
      </c>
      <c r="D3853" t="s">
        <v>1868</v>
      </c>
      <c r="E3853" t="s">
        <v>1868</v>
      </c>
      <c r="F3853" t="s">
        <v>14313</v>
      </c>
      <c r="G3853" t="s">
        <v>14314</v>
      </c>
      <c r="H3853" t="s">
        <v>30</v>
      </c>
      <c r="I3853" t="b">
        <f>COUNTIF(Estadísticas!I:I,'centraldecomunicacion.es'!H3853)&gt;0</f>
        <v>0</v>
      </c>
    </row>
    <row r="3854" spans="1:9">
      <c r="A3854" t="s">
        <v>4824</v>
      </c>
      <c r="B3854" t="s">
        <v>10</v>
      </c>
      <c r="C3854" t="s">
        <v>8864</v>
      </c>
      <c r="D3854" t="s">
        <v>1868</v>
      </c>
      <c r="E3854" t="s">
        <v>1868</v>
      </c>
      <c r="F3854" t="s">
        <v>14315</v>
      </c>
      <c r="G3854" t="s">
        <v>14316</v>
      </c>
      <c r="H3854" t="s">
        <v>14317</v>
      </c>
      <c r="I3854" t="b">
        <f>COUNTIF(Estadísticas!I:I,'centraldecomunicacion.es'!H3854)&gt;0</f>
        <v>0</v>
      </c>
    </row>
    <row r="3855" spans="1:9">
      <c r="A3855" t="s">
        <v>14318</v>
      </c>
      <c r="B3855" t="s">
        <v>10</v>
      </c>
      <c r="C3855" t="s">
        <v>14319</v>
      </c>
      <c r="D3855" t="s">
        <v>1868</v>
      </c>
      <c r="E3855" t="s">
        <v>1868</v>
      </c>
      <c r="F3855" t="s">
        <v>14320</v>
      </c>
      <c r="G3855" t="s">
        <v>14321</v>
      </c>
      <c r="H3855" t="s">
        <v>14322</v>
      </c>
      <c r="I3855" t="b">
        <f>COUNTIF(Estadísticas!I:I,'centraldecomunicacion.es'!H3855)&gt;0</f>
        <v>0</v>
      </c>
    </row>
    <row r="3856" spans="1:9">
      <c r="A3856" t="s">
        <v>14323</v>
      </c>
      <c r="B3856" t="s">
        <v>10</v>
      </c>
      <c r="C3856" t="s">
        <v>14324</v>
      </c>
      <c r="D3856" t="s">
        <v>1868</v>
      </c>
      <c r="E3856" t="s">
        <v>1868</v>
      </c>
      <c r="F3856" t="s">
        <v>14325</v>
      </c>
      <c r="G3856" t="s">
        <v>14326</v>
      </c>
      <c r="H3856" t="s">
        <v>14327</v>
      </c>
      <c r="I3856" t="b">
        <f>COUNTIF(Estadísticas!I:I,'centraldecomunicacion.es'!H3856)&gt;0</f>
        <v>0</v>
      </c>
    </row>
    <row r="3857" spans="1:9">
      <c r="A3857" t="s">
        <v>1587</v>
      </c>
      <c r="B3857" t="s">
        <v>10</v>
      </c>
      <c r="C3857" t="s">
        <v>14328</v>
      </c>
      <c r="D3857" t="s">
        <v>1868</v>
      </c>
      <c r="E3857" t="s">
        <v>1868</v>
      </c>
      <c r="F3857" t="s">
        <v>14329</v>
      </c>
      <c r="G3857" t="s">
        <v>14330</v>
      </c>
      <c r="H3857" t="s">
        <v>14331</v>
      </c>
      <c r="I3857" t="b">
        <f>COUNTIF(Estadísticas!I:I,'centraldecomunicacion.es'!H3857)&gt;0</f>
        <v>1</v>
      </c>
    </row>
    <row r="3858" spans="1:9">
      <c r="A3858" t="s">
        <v>14332</v>
      </c>
      <c r="B3858" t="s">
        <v>10</v>
      </c>
      <c r="C3858" t="s">
        <v>14333</v>
      </c>
      <c r="D3858" t="s">
        <v>1868</v>
      </c>
      <c r="E3858" t="s">
        <v>1868</v>
      </c>
      <c r="F3858" t="s">
        <v>14334</v>
      </c>
      <c r="G3858" t="s">
        <v>14335</v>
      </c>
      <c r="H3858" t="s">
        <v>30</v>
      </c>
      <c r="I3858" t="b">
        <f>COUNTIF(Estadísticas!I:I,'centraldecomunicacion.es'!H3858)&gt;0</f>
        <v>0</v>
      </c>
    </row>
    <row r="3859" spans="1:9">
      <c r="A3859" t="s">
        <v>14336</v>
      </c>
      <c r="B3859" t="s">
        <v>10</v>
      </c>
      <c r="C3859" t="s">
        <v>14337</v>
      </c>
      <c r="D3859" t="s">
        <v>1868</v>
      </c>
      <c r="E3859" t="s">
        <v>1868</v>
      </c>
      <c r="F3859" t="s">
        <v>14338</v>
      </c>
      <c r="G3859" t="s">
        <v>14339</v>
      </c>
      <c r="H3859" t="s">
        <v>30</v>
      </c>
      <c r="I3859" t="b">
        <f>COUNTIF(Estadísticas!I:I,'centraldecomunicacion.es'!H3859)&gt;0</f>
        <v>0</v>
      </c>
    </row>
    <row r="3860" spans="1:9">
      <c r="A3860" t="s">
        <v>14340</v>
      </c>
      <c r="B3860" t="s">
        <v>10</v>
      </c>
      <c r="C3860" t="s">
        <v>14341</v>
      </c>
      <c r="D3860" t="s">
        <v>1868</v>
      </c>
      <c r="E3860" t="s">
        <v>1868</v>
      </c>
      <c r="F3860" t="s">
        <v>14342</v>
      </c>
      <c r="G3860" t="s">
        <v>14343</v>
      </c>
      <c r="H3860" t="s">
        <v>14344</v>
      </c>
      <c r="I3860" t="b">
        <f>COUNTIF(Estadísticas!I:I,'centraldecomunicacion.es'!H3860)&gt;0</f>
        <v>1</v>
      </c>
    </row>
    <row r="3861" spans="1:9">
      <c r="A3861" t="s">
        <v>14345</v>
      </c>
      <c r="B3861" t="s">
        <v>10</v>
      </c>
      <c r="C3861" t="s">
        <v>14346</v>
      </c>
      <c r="D3861" t="s">
        <v>1868</v>
      </c>
      <c r="E3861" t="s">
        <v>1868</v>
      </c>
      <c r="F3861" t="s">
        <v>14347</v>
      </c>
      <c r="G3861" t="s">
        <v>14348</v>
      </c>
      <c r="H3861" t="s">
        <v>14349</v>
      </c>
      <c r="I3861" t="b">
        <f>COUNTIF(Estadísticas!I:I,'centraldecomunicacion.es'!H3861)&gt;0</f>
        <v>0</v>
      </c>
    </row>
    <row r="3862" spans="1:9">
      <c r="A3862" t="s">
        <v>14350</v>
      </c>
      <c r="B3862" t="s">
        <v>10</v>
      </c>
      <c r="C3862" t="s">
        <v>14351</v>
      </c>
      <c r="D3862" t="s">
        <v>1868</v>
      </c>
      <c r="E3862" t="s">
        <v>1868</v>
      </c>
      <c r="F3862" t="s">
        <v>14352</v>
      </c>
      <c r="G3862" t="s">
        <v>14353</v>
      </c>
      <c r="H3862" t="s">
        <v>30</v>
      </c>
      <c r="I3862" t="b">
        <f>COUNTIF(Estadísticas!I:I,'centraldecomunicacion.es'!H3862)&gt;0</f>
        <v>0</v>
      </c>
    </row>
    <row r="3863" spans="1:9">
      <c r="A3863" t="s">
        <v>14354</v>
      </c>
      <c r="B3863" t="s">
        <v>10</v>
      </c>
      <c r="C3863" t="s">
        <v>14355</v>
      </c>
      <c r="D3863" t="s">
        <v>1868</v>
      </c>
      <c r="E3863" t="s">
        <v>1868</v>
      </c>
      <c r="F3863" t="s">
        <v>38</v>
      </c>
      <c r="G3863" t="s">
        <v>14356</v>
      </c>
      <c r="H3863" t="s">
        <v>30</v>
      </c>
      <c r="I3863" t="b">
        <f>COUNTIF(Estadísticas!I:I,'centraldecomunicacion.es'!H3863)&gt;0</f>
        <v>0</v>
      </c>
    </row>
    <row r="3864" spans="1:9">
      <c r="A3864" t="s">
        <v>14357</v>
      </c>
      <c r="B3864" t="s">
        <v>10</v>
      </c>
      <c r="C3864" t="s">
        <v>14358</v>
      </c>
      <c r="D3864" t="s">
        <v>1868</v>
      </c>
      <c r="E3864" t="s">
        <v>1868</v>
      </c>
      <c r="F3864" t="s">
        <v>28</v>
      </c>
      <c r="G3864" t="s">
        <v>14359</v>
      </c>
      <c r="H3864" t="s">
        <v>30</v>
      </c>
      <c r="I3864" t="b">
        <f>COUNTIF(Estadísticas!I:I,'centraldecomunicacion.es'!H3864)&gt;0</f>
        <v>0</v>
      </c>
    </row>
    <row r="3865" spans="1:9">
      <c r="A3865" t="s">
        <v>14360</v>
      </c>
      <c r="B3865" t="s">
        <v>10</v>
      </c>
      <c r="C3865" t="s">
        <v>14361</v>
      </c>
      <c r="D3865" t="s">
        <v>1868</v>
      </c>
      <c r="E3865" t="s">
        <v>1868</v>
      </c>
      <c r="F3865" t="s">
        <v>14362</v>
      </c>
      <c r="G3865" t="s">
        <v>14363</v>
      </c>
      <c r="H3865" t="s">
        <v>5561</v>
      </c>
      <c r="I3865" t="b">
        <f>COUNTIF(Estadísticas!I:I,'centraldecomunicacion.es'!H3865)&gt;0</f>
        <v>0</v>
      </c>
    </row>
    <row r="3866" spans="1:9">
      <c r="A3866" t="s">
        <v>14364</v>
      </c>
      <c r="B3866" t="s">
        <v>10</v>
      </c>
      <c r="C3866" t="s">
        <v>14365</v>
      </c>
      <c r="D3866" t="s">
        <v>1868</v>
      </c>
      <c r="E3866" t="s">
        <v>1868</v>
      </c>
      <c r="F3866" t="s">
        <v>14366</v>
      </c>
      <c r="G3866" t="s">
        <v>14367</v>
      </c>
      <c r="H3866" t="s">
        <v>30</v>
      </c>
      <c r="I3866" t="b">
        <f>COUNTIF(Estadísticas!I:I,'centraldecomunicacion.es'!H3866)&gt;0</f>
        <v>0</v>
      </c>
    </row>
    <row r="3867" spans="1:9">
      <c r="A3867" t="s">
        <v>14368</v>
      </c>
      <c r="B3867" t="s">
        <v>10</v>
      </c>
      <c r="C3867" t="s">
        <v>14369</v>
      </c>
      <c r="D3867" t="s">
        <v>1868</v>
      </c>
      <c r="E3867" t="s">
        <v>1868</v>
      </c>
      <c r="F3867" t="s">
        <v>28</v>
      </c>
      <c r="G3867" t="s">
        <v>14370</v>
      </c>
      <c r="H3867" t="s">
        <v>30</v>
      </c>
      <c r="I3867" t="b">
        <f>COUNTIF(Estadísticas!I:I,'centraldecomunicacion.es'!H3867)&gt;0</f>
        <v>0</v>
      </c>
    </row>
    <row r="3868" spans="1:9">
      <c r="A3868" t="s">
        <v>14371</v>
      </c>
      <c r="B3868" t="s">
        <v>10</v>
      </c>
      <c r="C3868" t="s">
        <v>14372</v>
      </c>
      <c r="D3868" t="s">
        <v>1868</v>
      </c>
      <c r="E3868" t="s">
        <v>1868</v>
      </c>
      <c r="F3868" t="s">
        <v>14373</v>
      </c>
      <c r="G3868" t="s">
        <v>14374</v>
      </c>
      <c r="H3868" t="s">
        <v>14375</v>
      </c>
      <c r="I3868" t="b">
        <f>COUNTIF(Estadísticas!I:I,'centraldecomunicacion.es'!H3868)&gt;0</f>
        <v>1</v>
      </c>
    </row>
    <row r="3869" spans="1:9">
      <c r="A3869" t="s">
        <v>14376</v>
      </c>
      <c r="B3869" t="s">
        <v>10</v>
      </c>
      <c r="C3869" t="s">
        <v>14377</v>
      </c>
      <c r="D3869" t="s">
        <v>1868</v>
      </c>
      <c r="E3869" t="s">
        <v>1868</v>
      </c>
      <c r="F3869" t="s">
        <v>14378</v>
      </c>
      <c r="G3869" t="s">
        <v>14379</v>
      </c>
      <c r="H3869" t="s">
        <v>14380</v>
      </c>
      <c r="I3869" t="b">
        <f>COUNTIF(Estadísticas!I:I,'centraldecomunicacion.es'!H3869)&gt;0</f>
        <v>1</v>
      </c>
    </row>
    <row r="3870" spans="1:9">
      <c r="A3870" t="s">
        <v>14381</v>
      </c>
      <c r="B3870" t="s">
        <v>10</v>
      </c>
      <c r="C3870" t="s">
        <v>14382</v>
      </c>
      <c r="D3870" t="s">
        <v>1868</v>
      </c>
      <c r="E3870" t="s">
        <v>1868</v>
      </c>
      <c r="F3870" t="s">
        <v>28</v>
      </c>
      <c r="G3870" t="s">
        <v>14383</v>
      </c>
      <c r="H3870" t="s">
        <v>30</v>
      </c>
      <c r="I3870" t="b">
        <f>COUNTIF(Estadísticas!I:I,'centraldecomunicacion.es'!H3870)&gt;0</f>
        <v>0</v>
      </c>
    </row>
    <row r="3871" spans="1:9">
      <c r="A3871" t="s">
        <v>14384</v>
      </c>
      <c r="B3871" t="s">
        <v>10</v>
      </c>
      <c r="C3871" t="s">
        <v>14385</v>
      </c>
      <c r="D3871" t="s">
        <v>1868</v>
      </c>
      <c r="E3871" t="s">
        <v>1868</v>
      </c>
      <c r="F3871" t="s">
        <v>14386</v>
      </c>
      <c r="G3871" t="s">
        <v>14387</v>
      </c>
      <c r="H3871" t="s">
        <v>691</v>
      </c>
      <c r="I3871" t="b">
        <f>COUNTIF(Estadísticas!I:I,'centraldecomunicacion.es'!H3871)&gt;0</f>
        <v>0</v>
      </c>
    </row>
    <row r="3872" spans="1:9">
      <c r="A3872" t="s">
        <v>14388</v>
      </c>
      <c r="B3872" t="s">
        <v>10</v>
      </c>
      <c r="C3872" t="s">
        <v>14389</v>
      </c>
      <c r="D3872" t="s">
        <v>1868</v>
      </c>
      <c r="E3872" t="s">
        <v>1868</v>
      </c>
      <c r="F3872" t="s">
        <v>14390</v>
      </c>
      <c r="G3872" t="s">
        <v>14391</v>
      </c>
      <c r="H3872" t="s">
        <v>14392</v>
      </c>
      <c r="I3872" t="b">
        <f>COUNTIF(Estadísticas!I:I,'centraldecomunicacion.es'!H3872)&gt;0</f>
        <v>0</v>
      </c>
    </row>
    <row r="3873" spans="1:9">
      <c r="A3873" t="s">
        <v>14393</v>
      </c>
      <c r="B3873" t="s">
        <v>10</v>
      </c>
      <c r="C3873" t="s">
        <v>14394</v>
      </c>
      <c r="D3873" t="s">
        <v>1868</v>
      </c>
      <c r="E3873" t="s">
        <v>1868</v>
      </c>
      <c r="F3873" t="s">
        <v>28</v>
      </c>
      <c r="G3873" t="s">
        <v>14395</v>
      </c>
      <c r="H3873" t="s">
        <v>30</v>
      </c>
      <c r="I3873" t="b">
        <f>COUNTIF(Estadísticas!I:I,'centraldecomunicacion.es'!H3873)&gt;0</f>
        <v>0</v>
      </c>
    </row>
    <row r="3874" spans="1:9">
      <c r="A3874" t="s">
        <v>14396</v>
      </c>
      <c r="B3874" t="s">
        <v>10</v>
      </c>
      <c r="C3874" t="s">
        <v>14397</v>
      </c>
      <c r="D3874" t="s">
        <v>1868</v>
      </c>
      <c r="E3874" t="s">
        <v>1868</v>
      </c>
      <c r="F3874" t="s">
        <v>14398</v>
      </c>
      <c r="G3874" t="s">
        <v>14399</v>
      </c>
      <c r="H3874" t="s">
        <v>30</v>
      </c>
      <c r="I3874" t="b">
        <f>COUNTIF(Estadísticas!I:I,'centraldecomunicacion.es'!H3874)&gt;0</f>
        <v>0</v>
      </c>
    </row>
    <row r="3875" spans="1:9">
      <c r="A3875" t="s">
        <v>14400</v>
      </c>
      <c r="B3875" t="s">
        <v>10</v>
      </c>
      <c r="C3875" t="s">
        <v>14401</v>
      </c>
      <c r="D3875" t="s">
        <v>1868</v>
      </c>
      <c r="E3875" t="s">
        <v>1868</v>
      </c>
      <c r="F3875" t="s">
        <v>14402</v>
      </c>
      <c r="G3875" t="s">
        <v>14403</v>
      </c>
      <c r="H3875" t="s">
        <v>14404</v>
      </c>
      <c r="I3875" t="b">
        <f>COUNTIF(Estadísticas!I:I,'centraldecomunicacion.es'!H3875)&gt;0</f>
        <v>0</v>
      </c>
    </row>
    <row r="3876" spans="1:9">
      <c r="A3876" t="s">
        <v>14405</v>
      </c>
      <c r="B3876" t="s">
        <v>10</v>
      </c>
      <c r="C3876" t="s">
        <v>14406</v>
      </c>
      <c r="D3876" t="s">
        <v>1868</v>
      </c>
      <c r="E3876" t="s">
        <v>1868</v>
      </c>
      <c r="F3876" t="s">
        <v>28</v>
      </c>
      <c r="G3876" t="s">
        <v>14407</v>
      </c>
      <c r="H3876" t="s">
        <v>30</v>
      </c>
      <c r="I3876" t="b">
        <f>COUNTIF(Estadísticas!I:I,'centraldecomunicacion.es'!H3876)&gt;0</f>
        <v>0</v>
      </c>
    </row>
    <row r="3877" spans="1:9">
      <c r="A3877" t="s">
        <v>14408</v>
      </c>
      <c r="B3877" t="s">
        <v>10</v>
      </c>
      <c r="C3877" t="s">
        <v>14409</v>
      </c>
      <c r="D3877" t="s">
        <v>1868</v>
      </c>
      <c r="E3877" t="s">
        <v>1868</v>
      </c>
      <c r="F3877" t="s">
        <v>14410</v>
      </c>
      <c r="G3877" t="s">
        <v>14411</v>
      </c>
      <c r="H3877" t="s">
        <v>14412</v>
      </c>
      <c r="I3877" t="b">
        <f>COUNTIF(Estadísticas!I:I,'centraldecomunicacion.es'!H3877)&gt;0</f>
        <v>1</v>
      </c>
    </row>
    <row r="3878" spans="1:9">
      <c r="A3878" t="s">
        <v>14413</v>
      </c>
      <c r="B3878" t="s">
        <v>10</v>
      </c>
      <c r="C3878" t="s">
        <v>14414</v>
      </c>
      <c r="D3878" t="s">
        <v>1868</v>
      </c>
      <c r="E3878" t="s">
        <v>1868</v>
      </c>
      <c r="F3878" t="s">
        <v>14415</v>
      </c>
      <c r="G3878" t="s">
        <v>14416</v>
      </c>
      <c r="H3878" t="s">
        <v>30</v>
      </c>
      <c r="I3878" t="b">
        <f>COUNTIF(Estadísticas!I:I,'centraldecomunicacion.es'!H3878)&gt;0</f>
        <v>0</v>
      </c>
    </row>
    <row r="3879" spans="1:9">
      <c r="A3879" t="s">
        <v>14417</v>
      </c>
      <c r="B3879" t="s">
        <v>10</v>
      </c>
      <c r="C3879" t="s">
        <v>14418</v>
      </c>
      <c r="D3879" t="s">
        <v>1868</v>
      </c>
      <c r="E3879" t="s">
        <v>1868</v>
      </c>
      <c r="F3879" t="s">
        <v>50</v>
      </c>
      <c r="G3879" t="s">
        <v>14419</v>
      </c>
      <c r="H3879" t="s">
        <v>30</v>
      </c>
      <c r="I3879" t="b">
        <f>COUNTIF(Estadísticas!I:I,'centraldecomunicacion.es'!H3879)&gt;0</f>
        <v>0</v>
      </c>
    </row>
    <row r="3880" spans="1:9">
      <c r="A3880" t="s">
        <v>14420</v>
      </c>
      <c r="B3880" t="s">
        <v>10</v>
      </c>
      <c r="C3880" t="s">
        <v>14421</v>
      </c>
      <c r="D3880" t="s">
        <v>1868</v>
      </c>
      <c r="E3880" t="s">
        <v>1868</v>
      </c>
      <c r="F3880" t="s">
        <v>14422</v>
      </c>
      <c r="G3880" t="s">
        <v>14423</v>
      </c>
      <c r="H3880" t="s">
        <v>30</v>
      </c>
      <c r="I3880" t="b">
        <f>COUNTIF(Estadísticas!I:I,'centraldecomunicacion.es'!H3880)&gt;0</f>
        <v>0</v>
      </c>
    </row>
    <row r="3881" spans="1:9">
      <c r="A3881" t="s">
        <v>14424</v>
      </c>
      <c r="B3881" t="s">
        <v>10</v>
      </c>
      <c r="C3881" t="s">
        <v>14425</v>
      </c>
      <c r="D3881" t="s">
        <v>1868</v>
      </c>
      <c r="E3881" t="s">
        <v>1868</v>
      </c>
      <c r="F3881" t="s">
        <v>38</v>
      </c>
      <c r="G3881" t="s">
        <v>14426</v>
      </c>
      <c r="H3881" t="s">
        <v>30</v>
      </c>
      <c r="I3881" t="b">
        <f>COUNTIF(Estadísticas!I:I,'centraldecomunicacion.es'!H3881)&gt;0</f>
        <v>0</v>
      </c>
    </row>
    <row r="3882" spans="1:9">
      <c r="A3882" t="s">
        <v>14427</v>
      </c>
      <c r="B3882" t="s">
        <v>10</v>
      </c>
      <c r="C3882" t="s">
        <v>14428</v>
      </c>
      <c r="D3882" t="s">
        <v>1868</v>
      </c>
      <c r="E3882" t="s">
        <v>1868</v>
      </c>
      <c r="F3882" t="s">
        <v>14429</v>
      </c>
      <c r="G3882" t="s">
        <v>14430</v>
      </c>
      <c r="H3882" t="s">
        <v>1643</v>
      </c>
      <c r="I3882" t="b">
        <f>COUNTIF(Estadísticas!I:I,'centraldecomunicacion.es'!H3882)&gt;0</f>
        <v>0</v>
      </c>
    </row>
    <row r="3883" spans="1:9">
      <c r="A3883" t="s">
        <v>8940</v>
      </c>
      <c r="B3883" t="s">
        <v>10</v>
      </c>
      <c r="C3883" t="s">
        <v>14431</v>
      </c>
      <c r="D3883" t="s">
        <v>1868</v>
      </c>
      <c r="E3883" t="s">
        <v>1868</v>
      </c>
      <c r="F3883" t="s">
        <v>14432</v>
      </c>
      <c r="G3883" t="s">
        <v>14433</v>
      </c>
      <c r="H3883" t="s">
        <v>30</v>
      </c>
      <c r="I3883" t="b">
        <f>COUNTIF(Estadísticas!I:I,'centraldecomunicacion.es'!H3883)&gt;0</f>
        <v>0</v>
      </c>
    </row>
    <row r="3884" spans="1:9">
      <c r="A3884" t="s">
        <v>14434</v>
      </c>
      <c r="B3884" t="s">
        <v>10</v>
      </c>
      <c r="C3884" t="s">
        <v>14435</v>
      </c>
      <c r="D3884" t="s">
        <v>1868</v>
      </c>
      <c r="E3884" t="s">
        <v>1868</v>
      </c>
      <c r="F3884" t="s">
        <v>14436</v>
      </c>
      <c r="G3884" t="s">
        <v>14437</v>
      </c>
      <c r="H3884" t="s">
        <v>30</v>
      </c>
      <c r="I3884" t="b">
        <f>COUNTIF(Estadísticas!I:I,'centraldecomunicacion.es'!H3884)&gt;0</f>
        <v>0</v>
      </c>
    </row>
    <row r="3885" spans="1:9">
      <c r="A3885" t="s">
        <v>14438</v>
      </c>
      <c r="B3885" t="s">
        <v>10</v>
      </c>
      <c r="C3885" t="s">
        <v>14439</v>
      </c>
      <c r="D3885" t="s">
        <v>1868</v>
      </c>
      <c r="E3885" t="s">
        <v>1868</v>
      </c>
      <c r="F3885" t="s">
        <v>28</v>
      </c>
      <c r="G3885" t="s">
        <v>14440</v>
      </c>
      <c r="H3885" t="s">
        <v>30</v>
      </c>
      <c r="I3885" t="b">
        <f>COUNTIF(Estadísticas!I:I,'centraldecomunicacion.es'!H3885)&gt;0</f>
        <v>0</v>
      </c>
    </row>
    <row r="3886" spans="1:9">
      <c r="A3886" t="s">
        <v>14441</v>
      </c>
      <c r="B3886" t="s">
        <v>10</v>
      </c>
      <c r="C3886" t="s">
        <v>14442</v>
      </c>
      <c r="D3886" t="s">
        <v>1868</v>
      </c>
      <c r="E3886" t="s">
        <v>1868</v>
      </c>
      <c r="F3886" t="s">
        <v>28</v>
      </c>
      <c r="G3886" t="s">
        <v>14443</v>
      </c>
      <c r="H3886" t="s">
        <v>30</v>
      </c>
      <c r="I3886" t="b">
        <f>COUNTIF(Estadísticas!I:I,'centraldecomunicacion.es'!H3886)&gt;0</f>
        <v>0</v>
      </c>
    </row>
    <row r="3887" spans="1:9">
      <c r="A3887" t="s">
        <v>14444</v>
      </c>
      <c r="B3887" t="s">
        <v>10</v>
      </c>
      <c r="C3887" t="s">
        <v>14445</v>
      </c>
      <c r="D3887" t="s">
        <v>1868</v>
      </c>
      <c r="E3887" t="s">
        <v>1868</v>
      </c>
      <c r="F3887" t="s">
        <v>14446</v>
      </c>
      <c r="G3887" t="s">
        <v>14447</v>
      </c>
      <c r="H3887" t="s">
        <v>30</v>
      </c>
      <c r="I3887" t="b">
        <f>COUNTIF(Estadísticas!I:I,'centraldecomunicacion.es'!H3887)&gt;0</f>
        <v>0</v>
      </c>
    </row>
    <row r="3888" spans="1:9">
      <c r="A3888" t="s">
        <v>14448</v>
      </c>
      <c r="B3888" t="s">
        <v>10</v>
      </c>
      <c r="C3888" t="s">
        <v>14449</v>
      </c>
      <c r="D3888" t="s">
        <v>1868</v>
      </c>
      <c r="E3888" t="s">
        <v>1868</v>
      </c>
      <c r="F3888" t="s">
        <v>28</v>
      </c>
      <c r="G3888" t="s">
        <v>14450</v>
      </c>
      <c r="H3888" t="s">
        <v>30</v>
      </c>
      <c r="I3888" t="b">
        <f>COUNTIF(Estadísticas!I:I,'centraldecomunicacion.es'!H3888)&gt;0</f>
        <v>0</v>
      </c>
    </row>
    <row r="3889" spans="1:9">
      <c r="A3889" t="s">
        <v>14451</v>
      </c>
      <c r="B3889" t="s">
        <v>10</v>
      </c>
      <c r="C3889" t="s">
        <v>14452</v>
      </c>
      <c r="D3889" t="s">
        <v>1868</v>
      </c>
      <c r="E3889" t="s">
        <v>1868</v>
      </c>
      <c r="F3889" t="s">
        <v>14453</v>
      </c>
      <c r="G3889" t="s">
        <v>14454</v>
      </c>
      <c r="H3889" t="s">
        <v>30</v>
      </c>
      <c r="I3889" t="b">
        <f>COUNTIF(Estadísticas!I:I,'centraldecomunicacion.es'!H3889)&gt;0</f>
        <v>0</v>
      </c>
    </row>
    <row r="3890" spans="1:9">
      <c r="A3890" t="s">
        <v>7970</v>
      </c>
      <c r="B3890" t="s">
        <v>10</v>
      </c>
      <c r="C3890" t="s">
        <v>14455</v>
      </c>
      <c r="D3890" t="s">
        <v>1868</v>
      </c>
      <c r="E3890" t="s">
        <v>1868</v>
      </c>
      <c r="F3890" t="s">
        <v>28</v>
      </c>
      <c r="G3890" t="s">
        <v>14456</v>
      </c>
      <c r="H3890" t="s">
        <v>30</v>
      </c>
      <c r="I3890" t="b">
        <f>COUNTIF(Estadísticas!I:I,'centraldecomunicacion.es'!H3890)&gt;0</f>
        <v>0</v>
      </c>
    </row>
    <row r="3891" spans="1:9">
      <c r="A3891" t="s">
        <v>14457</v>
      </c>
      <c r="B3891" t="s">
        <v>10</v>
      </c>
      <c r="C3891" t="s">
        <v>14458</v>
      </c>
      <c r="D3891" t="s">
        <v>14459</v>
      </c>
      <c r="E3891" t="s">
        <v>1868</v>
      </c>
      <c r="F3891" t="s">
        <v>14460</v>
      </c>
      <c r="G3891" t="s">
        <v>14461</v>
      </c>
      <c r="H3891" t="s">
        <v>14462</v>
      </c>
      <c r="I3891" t="b">
        <f>COUNTIF(Estadísticas!I:I,'centraldecomunicacion.es'!H3891)&gt;0</f>
        <v>0</v>
      </c>
    </row>
    <row r="3892" spans="1:9">
      <c r="A3892" t="s">
        <v>14463</v>
      </c>
      <c r="B3892" t="s">
        <v>10</v>
      </c>
      <c r="C3892" t="s">
        <v>14464</v>
      </c>
      <c r="D3892" t="s">
        <v>1868</v>
      </c>
      <c r="E3892" t="s">
        <v>1868</v>
      </c>
      <c r="F3892" t="s">
        <v>7273</v>
      </c>
      <c r="G3892" t="s">
        <v>7283</v>
      </c>
      <c r="H3892" t="s">
        <v>30</v>
      </c>
      <c r="I3892" t="b">
        <f>COUNTIF(Estadísticas!I:I,'centraldecomunicacion.es'!H3892)&gt;0</f>
        <v>0</v>
      </c>
    </row>
    <row r="3893" spans="1:9">
      <c r="A3893" t="s">
        <v>14465</v>
      </c>
      <c r="B3893" t="s">
        <v>10</v>
      </c>
      <c r="C3893" t="s">
        <v>14466</v>
      </c>
      <c r="D3893" t="s">
        <v>1868</v>
      </c>
      <c r="E3893" t="s">
        <v>1868</v>
      </c>
      <c r="F3893" t="s">
        <v>14467</v>
      </c>
      <c r="G3893" t="s">
        <v>14468</v>
      </c>
      <c r="H3893" t="s">
        <v>30</v>
      </c>
      <c r="I3893" t="b">
        <f>COUNTIF(Estadísticas!I:I,'centraldecomunicacion.es'!H3893)&gt;0</f>
        <v>0</v>
      </c>
    </row>
    <row r="3894" spans="1:9">
      <c r="A3894" t="s">
        <v>14469</v>
      </c>
      <c r="B3894" t="s">
        <v>10</v>
      </c>
      <c r="C3894" t="s">
        <v>14470</v>
      </c>
      <c r="D3894" t="s">
        <v>1868</v>
      </c>
      <c r="E3894" t="s">
        <v>1868</v>
      </c>
      <c r="F3894" t="s">
        <v>7273</v>
      </c>
      <c r="G3894" t="s">
        <v>7307</v>
      </c>
      <c r="H3894" t="s">
        <v>30</v>
      </c>
      <c r="I3894" t="b">
        <f>COUNTIF(Estadísticas!I:I,'centraldecomunicacion.es'!H3894)&gt;0</f>
        <v>0</v>
      </c>
    </row>
    <row r="3895" spans="1:9">
      <c r="A3895" t="s">
        <v>2173</v>
      </c>
      <c r="B3895" t="s">
        <v>10</v>
      </c>
      <c r="C3895" t="s">
        <v>14471</v>
      </c>
      <c r="D3895" t="s">
        <v>1868</v>
      </c>
      <c r="E3895" t="s">
        <v>1868</v>
      </c>
      <c r="F3895" t="s">
        <v>87</v>
      </c>
      <c r="G3895" t="s">
        <v>14472</v>
      </c>
      <c r="H3895" t="s">
        <v>30</v>
      </c>
      <c r="I3895" t="b">
        <f>COUNTIF(Estadísticas!I:I,'centraldecomunicacion.es'!H3895)&gt;0</f>
        <v>0</v>
      </c>
    </row>
    <row r="3896" spans="1:9">
      <c r="A3896" t="s">
        <v>14473</v>
      </c>
      <c r="B3896" t="s">
        <v>10</v>
      </c>
      <c r="C3896" t="s">
        <v>14474</v>
      </c>
      <c r="D3896" t="s">
        <v>1868</v>
      </c>
      <c r="E3896" t="s">
        <v>1868</v>
      </c>
      <c r="F3896" t="s">
        <v>14475</v>
      </c>
      <c r="G3896" t="s">
        <v>14476</v>
      </c>
      <c r="H3896" t="s">
        <v>30</v>
      </c>
      <c r="I3896" t="b">
        <f>COUNTIF(Estadísticas!I:I,'centraldecomunicacion.es'!H3896)&gt;0</f>
        <v>0</v>
      </c>
    </row>
    <row r="3897" spans="1:9">
      <c r="A3897" t="s">
        <v>14477</v>
      </c>
      <c r="B3897" t="s">
        <v>10</v>
      </c>
      <c r="C3897" t="s">
        <v>14478</v>
      </c>
      <c r="D3897" t="s">
        <v>8876</v>
      </c>
      <c r="E3897" t="s">
        <v>1868</v>
      </c>
      <c r="F3897" t="s">
        <v>14479</v>
      </c>
      <c r="G3897" t="s">
        <v>14480</v>
      </c>
      <c r="H3897" t="s">
        <v>14481</v>
      </c>
      <c r="I3897" t="b">
        <f>COUNTIF(Estadísticas!I:I,'centraldecomunicacion.es'!H3897)&gt;0</f>
        <v>1</v>
      </c>
    </row>
    <row r="3898" spans="1:9">
      <c r="A3898" t="s">
        <v>14482</v>
      </c>
      <c r="B3898" t="s">
        <v>219</v>
      </c>
      <c r="C3898" t="s">
        <v>14483</v>
      </c>
      <c r="D3898" t="s">
        <v>1868</v>
      </c>
      <c r="E3898" t="s">
        <v>1868</v>
      </c>
      <c r="F3898" t="s">
        <v>14484</v>
      </c>
      <c r="G3898" t="s">
        <v>14485</v>
      </c>
      <c r="H3898" t="s">
        <v>30</v>
      </c>
      <c r="I3898" t="b">
        <f>COUNTIF(Estadísticas!I:I,'centraldecomunicacion.es'!H3898)&gt;0</f>
        <v>0</v>
      </c>
    </row>
    <row r="3899" spans="1:9">
      <c r="A3899" t="s">
        <v>14486</v>
      </c>
      <c r="B3899" t="s">
        <v>10</v>
      </c>
      <c r="C3899" t="s">
        <v>14487</v>
      </c>
      <c r="D3899" t="s">
        <v>1868</v>
      </c>
      <c r="E3899" t="s">
        <v>1868</v>
      </c>
      <c r="F3899" t="s">
        <v>14488</v>
      </c>
      <c r="G3899" t="s">
        <v>14489</v>
      </c>
      <c r="H3899" t="s">
        <v>30</v>
      </c>
      <c r="I3899" t="b">
        <f>COUNTIF(Estadísticas!I:I,'centraldecomunicacion.es'!H3899)&gt;0</f>
        <v>0</v>
      </c>
    </row>
    <row r="3900" spans="1:9">
      <c r="A3900" t="s">
        <v>14490</v>
      </c>
      <c r="B3900" t="s">
        <v>10</v>
      </c>
      <c r="C3900" t="s">
        <v>14491</v>
      </c>
      <c r="D3900" t="s">
        <v>1868</v>
      </c>
      <c r="E3900" t="s">
        <v>1868</v>
      </c>
      <c r="F3900" t="s">
        <v>14492</v>
      </c>
      <c r="G3900" t="s">
        <v>14493</v>
      </c>
      <c r="H3900" t="s">
        <v>14494</v>
      </c>
      <c r="I3900" t="b">
        <f>COUNTIF(Estadísticas!I:I,'centraldecomunicacion.es'!H3900)&gt;0</f>
        <v>1</v>
      </c>
    </row>
    <row r="3901" spans="1:9">
      <c r="A3901" t="s">
        <v>14495</v>
      </c>
      <c r="B3901" t="s">
        <v>10</v>
      </c>
      <c r="C3901" t="s">
        <v>14496</v>
      </c>
      <c r="D3901" t="s">
        <v>1868</v>
      </c>
      <c r="E3901" t="s">
        <v>1868</v>
      </c>
      <c r="F3901" t="s">
        <v>14497</v>
      </c>
      <c r="G3901" t="s">
        <v>14498</v>
      </c>
      <c r="H3901" t="s">
        <v>14499</v>
      </c>
      <c r="I3901" t="b">
        <f>COUNTIF(Estadísticas!I:I,'centraldecomunicacion.es'!H3901)&gt;0</f>
        <v>1</v>
      </c>
    </row>
    <row r="3902" spans="1:9">
      <c r="A3902" t="s">
        <v>14500</v>
      </c>
      <c r="B3902" t="s">
        <v>10</v>
      </c>
      <c r="C3902" t="s">
        <v>14501</v>
      </c>
      <c r="D3902" t="s">
        <v>1868</v>
      </c>
      <c r="E3902" t="s">
        <v>1868</v>
      </c>
      <c r="F3902" t="s">
        <v>14502</v>
      </c>
      <c r="G3902" t="s">
        <v>14503</v>
      </c>
      <c r="H3902" t="s">
        <v>14504</v>
      </c>
      <c r="I3902" t="b">
        <f>COUNTIF(Estadísticas!I:I,'centraldecomunicacion.es'!H3902)&gt;0</f>
        <v>0</v>
      </c>
    </row>
    <row r="3903" spans="1:9">
      <c r="A3903" t="s">
        <v>14505</v>
      </c>
      <c r="B3903" t="s">
        <v>10</v>
      </c>
      <c r="C3903" t="s">
        <v>14506</v>
      </c>
      <c r="D3903" t="s">
        <v>1868</v>
      </c>
      <c r="E3903" t="s">
        <v>1868</v>
      </c>
      <c r="F3903" t="s">
        <v>28</v>
      </c>
      <c r="G3903" t="s">
        <v>14507</v>
      </c>
      <c r="H3903" t="s">
        <v>30</v>
      </c>
      <c r="I3903" t="b">
        <f>COUNTIF(Estadísticas!I:I,'centraldecomunicacion.es'!H3903)&gt;0</f>
        <v>0</v>
      </c>
    </row>
    <row r="3904" spans="1:9">
      <c r="A3904" t="s">
        <v>14508</v>
      </c>
      <c r="B3904" t="s">
        <v>10</v>
      </c>
      <c r="C3904" t="s">
        <v>14509</v>
      </c>
      <c r="D3904" t="s">
        <v>1868</v>
      </c>
      <c r="E3904" t="s">
        <v>1868</v>
      </c>
      <c r="F3904" t="s">
        <v>50</v>
      </c>
      <c r="G3904" t="s">
        <v>14510</v>
      </c>
      <c r="H3904" t="s">
        <v>30</v>
      </c>
      <c r="I3904" t="b">
        <f>COUNTIF(Estadísticas!I:I,'centraldecomunicacion.es'!H3904)&gt;0</f>
        <v>0</v>
      </c>
    </row>
    <row r="3905" spans="1:9">
      <c r="A3905" t="s">
        <v>14511</v>
      </c>
      <c r="B3905" t="s">
        <v>10</v>
      </c>
      <c r="C3905" t="s">
        <v>14512</v>
      </c>
      <c r="D3905" t="s">
        <v>1868</v>
      </c>
      <c r="E3905" t="s">
        <v>1868</v>
      </c>
      <c r="F3905" t="s">
        <v>28</v>
      </c>
      <c r="G3905" t="s">
        <v>14513</v>
      </c>
      <c r="H3905" t="s">
        <v>30</v>
      </c>
      <c r="I3905" t="b">
        <f>COUNTIF(Estadísticas!I:I,'centraldecomunicacion.es'!H3905)&gt;0</f>
        <v>0</v>
      </c>
    </row>
    <row r="3906" spans="1:9">
      <c r="A3906" t="s">
        <v>14514</v>
      </c>
      <c r="B3906" t="s">
        <v>10</v>
      </c>
      <c r="C3906" t="s">
        <v>14515</v>
      </c>
      <c r="D3906" t="s">
        <v>1868</v>
      </c>
      <c r="E3906" t="s">
        <v>1868</v>
      </c>
      <c r="F3906" t="s">
        <v>14516</v>
      </c>
      <c r="G3906" t="s">
        <v>14517</v>
      </c>
      <c r="H3906" t="s">
        <v>14518</v>
      </c>
      <c r="I3906" t="b">
        <f>COUNTIF(Estadísticas!I:I,'centraldecomunicacion.es'!H3906)&gt;0</f>
        <v>0</v>
      </c>
    </row>
    <row r="3907" spans="1:9">
      <c r="A3907" t="s">
        <v>14519</v>
      </c>
      <c r="B3907" t="s">
        <v>10</v>
      </c>
      <c r="C3907" t="s">
        <v>14520</v>
      </c>
      <c r="D3907" t="s">
        <v>1868</v>
      </c>
      <c r="E3907" t="s">
        <v>1868</v>
      </c>
      <c r="F3907" t="s">
        <v>38</v>
      </c>
      <c r="G3907" t="s">
        <v>14521</v>
      </c>
      <c r="H3907" t="s">
        <v>30</v>
      </c>
      <c r="I3907" t="b">
        <f>COUNTIF(Estadísticas!I:I,'centraldecomunicacion.es'!H3907)&gt;0</f>
        <v>0</v>
      </c>
    </row>
    <row r="3908" spans="1:9">
      <c r="A3908" t="s">
        <v>10736</v>
      </c>
      <c r="B3908" t="s">
        <v>10</v>
      </c>
      <c r="C3908" t="s">
        <v>14522</v>
      </c>
      <c r="D3908" t="s">
        <v>1868</v>
      </c>
      <c r="E3908" t="s">
        <v>1868</v>
      </c>
      <c r="F3908" t="s">
        <v>7754</v>
      </c>
      <c r="G3908" t="s">
        <v>14523</v>
      </c>
      <c r="H3908" t="s">
        <v>7756</v>
      </c>
      <c r="I3908" t="b">
        <f>COUNTIF(Estadísticas!I:I,'centraldecomunicacion.es'!H3908)&gt;0</f>
        <v>0</v>
      </c>
    </row>
    <row r="3909" spans="1:9">
      <c r="A3909" t="s">
        <v>14524</v>
      </c>
      <c r="B3909" t="s">
        <v>10</v>
      </c>
      <c r="C3909" t="s">
        <v>14525</v>
      </c>
      <c r="D3909" t="s">
        <v>1868</v>
      </c>
      <c r="E3909" t="s">
        <v>1868</v>
      </c>
      <c r="F3909" t="s">
        <v>14526</v>
      </c>
      <c r="G3909" t="s">
        <v>14527</v>
      </c>
      <c r="H3909" t="s">
        <v>14528</v>
      </c>
      <c r="I3909" t="b">
        <f>COUNTIF(Estadísticas!I:I,'centraldecomunicacion.es'!H3909)&gt;0</f>
        <v>1</v>
      </c>
    </row>
    <row r="3910" spans="1:9">
      <c r="A3910" t="s">
        <v>14529</v>
      </c>
      <c r="B3910" t="s">
        <v>10</v>
      </c>
      <c r="C3910" t="s">
        <v>14530</v>
      </c>
      <c r="D3910" t="s">
        <v>1868</v>
      </c>
      <c r="E3910" t="s">
        <v>1868</v>
      </c>
      <c r="F3910" t="s">
        <v>14531</v>
      </c>
      <c r="G3910" t="s">
        <v>14532</v>
      </c>
      <c r="H3910" t="s">
        <v>14533</v>
      </c>
      <c r="I3910" t="b">
        <f>COUNTIF(Estadísticas!I:I,'centraldecomunicacion.es'!H3910)&gt;0</f>
        <v>0</v>
      </c>
    </row>
    <row r="3911" spans="1:9">
      <c r="A3911" t="s">
        <v>14534</v>
      </c>
      <c r="B3911" t="s">
        <v>10</v>
      </c>
      <c r="C3911" t="s">
        <v>14535</v>
      </c>
      <c r="D3911" t="s">
        <v>1868</v>
      </c>
      <c r="E3911" t="s">
        <v>1868</v>
      </c>
      <c r="F3911" t="s">
        <v>14536</v>
      </c>
      <c r="G3911" t="s">
        <v>14537</v>
      </c>
      <c r="H3911" t="s">
        <v>14538</v>
      </c>
      <c r="I3911" t="b">
        <f>COUNTIF(Estadísticas!I:I,'centraldecomunicacion.es'!H3911)&gt;0</f>
        <v>0</v>
      </c>
    </row>
    <row r="3912" spans="1:9">
      <c r="A3912" t="s">
        <v>14539</v>
      </c>
      <c r="B3912" t="s">
        <v>10</v>
      </c>
      <c r="C3912" t="s">
        <v>14540</v>
      </c>
      <c r="D3912" t="s">
        <v>1868</v>
      </c>
      <c r="E3912" t="s">
        <v>1868</v>
      </c>
      <c r="F3912" t="s">
        <v>7273</v>
      </c>
      <c r="G3912" t="s">
        <v>7274</v>
      </c>
      <c r="H3912" t="s">
        <v>7318</v>
      </c>
      <c r="I3912" t="b">
        <f>COUNTIF(Estadísticas!I:I,'centraldecomunicacion.es'!H3912)&gt;0</f>
        <v>0</v>
      </c>
    </row>
    <row r="3913" spans="1:9">
      <c r="A3913" t="s">
        <v>14541</v>
      </c>
      <c r="B3913" t="s">
        <v>10</v>
      </c>
      <c r="C3913" t="s">
        <v>14542</v>
      </c>
      <c r="D3913" t="s">
        <v>1868</v>
      </c>
      <c r="E3913" t="s">
        <v>1868</v>
      </c>
      <c r="F3913" t="s">
        <v>14543</v>
      </c>
      <c r="G3913" t="s">
        <v>14544</v>
      </c>
      <c r="H3913" t="s">
        <v>14545</v>
      </c>
      <c r="I3913" t="b">
        <f>COUNTIF(Estadísticas!I:I,'centraldecomunicacion.es'!H3913)&gt;0</f>
        <v>0</v>
      </c>
    </row>
    <row r="3914" spans="1:9">
      <c r="A3914" t="s">
        <v>14546</v>
      </c>
      <c r="B3914" t="s">
        <v>10</v>
      </c>
      <c r="C3914" t="s">
        <v>14547</v>
      </c>
      <c r="D3914" t="s">
        <v>1868</v>
      </c>
      <c r="E3914" t="s">
        <v>1868</v>
      </c>
      <c r="F3914" t="s">
        <v>28</v>
      </c>
      <c r="G3914" t="s">
        <v>14548</v>
      </c>
      <c r="H3914" t="s">
        <v>30</v>
      </c>
      <c r="I3914" t="b">
        <f>COUNTIF(Estadísticas!I:I,'centraldecomunicacion.es'!H3914)&gt;0</f>
        <v>0</v>
      </c>
    </row>
    <row r="3915" spans="1:9">
      <c r="A3915" t="s">
        <v>14549</v>
      </c>
      <c r="B3915" t="s">
        <v>10</v>
      </c>
      <c r="C3915" t="s">
        <v>14550</v>
      </c>
      <c r="D3915" t="s">
        <v>1868</v>
      </c>
      <c r="E3915" t="s">
        <v>1868</v>
      </c>
      <c r="F3915" t="s">
        <v>14551</v>
      </c>
      <c r="G3915" t="s">
        <v>14552</v>
      </c>
      <c r="H3915" t="s">
        <v>30</v>
      </c>
      <c r="I3915" t="b">
        <f>COUNTIF(Estadísticas!I:I,'centraldecomunicacion.es'!H3915)&gt;0</f>
        <v>0</v>
      </c>
    </row>
    <row r="3916" spans="1:9">
      <c r="A3916" t="s">
        <v>14553</v>
      </c>
      <c r="B3916" t="s">
        <v>10</v>
      </c>
      <c r="C3916" t="s">
        <v>14554</v>
      </c>
      <c r="D3916" t="s">
        <v>1868</v>
      </c>
      <c r="E3916" t="s">
        <v>1868</v>
      </c>
      <c r="F3916" t="s">
        <v>14555</v>
      </c>
      <c r="G3916" t="s">
        <v>14556</v>
      </c>
      <c r="H3916" t="s">
        <v>14557</v>
      </c>
      <c r="I3916" t="b">
        <f>COUNTIF(Estadísticas!I:I,'centraldecomunicacion.es'!H3916)&gt;0</f>
        <v>0</v>
      </c>
    </row>
    <row r="3917" spans="1:9">
      <c r="A3917" t="s">
        <v>14558</v>
      </c>
      <c r="B3917" t="s">
        <v>10</v>
      </c>
      <c r="C3917" t="s">
        <v>14559</v>
      </c>
      <c r="D3917" t="s">
        <v>1868</v>
      </c>
      <c r="E3917" t="s">
        <v>1868</v>
      </c>
      <c r="F3917" t="s">
        <v>14560</v>
      </c>
      <c r="G3917" t="s">
        <v>14561</v>
      </c>
      <c r="H3917" t="s">
        <v>30</v>
      </c>
      <c r="I3917" t="b">
        <f>COUNTIF(Estadísticas!I:I,'centraldecomunicacion.es'!H3917)&gt;0</f>
        <v>0</v>
      </c>
    </row>
    <row r="3918" spans="1:9">
      <c r="A3918" t="s">
        <v>10736</v>
      </c>
      <c r="B3918" t="s">
        <v>10</v>
      </c>
      <c r="C3918" t="s">
        <v>14562</v>
      </c>
      <c r="D3918" t="s">
        <v>1868</v>
      </c>
      <c r="E3918" t="s">
        <v>1868</v>
      </c>
      <c r="F3918" t="s">
        <v>50</v>
      </c>
      <c r="G3918" t="s">
        <v>14563</v>
      </c>
      <c r="H3918" t="s">
        <v>30</v>
      </c>
      <c r="I3918" t="b">
        <f>COUNTIF(Estadísticas!I:I,'centraldecomunicacion.es'!H3918)&gt;0</f>
        <v>0</v>
      </c>
    </row>
    <row r="3919" spans="1:9">
      <c r="A3919" t="s">
        <v>14564</v>
      </c>
      <c r="B3919" t="s">
        <v>10</v>
      </c>
      <c r="C3919" t="s">
        <v>14565</v>
      </c>
      <c r="D3919" t="s">
        <v>1868</v>
      </c>
      <c r="E3919" t="s">
        <v>1868</v>
      </c>
      <c r="F3919" t="s">
        <v>14566</v>
      </c>
      <c r="G3919" t="s">
        <v>14567</v>
      </c>
      <c r="H3919" t="s">
        <v>30</v>
      </c>
      <c r="I3919" t="b">
        <f>COUNTIF(Estadísticas!I:I,'centraldecomunicacion.es'!H3919)&gt;0</f>
        <v>0</v>
      </c>
    </row>
    <row r="3920" spans="1:9">
      <c r="A3920" t="s">
        <v>14568</v>
      </c>
      <c r="B3920" t="s">
        <v>10</v>
      </c>
      <c r="C3920" t="s">
        <v>14569</v>
      </c>
      <c r="D3920" t="s">
        <v>8876</v>
      </c>
      <c r="E3920" t="s">
        <v>1868</v>
      </c>
      <c r="F3920" t="s">
        <v>28</v>
      </c>
      <c r="G3920" t="s">
        <v>14570</v>
      </c>
      <c r="H3920" t="s">
        <v>30</v>
      </c>
      <c r="I3920" t="b">
        <f>COUNTIF(Estadísticas!I:I,'centraldecomunicacion.es'!H3920)&gt;0</f>
        <v>0</v>
      </c>
    </row>
    <row r="3921" spans="1:9">
      <c r="A3921" t="s">
        <v>4338</v>
      </c>
      <c r="B3921" t="s">
        <v>10</v>
      </c>
      <c r="C3921" t="s">
        <v>14571</v>
      </c>
      <c r="D3921" t="s">
        <v>1868</v>
      </c>
      <c r="E3921" t="s">
        <v>1868</v>
      </c>
      <c r="F3921" t="s">
        <v>14572</v>
      </c>
      <c r="G3921" t="s">
        <v>14573</v>
      </c>
      <c r="H3921" t="s">
        <v>30</v>
      </c>
      <c r="I3921" t="b">
        <f>COUNTIF(Estadísticas!I:I,'centraldecomunicacion.es'!H3921)&gt;0</f>
        <v>0</v>
      </c>
    </row>
    <row r="3922" spans="1:9">
      <c r="A3922" t="s">
        <v>14574</v>
      </c>
      <c r="B3922" t="s">
        <v>10</v>
      </c>
      <c r="C3922" t="s">
        <v>14575</v>
      </c>
      <c r="D3922" t="s">
        <v>14247</v>
      </c>
      <c r="E3922" t="s">
        <v>1868</v>
      </c>
      <c r="F3922" t="s">
        <v>14576</v>
      </c>
      <c r="G3922" t="s">
        <v>14577</v>
      </c>
      <c r="H3922" t="s">
        <v>14578</v>
      </c>
      <c r="I3922" t="b">
        <f>COUNTIF(Estadísticas!I:I,'centraldecomunicacion.es'!H3922)&gt;0</f>
        <v>1</v>
      </c>
    </row>
    <row r="3923" spans="1:9">
      <c r="A3923" t="s">
        <v>14579</v>
      </c>
      <c r="B3923" t="s">
        <v>10</v>
      </c>
      <c r="C3923" t="s">
        <v>14580</v>
      </c>
      <c r="D3923" t="s">
        <v>1868</v>
      </c>
      <c r="E3923" t="s">
        <v>1868</v>
      </c>
      <c r="F3923" t="s">
        <v>14581</v>
      </c>
      <c r="G3923" t="s">
        <v>14582</v>
      </c>
      <c r="H3923" t="s">
        <v>5561</v>
      </c>
      <c r="I3923" t="b">
        <f>COUNTIF(Estadísticas!I:I,'centraldecomunicacion.es'!H3923)&gt;0</f>
        <v>0</v>
      </c>
    </row>
    <row r="3924" spans="1:9">
      <c r="A3924" t="s">
        <v>14583</v>
      </c>
      <c r="B3924" t="s">
        <v>10</v>
      </c>
      <c r="C3924" t="s">
        <v>14584</v>
      </c>
      <c r="D3924" t="s">
        <v>1868</v>
      </c>
      <c r="E3924" t="s">
        <v>1868</v>
      </c>
      <c r="F3924" t="s">
        <v>14585</v>
      </c>
      <c r="G3924" t="s">
        <v>14586</v>
      </c>
      <c r="H3924" t="s">
        <v>30</v>
      </c>
      <c r="I3924" t="b">
        <f>COUNTIF(Estadísticas!I:I,'centraldecomunicacion.es'!H3924)&gt;0</f>
        <v>0</v>
      </c>
    </row>
    <row r="3925" spans="1:9">
      <c r="A3925" t="s">
        <v>14587</v>
      </c>
      <c r="B3925" t="s">
        <v>10</v>
      </c>
      <c r="C3925" t="s">
        <v>14588</v>
      </c>
      <c r="D3925" t="s">
        <v>1868</v>
      </c>
      <c r="E3925" t="s">
        <v>1868</v>
      </c>
      <c r="F3925" t="s">
        <v>28</v>
      </c>
      <c r="G3925" t="s">
        <v>14589</v>
      </c>
      <c r="H3925" t="s">
        <v>30</v>
      </c>
      <c r="I3925" t="b">
        <f>COUNTIF(Estadísticas!I:I,'centraldecomunicacion.es'!H3925)&gt;0</f>
        <v>0</v>
      </c>
    </row>
    <row r="3926" spans="1:9">
      <c r="A3926" t="s">
        <v>14590</v>
      </c>
      <c r="B3926" t="s">
        <v>10</v>
      </c>
      <c r="C3926" t="s">
        <v>14591</v>
      </c>
      <c r="D3926" t="s">
        <v>1868</v>
      </c>
      <c r="E3926" t="s">
        <v>1868</v>
      </c>
      <c r="F3926" t="s">
        <v>14592</v>
      </c>
      <c r="G3926" t="s">
        <v>14593</v>
      </c>
      <c r="H3926" t="s">
        <v>14594</v>
      </c>
      <c r="I3926" t="b">
        <f>COUNTIF(Estadísticas!I:I,'centraldecomunicacion.es'!H3926)&gt;0</f>
        <v>0</v>
      </c>
    </row>
    <row r="3927" spans="1:9">
      <c r="A3927" t="s">
        <v>14595</v>
      </c>
      <c r="B3927" t="s">
        <v>10</v>
      </c>
      <c r="C3927" t="s">
        <v>14596</v>
      </c>
      <c r="D3927" t="s">
        <v>14459</v>
      </c>
      <c r="E3927" t="s">
        <v>1868</v>
      </c>
      <c r="F3927" t="s">
        <v>14597</v>
      </c>
      <c r="G3927" t="s">
        <v>14598</v>
      </c>
      <c r="H3927" t="s">
        <v>30</v>
      </c>
      <c r="I3927" t="b">
        <f>COUNTIF(Estadísticas!I:I,'centraldecomunicacion.es'!H3927)&gt;0</f>
        <v>0</v>
      </c>
    </row>
    <row r="3928" spans="1:9">
      <c r="A3928" t="s">
        <v>14599</v>
      </c>
      <c r="B3928" t="s">
        <v>10</v>
      </c>
      <c r="C3928" t="s">
        <v>14600</v>
      </c>
      <c r="D3928" t="s">
        <v>1868</v>
      </c>
      <c r="E3928" t="s">
        <v>1868</v>
      </c>
      <c r="F3928" t="s">
        <v>28</v>
      </c>
      <c r="G3928" t="s">
        <v>14601</v>
      </c>
      <c r="H3928" t="s">
        <v>30</v>
      </c>
      <c r="I3928" t="b">
        <f>COUNTIF(Estadísticas!I:I,'centraldecomunicacion.es'!H3928)&gt;0</f>
        <v>0</v>
      </c>
    </row>
    <row r="3929" spans="1:9">
      <c r="A3929" t="s">
        <v>14602</v>
      </c>
      <c r="B3929" t="s">
        <v>10</v>
      </c>
      <c r="C3929" t="s">
        <v>14603</v>
      </c>
      <c r="D3929" t="s">
        <v>8876</v>
      </c>
      <c r="E3929" t="s">
        <v>1868</v>
      </c>
      <c r="F3929" t="s">
        <v>14604</v>
      </c>
      <c r="G3929" t="s">
        <v>14605</v>
      </c>
      <c r="H3929" t="s">
        <v>14606</v>
      </c>
      <c r="I3929" t="b">
        <f>COUNTIF(Estadísticas!I:I,'centraldecomunicacion.es'!H3929)&gt;0</f>
        <v>0</v>
      </c>
    </row>
    <row r="3930" spans="1:9">
      <c r="A3930" t="s">
        <v>14607</v>
      </c>
      <c r="B3930" t="s">
        <v>10</v>
      </c>
      <c r="C3930" t="s">
        <v>14608</v>
      </c>
      <c r="D3930" t="s">
        <v>1868</v>
      </c>
      <c r="E3930" t="s">
        <v>1868</v>
      </c>
      <c r="F3930" t="s">
        <v>14609</v>
      </c>
      <c r="G3930" t="s">
        <v>14610</v>
      </c>
      <c r="H3930" t="s">
        <v>14611</v>
      </c>
      <c r="I3930" t="b">
        <f>COUNTIF(Estadísticas!I:I,'centraldecomunicacion.es'!H3930)&gt;0</f>
        <v>0</v>
      </c>
    </row>
    <row r="3931" spans="1:9">
      <c r="A3931" t="s">
        <v>14612</v>
      </c>
      <c r="B3931" t="s">
        <v>10</v>
      </c>
      <c r="C3931" t="s">
        <v>14613</v>
      </c>
      <c r="D3931" t="s">
        <v>1868</v>
      </c>
      <c r="E3931" t="s">
        <v>1868</v>
      </c>
      <c r="F3931" t="s">
        <v>14614</v>
      </c>
      <c r="G3931" t="s">
        <v>14615</v>
      </c>
      <c r="H3931" t="s">
        <v>14375</v>
      </c>
      <c r="I3931" t="b">
        <f>COUNTIF(Estadísticas!I:I,'centraldecomunicacion.es'!H3931)&gt;0</f>
        <v>1</v>
      </c>
    </row>
    <row r="3932" spans="1:9">
      <c r="A3932" t="s">
        <v>14616</v>
      </c>
      <c r="B3932" t="s">
        <v>10</v>
      </c>
      <c r="C3932" t="s">
        <v>14617</v>
      </c>
      <c r="D3932" t="s">
        <v>1868</v>
      </c>
      <c r="E3932" t="s">
        <v>1868</v>
      </c>
      <c r="F3932" t="s">
        <v>14253</v>
      </c>
      <c r="G3932" t="s">
        <v>14618</v>
      </c>
      <c r="H3932" t="s">
        <v>14255</v>
      </c>
      <c r="I3932" t="b">
        <f>COUNTIF(Estadísticas!I:I,'centraldecomunicacion.es'!H3932)&gt;0</f>
        <v>0</v>
      </c>
    </row>
    <row r="3933" spans="1:9">
      <c r="A3933" t="s">
        <v>14619</v>
      </c>
      <c r="B3933" t="s">
        <v>10</v>
      </c>
      <c r="C3933" t="s">
        <v>14620</v>
      </c>
      <c r="D3933" t="s">
        <v>1868</v>
      </c>
      <c r="E3933" t="s">
        <v>1868</v>
      </c>
      <c r="F3933" t="s">
        <v>28</v>
      </c>
      <c r="G3933" t="s">
        <v>14621</v>
      </c>
      <c r="H3933" t="s">
        <v>30</v>
      </c>
      <c r="I3933" t="b">
        <f>COUNTIF(Estadísticas!I:I,'centraldecomunicacion.es'!H3933)&gt;0</f>
        <v>0</v>
      </c>
    </row>
    <row r="3934" spans="1:9">
      <c r="A3934" t="s">
        <v>14622</v>
      </c>
      <c r="B3934" t="s">
        <v>10</v>
      </c>
      <c r="C3934" t="s">
        <v>14623</v>
      </c>
      <c r="D3934" t="s">
        <v>1868</v>
      </c>
      <c r="E3934" t="s">
        <v>1868</v>
      </c>
      <c r="F3934" t="s">
        <v>14624</v>
      </c>
      <c r="G3934" t="s">
        <v>14625</v>
      </c>
      <c r="H3934" t="s">
        <v>30</v>
      </c>
      <c r="I3934" t="b">
        <f>COUNTIF(Estadísticas!I:I,'centraldecomunicacion.es'!H3934)&gt;0</f>
        <v>0</v>
      </c>
    </row>
    <row r="3935" spans="1:9">
      <c r="A3935" t="s">
        <v>14626</v>
      </c>
      <c r="B3935" t="s">
        <v>10</v>
      </c>
      <c r="C3935" t="s">
        <v>14627</v>
      </c>
      <c r="D3935" t="s">
        <v>1868</v>
      </c>
      <c r="E3935" t="s">
        <v>1868</v>
      </c>
      <c r="F3935" t="s">
        <v>14628</v>
      </c>
      <c r="G3935" t="s">
        <v>14629</v>
      </c>
      <c r="H3935" t="s">
        <v>1643</v>
      </c>
      <c r="I3935" t="b">
        <f>COUNTIF(Estadísticas!I:I,'centraldecomunicacion.es'!H3935)&gt;0</f>
        <v>0</v>
      </c>
    </row>
    <row r="3936" spans="1:9">
      <c r="A3936" t="s">
        <v>14630</v>
      </c>
      <c r="B3936" t="s">
        <v>10</v>
      </c>
      <c r="C3936" t="s">
        <v>14631</v>
      </c>
      <c r="D3936" t="s">
        <v>14247</v>
      </c>
      <c r="E3936" t="s">
        <v>1868</v>
      </c>
      <c r="F3936" t="s">
        <v>50</v>
      </c>
      <c r="G3936" t="s">
        <v>14632</v>
      </c>
      <c r="H3936" t="s">
        <v>30</v>
      </c>
      <c r="I3936" t="b">
        <f>COUNTIF(Estadísticas!I:I,'centraldecomunicacion.es'!H3936)&gt;0</f>
        <v>0</v>
      </c>
    </row>
    <row r="3937" spans="1:9">
      <c r="A3937" t="s">
        <v>14633</v>
      </c>
      <c r="B3937" t="s">
        <v>10</v>
      </c>
      <c r="C3937" t="s">
        <v>14634</v>
      </c>
      <c r="D3937" t="s">
        <v>1868</v>
      </c>
      <c r="E3937" t="s">
        <v>1868</v>
      </c>
      <c r="F3937" t="s">
        <v>14635</v>
      </c>
      <c r="G3937" t="s">
        <v>14636</v>
      </c>
      <c r="H3937" t="s">
        <v>30</v>
      </c>
      <c r="I3937" t="b">
        <f>COUNTIF(Estadísticas!I:I,'centraldecomunicacion.es'!H3937)&gt;0</f>
        <v>0</v>
      </c>
    </row>
    <row r="3938" spans="1:9">
      <c r="A3938" t="s">
        <v>14637</v>
      </c>
      <c r="B3938" t="s">
        <v>10</v>
      </c>
      <c r="C3938" t="s">
        <v>14638</v>
      </c>
      <c r="D3938" t="s">
        <v>1868</v>
      </c>
      <c r="E3938" t="s">
        <v>1868</v>
      </c>
      <c r="F3938" t="s">
        <v>14639</v>
      </c>
      <c r="G3938" t="s">
        <v>14640</v>
      </c>
      <c r="H3938" t="s">
        <v>30</v>
      </c>
      <c r="I3938" t="b">
        <f>COUNTIF(Estadísticas!I:I,'centraldecomunicacion.es'!H3938)&gt;0</f>
        <v>0</v>
      </c>
    </row>
    <row r="3939" spans="1:9">
      <c r="A3939" t="s">
        <v>14641</v>
      </c>
      <c r="B3939" t="s">
        <v>10</v>
      </c>
      <c r="C3939" t="s">
        <v>14642</v>
      </c>
      <c r="D3939" t="s">
        <v>1868</v>
      </c>
      <c r="E3939" t="s">
        <v>1868</v>
      </c>
      <c r="F3939" t="s">
        <v>38</v>
      </c>
      <c r="G3939" t="s">
        <v>14643</v>
      </c>
      <c r="H3939" t="s">
        <v>30</v>
      </c>
      <c r="I3939" t="b">
        <f>COUNTIF(Estadísticas!I:I,'centraldecomunicacion.es'!H3939)&gt;0</f>
        <v>0</v>
      </c>
    </row>
    <row r="3940" spans="1:9">
      <c r="A3940" t="s">
        <v>14644</v>
      </c>
      <c r="B3940" t="s">
        <v>10</v>
      </c>
      <c r="C3940" t="s">
        <v>14645</v>
      </c>
      <c r="D3940" t="s">
        <v>1868</v>
      </c>
      <c r="E3940" t="s">
        <v>1868</v>
      </c>
      <c r="F3940" t="s">
        <v>28</v>
      </c>
      <c r="G3940" t="s">
        <v>14646</v>
      </c>
      <c r="H3940" t="s">
        <v>30</v>
      </c>
      <c r="I3940" t="b">
        <f>COUNTIF(Estadísticas!I:I,'centraldecomunicacion.es'!H3940)&gt;0</f>
        <v>0</v>
      </c>
    </row>
    <row r="3941" spans="1:9">
      <c r="A3941" t="s">
        <v>14647</v>
      </c>
      <c r="B3941" t="s">
        <v>10</v>
      </c>
      <c r="C3941" t="s">
        <v>14648</v>
      </c>
      <c r="D3941" t="s">
        <v>1868</v>
      </c>
      <c r="E3941" t="s">
        <v>1868</v>
      </c>
      <c r="F3941" t="s">
        <v>14649</v>
      </c>
      <c r="G3941" t="s">
        <v>14650</v>
      </c>
      <c r="H3941" t="s">
        <v>1242</v>
      </c>
      <c r="I3941" t="b">
        <f>COUNTIF(Estadísticas!I:I,'centraldecomunicacion.es'!H3941)&gt;0</f>
        <v>0</v>
      </c>
    </row>
    <row r="3942" spans="1:9">
      <c r="A3942" t="s">
        <v>14651</v>
      </c>
      <c r="B3942" t="s">
        <v>10</v>
      </c>
      <c r="C3942" t="s">
        <v>14652</v>
      </c>
      <c r="D3942" t="s">
        <v>1868</v>
      </c>
      <c r="E3942" t="s">
        <v>1868</v>
      </c>
      <c r="F3942" t="s">
        <v>14653</v>
      </c>
      <c r="G3942" t="s">
        <v>14654</v>
      </c>
      <c r="H3942" t="s">
        <v>14655</v>
      </c>
      <c r="I3942" t="b">
        <f>COUNTIF(Estadísticas!I:I,'centraldecomunicacion.es'!H3942)&gt;0</f>
        <v>0</v>
      </c>
    </row>
    <row r="3943" spans="1:9">
      <c r="A3943" t="s">
        <v>10736</v>
      </c>
      <c r="B3943" t="s">
        <v>10</v>
      </c>
      <c r="C3943" t="s">
        <v>14656</v>
      </c>
      <c r="D3943" t="s">
        <v>1868</v>
      </c>
      <c r="E3943" t="s">
        <v>1868</v>
      </c>
      <c r="F3943" t="s">
        <v>14657</v>
      </c>
      <c r="G3943" t="s">
        <v>14658</v>
      </c>
      <c r="H3943" t="s">
        <v>30</v>
      </c>
      <c r="I3943" t="b">
        <f>COUNTIF(Estadísticas!I:I,'centraldecomunicacion.es'!H3943)&gt;0</f>
        <v>0</v>
      </c>
    </row>
    <row r="3944" spans="1:9">
      <c r="A3944" t="s">
        <v>14659</v>
      </c>
      <c r="B3944" t="s">
        <v>10</v>
      </c>
      <c r="C3944" t="s">
        <v>14660</v>
      </c>
      <c r="D3944" t="s">
        <v>1868</v>
      </c>
      <c r="E3944" t="s">
        <v>1868</v>
      </c>
      <c r="F3944" t="s">
        <v>14661</v>
      </c>
      <c r="G3944" t="s">
        <v>14662</v>
      </c>
      <c r="H3944" t="s">
        <v>30</v>
      </c>
      <c r="I3944" t="b">
        <f>COUNTIF(Estadísticas!I:I,'centraldecomunicacion.es'!H3944)&gt;0</f>
        <v>0</v>
      </c>
    </row>
    <row r="3945" spans="1:9">
      <c r="A3945" t="s">
        <v>14663</v>
      </c>
      <c r="B3945" t="s">
        <v>10</v>
      </c>
      <c r="C3945" t="s">
        <v>14535</v>
      </c>
      <c r="D3945" t="s">
        <v>1868</v>
      </c>
      <c r="E3945" t="s">
        <v>1868</v>
      </c>
      <c r="F3945" t="s">
        <v>14664</v>
      </c>
      <c r="G3945" t="s">
        <v>14665</v>
      </c>
      <c r="H3945" t="s">
        <v>14538</v>
      </c>
      <c r="I3945" t="b">
        <f>COUNTIF(Estadísticas!I:I,'centraldecomunicacion.es'!H3945)&gt;0</f>
        <v>0</v>
      </c>
    </row>
    <row r="3946" spans="1:9">
      <c r="A3946" t="s">
        <v>14666</v>
      </c>
      <c r="B3946" t="s">
        <v>10</v>
      </c>
      <c r="C3946" t="s">
        <v>14667</v>
      </c>
      <c r="D3946" t="s">
        <v>1868</v>
      </c>
      <c r="E3946" t="s">
        <v>1868</v>
      </c>
      <c r="F3946" t="s">
        <v>14668</v>
      </c>
      <c r="G3946" t="s">
        <v>14669</v>
      </c>
      <c r="H3946" t="s">
        <v>14670</v>
      </c>
      <c r="I3946" t="b">
        <f>COUNTIF(Estadísticas!I:I,'centraldecomunicacion.es'!H3946)&gt;0</f>
        <v>0</v>
      </c>
    </row>
    <row r="3947" spans="1:9">
      <c r="A3947" t="s">
        <v>10736</v>
      </c>
      <c r="B3947" t="s">
        <v>10</v>
      </c>
      <c r="C3947" t="s">
        <v>14671</v>
      </c>
      <c r="D3947" t="s">
        <v>1868</v>
      </c>
      <c r="E3947" t="s">
        <v>1868</v>
      </c>
      <c r="F3947" t="s">
        <v>7754</v>
      </c>
      <c r="G3947" t="s">
        <v>14672</v>
      </c>
      <c r="H3947" t="s">
        <v>7756</v>
      </c>
      <c r="I3947" t="b">
        <f>COUNTIF(Estadísticas!I:I,'centraldecomunicacion.es'!H3947)&gt;0</f>
        <v>0</v>
      </c>
    </row>
    <row r="3948" spans="1:9">
      <c r="A3948" t="s">
        <v>14673</v>
      </c>
      <c r="B3948" t="s">
        <v>10</v>
      </c>
      <c r="C3948" t="s">
        <v>14674</v>
      </c>
      <c r="D3948" t="s">
        <v>1868</v>
      </c>
      <c r="E3948" t="s">
        <v>1868</v>
      </c>
      <c r="F3948" t="s">
        <v>28</v>
      </c>
      <c r="G3948" t="s">
        <v>14675</v>
      </c>
      <c r="H3948" t="s">
        <v>30</v>
      </c>
      <c r="I3948" t="b">
        <f>COUNTIF(Estadísticas!I:I,'centraldecomunicacion.es'!H3948)&gt;0</f>
        <v>0</v>
      </c>
    </row>
    <row r="3949" spans="1:9">
      <c r="A3949" t="s">
        <v>14676</v>
      </c>
      <c r="B3949" t="s">
        <v>10</v>
      </c>
      <c r="C3949" t="s">
        <v>14677</v>
      </c>
      <c r="D3949" t="s">
        <v>1868</v>
      </c>
      <c r="E3949" t="s">
        <v>1868</v>
      </c>
      <c r="F3949" t="s">
        <v>14678</v>
      </c>
      <c r="G3949" t="s">
        <v>14679</v>
      </c>
      <c r="H3949" t="s">
        <v>14680</v>
      </c>
      <c r="I3949" t="b">
        <f>COUNTIF(Estadísticas!I:I,'centraldecomunicacion.es'!H3949)&gt;0</f>
        <v>1</v>
      </c>
    </row>
    <row r="3950" spans="1:9">
      <c r="A3950" t="s">
        <v>1041</v>
      </c>
      <c r="B3950" t="s">
        <v>10</v>
      </c>
      <c r="C3950" t="s">
        <v>14681</v>
      </c>
      <c r="D3950" t="s">
        <v>1868</v>
      </c>
      <c r="E3950" t="s">
        <v>1868</v>
      </c>
      <c r="F3950" t="s">
        <v>14682</v>
      </c>
      <c r="G3950" t="s">
        <v>14683</v>
      </c>
      <c r="H3950" t="s">
        <v>14684</v>
      </c>
      <c r="I3950" t="b">
        <f>COUNTIF(Estadísticas!I:I,'centraldecomunicacion.es'!H3950)&gt;0</f>
        <v>0</v>
      </c>
    </row>
    <row r="3951" spans="1:9">
      <c r="A3951" t="s">
        <v>3822</v>
      </c>
      <c r="B3951" t="s">
        <v>10</v>
      </c>
      <c r="C3951" t="s">
        <v>14685</v>
      </c>
      <c r="D3951" t="s">
        <v>1868</v>
      </c>
      <c r="E3951" t="s">
        <v>1868</v>
      </c>
      <c r="F3951" t="s">
        <v>14686</v>
      </c>
      <c r="G3951" t="s">
        <v>14687</v>
      </c>
      <c r="H3951" t="s">
        <v>30</v>
      </c>
      <c r="I3951" t="b">
        <f>COUNTIF(Estadísticas!I:I,'centraldecomunicacion.es'!H3951)&gt;0</f>
        <v>0</v>
      </c>
    </row>
    <row r="3952" spans="1:9">
      <c r="A3952" t="s">
        <v>14688</v>
      </c>
      <c r="B3952" t="s">
        <v>10</v>
      </c>
      <c r="C3952" t="s">
        <v>14689</v>
      </c>
      <c r="D3952" t="s">
        <v>1868</v>
      </c>
      <c r="E3952" t="s">
        <v>1868</v>
      </c>
      <c r="F3952" t="s">
        <v>14690</v>
      </c>
      <c r="G3952" t="s">
        <v>14691</v>
      </c>
      <c r="H3952" t="s">
        <v>14692</v>
      </c>
      <c r="I3952" t="b">
        <f>COUNTIF(Estadísticas!I:I,'centraldecomunicacion.es'!H3952)&gt;0</f>
        <v>0</v>
      </c>
    </row>
    <row r="3953" spans="1:9">
      <c r="A3953" t="s">
        <v>14693</v>
      </c>
      <c r="B3953" t="s">
        <v>10</v>
      </c>
      <c r="C3953" t="s">
        <v>14694</v>
      </c>
      <c r="D3953" t="s">
        <v>1868</v>
      </c>
      <c r="E3953" t="s">
        <v>1868</v>
      </c>
      <c r="F3953" t="s">
        <v>14695</v>
      </c>
      <c r="G3953" t="s">
        <v>14696</v>
      </c>
      <c r="H3953" t="s">
        <v>14697</v>
      </c>
      <c r="I3953" t="b">
        <f>COUNTIF(Estadísticas!I:I,'centraldecomunicacion.es'!H3953)&gt;0</f>
        <v>1</v>
      </c>
    </row>
    <row r="3954" spans="1:9">
      <c r="A3954" t="s">
        <v>14698</v>
      </c>
      <c r="B3954" t="s">
        <v>10</v>
      </c>
      <c r="C3954" t="s">
        <v>14699</v>
      </c>
      <c r="D3954" t="s">
        <v>1868</v>
      </c>
      <c r="E3954" t="s">
        <v>1868</v>
      </c>
      <c r="F3954" t="s">
        <v>28</v>
      </c>
      <c r="G3954" t="s">
        <v>14700</v>
      </c>
      <c r="H3954" t="s">
        <v>30</v>
      </c>
      <c r="I3954" t="b">
        <f>COUNTIF(Estadísticas!I:I,'centraldecomunicacion.es'!H3954)&gt;0</f>
        <v>0</v>
      </c>
    </row>
    <row r="3955" spans="1:9">
      <c r="A3955" t="s">
        <v>14701</v>
      </c>
      <c r="B3955" t="s">
        <v>10</v>
      </c>
      <c r="C3955" t="s">
        <v>14702</v>
      </c>
      <c r="D3955" t="s">
        <v>1868</v>
      </c>
      <c r="E3955" t="s">
        <v>1868</v>
      </c>
      <c r="F3955" t="s">
        <v>28</v>
      </c>
      <c r="G3955" t="s">
        <v>14703</v>
      </c>
      <c r="H3955" t="s">
        <v>30</v>
      </c>
      <c r="I3955" t="b">
        <f>COUNTIF(Estadísticas!I:I,'centraldecomunicacion.es'!H3955)&gt;0</f>
        <v>0</v>
      </c>
    </row>
    <row r="3956" spans="1:9">
      <c r="A3956" t="s">
        <v>14704</v>
      </c>
      <c r="B3956" t="s">
        <v>10</v>
      </c>
      <c r="C3956" t="s">
        <v>14705</v>
      </c>
      <c r="D3956" t="s">
        <v>1868</v>
      </c>
      <c r="E3956" t="s">
        <v>1868</v>
      </c>
      <c r="F3956" t="s">
        <v>14706</v>
      </c>
      <c r="G3956" t="s">
        <v>14707</v>
      </c>
      <c r="H3956" t="s">
        <v>14708</v>
      </c>
      <c r="I3956" t="b">
        <f>COUNTIF(Estadísticas!I:I,'centraldecomunicacion.es'!H3956)&gt;0</f>
        <v>1</v>
      </c>
    </row>
    <row r="3957" spans="1:9">
      <c r="A3957" t="s">
        <v>14709</v>
      </c>
      <c r="B3957" t="s">
        <v>10</v>
      </c>
      <c r="C3957" t="s">
        <v>14710</v>
      </c>
      <c r="D3957" t="s">
        <v>1868</v>
      </c>
      <c r="E3957" t="s">
        <v>1868</v>
      </c>
      <c r="F3957" t="s">
        <v>14711</v>
      </c>
      <c r="G3957" t="s">
        <v>14712</v>
      </c>
      <c r="H3957" t="s">
        <v>14713</v>
      </c>
      <c r="I3957" t="b">
        <f>COUNTIF(Estadísticas!I:I,'centraldecomunicacion.es'!H3957)&gt;0</f>
        <v>1</v>
      </c>
    </row>
    <row r="3958" spans="1:9">
      <c r="A3958" t="s">
        <v>4338</v>
      </c>
      <c r="B3958" t="s">
        <v>10</v>
      </c>
      <c r="C3958" t="s">
        <v>14714</v>
      </c>
      <c r="D3958" t="s">
        <v>1868</v>
      </c>
      <c r="E3958" t="s">
        <v>1868</v>
      </c>
      <c r="F3958" t="s">
        <v>14715</v>
      </c>
      <c r="G3958" t="s">
        <v>14716</v>
      </c>
      <c r="H3958" t="s">
        <v>30</v>
      </c>
      <c r="I3958" t="b">
        <f>COUNTIF(Estadísticas!I:I,'centraldecomunicacion.es'!H3958)&gt;0</f>
        <v>0</v>
      </c>
    </row>
    <row r="3959" spans="1:9">
      <c r="A3959" t="s">
        <v>14717</v>
      </c>
      <c r="B3959" t="s">
        <v>10</v>
      </c>
      <c r="C3959" t="s">
        <v>14718</v>
      </c>
      <c r="D3959" t="s">
        <v>1868</v>
      </c>
      <c r="E3959" t="s">
        <v>1868</v>
      </c>
      <c r="F3959" t="s">
        <v>14719</v>
      </c>
      <c r="G3959" t="s">
        <v>14720</v>
      </c>
      <c r="H3959" t="s">
        <v>14721</v>
      </c>
      <c r="I3959" t="b">
        <f>COUNTIF(Estadísticas!I:I,'centraldecomunicacion.es'!H3959)&gt;0</f>
        <v>0</v>
      </c>
    </row>
    <row r="3960" spans="1:9">
      <c r="A3960" t="s">
        <v>14722</v>
      </c>
      <c r="B3960" t="s">
        <v>10</v>
      </c>
      <c r="C3960" t="s">
        <v>14723</v>
      </c>
      <c r="D3960" t="s">
        <v>1868</v>
      </c>
      <c r="E3960" t="s">
        <v>1868</v>
      </c>
      <c r="F3960" t="s">
        <v>14724</v>
      </c>
      <c r="G3960" t="s">
        <v>14725</v>
      </c>
      <c r="H3960" t="s">
        <v>30</v>
      </c>
      <c r="I3960" t="b">
        <f>COUNTIF(Estadísticas!I:I,'centraldecomunicacion.es'!H3960)&gt;0</f>
        <v>0</v>
      </c>
    </row>
    <row r="3961" spans="1:9">
      <c r="A3961" t="s">
        <v>14726</v>
      </c>
      <c r="B3961" t="s">
        <v>10</v>
      </c>
      <c r="C3961" t="s">
        <v>14727</v>
      </c>
      <c r="D3961" t="s">
        <v>1868</v>
      </c>
      <c r="E3961" t="s">
        <v>1868</v>
      </c>
      <c r="F3961" t="s">
        <v>14728</v>
      </c>
      <c r="G3961" t="s">
        <v>14729</v>
      </c>
      <c r="H3961" t="s">
        <v>1242</v>
      </c>
      <c r="I3961" t="b">
        <f>COUNTIF(Estadísticas!I:I,'centraldecomunicacion.es'!H3961)&gt;0</f>
        <v>0</v>
      </c>
    </row>
    <row r="3962" spans="1:9">
      <c r="A3962" t="s">
        <v>14730</v>
      </c>
      <c r="B3962" t="s">
        <v>10</v>
      </c>
      <c r="C3962" t="s">
        <v>14731</v>
      </c>
      <c r="D3962" t="s">
        <v>1868</v>
      </c>
      <c r="E3962" t="s">
        <v>1868</v>
      </c>
      <c r="F3962" t="s">
        <v>50</v>
      </c>
      <c r="G3962" t="s">
        <v>14732</v>
      </c>
      <c r="H3962" t="s">
        <v>30</v>
      </c>
      <c r="I3962" t="b">
        <f>COUNTIF(Estadísticas!I:I,'centraldecomunicacion.es'!H3962)&gt;0</f>
        <v>0</v>
      </c>
    </row>
    <row r="3963" spans="1:9">
      <c r="A3963" t="s">
        <v>2616</v>
      </c>
      <c r="B3963" t="s">
        <v>10</v>
      </c>
      <c r="C3963" t="s">
        <v>14733</v>
      </c>
      <c r="D3963" t="s">
        <v>1868</v>
      </c>
      <c r="E3963" t="s">
        <v>1868</v>
      </c>
      <c r="F3963" t="s">
        <v>28</v>
      </c>
      <c r="G3963" t="s">
        <v>14734</v>
      </c>
      <c r="H3963" t="s">
        <v>30</v>
      </c>
      <c r="I3963" t="b">
        <f>COUNTIF(Estadísticas!I:I,'centraldecomunicacion.es'!H3963)&gt;0</f>
        <v>0</v>
      </c>
    </row>
    <row r="3964" spans="1:9">
      <c r="A3964" t="s">
        <v>14735</v>
      </c>
      <c r="B3964" t="s">
        <v>10</v>
      </c>
      <c r="C3964" t="s">
        <v>14736</v>
      </c>
      <c r="D3964" t="s">
        <v>1868</v>
      </c>
      <c r="E3964" t="s">
        <v>1868</v>
      </c>
      <c r="F3964" t="s">
        <v>14737</v>
      </c>
      <c r="G3964" t="s">
        <v>14738</v>
      </c>
      <c r="H3964" t="s">
        <v>14739</v>
      </c>
      <c r="I3964" t="b">
        <f>COUNTIF(Estadísticas!I:I,'centraldecomunicacion.es'!H3964)&gt;0</f>
        <v>0</v>
      </c>
    </row>
    <row r="3965" spans="1:9">
      <c r="A3965" t="s">
        <v>14740</v>
      </c>
      <c r="B3965" t="s">
        <v>10</v>
      </c>
      <c r="C3965" t="s">
        <v>14741</v>
      </c>
      <c r="D3965" t="s">
        <v>1868</v>
      </c>
      <c r="E3965" t="s">
        <v>1868</v>
      </c>
      <c r="F3965" t="s">
        <v>14742</v>
      </c>
      <c r="G3965" t="s">
        <v>14743</v>
      </c>
      <c r="H3965" t="s">
        <v>14744</v>
      </c>
      <c r="I3965" t="b">
        <f>COUNTIF(Estadísticas!I:I,'centraldecomunicacion.es'!H3965)&gt;0</f>
        <v>1</v>
      </c>
    </row>
    <row r="3966" spans="1:9">
      <c r="A3966" t="s">
        <v>14745</v>
      </c>
      <c r="B3966" t="s">
        <v>10</v>
      </c>
      <c r="C3966" t="s">
        <v>14746</v>
      </c>
      <c r="D3966" t="s">
        <v>1868</v>
      </c>
      <c r="E3966" t="s">
        <v>1868</v>
      </c>
      <c r="F3966" t="s">
        <v>642</v>
      </c>
      <c r="G3966" t="s">
        <v>14747</v>
      </c>
      <c r="H3966" t="s">
        <v>30</v>
      </c>
      <c r="I3966" t="b">
        <f>COUNTIF(Estadísticas!I:I,'centraldecomunicacion.es'!H3966)&gt;0</f>
        <v>0</v>
      </c>
    </row>
    <row r="3967" spans="1:9">
      <c r="A3967" t="s">
        <v>14748</v>
      </c>
      <c r="B3967" t="s">
        <v>10</v>
      </c>
      <c r="C3967" t="s">
        <v>14749</v>
      </c>
      <c r="D3967" t="s">
        <v>1868</v>
      </c>
      <c r="E3967" t="s">
        <v>1868</v>
      </c>
      <c r="F3967" t="s">
        <v>28</v>
      </c>
      <c r="G3967" t="s">
        <v>14750</v>
      </c>
      <c r="H3967" t="s">
        <v>30</v>
      </c>
      <c r="I3967" t="b">
        <f>COUNTIF(Estadísticas!I:I,'centraldecomunicacion.es'!H3967)&gt;0</f>
        <v>0</v>
      </c>
    </row>
    <row r="3968" spans="1:9">
      <c r="A3968" t="s">
        <v>14751</v>
      </c>
      <c r="B3968" t="s">
        <v>10</v>
      </c>
      <c r="C3968" t="s">
        <v>14752</v>
      </c>
      <c r="D3968" t="s">
        <v>1868</v>
      </c>
      <c r="E3968" t="s">
        <v>1868</v>
      </c>
      <c r="F3968" t="s">
        <v>28</v>
      </c>
      <c r="G3968" t="s">
        <v>14753</v>
      </c>
      <c r="H3968" t="s">
        <v>30</v>
      </c>
      <c r="I3968" t="b">
        <f>COUNTIF(Estadísticas!I:I,'centraldecomunicacion.es'!H3968)&gt;0</f>
        <v>0</v>
      </c>
    </row>
    <row r="3969" spans="1:9">
      <c r="A3969" t="s">
        <v>14754</v>
      </c>
      <c r="B3969" t="s">
        <v>10</v>
      </c>
      <c r="C3969" t="s">
        <v>14755</v>
      </c>
      <c r="D3969" t="s">
        <v>1868</v>
      </c>
      <c r="E3969" t="s">
        <v>1868</v>
      </c>
      <c r="F3969" t="s">
        <v>14756</v>
      </c>
      <c r="G3969" t="s">
        <v>14757</v>
      </c>
      <c r="H3969" t="s">
        <v>30</v>
      </c>
      <c r="I3969" t="b">
        <f>COUNTIF(Estadísticas!I:I,'centraldecomunicacion.es'!H3969)&gt;0</f>
        <v>0</v>
      </c>
    </row>
    <row r="3970" spans="1:9">
      <c r="A3970" t="s">
        <v>14758</v>
      </c>
      <c r="B3970" t="s">
        <v>10</v>
      </c>
      <c r="C3970" t="s">
        <v>14759</v>
      </c>
      <c r="D3970" t="s">
        <v>1868</v>
      </c>
      <c r="E3970" t="s">
        <v>1868</v>
      </c>
      <c r="F3970" t="s">
        <v>11215</v>
      </c>
      <c r="G3970" t="s">
        <v>11216</v>
      </c>
      <c r="H3970" t="s">
        <v>11217</v>
      </c>
      <c r="I3970" t="b">
        <f>COUNTIF(Estadísticas!I:I,'centraldecomunicacion.es'!H3970)&gt;0</f>
        <v>1</v>
      </c>
    </row>
    <row r="3971" spans="1:9">
      <c r="A3971" t="s">
        <v>14760</v>
      </c>
      <c r="B3971" t="s">
        <v>10</v>
      </c>
      <c r="C3971" t="s">
        <v>14761</v>
      </c>
      <c r="D3971" t="s">
        <v>1868</v>
      </c>
      <c r="E3971" t="s">
        <v>1868</v>
      </c>
      <c r="F3971" t="s">
        <v>14762</v>
      </c>
      <c r="G3971" t="s">
        <v>14763</v>
      </c>
      <c r="H3971" t="s">
        <v>30</v>
      </c>
      <c r="I3971" t="b">
        <f>COUNTIF(Estadísticas!I:I,'centraldecomunicacion.es'!H3971)&gt;0</f>
        <v>0</v>
      </c>
    </row>
    <row r="3972" spans="1:9">
      <c r="A3972" t="s">
        <v>14764</v>
      </c>
      <c r="B3972" t="s">
        <v>10</v>
      </c>
      <c r="C3972" t="s">
        <v>14116</v>
      </c>
      <c r="D3972" t="s">
        <v>1868</v>
      </c>
      <c r="E3972" t="s">
        <v>1868</v>
      </c>
      <c r="F3972" t="s">
        <v>14765</v>
      </c>
      <c r="G3972" t="s">
        <v>14118</v>
      </c>
      <c r="H3972" t="s">
        <v>30</v>
      </c>
      <c r="I3972" t="b">
        <f>COUNTIF(Estadísticas!I:I,'centraldecomunicacion.es'!H3972)&gt;0</f>
        <v>0</v>
      </c>
    </row>
    <row r="3973" spans="1:9">
      <c r="A3973" t="s">
        <v>14766</v>
      </c>
      <c r="B3973" t="s">
        <v>10</v>
      </c>
      <c r="C3973" t="s">
        <v>14767</v>
      </c>
      <c r="D3973" t="s">
        <v>1868</v>
      </c>
      <c r="E3973" t="s">
        <v>1868</v>
      </c>
      <c r="F3973" t="s">
        <v>14768</v>
      </c>
      <c r="G3973" t="s">
        <v>14769</v>
      </c>
      <c r="H3973" t="s">
        <v>30</v>
      </c>
      <c r="I3973" t="b">
        <f>COUNTIF(Estadísticas!I:I,'centraldecomunicacion.es'!H3973)&gt;0</f>
        <v>0</v>
      </c>
    </row>
    <row r="3974" spans="1:9">
      <c r="A3974" t="s">
        <v>14770</v>
      </c>
      <c r="B3974" t="s">
        <v>10</v>
      </c>
      <c r="C3974" t="s">
        <v>14771</v>
      </c>
      <c r="D3974" t="s">
        <v>1868</v>
      </c>
      <c r="E3974" t="s">
        <v>1868</v>
      </c>
      <c r="F3974" t="s">
        <v>14772</v>
      </c>
      <c r="G3974" t="s">
        <v>14773</v>
      </c>
      <c r="H3974" t="s">
        <v>30</v>
      </c>
      <c r="I3974" t="b">
        <f>COUNTIF(Estadísticas!I:I,'centraldecomunicacion.es'!H3974)&gt;0</f>
        <v>0</v>
      </c>
    </row>
    <row r="3975" spans="1:9">
      <c r="A3975" t="s">
        <v>14774</v>
      </c>
      <c r="B3975" t="s">
        <v>10</v>
      </c>
      <c r="C3975" t="s">
        <v>14775</v>
      </c>
      <c r="D3975" t="s">
        <v>1868</v>
      </c>
      <c r="E3975" t="s">
        <v>1868</v>
      </c>
      <c r="F3975" t="s">
        <v>14776</v>
      </c>
      <c r="G3975" t="s">
        <v>14777</v>
      </c>
      <c r="H3975" t="s">
        <v>14778</v>
      </c>
      <c r="I3975" t="b">
        <f>COUNTIF(Estadísticas!I:I,'centraldecomunicacion.es'!H3975)&gt;0</f>
        <v>0</v>
      </c>
    </row>
    <row r="3976" spans="1:9">
      <c r="A3976" t="s">
        <v>14779</v>
      </c>
      <c r="B3976" t="s">
        <v>10</v>
      </c>
      <c r="C3976" t="s">
        <v>14780</v>
      </c>
      <c r="D3976" t="s">
        <v>14247</v>
      </c>
      <c r="E3976" t="s">
        <v>1868</v>
      </c>
      <c r="F3976" t="s">
        <v>28</v>
      </c>
      <c r="G3976" t="s">
        <v>14781</v>
      </c>
      <c r="H3976" t="s">
        <v>30</v>
      </c>
      <c r="I3976" t="b">
        <f>COUNTIF(Estadísticas!I:I,'centraldecomunicacion.es'!H3976)&gt;0</f>
        <v>0</v>
      </c>
    </row>
    <row r="3977" spans="1:9">
      <c r="A3977" t="s">
        <v>14782</v>
      </c>
      <c r="B3977" t="s">
        <v>10</v>
      </c>
      <c r="C3977" t="s">
        <v>14783</v>
      </c>
      <c r="D3977" t="s">
        <v>1868</v>
      </c>
      <c r="E3977" t="s">
        <v>1868</v>
      </c>
      <c r="F3977" t="s">
        <v>38</v>
      </c>
      <c r="G3977" t="s">
        <v>14784</v>
      </c>
      <c r="H3977" t="s">
        <v>30</v>
      </c>
      <c r="I3977" t="b">
        <f>COUNTIF(Estadísticas!I:I,'centraldecomunicacion.es'!H3977)&gt;0</f>
        <v>0</v>
      </c>
    </row>
    <row r="3978" spans="1:9">
      <c r="A3978" t="s">
        <v>14785</v>
      </c>
      <c r="B3978" t="s">
        <v>10</v>
      </c>
      <c r="C3978" t="s">
        <v>14786</v>
      </c>
      <c r="D3978" t="s">
        <v>1868</v>
      </c>
      <c r="E3978" t="s">
        <v>1868</v>
      </c>
      <c r="F3978" t="s">
        <v>14787</v>
      </c>
      <c r="G3978" t="s">
        <v>14788</v>
      </c>
      <c r="H3978" t="s">
        <v>14789</v>
      </c>
      <c r="I3978" t="b">
        <f>COUNTIF(Estadísticas!I:I,'centraldecomunicacion.es'!H3978)&gt;0</f>
        <v>0</v>
      </c>
    </row>
    <row r="3979" spans="1:9">
      <c r="A3979" t="s">
        <v>14790</v>
      </c>
      <c r="B3979" t="s">
        <v>10</v>
      </c>
      <c r="C3979" t="s">
        <v>14791</v>
      </c>
      <c r="D3979" t="s">
        <v>1868</v>
      </c>
      <c r="E3979" t="s">
        <v>1868</v>
      </c>
      <c r="F3979" t="s">
        <v>14792</v>
      </c>
      <c r="G3979" t="s">
        <v>14793</v>
      </c>
      <c r="H3979" t="s">
        <v>14794</v>
      </c>
      <c r="I3979" t="b">
        <f>COUNTIF(Estadísticas!I:I,'centraldecomunicacion.es'!H3979)&gt;0</f>
        <v>0</v>
      </c>
    </row>
    <row r="3980" spans="1:9">
      <c r="A3980" t="s">
        <v>14795</v>
      </c>
      <c r="B3980" t="s">
        <v>10</v>
      </c>
      <c r="C3980" t="s">
        <v>14796</v>
      </c>
      <c r="D3980" t="s">
        <v>1868</v>
      </c>
      <c r="E3980" t="s">
        <v>1868</v>
      </c>
      <c r="F3980" t="s">
        <v>28</v>
      </c>
      <c r="G3980" t="s">
        <v>14797</v>
      </c>
      <c r="H3980" t="s">
        <v>30</v>
      </c>
      <c r="I3980" t="b">
        <f>COUNTIF(Estadísticas!I:I,'centraldecomunicacion.es'!H3980)&gt;0</f>
        <v>0</v>
      </c>
    </row>
    <row r="3981" spans="1:9">
      <c r="A3981" t="s">
        <v>14798</v>
      </c>
      <c r="B3981" t="s">
        <v>10</v>
      </c>
      <c r="C3981" t="s">
        <v>14799</v>
      </c>
      <c r="D3981" t="s">
        <v>14800</v>
      </c>
      <c r="E3981" t="s">
        <v>1868</v>
      </c>
      <c r="F3981" t="s">
        <v>14801</v>
      </c>
      <c r="G3981" t="s">
        <v>14802</v>
      </c>
      <c r="H3981" t="s">
        <v>30</v>
      </c>
      <c r="I3981" t="b">
        <f>COUNTIF(Estadísticas!I:I,'centraldecomunicacion.es'!H3981)&gt;0</f>
        <v>0</v>
      </c>
    </row>
    <row r="3982" spans="1:9">
      <c r="A3982" t="s">
        <v>14803</v>
      </c>
      <c r="B3982" t="s">
        <v>10</v>
      </c>
      <c r="C3982" t="s">
        <v>14804</v>
      </c>
      <c r="D3982" t="s">
        <v>1868</v>
      </c>
      <c r="E3982" t="s">
        <v>1868</v>
      </c>
      <c r="F3982" t="s">
        <v>14805</v>
      </c>
      <c r="G3982" t="s">
        <v>14806</v>
      </c>
      <c r="H3982" t="s">
        <v>30</v>
      </c>
      <c r="I3982" t="b">
        <f>COUNTIF(Estadísticas!I:I,'centraldecomunicacion.es'!H3982)&gt;0</f>
        <v>0</v>
      </c>
    </row>
    <row r="3983" spans="1:9">
      <c r="A3983" t="s">
        <v>14807</v>
      </c>
      <c r="B3983" t="s">
        <v>10</v>
      </c>
      <c r="C3983" t="s">
        <v>14808</v>
      </c>
      <c r="D3983" t="s">
        <v>1868</v>
      </c>
      <c r="E3983" t="s">
        <v>1868</v>
      </c>
      <c r="F3983" t="s">
        <v>7270</v>
      </c>
      <c r="G3983" t="s">
        <v>14809</v>
      </c>
      <c r="H3983" t="s">
        <v>30</v>
      </c>
      <c r="I3983" t="b">
        <f>COUNTIF(Estadísticas!I:I,'centraldecomunicacion.es'!H3983)&gt;0</f>
        <v>0</v>
      </c>
    </row>
    <row r="3984" spans="1:9">
      <c r="A3984" t="s">
        <v>14810</v>
      </c>
      <c r="B3984" t="s">
        <v>10</v>
      </c>
      <c r="C3984" t="s">
        <v>14811</v>
      </c>
      <c r="D3984" t="s">
        <v>1868</v>
      </c>
      <c r="E3984" t="s">
        <v>1868</v>
      </c>
      <c r="F3984" t="s">
        <v>14812</v>
      </c>
      <c r="G3984" t="s">
        <v>14813</v>
      </c>
      <c r="H3984" t="s">
        <v>30</v>
      </c>
      <c r="I3984" t="b">
        <f>COUNTIF(Estadísticas!I:I,'centraldecomunicacion.es'!H3984)&gt;0</f>
        <v>0</v>
      </c>
    </row>
    <row r="3985" spans="1:9">
      <c r="A3985" t="s">
        <v>14814</v>
      </c>
      <c r="B3985" t="s">
        <v>10</v>
      </c>
      <c r="C3985" t="s">
        <v>28</v>
      </c>
      <c r="D3985" t="s">
        <v>14815</v>
      </c>
      <c r="E3985" t="s">
        <v>28</v>
      </c>
      <c r="F3985" t="s">
        <v>7273</v>
      </c>
      <c r="G3985" t="s">
        <v>14816</v>
      </c>
      <c r="H3985" t="s">
        <v>30</v>
      </c>
      <c r="I3985" t="b">
        <f>COUNTIF(Estadísticas!I:I,'centraldecomunicacion.es'!H3985)&gt;0</f>
        <v>0</v>
      </c>
    </row>
    <row r="3986" spans="1:9">
      <c r="A3986" t="s">
        <v>14817</v>
      </c>
      <c r="B3986" t="s">
        <v>10</v>
      </c>
      <c r="C3986" t="s">
        <v>14818</v>
      </c>
      <c r="D3986" t="s">
        <v>7779</v>
      </c>
      <c r="E3986" t="s">
        <v>1868</v>
      </c>
      <c r="F3986" t="s">
        <v>14819</v>
      </c>
      <c r="G3986" t="s">
        <v>14820</v>
      </c>
      <c r="H3986" t="s">
        <v>14821</v>
      </c>
      <c r="I3986" t="b">
        <f>COUNTIF(Estadísticas!I:I,'centraldecomunicacion.es'!H3986)&gt;0</f>
        <v>0</v>
      </c>
    </row>
    <row r="3987" spans="1:9">
      <c r="A3987" t="s">
        <v>14822</v>
      </c>
      <c r="B3987" t="s">
        <v>10</v>
      </c>
      <c r="C3987" t="s">
        <v>14823</v>
      </c>
      <c r="D3987" t="s">
        <v>7779</v>
      </c>
      <c r="E3987" t="s">
        <v>1868</v>
      </c>
      <c r="F3987" t="s">
        <v>14824</v>
      </c>
      <c r="G3987" t="s">
        <v>14825</v>
      </c>
      <c r="H3987" t="s">
        <v>30</v>
      </c>
      <c r="I3987" t="b">
        <f>COUNTIF(Estadísticas!I:I,'centraldecomunicacion.es'!H3987)&gt;0</f>
        <v>0</v>
      </c>
    </row>
    <row r="3988" spans="1:9">
      <c r="A3988" t="s">
        <v>14826</v>
      </c>
      <c r="B3988" t="s">
        <v>10</v>
      </c>
      <c r="C3988" t="s">
        <v>14827</v>
      </c>
      <c r="D3988" t="s">
        <v>14828</v>
      </c>
      <c r="E3988" t="s">
        <v>1868</v>
      </c>
      <c r="F3988" t="s">
        <v>14604</v>
      </c>
      <c r="G3988" t="s">
        <v>14829</v>
      </c>
      <c r="H3988" t="s">
        <v>14606</v>
      </c>
      <c r="I3988" t="b">
        <f>COUNTIF(Estadísticas!I:I,'centraldecomunicacion.es'!H3988)&gt;0</f>
        <v>0</v>
      </c>
    </row>
    <row r="3989" spans="1:9">
      <c r="A3989" t="s">
        <v>14830</v>
      </c>
      <c r="B3989" t="s">
        <v>10</v>
      </c>
      <c r="C3989" t="s">
        <v>14831</v>
      </c>
      <c r="D3989" t="s">
        <v>7995</v>
      </c>
      <c r="E3989" t="s">
        <v>1868</v>
      </c>
      <c r="F3989" t="s">
        <v>14832</v>
      </c>
      <c r="G3989" t="s">
        <v>14833</v>
      </c>
      <c r="H3989" t="s">
        <v>14834</v>
      </c>
      <c r="I3989" t="b">
        <f>COUNTIF(Estadísticas!I:I,'centraldecomunicacion.es'!H3989)&gt;0</f>
        <v>1</v>
      </c>
    </row>
    <row r="3990" spans="1:9">
      <c r="A3990" t="s">
        <v>14835</v>
      </c>
      <c r="B3990" t="s">
        <v>10</v>
      </c>
      <c r="C3990" t="s">
        <v>14836</v>
      </c>
      <c r="D3990" t="s">
        <v>14837</v>
      </c>
      <c r="E3990" t="s">
        <v>1868</v>
      </c>
      <c r="F3990" t="s">
        <v>14838</v>
      </c>
      <c r="G3990" t="s">
        <v>14839</v>
      </c>
      <c r="H3990" t="s">
        <v>30</v>
      </c>
      <c r="I3990" t="b">
        <f>COUNTIF(Estadísticas!I:I,'centraldecomunicacion.es'!H3990)&gt;0</f>
        <v>0</v>
      </c>
    </row>
    <row r="3991" spans="1:9">
      <c r="A3991" t="s">
        <v>14840</v>
      </c>
      <c r="B3991" t="s">
        <v>10</v>
      </c>
      <c r="C3991" t="s">
        <v>14841</v>
      </c>
      <c r="D3991" t="s">
        <v>14800</v>
      </c>
      <c r="E3991" t="s">
        <v>1868</v>
      </c>
      <c r="F3991" t="s">
        <v>14842</v>
      </c>
      <c r="G3991" t="s">
        <v>14843</v>
      </c>
      <c r="H3991" t="s">
        <v>14844</v>
      </c>
      <c r="I3991" t="b">
        <f>COUNTIF(Estadísticas!I:I,'centraldecomunicacion.es'!H3991)&gt;0</f>
        <v>1</v>
      </c>
    </row>
    <row r="3992" spans="1:9">
      <c r="A3992" t="s">
        <v>14845</v>
      </c>
      <c r="B3992" t="s">
        <v>219</v>
      </c>
      <c r="C3992" t="s">
        <v>14846</v>
      </c>
      <c r="D3992" t="s">
        <v>8024</v>
      </c>
      <c r="E3992" t="s">
        <v>1868</v>
      </c>
      <c r="F3992" t="s">
        <v>14847</v>
      </c>
      <c r="G3992" t="s">
        <v>14848</v>
      </c>
      <c r="H3992" t="s">
        <v>14849</v>
      </c>
      <c r="I3992" t="b">
        <f>COUNTIF(Estadísticas!I:I,'centraldecomunicacion.es'!H3992)&gt;0</f>
        <v>0</v>
      </c>
    </row>
    <row r="3993" spans="1:9">
      <c r="A3993" t="s">
        <v>13521</v>
      </c>
      <c r="B3993" t="s">
        <v>10</v>
      </c>
      <c r="C3993" t="s">
        <v>14850</v>
      </c>
      <c r="D3993" t="s">
        <v>7995</v>
      </c>
      <c r="E3993" t="s">
        <v>1868</v>
      </c>
      <c r="F3993" t="s">
        <v>14851</v>
      </c>
      <c r="G3993" t="s">
        <v>14852</v>
      </c>
      <c r="H3993" t="s">
        <v>30</v>
      </c>
      <c r="I3993" t="b">
        <f>COUNTIF(Estadísticas!I:I,'centraldecomunicacion.es'!H3993)&gt;0</f>
        <v>0</v>
      </c>
    </row>
    <row r="3994" spans="1:9">
      <c r="A3994" t="s">
        <v>4152</v>
      </c>
      <c r="B3994" t="s">
        <v>10</v>
      </c>
      <c r="C3994" t="s">
        <v>14853</v>
      </c>
      <c r="D3994" t="s">
        <v>14854</v>
      </c>
      <c r="E3994" t="s">
        <v>1868</v>
      </c>
      <c r="F3994" t="s">
        <v>14855</v>
      </c>
      <c r="G3994" t="s">
        <v>14856</v>
      </c>
      <c r="H3994" t="s">
        <v>14857</v>
      </c>
      <c r="I3994" t="b">
        <f>COUNTIF(Estadísticas!I:I,'centraldecomunicacion.es'!H3994)&gt;0</f>
        <v>0</v>
      </c>
    </row>
    <row r="3995" spans="1:9">
      <c r="A3995" t="s">
        <v>14858</v>
      </c>
      <c r="B3995" t="s">
        <v>10</v>
      </c>
      <c r="C3995" t="s">
        <v>14859</v>
      </c>
      <c r="D3995" t="s">
        <v>8024</v>
      </c>
      <c r="E3995" t="s">
        <v>1868</v>
      </c>
      <c r="F3995" t="s">
        <v>14860</v>
      </c>
      <c r="G3995" t="s">
        <v>14861</v>
      </c>
      <c r="H3995" t="s">
        <v>14862</v>
      </c>
      <c r="I3995" t="b">
        <f>COUNTIF(Estadísticas!I:I,'centraldecomunicacion.es'!H3995)&gt;0</f>
        <v>1</v>
      </c>
    </row>
    <row r="3996" spans="1:9">
      <c r="A3996" t="s">
        <v>14863</v>
      </c>
      <c r="B3996" t="s">
        <v>10</v>
      </c>
      <c r="C3996" t="s">
        <v>14864</v>
      </c>
      <c r="D3996" t="s">
        <v>14837</v>
      </c>
      <c r="E3996" t="s">
        <v>1868</v>
      </c>
      <c r="F3996" t="s">
        <v>14865</v>
      </c>
      <c r="G3996" t="s">
        <v>14866</v>
      </c>
      <c r="H3996" t="s">
        <v>14867</v>
      </c>
      <c r="I3996" t="b">
        <f>COUNTIF(Estadísticas!I:I,'centraldecomunicacion.es'!H3996)&gt;0</f>
        <v>1</v>
      </c>
    </row>
    <row r="3997" spans="1:9">
      <c r="A3997" t="s">
        <v>2574</v>
      </c>
      <c r="B3997" t="s">
        <v>10</v>
      </c>
      <c r="C3997" t="s">
        <v>14868</v>
      </c>
      <c r="D3997" t="s">
        <v>14459</v>
      </c>
      <c r="E3997" t="s">
        <v>1868</v>
      </c>
      <c r="F3997" t="s">
        <v>2576</v>
      </c>
      <c r="G3997" t="s">
        <v>14869</v>
      </c>
      <c r="H3997" t="s">
        <v>30</v>
      </c>
      <c r="I3997" t="b">
        <f>COUNTIF(Estadísticas!I:I,'centraldecomunicacion.es'!H3997)&gt;0</f>
        <v>0</v>
      </c>
    </row>
    <row r="3998" spans="1:9">
      <c r="A3998" t="s">
        <v>14870</v>
      </c>
      <c r="B3998" t="s">
        <v>10</v>
      </c>
      <c r="C3998" t="s">
        <v>14871</v>
      </c>
      <c r="D3998" t="s">
        <v>14872</v>
      </c>
      <c r="E3998" t="s">
        <v>1868</v>
      </c>
      <c r="F3998" t="s">
        <v>14873</v>
      </c>
      <c r="G3998" t="s">
        <v>14874</v>
      </c>
      <c r="H3998" t="s">
        <v>14875</v>
      </c>
      <c r="I3998" t="b">
        <f>COUNTIF(Estadísticas!I:I,'centraldecomunicacion.es'!H3998)&gt;0</f>
        <v>0</v>
      </c>
    </row>
    <row r="3999" spans="1:9">
      <c r="A3999" t="s">
        <v>14876</v>
      </c>
      <c r="B3999" t="s">
        <v>10</v>
      </c>
      <c r="C3999" t="s">
        <v>14877</v>
      </c>
      <c r="D3999" t="s">
        <v>3583</v>
      </c>
      <c r="E3999" t="s">
        <v>1868</v>
      </c>
      <c r="F3999" t="s">
        <v>14878</v>
      </c>
      <c r="G3999" t="s">
        <v>14879</v>
      </c>
      <c r="H3999" t="s">
        <v>5561</v>
      </c>
      <c r="I3999" t="b">
        <f>COUNTIF(Estadísticas!I:I,'centraldecomunicacion.es'!H3999)&gt;0</f>
        <v>0</v>
      </c>
    </row>
    <row r="4000" spans="1:9">
      <c r="A4000" t="s">
        <v>14880</v>
      </c>
      <c r="B4000" t="s">
        <v>10</v>
      </c>
      <c r="C4000" t="s">
        <v>14881</v>
      </c>
      <c r="D4000" t="s">
        <v>3583</v>
      </c>
      <c r="E4000" t="s">
        <v>1868</v>
      </c>
      <c r="F4000" t="s">
        <v>14882</v>
      </c>
      <c r="G4000" t="s">
        <v>14883</v>
      </c>
      <c r="H4000" t="s">
        <v>30</v>
      </c>
      <c r="I4000" t="b">
        <f>COUNTIF(Estadísticas!I:I,'centraldecomunicacion.es'!H4000)&gt;0</f>
        <v>0</v>
      </c>
    </row>
    <row r="4001" spans="1:9">
      <c r="A4001" t="s">
        <v>14884</v>
      </c>
      <c r="B4001" t="s">
        <v>10</v>
      </c>
      <c r="C4001" t="s">
        <v>14885</v>
      </c>
      <c r="D4001" t="s">
        <v>3583</v>
      </c>
      <c r="E4001" t="s">
        <v>1868</v>
      </c>
      <c r="F4001" t="s">
        <v>14275</v>
      </c>
      <c r="G4001" t="s">
        <v>14886</v>
      </c>
      <c r="H4001" t="s">
        <v>30</v>
      </c>
      <c r="I4001" t="b">
        <f>COUNTIF(Estadísticas!I:I,'centraldecomunicacion.es'!H4001)&gt;0</f>
        <v>0</v>
      </c>
    </row>
    <row r="4002" spans="1:9">
      <c r="A4002" t="s">
        <v>14887</v>
      </c>
      <c r="B4002" t="s">
        <v>10</v>
      </c>
      <c r="C4002" t="s">
        <v>14888</v>
      </c>
      <c r="D4002" t="s">
        <v>8886</v>
      </c>
      <c r="E4002" t="s">
        <v>1868</v>
      </c>
      <c r="F4002" t="s">
        <v>28</v>
      </c>
      <c r="G4002" t="s">
        <v>14889</v>
      </c>
      <c r="H4002" t="s">
        <v>30</v>
      </c>
      <c r="I4002" t="b">
        <f>COUNTIF(Estadísticas!I:I,'centraldecomunicacion.es'!H4002)&gt;0</f>
        <v>0</v>
      </c>
    </row>
    <row r="4003" spans="1:9">
      <c r="A4003" t="s">
        <v>14574</v>
      </c>
      <c r="B4003" t="s">
        <v>10</v>
      </c>
      <c r="C4003" t="s">
        <v>14890</v>
      </c>
      <c r="D4003" t="s">
        <v>14891</v>
      </c>
      <c r="E4003" t="s">
        <v>1868</v>
      </c>
      <c r="F4003" t="s">
        <v>14576</v>
      </c>
      <c r="G4003" t="s">
        <v>14577</v>
      </c>
      <c r="H4003" t="s">
        <v>14578</v>
      </c>
      <c r="I4003" t="b">
        <f>COUNTIF(Estadísticas!I:I,'centraldecomunicacion.es'!H4003)&gt;0</f>
        <v>1</v>
      </c>
    </row>
    <row r="4004" spans="1:9">
      <c r="A4004" t="s">
        <v>14892</v>
      </c>
      <c r="B4004" t="s">
        <v>10</v>
      </c>
      <c r="C4004" t="s">
        <v>14893</v>
      </c>
      <c r="D4004" t="s">
        <v>8886</v>
      </c>
      <c r="E4004" t="s">
        <v>1868</v>
      </c>
      <c r="F4004" t="s">
        <v>14894</v>
      </c>
      <c r="G4004" t="s">
        <v>14895</v>
      </c>
      <c r="H4004" t="s">
        <v>30</v>
      </c>
      <c r="I4004" t="b">
        <f>COUNTIF(Estadísticas!I:I,'centraldecomunicacion.es'!H4004)&gt;0</f>
        <v>0</v>
      </c>
    </row>
    <row r="4005" spans="1:9">
      <c r="A4005" t="s">
        <v>14896</v>
      </c>
      <c r="B4005" t="s">
        <v>10</v>
      </c>
      <c r="C4005" t="s">
        <v>14897</v>
      </c>
      <c r="D4005" t="s">
        <v>14891</v>
      </c>
      <c r="E4005" t="s">
        <v>1868</v>
      </c>
      <c r="F4005" t="s">
        <v>14898</v>
      </c>
      <c r="G4005" t="s">
        <v>14899</v>
      </c>
      <c r="H4005" t="s">
        <v>14900</v>
      </c>
      <c r="I4005" t="b">
        <f>COUNTIF(Estadísticas!I:I,'centraldecomunicacion.es'!H4005)&gt;0</f>
        <v>0</v>
      </c>
    </row>
    <row r="4006" spans="1:9">
      <c r="A4006" t="s">
        <v>14901</v>
      </c>
      <c r="B4006" t="s">
        <v>10</v>
      </c>
      <c r="C4006" t="s">
        <v>14902</v>
      </c>
      <c r="D4006" t="s">
        <v>14815</v>
      </c>
      <c r="E4006" t="s">
        <v>1868</v>
      </c>
      <c r="F4006" t="s">
        <v>28</v>
      </c>
      <c r="G4006" t="s">
        <v>14903</v>
      </c>
      <c r="H4006" t="s">
        <v>30</v>
      </c>
      <c r="I4006" t="b">
        <f>COUNTIF(Estadísticas!I:I,'centraldecomunicacion.es'!H4006)&gt;0</f>
        <v>0</v>
      </c>
    </row>
    <row r="4007" spans="1:9">
      <c r="A4007" t="s">
        <v>14904</v>
      </c>
      <c r="B4007" t="s">
        <v>10</v>
      </c>
      <c r="C4007" t="s">
        <v>14905</v>
      </c>
      <c r="D4007" t="s">
        <v>8886</v>
      </c>
      <c r="E4007" t="s">
        <v>1868</v>
      </c>
      <c r="F4007" t="s">
        <v>14906</v>
      </c>
      <c r="G4007" t="s">
        <v>14907</v>
      </c>
      <c r="H4007" t="s">
        <v>14908</v>
      </c>
      <c r="I4007" t="b">
        <f>COUNTIF(Estadísticas!I:I,'centraldecomunicacion.es'!H4007)&gt;0</f>
        <v>0</v>
      </c>
    </row>
    <row r="4008" spans="1:9">
      <c r="A4008" t="s">
        <v>14909</v>
      </c>
      <c r="B4008" t="s">
        <v>10</v>
      </c>
      <c r="C4008" t="s">
        <v>14910</v>
      </c>
      <c r="D4008" t="s">
        <v>14911</v>
      </c>
      <c r="E4008" t="s">
        <v>1868</v>
      </c>
      <c r="F4008" t="s">
        <v>14912</v>
      </c>
      <c r="G4008" t="s">
        <v>14913</v>
      </c>
      <c r="H4008" t="s">
        <v>14914</v>
      </c>
      <c r="I4008" t="b">
        <f>COUNTIF(Estadísticas!I:I,'centraldecomunicacion.es'!H4008)&gt;0</f>
        <v>0</v>
      </c>
    </row>
    <row r="4009" spans="1:9">
      <c r="A4009" t="s">
        <v>14915</v>
      </c>
      <c r="B4009" t="s">
        <v>10</v>
      </c>
      <c r="C4009" t="s">
        <v>14916</v>
      </c>
      <c r="D4009" t="s">
        <v>14891</v>
      </c>
      <c r="E4009" t="s">
        <v>1868</v>
      </c>
      <c r="F4009" t="s">
        <v>38</v>
      </c>
      <c r="G4009" t="s">
        <v>28</v>
      </c>
      <c r="H4009" t="s">
        <v>30</v>
      </c>
      <c r="I4009" t="b">
        <f>COUNTIF(Estadísticas!I:I,'centraldecomunicacion.es'!H4009)&gt;0</f>
        <v>0</v>
      </c>
    </row>
    <row r="4010" spans="1:9">
      <c r="A4010" t="s">
        <v>14896</v>
      </c>
      <c r="B4010" t="s">
        <v>10</v>
      </c>
      <c r="C4010" t="s">
        <v>14917</v>
      </c>
      <c r="D4010" t="s">
        <v>14891</v>
      </c>
      <c r="E4010" t="s">
        <v>1868</v>
      </c>
      <c r="F4010" t="s">
        <v>14898</v>
      </c>
      <c r="G4010" t="s">
        <v>14918</v>
      </c>
      <c r="H4010" t="s">
        <v>14900</v>
      </c>
      <c r="I4010" t="b">
        <f>COUNTIF(Estadísticas!I:I,'centraldecomunicacion.es'!H4010)&gt;0</f>
        <v>0</v>
      </c>
    </row>
    <row r="4011" spans="1:9">
      <c r="A4011" t="s">
        <v>1041</v>
      </c>
      <c r="B4011" t="s">
        <v>10</v>
      </c>
      <c r="C4011" t="s">
        <v>14919</v>
      </c>
      <c r="D4011" t="s">
        <v>8031</v>
      </c>
      <c r="E4011" t="s">
        <v>1868</v>
      </c>
      <c r="F4011" t="s">
        <v>14920</v>
      </c>
      <c r="G4011" t="s">
        <v>14921</v>
      </c>
      <c r="H4011" t="s">
        <v>5561</v>
      </c>
      <c r="I4011" t="b">
        <f>COUNTIF(Estadísticas!I:I,'centraldecomunicacion.es'!H4011)&gt;0</f>
        <v>0</v>
      </c>
    </row>
    <row r="4012" spans="1:9">
      <c r="A4012" t="s">
        <v>14922</v>
      </c>
      <c r="B4012" t="s">
        <v>10</v>
      </c>
      <c r="C4012" t="s">
        <v>14923</v>
      </c>
      <c r="D4012" t="s">
        <v>8886</v>
      </c>
      <c r="E4012" t="s">
        <v>1868</v>
      </c>
      <c r="F4012" t="s">
        <v>14924</v>
      </c>
      <c r="G4012" t="s">
        <v>14925</v>
      </c>
      <c r="H4012" t="s">
        <v>14926</v>
      </c>
      <c r="I4012" t="b">
        <f>COUNTIF(Estadísticas!I:I,'centraldecomunicacion.es'!H4012)&gt;0</f>
        <v>0</v>
      </c>
    </row>
    <row r="4013" spans="1:9">
      <c r="A4013" t="s">
        <v>14927</v>
      </c>
      <c r="B4013" t="s">
        <v>10</v>
      </c>
      <c r="C4013" t="s">
        <v>14928</v>
      </c>
      <c r="D4013" t="s">
        <v>8031</v>
      </c>
      <c r="E4013" t="s">
        <v>1868</v>
      </c>
      <c r="F4013" t="s">
        <v>28</v>
      </c>
      <c r="G4013" t="s">
        <v>14929</v>
      </c>
      <c r="H4013" t="s">
        <v>30</v>
      </c>
      <c r="I4013" t="b">
        <f>COUNTIF(Estadísticas!I:I,'centraldecomunicacion.es'!H4013)&gt;0</f>
        <v>0</v>
      </c>
    </row>
    <row r="4014" spans="1:9">
      <c r="A4014" t="s">
        <v>14930</v>
      </c>
      <c r="B4014" t="s">
        <v>10</v>
      </c>
      <c r="C4014" t="s">
        <v>14931</v>
      </c>
      <c r="D4014" t="s">
        <v>14932</v>
      </c>
      <c r="E4014" t="s">
        <v>1868</v>
      </c>
      <c r="F4014" t="s">
        <v>14933</v>
      </c>
      <c r="G4014" t="s">
        <v>14934</v>
      </c>
      <c r="H4014" t="s">
        <v>14935</v>
      </c>
      <c r="I4014" t="b">
        <f>COUNTIF(Estadísticas!I:I,'centraldecomunicacion.es'!H4014)&gt;0</f>
        <v>0</v>
      </c>
    </row>
    <row r="4015" spans="1:9">
      <c r="A4015" t="s">
        <v>14936</v>
      </c>
      <c r="B4015" t="s">
        <v>10</v>
      </c>
      <c r="C4015" t="s">
        <v>14937</v>
      </c>
      <c r="D4015" t="s">
        <v>14938</v>
      </c>
      <c r="E4015" t="s">
        <v>1868</v>
      </c>
      <c r="F4015" t="s">
        <v>14939</v>
      </c>
      <c r="G4015" t="s">
        <v>14940</v>
      </c>
      <c r="H4015" t="s">
        <v>30</v>
      </c>
      <c r="I4015" t="b">
        <f>COUNTIF(Estadísticas!I:I,'centraldecomunicacion.es'!H4015)&gt;0</f>
        <v>0</v>
      </c>
    </row>
    <row r="4016" spans="1:9">
      <c r="A4016" t="s">
        <v>14941</v>
      </c>
      <c r="B4016" t="s">
        <v>10</v>
      </c>
      <c r="C4016" t="s">
        <v>14942</v>
      </c>
      <c r="D4016" t="s">
        <v>14943</v>
      </c>
      <c r="E4016" t="s">
        <v>1868</v>
      </c>
      <c r="F4016" t="s">
        <v>28</v>
      </c>
      <c r="G4016" t="s">
        <v>14944</v>
      </c>
      <c r="H4016" t="s">
        <v>30</v>
      </c>
      <c r="I4016" t="b">
        <f>COUNTIF(Estadísticas!I:I,'centraldecomunicacion.es'!H4016)&gt;0</f>
        <v>0</v>
      </c>
    </row>
    <row r="4017" spans="1:9">
      <c r="A4017" t="s">
        <v>14945</v>
      </c>
      <c r="B4017" t="s">
        <v>10</v>
      </c>
      <c r="C4017" t="s">
        <v>14946</v>
      </c>
      <c r="D4017" t="s">
        <v>14947</v>
      </c>
      <c r="E4017" t="s">
        <v>1868</v>
      </c>
      <c r="F4017" t="s">
        <v>14948</v>
      </c>
      <c r="G4017" t="s">
        <v>14949</v>
      </c>
      <c r="H4017" t="s">
        <v>30</v>
      </c>
      <c r="I4017" t="b">
        <f>COUNTIF(Estadísticas!I:I,'centraldecomunicacion.es'!H4017)&gt;0</f>
        <v>0</v>
      </c>
    </row>
    <row r="4018" spans="1:9">
      <c r="A4018" t="s">
        <v>14950</v>
      </c>
      <c r="B4018" t="s">
        <v>10</v>
      </c>
      <c r="C4018" t="s">
        <v>14951</v>
      </c>
      <c r="D4018" t="s">
        <v>14952</v>
      </c>
      <c r="E4018" t="s">
        <v>1868</v>
      </c>
      <c r="F4018" t="s">
        <v>28</v>
      </c>
      <c r="G4018" t="s">
        <v>14953</v>
      </c>
      <c r="H4018" t="s">
        <v>30</v>
      </c>
      <c r="I4018" t="b">
        <f>COUNTIF(Estadísticas!I:I,'centraldecomunicacion.es'!H4018)&gt;0</f>
        <v>0</v>
      </c>
    </row>
    <row r="4019" spans="1:9">
      <c r="A4019" t="s">
        <v>14954</v>
      </c>
      <c r="B4019" t="s">
        <v>10</v>
      </c>
      <c r="C4019" t="s">
        <v>14955</v>
      </c>
      <c r="D4019" t="s">
        <v>14956</v>
      </c>
      <c r="E4019" t="s">
        <v>1868</v>
      </c>
      <c r="F4019" t="s">
        <v>14390</v>
      </c>
      <c r="G4019" t="s">
        <v>14957</v>
      </c>
      <c r="H4019" t="s">
        <v>14392</v>
      </c>
      <c r="I4019" t="b">
        <f>COUNTIF(Estadísticas!I:I,'centraldecomunicacion.es'!H4019)&gt;0</f>
        <v>0</v>
      </c>
    </row>
    <row r="4020" spans="1:9">
      <c r="A4020" t="s">
        <v>800</v>
      </c>
      <c r="B4020" t="s">
        <v>10</v>
      </c>
      <c r="C4020" t="s">
        <v>14958</v>
      </c>
      <c r="D4020" t="s">
        <v>14959</v>
      </c>
      <c r="E4020" t="s">
        <v>14959</v>
      </c>
      <c r="F4020" t="s">
        <v>14960</v>
      </c>
      <c r="G4020" t="s">
        <v>14961</v>
      </c>
      <c r="H4020" t="s">
        <v>14962</v>
      </c>
      <c r="I4020" t="b">
        <f>COUNTIF(Estadísticas!I:I,'centraldecomunicacion.es'!H4020)&gt;0</f>
        <v>1</v>
      </c>
    </row>
    <row r="4021" spans="1:9">
      <c r="A4021" t="s">
        <v>14963</v>
      </c>
      <c r="B4021" t="s">
        <v>10</v>
      </c>
      <c r="C4021" t="s">
        <v>14964</v>
      </c>
      <c r="D4021" t="s">
        <v>14959</v>
      </c>
      <c r="E4021" t="s">
        <v>14959</v>
      </c>
      <c r="F4021" t="s">
        <v>28</v>
      </c>
      <c r="G4021" t="s">
        <v>14965</v>
      </c>
      <c r="H4021" t="s">
        <v>30</v>
      </c>
      <c r="I4021" t="b">
        <f>COUNTIF(Estadísticas!I:I,'centraldecomunicacion.es'!H4021)&gt;0</f>
        <v>0</v>
      </c>
    </row>
    <row r="4022" spans="1:9">
      <c r="A4022" t="s">
        <v>11461</v>
      </c>
      <c r="B4022" t="s">
        <v>10</v>
      </c>
      <c r="C4022" t="s">
        <v>14966</v>
      </c>
      <c r="D4022" t="s">
        <v>14959</v>
      </c>
      <c r="E4022" t="s">
        <v>14959</v>
      </c>
      <c r="F4022" t="s">
        <v>28</v>
      </c>
      <c r="G4022" t="s">
        <v>28</v>
      </c>
      <c r="H4022" t="s">
        <v>30</v>
      </c>
      <c r="I4022" t="b">
        <f>COUNTIF(Estadísticas!I:I,'centraldecomunicacion.es'!H4022)&gt;0</f>
        <v>0</v>
      </c>
    </row>
    <row r="4023" spans="1:9">
      <c r="A4023" t="s">
        <v>14967</v>
      </c>
      <c r="B4023" t="s">
        <v>10</v>
      </c>
      <c r="C4023" t="s">
        <v>14968</v>
      </c>
      <c r="D4023" t="s">
        <v>14959</v>
      </c>
      <c r="E4023" t="s">
        <v>14959</v>
      </c>
      <c r="F4023" t="s">
        <v>28</v>
      </c>
      <c r="G4023" t="s">
        <v>14969</v>
      </c>
      <c r="H4023" t="s">
        <v>30</v>
      </c>
      <c r="I4023" t="b">
        <f>COUNTIF(Estadísticas!I:I,'centraldecomunicacion.es'!H4023)&gt;0</f>
        <v>0</v>
      </c>
    </row>
    <row r="4024" spans="1:9">
      <c r="A4024" t="s">
        <v>14970</v>
      </c>
      <c r="B4024" t="s">
        <v>10</v>
      </c>
      <c r="C4024" t="s">
        <v>14971</v>
      </c>
      <c r="D4024" t="s">
        <v>14959</v>
      </c>
      <c r="E4024" t="s">
        <v>14959</v>
      </c>
      <c r="F4024" t="s">
        <v>28</v>
      </c>
      <c r="G4024" t="s">
        <v>14972</v>
      </c>
      <c r="H4024" t="s">
        <v>30</v>
      </c>
      <c r="I4024" t="b">
        <f>COUNTIF(Estadísticas!I:I,'centraldecomunicacion.es'!H4024)&gt;0</f>
        <v>0</v>
      </c>
    </row>
    <row r="4025" spans="1:9">
      <c r="A4025" t="s">
        <v>14973</v>
      </c>
      <c r="B4025" t="s">
        <v>10</v>
      </c>
      <c r="C4025" t="s">
        <v>14974</v>
      </c>
      <c r="D4025" t="s">
        <v>6798</v>
      </c>
      <c r="E4025" t="s">
        <v>6798</v>
      </c>
      <c r="F4025" t="s">
        <v>14975</v>
      </c>
      <c r="G4025" t="s">
        <v>14976</v>
      </c>
      <c r="H4025" t="s">
        <v>30</v>
      </c>
      <c r="I4025" t="b">
        <f>COUNTIF(Estadísticas!I:I,'centraldecomunicacion.es'!H4025)&gt;0</f>
        <v>0</v>
      </c>
    </row>
    <row r="4026" spans="1:9">
      <c r="A4026" t="s">
        <v>14977</v>
      </c>
      <c r="B4026" t="s">
        <v>10</v>
      </c>
      <c r="C4026" t="s">
        <v>14978</v>
      </c>
      <c r="D4026" t="s">
        <v>6798</v>
      </c>
      <c r="E4026" t="s">
        <v>6798</v>
      </c>
      <c r="F4026" t="s">
        <v>28</v>
      </c>
      <c r="G4026" t="s">
        <v>28</v>
      </c>
      <c r="H4026" t="s">
        <v>30</v>
      </c>
      <c r="I4026" t="b">
        <f>COUNTIF(Estadísticas!I:I,'centraldecomunicacion.es'!H4026)&gt;0</f>
        <v>0</v>
      </c>
    </row>
    <row r="4027" spans="1:9">
      <c r="A4027" t="s">
        <v>6790</v>
      </c>
      <c r="B4027" t="s">
        <v>10</v>
      </c>
      <c r="C4027" t="s">
        <v>14979</v>
      </c>
      <c r="D4027" t="s">
        <v>6798</v>
      </c>
      <c r="E4027" t="s">
        <v>6798</v>
      </c>
      <c r="F4027" t="s">
        <v>28</v>
      </c>
      <c r="G4027" t="s">
        <v>14980</v>
      </c>
      <c r="H4027" t="s">
        <v>30</v>
      </c>
      <c r="I4027" t="b">
        <f>COUNTIF(Estadísticas!I:I,'centraldecomunicacion.es'!H4027)&gt;0</f>
        <v>0</v>
      </c>
    </row>
    <row r="4028" spans="1:9">
      <c r="A4028" t="s">
        <v>14981</v>
      </c>
      <c r="B4028" t="s">
        <v>10</v>
      </c>
      <c r="C4028" t="s">
        <v>14982</v>
      </c>
      <c r="D4028" t="s">
        <v>6798</v>
      </c>
      <c r="E4028" t="s">
        <v>6798</v>
      </c>
      <c r="F4028" t="s">
        <v>14983</v>
      </c>
      <c r="G4028" t="s">
        <v>14984</v>
      </c>
      <c r="H4028" t="s">
        <v>14985</v>
      </c>
      <c r="I4028" t="b">
        <f>COUNTIF(Estadísticas!I:I,'centraldecomunicacion.es'!H4028)&gt;0</f>
        <v>0</v>
      </c>
    </row>
    <row r="4029" spans="1:9">
      <c r="A4029" t="s">
        <v>14986</v>
      </c>
      <c r="B4029" t="s">
        <v>10</v>
      </c>
      <c r="C4029" t="s">
        <v>14987</v>
      </c>
      <c r="D4029" t="s">
        <v>6798</v>
      </c>
      <c r="E4029" t="s">
        <v>6798</v>
      </c>
      <c r="F4029" t="s">
        <v>14983</v>
      </c>
      <c r="G4029" t="s">
        <v>14988</v>
      </c>
      <c r="H4029" t="s">
        <v>14985</v>
      </c>
      <c r="I4029" t="b">
        <f>COUNTIF(Estadísticas!I:I,'centraldecomunicacion.es'!H4029)&gt;0</f>
        <v>0</v>
      </c>
    </row>
    <row r="4030" spans="1:9">
      <c r="A4030" t="s">
        <v>14989</v>
      </c>
      <c r="B4030" t="s">
        <v>10</v>
      </c>
      <c r="C4030" t="s">
        <v>14990</v>
      </c>
      <c r="D4030" t="s">
        <v>6798</v>
      </c>
      <c r="E4030" t="s">
        <v>6798</v>
      </c>
      <c r="F4030" t="s">
        <v>14991</v>
      </c>
      <c r="G4030" t="s">
        <v>14992</v>
      </c>
      <c r="H4030" t="s">
        <v>14993</v>
      </c>
      <c r="I4030" t="b">
        <f>COUNTIF(Estadísticas!I:I,'centraldecomunicacion.es'!H4030)&gt;0</f>
        <v>0</v>
      </c>
    </row>
    <row r="4031" spans="1:9">
      <c r="A4031" t="s">
        <v>14994</v>
      </c>
      <c r="B4031" t="s">
        <v>10</v>
      </c>
      <c r="C4031" t="s">
        <v>14995</v>
      </c>
      <c r="D4031" t="s">
        <v>6798</v>
      </c>
      <c r="E4031" t="s">
        <v>6798</v>
      </c>
      <c r="F4031" t="s">
        <v>14983</v>
      </c>
      <c r="G4031" t="s">
        <v>14996</v>
      </c>
      <c r="H4031" t="s">
        <v>14985</v>
      </c>
      <c r="I4031" t="b">
        <f>COUNTIF(Estadísticas!I:I,'centraldecomunicacion.es'!H4031)&gt;0</f>
        <v>0</v>
      </c>
    </row>
    <row r="4032" spans="1:9">
      <c r="A4032" t="s">
        <v>14997</v>
      </c>
      <c r="B4032" t="s">
        <v>10</v>
      </c>
      <c r="C4032" t="s">
        <v>14998</v>
      </c>
      <c r="D4032" t="s">
        <v>6798</v>
      </c>
      <c r="E4032" t="s">
        <v>6798</v>
      </c>
      <c r="F4032" t="s">
        <v>14983</v>
      </c>
      <c r="G4032" t="s">
        <v>14999</v>
      </c>
      <c r="H4032" t="s">
        <v>14985</v>
      </c>
      <c r="I4032" t="b">
        <f>COUNTIF(Estadísticas!I:I,'centraldecomunicacion.es'!H4032)&gt;0</f>
        <v>0</v>
      </c>
    </row>
    <row r="4033" spans="1:9">
      <c r="A4033" t="s">
        <v>15000</v>
      </c>
      <c r="B4033" t="s">
        <v>10</v>
      </c>
      <c r="C4033" t="s">
        <v>15001</v>
      </c>
      <c r="D4033" t="s">
        <v>6798</v>
      </c>
      <c r="E4033" t="s">
        <v>6798</v>
      </c>
      <c r="F4033" t="s">
        <v>15002</v>
      </c>
      <c r="G4033" t="s">
        <v>15003</v>
      </c>
      <c r="H4033" t="s">
        <v>15004</v>
      </c>
      <c r="I4033" t="b">
        <f>COUNTIF(Estadísticas!I:I,'centraldecomunicacion.es'!H4033)&gt;0</f>
        <v>0</v>
      </c>
    </row>
    <row r="4034" spans="1:9">
      <c r="A4034" t="s">
        <v>15005</v>
      </c>
      <c r="B4034" t="s">
        <v>10</v>
      </c>
      <c r="C4034" t="s">
        <v>15006</v>
      </c>
      <c r="D4034" t="s">
        <v>6798</v>
      </c>
      <c r="E4034" t="s">
        <v>6798</v>
      </c>
      <c r="F4034" t="s">
        <v>14983</v>
      </c>
      <c r="G4034" t="s">
        <v>14999</v>
      </c>
      <c r="H4034" t="s">
        <v>14985</v>
      </c>
      <c r="I4034" t="b">
        <f>COUNTIF(Estadísticas!I:I,'centraldecomunicacion.es'!H4034)&gt;0</f>
        <v>0</v>
      </c>
    </row>
    <row r="4035" spans="1:9">
      <c r="A4035" t="s">
        <v>15007</v>
      </c>
      <c r="B4035" t="s">
        <v>10</v>
      </c>
      <c r="C4035" t="s">
        <v>15008</v>
      </c>
      <c r="D4035" t="s">
        <v>6798</v>
      </c>
      <c r="E4035" t="s">
        <v>6798</v>
      </c>
      <c r="F4035" t="s">
        <v>15009</v>
      </c>
      <c r="G4035" t="s">
        <v>15010</v>
      </c>
      <c r="H4035" t="s">
        <v>30</v>
      </c>
      <c r="I4035" t="b">
        <f>COUNTIF(Estadísticas!I:I,'centraldecomunicacion.es'!H4035)&gt;0</f>
        <v>0</v>
      </c>
    </row>
    <row r="4036" spans="1:9">
      <c r="A4036" t="s">
        <v>15011</v>
      </c>
      <c r="B4036" t="s">
        <v>10</v>
      </c>
      <c r="C4036" t="s">
        <v>15012</v>
      </c>
      <c r="D4036" t="s">
        <v>6798</v>
      </c>
      <c r="E4036" t="s">
        <v>6798</v>
      </c>
      <c r="F4036" t="s">
        <v>28</v>
      </c>
      <c r="G4036" t="s">
        <v>15013</v>
      </c>
      <c r="H4036" t="s">
        <v>30</v>
      </c>
      <c r="I4036" t="b">
        <f>COUNTIF(Estadísticas!I:I,'centraldecomunicacion.es'!H4036)&gt;0</f>
        <v>0</v>
      </c>
    </row>
    <row r="4037" spans="1:9">
      <c r="A4037" t="s">
        <v>15014</v>
      </c>
      <c r="B4037" t="s">
        <v>10</v>
      </c>
      <c r="C4037" t="s">
        <v>15015</v>
      </c>
      <c r="D4037" t="s">
        <v>6798</v>
      </c>
      <c r="E4037" t="s">
        <v>6798</v>
      </c>
      <c r="F4037" t="s">
        <v>15016</v>
      </c>
      <c r="G4037" t="s">
        <v>15017</v>
      </c>
      <c r="H4037" t="s">
        <v>15018</v>
      </c>
      <c r="I4037" t="b">
        <f>COUNTIF(Estadísticas!I:I,'centraldecomunicacion.es'!H4037)&gt;0</f>
        <v>0</v>
      </c>
    </row>
    <row r="4038" spans="1:9">
      <c r="A4038" t="s">
        <v>15019</v>
      </c>
      <c r="B4038" t="s">
        <v>10</v>
      </c>
      <c r="C4038" t="s">
        <v>15020</v>
      </c>
      <c r="D4038" t="s">
        <v>6798</v>
      </c>
      <c r="E4038" t="s">
        <v>6798</v>
      </c>
      <c r="F4038" t="s">
        <v>15021</v>
      </c>
      <c r="G4038" t="s">
        <v>15022</v>
      </c>
      <c r="H4038" t="s">
        <v>15023</v>
      </c>
      <c r="I4038" t="b">
        <f>COUNTIF(Estadísticas!I:I,'centraldecomunicacion.es'!H4038)&gt;0</f>
        <v>1</v>
      </c>
    </row>
    <row r="4039" spans="1:9">
      <c r="A4039" t="s">
        <v>15024</v>
      </c>
      <c r="B4039" t="s">
        <v>10</v>
      </c>
      <c r="C4039" t="s">
        <v>15025</v>
      </c>
      <c r="D4039" t="s">
        <v>6798</v>
      </c>
      <c r="E4039" t="s">
        <v>6798</v>
      </c>
      <c r="F4039" t="s">
        <v>28</v>
      </c>
      <c r="G4039" t="s">
        <v>15026</v>
      </c>
      <c r="H4039" t="s">
        <v>30</v>
      </c>
      <c r="I4039" t="b">
        <f>COUNTIF(Estadísticas!I:I,'centraldecomunicacion.es'!H4039)&gt;0</f>
        <v>0</v>
      </c>
    </row>
    <row r="4040" spans="1:9">
      <c r="A4040" t="s">
        <v>15027</v>
      </c>
      <c r="B4040" t="s">
        <v>10</v>
      </c>
      <c r="C4040" t="s">
        <v>15028</v>
      </c>
      <c r="D4040" t="s">
        <v>6798</v>
      </c>
      <c r="E4040" t="s">
        <v>6798</v>
      </c>
      <c r="F4040" t="s">
        <v>28</v>
      </c>
      <c r="G4040" t="s">
        <v>15029</v>
      </c>
      <c r="H4040" t="s">
        <v>30</v>
      </c>
      <c r="I4040" t="b">
        <f>COUNTIF(Estadísticas!I:I,'centraldecomunicacion.es'!H4040)&gt;0</f>
        <v>0</v>
      </c>
    </row>
    <row r="4041" spans="1:9">
      <c r="A4041" t="s">
        <v>15030</v>
      </c>
      <c r="B4041" t="s">
        <v>10</v>
      </c>
      <c r="C4041" t="s">
        <v>15031</v>
      </c>
      <c r="D4041" t="s">
        <v>6798</v>
      </c>
      <c r="E4041" t="s">
        <v>6798</v>
      </c>
      <c r="F4041" t="s">
        <v>14975</v>
      </c>
      <c r="G4041" t="s">
        <v>15032</v>
      </c>
      <c r="H4041" t="s">
        <v>15033</v>
      </c>
      <c r="I4041" t="b">
        <f>COUNTIF(Estadísticas!I:I,'centraldecomunicacion.es'!H4041)&gt;0</f>
        <v>0</v>
      </c>
    </row>
    <row r="4042" spans="1:9">
      <c r="A4042" t="s">
        <v>15034</v>
      </c>
      <c r="B4042" t="s">
        <v>10</v>
      </c>
      <c r="C4042" t="s">
        <v>15035</v>
      </c>
      <c r="D4042" t="s">
        <v>6798</v>
      </c>
      <c r="E4042" t="s">
        <v>6798</v>
      </c>
      <c r="F4042" t="s">
        <v>746</v>
      </c>
      <c r="G4042" t="s">
        <v>15036</v>
      </c>
      <c r="H4042" t="s">
        <v>30</v>
      </c>
      <c r="I4042" t="b">
        <f>COUNTIF(Estadísticas!I:I,'centraldecomunicacion.es'!H4042)&gt;0</f>
        <v>0</v>
      </c>
    </row>
    <row r="4043" spans="1:9">
      <c r="A4043" t="s">
        <v>15037</v>
      </c>
      <c r="B4043" t="s">
        <v>10</v>
      </c>
      <c r="C4043" t="s">
        <v>15038</v>
      </c>
      <c r="D4043" t="s">
        <v>15039</v>
      </c>
      <c r="E4043" t="s">
        <v>6798</v>
      </c>
      <c r="F4043" t="s">
        <v>50</v>
      </c>
      <c r="G4043" t="s">
        <v>15040</v>
      </c>
      <c r="H4043" t="s">
        <v>30</v>
      </c>
      <c r="I4043" t="b">
        <f>COUNTIF(Estadísticas!I:I,'centraldecomunicacion.es'!H4043)&gt;0</f>
        <v>0</v>
      </c>
    </row>
    <row r="4044" spans="1:9">
      <c r="A4044" t="s">
        <v>15041</v>
      </c>
      <c r="B4044" t="s">
        <v>10</v>
      </c>
      <c r="C4044" t="s">
        <v>15042</v>
      </c>
      <c r="D4044" t="s">
        <v>6798</v>
      </c>
      <c r="E4044" t="s">
        <v>6798</v>
      </c>
      <c r="F4044" t="s">
        <v>15043</v>
      </c>
      <c r="G4044" t="s">
        <v>15044</v>
      </c>
      <c r="H4044" t="s">
        <v>30</v>
      </c>
      <c r="I4044" t="b">
        <f>COUNTIF(Estadísticas!I:I,'centraldecomunicacion.es'!H4044)&gt;0</f>
        <v>0</v>
      </c>
    </row>
    <row r="4045" spans="1:9">
      <c r="A4045" t="s">
        <v>15045</v>
      </c>
      <c r="B4045" t="s">
        <v>10</v>
      </c>
      <c r="C4045" t="s">
        <v>15046</v>
      </c>
      <c r="D4045" t="s">
        <v>6798</v>
      </c>
      <c r="E4045" t="s">
        <v>6798</v>
      </c>
      <c r="F4045" t="s">
        <v>28</v>
      </c>
      <c r="G4045" t="s">
        <v>15047</v>
      </c>
      <c r="H4045" t="s">
        <v>30</v>
      </c>
      <c r="I4045" t="b">
        <f>COUNTIF(Estadísticas!I:I,'centraldecomunicacion.es'!H4045)&gt;0</f>
        <v>0</v>
      </c>
    </row>
    <row r="4046" spans="1:9">
      <c r="A4046" t="s">
        <v>15048</v>
      </c>
      <c r="B4046" t="s">
        <v>10</v>
      </c>
      <c r="C4046" t="s">
        <v>15049</v>
      </c>
      <c r="D4046" t="s">
        <v>6798</v>
      </c>
      <c r="E4046" t="s">
        <v>6798</v>
      </c>
      <c r="F4046" t="s">
        <v>15050</v>
      </c>
      <c r="G4046" t="s">
        <v>15051</v>
      </c>
      <c r="H4046" t="s">
        <v>30</v>
      </c>
      <c r="I4046" t="b">
        <f>COUNTIF(Estadísticas!I:I,'centraldecomunicacion.es'!H4046)&gt;0</f>
        <v>0</v>
      </c>
    </row>
    <row r="4047" spans="1:9">
      <c r="A4047" t="s">
        <v>15052</v>
      </c>
      <c r="B4047" t="s">
        <v>10</v>
      </c>
      <c r="C4047" t="s">
        <v>15053</v>
      </c>
      <c r="D4047" t="s">
        <v>6798</v>
      </c>
      <c r="E4047" t="s">
        <v>6798</v>
      </c>
      <c r="F4047" t="s">
        <v>28</v>
      </c>
      <c r="G4047" t="s">
        <v>15054</v>
      </c>
      <c r="H4047" t="s">
        <v>30</v>
      </c>
      <c r="I4047" t="b">
        <f>COUNTIF(Estadísticas!I:I,'centraldecomunicacion.es'!H4047)&gt;0</f>
        <v>0</v>
      </c>
    </row>
    <row r="4048" spans="1:9">
      <c r="A4048" t="s">
        <v>15055</v>
      </c>
      <c r="B4048" t="s">
        <v>10</v>
      </c>
      <c r="C4048" t="s">
        <v>15056</v>
      </c>
      <c r="D4048" t="s">
        <v>6798</v>
      </c>
      <c r="E4048" t="s">
        <v>6798</v>
      </c>
      <c r="F4048" t="s">
        <v>15057</v>
      </c>
      <c r="G4048" t="s">
        <v>15058</v>
      </c>
      <c r="H4048" t="s">
        <v>30</v>
      </c>
      <c r="I4048" t="b">
        <f>COUNTIF(Estadísticas!I:I,'centraldecomunicacion.es'!H4048)&gt;0</f>
        <v>0</v>
      </c>
    </row>
    <row r="4049" spans="1:9">
      <c r="A4049" t="s">
        <v>15059</v>
      </c>
      <c r="B4049" t="s">
        <v>10</v>
      </c>
      <c r="C4049" t="s">
        <v>15060</v>
      </c>
      <c r="D4049" t="s">
        <v>6798</v>
      </c>
      <c r="E4049" t="s">
        <v>6798</v>
      </c>
      <c r="F4049" t="s">
        <v>28</v>
      </c>
      <c r="G4049" t="s">
        <v>15061</v>
      </c>
      <c r="H4049" t="s">
        <v>30</v>
      </c>
      <c r="I4049" t="b">
        <f>COUNTIF(Estadísticas!I:I,'centraldecomunicacion.es'!H4049)&gt;0</f>
        <v>0</v>
      </c>
    </row>
    <row r="4050" spans="1:9">
      <c r="A4050" t="s">
        <v>4372</v>
      </c>
      <c r="B4050" t="s">
        <v>10</v>
      </c>
      <c r="C4050" t="s">
        <v>15062</v>
      </c>
      <c r="D4050" t="s">
        <v>15063</v>
      </c>
      <c r="E4050" t="s">
        <v>6798</v>
      </c>
      <c r="F4050" t="s">
        <v>28</v>
      </c>
      <c r="G4050" t="s">
        <v>15064</v>
      </c>
      <c r="H4050" t="s">
        <v>30</v>
      </c>
      <c r="I4050" t="b">
        <f>COUNTIF(Estadísticas!I:I,'centraldecomunicacion.es'!H4050)&gt;0</f>
        <v>0</v>
      </c>
    </row>
    <row r="4051" spans="1:9">
      <c r="A4051" t="s">
        <v>15065</v>
      </c>
      <c r="B4051" t="s">
        <v>10</v>
      </c>
      <c r="C4051" t="s">
        <v>15066</v>
      </c>
      <c r="D4051" t="s">
        <v>6798</v>
      </c>
      <c r="E4051" t="s">
        <v>6798</v>
      </c>
      <c r="F4051" t="s">
        <v>28</v>
      </c>
      <c r="G4051" t="s">
        <v>28</v>
      </c>
      <c r="H4051" t="s">
        <v>30</v>
      </c>
      <c r="I4051" t="b">
        <f>COUNTIF(Estadísticas!I:I,'centraldecomunicacion.es'!H4051)&gt;0</f>
        <v>0</v>
      </c>
    </row>
    <row r="4052" spans="1:9">
      <c r="A4052" t="s">
        <v>15067</v>
      </c>
      <c r="B4052" t="s">
        <v>10</v>
      </c>
      <c r="C4052" t="s">
        <v>15068</v>
      </c>
      <c r="D4052" t="s">
        <v>15069</v>
      </c>
      <c r="E4052" t="s">
        <v>6798</v>
      </c>
      <c r="F4052" t="s">
        <v>15070</v>
      </c>
      <c r="G4052" t="s">
        <v>15071</v>
      </c>
      <c r="H4052" t="s">
        <v>30</v>
      </c>
      <c r="I4052" t="b">
        <f>COUNTIF(Estadísticas!I:I,'centraldecomunicacion.es'!H4052)&gt;0</f>
        <v>0</v>
      </c>
    </row>
    <row r="4053" spans="1:9">
      <c r="A4053" t="s">
        <v>15072</v>
      </c>
      <c r="B4053" t="s">
        <v>10</v>
      </c>
      <c r="C4053" t="s">
        <v>15073</v>
      </c>
      <c r="D4053" t="s">
        <v>6798</v>
      </c>
      <c r="E4053" t="s">
        <v>6798</v>
      </c>
      <c r="F4053" t="s">
        <v>28</v>
      </c>
      <c r="G4053" t="s">
        <v>28</v>
      </c>
      <c r="H4053" t="s">
        <v>30</v>
      </c>
      <c r="I4053" t="b">
        <f>COUNTIF(Estadísticas!I:I,'centraldecomunicacion.es'!H4053)&gt;0</f>
        <v>0</v>
      </c>
    </row>
    <row r="4054" spans="1:9">
      <c r="A4054" t="s">
        <v>15074</v>
      </c>
      <c r="B4054" t="s">
        <v>10</v>
      </c>
      <c r="C4054" t="s">
        <v>15075</v>
      </c>
      <c r="D4054" t="s">
        <v>6798</v>
      </c>
      <c r="E4054" t="s">
        <v>6798</v>
      </c>
      <c r="F4054" t="s">
        <v>28</v>
      </c>
      <c r="G4054" t="s">
        <v>28</v>
      </c>
      <c r="H4054" t="s">
        <v>30</v>
      </c>
      <c r="I4054" t="b">
        <f>COUNTIF(Estadísticas!I:I,'centraldecomunicacion.es'!H4054)&gt;0</f>
        <v>0</v>
      </c>
    </row>
    <row r="4055" spans="1:9">
      <c r="A4055" t="s">
        <v>15076</v>
      </c>
      <c r="B4055" t="s">
        <v>10</v>
      </c>
      <c r="C4055" t="s">
        <v>15077</v>
      </c>
      <c r="D4055" t="s">
        <v>6798</v>
      </c>
      <c r="E4055" t="s">
        <v>6798</v>
      </c>
      <c r="F4055" t="s">
        <v>28</v>
      </c>
      <c r="G4055" t="s">
        <v>15078</v>
      </c>
      <c r="H4055" t="s">
        <v>30</v>
      </c>
      <c r="I4055" t="b">
        <f>COUNTIF(Estadísticas!I:I,'centraldecomunicacion.es'!H4055)&gt;0</f>
        <v>0</v>
      </c>
    </row>
    <row r="4056" spans="1:9">
      <c r="A4056" t="s">
        <v>15079</v>
      </c>
      <c r="B4056" t="s">
        <v>10</v>
      </c>
      <c r="C4056" t="s">
        <v>15080</v>
      </c>
      <c r="D4056" t="s">
        <v>15039</v>
      </c>
      <c r="E4056" t="s">
        <v>6798</v>
      </c>
      <c r="F4056" t="s">
        <v>28</v>
      </c>
      <c r="G4056" t="s">
        <v>15081</v>
      </c>
      <c r="H4056" t="s">
        <v>30</v>
      </c>
      <c r="I4056" t="b">
        <f>COUNTIF(Estadísticas!I:I,'centraldecomunicacion.es'!H4056)&gt;0</f>
        <v>0</v>
      </c>
    </row>
    <row r="4057" spans="1:9">
      <c r="A4057" t="s">
        <v>3509</v>
      </c>
      <c r="B4057" t="s">
        <v>10</v>
      </c>
      <c r="C4057" t="s">
        <v>15082</v>
      </c>
      <c r="D4057" t="s">
        <v>6798</v>
      </c>
      <c r="E4057" t="s">
        <v>6798</v>
      </c>
      <c r="F4057" t="s">
        <v>28</v>
      </c>
      <c r="G4057" t="s">
        <v>28</v>
      </c>
      <c r="H4057" t="s">
        <v>30</v>
      </c>
      <c r="I4057" t="b">
        <f>COUNTIF(Estadísticas!I:I,'centraldecomunicacion.es'!H4057)&gt;0</f>
        <v>0</v>
      </c>
    </row>
    <row r="4058" spans="1:9">
      <c r="A4058" t="s">
        <v>15083</v>
      </c>
      <c r="B4058" t="s">
        <v>10</v>
      </c>
      <c r="C4058" t="s">
        <v>15084</v>
      </c>
      <c r="D4058" t="s">
        <v>15069</v>
      </c>
      <c r="E4058" t="s">
        <v>6798</v>
      </c>
      <c r="F4058" t="s">
        <v>28</v>
      </c>
      <c r="G4058" t="s">
        <v>15085</v>
      </c>
      <c r="H4058" t="s">
        <v>30</v>
      </c>
      <c r="I4058" t="b">
        <f>COUNTIF(Estadísticas!I:I,'centraldecomunicacion.es'!H4058)&gt;0</f>
        <v>0</v>
      </c>
    </row>
    <row r="4059" spans="1:9">
      <c r="A4059" t="s">
        <v>15086</v>
      </c>
      <c r="B4059" t="s">
        <v>10</v>
      </c>
      <c r="C4059" t="s">
        <v>15087</v>
      </c>
      <c r="D4059" t="s">
        <v>6798</v>
      </c>
      <c r="E4059" t="s">
        <v>6798</v>
      </c>
      <c r="F4059" t="s">
        <v>15088</v>
      </c>
      <c r="G4059" t="s">
        <v>14988</v>
      </c>
      <c r="H4059" t="s">
        <v>15089</v>
      </c>
      <c r="I4059" t="b">
        <f>COUNTIF(Estadísticas!I:I,'centraldecomunicacion.es'!H4059)&gt;0</f>
        <v>0</v>
      </c>
    </row>
    <row r="4060" spans="1:9">
      <c r="A4060" t="s">
        <v>15090</v>
      </c>
      <c r="B4060" t="s">
        <v>10</v>
      </c>
      <c r="C4060" t="s">
        <v>15091</v>
      </c>
      <c r="D4060" t="s">
        <v>6798</v>
      </c>
      <c r="E4060" t="s">
        <v>6798</v>
      </c>
      <c r="F4060" t="s">
        <v>28</v>
      </c>
      <c r="G4060" t="s">
        <v>15092</v>
      </c>
      <c r="H4060" t="s">
        <v>30</v>
      </c>
      <c r="I4060" t="b">
        <f>COUNTIF(Estadísticas!I:I,'centraldecomunicacion.es'!H4060)&gt;0</f>
        <v>0</v>
      </c>
    </row>
    <row r="4061" spans="1:9">
      <c r="A4061" t="s">
        <v>15093</v>
      </c>
      <c r="B4061" t="s">
        <v>10</v>
      </c>
      <c r="C4061" t="s">
        <v>8064</v>
      </c>
      <c r="D4061" t="s">
        <v>4692</v>
      </c>
      <c r="E4061" t="s">
        <v>4692</v>
      </c>
      <c r="F4061" t="s">
        <v>8065</v>
      </c>
      <c r="G4061" t="s">
        <v>8066</v>
      </c>
      <c r="H4061" t="s">
        <v>8067</v>
      </c>
      <c r="I4061" t="b">
        <f>COUNTIF(Estadísticas!I:I,'centraldecomunicacion.es'!H4061)&gt;0</f>
        <v>1</v>
      </c>
    </row>
    <row r="4062" spans="1:9">
      <c r="A4062" t="s">
        <v>15094</v>
      </c>
      <c r="B4062" t="s">
        <v>10</v>
      </c>
      <c r="C4062" t="s">
        <v>15095</v>
      </c>
      <c r="D4062" t="s">
        <v>6798</v>
      </c>
      <c r="E4062" t="s">
        <v>6798</v>
      </c>
      <c r="F4062" t="s">
        <v>15096</v>
      </c>
      <c r="G4062" t="s">
        <v>15097</v>
      </c>
      <c r="H4062" t="s">
        <v>15098</v>
      </c>
      <c r="I4062" t="b">
        <f>COUNTIF(Estadísticas!I:I,'centraldecomunicacion.es'!H4062)&gt;0</f>
        <v>1</v>
      </c>
    </row>
    <row r="4063" spans="1:9">
      <c r="A4063" t="s">
        <v>15099</v>
      </c>
      <c r="B4063" t="s">
        <v>10</v>
      </c>
      <c r="C4063" t="s">
        <v>15100</v>
      </c>
      <c r="D4063" t="s">
        <v>6798</v>
      </c>
      <c r="E4063" t="s">
        <v>6798</v>
      </c>
      <c r="F4063" t="s">
        <v>15101</v>
      </c>
      <c r="G4063" t="s">
        <v>15102</v>
      </c>
      <c r="H4063" t="s">
        <v>12589</v>
      </c>
      <c r="I4063" t="b">
        <f>COUNTIF(Estadísticas!I:I,'centraldecomunicacion.es'!H4063)&gt;0</f>
        <v>1</v>
      </c>
    </row>
    <row r="4064" spans="1:9">
      <c r="A4064" t="s">
        <v>15103</v>
      </c>
      <c r="B4064" t="s">
        <v>10</v>
      </c>
      <c r="C4064" t="s">
        <v>15104</v>
      </c>
      <c r="D4064" t="s">
        <v>15105</v>
      </c>
      <c r="E4064" t="s">
        <v>6798</v>
      </c>
      <c r="F4064" t="s">
        <v>15106</v>
      </c>
      <c r="G4064" t="s">
        <v>15107</v>
      </c>
      <c r="H4064" t="s">
        <v>30</v>
      </c>
      <c r="I4064" t="b">
        <f>COUNTIF(Estadísticas!I:I,'centraldecomunicacion.es'!H4064)&gt;0</f>
        <v>0</v>
      </c>
    </row>
    <row r="4065" spans="1:9">
      <c r="A4065" t="s">
        <v>15108</v>
      </c>
      <c r="B4065" t="s">
        <v>10</v>
      </c>
      <c r="C4065" t="s">
        <v>15109</v>
      </c>
      <c r="D4065" t="s">
        <v>6798</v>
      </c>
      <c r="E4065" t="s">
        <v>6798</v>
      </c>
      <c r="F4065" t="s">
        <v>28</v>
      </c>
      <c r="G4065" t="s">
        <v>15110</v>
      </c>
      <c r="H4065" t="s">
        <v>30</v>
      </c>
      <c r="I4065" t="b">
        <f>COUNTIF(Estadísticas!I:I,'centraldecomunicacion.es'!H4065)&gt;0</f>
        <v>0</v>
      </c>
    </row>
    <row r="4066" spans="1:9">
      <c r="A4066" t="s">
        <v>15111</v>
      </c>
      <c r="B4066" t="s">
        <v>10</v>
      </c>
      <c r="C4066" t="s">
        <v>15112</v>
      </c>
      <c r="D4066" t="s">
        <v>6798</v>
      </c>
      <c r="E4066" t="s">
        <v>6798</v>
      </c>
      <c r="F4066" t="s">
        <v>15113</v>
      </c>
      <c r="G4066" t="s">
        <v>15114</v>
      </c>
      <c r="H4066" t="s">
        <v>30</v>
      </c>
      <c r="I4066" t="b">
        <f>COUNTIF(Estadísticas!I:I,'centraldecomunicacion.es'!H4066)&gt;0</f>
        <v>0</v>
      </c>
    </row>
    <row r="4067" spans="1:9">
      <c r="A4067" t="s">
        <v>15115</v>
      </c>
      <c r="B4067" t="s">
        <v>10</v>
      </c>
      <c r="C4067" t="s">
        <v>14979</v>
      </c>
      <c r="D4067" t="s">
        <v>6798</v>
      </c>
      <c r="E4067" t="s">
        <v>6798</v>
      </c>
      <c r="F4067" t="s">
        <v>28</v>
      </c>
      <c r="G4067" t="s">
        <v>15116</v>
      </c>
      <c r="H4067" t="s">
        <v>30</v>
      </c>
      <c r="I4067" t="b">
        <f>COUNTIF(Estadísticas!I:I,'centraldecomunicacion.es'!H4067)&gt;0</f>
        <v>0</v>
      </c>
    </row>
    <row r="4068" spans="1:9">
      <c r="A4068" t="s">
        <v>15117</v>
      </c>
      <c r="B4068" t="s">
        <v>10</v>
      </c>
      <c r="C4068" t="s">
        <v>15118</v>
      </c>
      <c r="D4068" t="s">
        <v>6798</v>
      </c>
      <c r="E4068" t="s">
        <v>6798</v>
      </c>
      <c r="F4068" t="s">
        <v>15119</v>
      </c>
      <c r="G4068" t="s">
        <v>15120</v>
      </c>
      <c r="H4068" t="s">
        <v>30</v>
      </c>
      <c r="I4068" t="b">
        <f>COUNTIF(Estadísticas!I:I,'centraldecomunicacion.es'!H4068)&gt;0</f>
        <v>0</v>
      </c>
    </row>
    <row r="4069" spans="1:9">
      <c r="A4069" t="s">
        <v>15121</v>
      </c>
      <c r="B4069" t="s">
        <v>10</v>
      </c>
      <c r="C4069" t="s">
        <v>15122</v>
      </c>
      <c r="D4069" t="s">
        <v>6798</v>
      </c>
      <c r="E4069" t="s">
        <v>6798</v>
      </c>
      <c r="F4069" t="s">
        <v>28</v>
      </c>
      <c r="G4069" t="s">
        <v>15123</v>
      </c>
      <c r="H4069" t="s">
        <v>30</v>
      </c>
      <c r="I4069" t="b">
        <f>COUNTIF(Estadísticas!I:I,'centraldecomunicacion.es'!H4069)&gt;0</f>
        <v>0</v>
      </c>
    </row>
    <row r="4070" spans="1:9">
      <c r="A4070" t="s">
        <v>15124</v>
      </c>
      <c r="B4070" t="s">
        <v>10</v>
      </c>
      <c r="C4070" t="s">
        <v>15125</v>
      </c>
      <c r="D4070" t="s">
        <v>15126</v>
      </c>
      <c r="E4070" t="s">
        <v>6798</v>
      </c>
      <c r="F4070" t="s">
        <v>28</v>
      </c>
      <c r="G4070" t="s">
        <v>15127</v>
      </c>
      <c r="H4070" t="s">
        <v>30</v>
      </c>
      <c r="I4070" t="b">
        <f>COUNTIF(Estadísticas!I:I,'centraldecomunicacion.es'!H4070)&gt;0</f>
        <v>0</v>
      </c>
    </row>
    <row r="4071" spans="1:9">
      <c r="A4071" t="s">
        <v>15128</v>
      </c>
      <c r="B4071" t="s">
        <v>10</v>
      </c>
      <c r="C4071" t="s">
        <v>15129</v>
      </c>
      <c r="D4071" t="s">
        <v>6798</v>
      </c>
      <c r="E4071" t="s">
        <v>6798</v>
      </c>
      <c r="F4071" t="s">
        <v>28</v>
      </c>
      <c r="G4071" t="s">
        <v>28</v>
      </c>
      <c r="H4071" t="s">
        <v>30</v>
      </c>
      <c r="I4071" t="b">
        <f>COUNTIF(Estadísticas!I:I,'centraldecomunicacion.es'!H4071)&gt;0</f>
        <v>0</v>
      </c>
    </row>
    <row r="4072" spans="1:9">
      <c r="A4072" t="s">
        <v>15130</v>
      </c>
      <c r="B4072" t="s">
        <v>10</v>
      </c>
      <c r="C4072" t="s">
        <v>15131</v>
      </c>
      <c r="D4072" t="s">
        <v>6798</v>
      </c>
      <c r="E4072" t="s">
        <v>6798</v>
      </c>
      <c r="F4072" t="s">
        <v>28</v>
      </c>
      <c r="G4072" t="s">
        <v>15003</v>
      </c>
      <c r="H4072" t="s">
        <v>30</v>
      </c>
      <c r="I4072" t="b">
        <f>COUNTIF(Estadísticas!I:I,'centraldecomunicacion.es'!H4072)&gt;0</f>
        <v>0</v>
      </c>
    </row>
    <row r="4073" spans="1:9">
      <c r="A4073" t="s">
        <v>15132</v>
      </c>
      <c r="B4073" t="s">
        <v>10</v>
      </c>
      <c r="C4073" t="s">
        <v>15133</v>
      </c>
      <c r="D4073" t="s">
        <v>15134</v>
      </c>
      <c r="E4073" t="s">
        <v>6798</v>
      </c>
      <c r="F4073" t="s">
        <v>38</v>
      </c>
      <c r="G4073" t="s">
        <v>15135</v>
      </c>
      <c r="H4073" t="s">
        <v>30</v>
      </c>
      <c r="I4073" t="b">
        <f>COUNTIF(Estadísticas!I:I,'centraldecomunicacion.es'!H4073)&gt;0</f>
        <v>0</v>
      </c>
    </row>
    <row r="4074" spans="1:9">
      <c r="A4074" t="s">
        <v>6557</v>
      </c>
      <c r="B4074" t="s">
        <v>10</v>
      </c>
      <c r="C4074" t="s">
        <v>15136</v>
      </c>
      <c r="D4074" t="s">
        <v>6798</v>
      </c>
      <c r="E4074" t="s">
        <v>6798</v>
      </c>
      <c r="F4074" t="s">
        <v>28</v>
      </c>
      <c r="G4074" t="s">
        <v>28</v>
      </c>
      <c r="H4074" t="s">
        <v>30</v>
      </c>
      <c r="I4074" t="b">
        <f>COUNTIF(Estadísticas!I:I,'centraldecomunicacion.es'!H4074)&gt;0</f>
        <v>0</v>
      </c>
    </row>
    <row r="4075" spans="1:9">
      <c r="A4075" t="s">
        <v>2718</v>
      </c>
      <c r="B4075" t="s">
        <v>10</v>
      </c>
      <c r="C4075" t="s">
        <v>15137</v>
      </c>
      <c r="D4075" t="s">
        <v>15134</v>
      </c>
      <c r="E4075" t="s">
        <v>6798</v>
      </c>
      <c r="F4075" t="s">
        <v>28</v>
      </c>
      <c r="G4075" t="s">
        <v>15138</v>
      </c>
      <c r="H4075" t="s">
        <v>30</v>
      </c>
      <c r="I4075" t="b">
        <f>COUNTIF(Estadísticas!I:I,'centraldecomunicacion.es'!H4075)&gt;0</f>
        <v>0</v>
      </c>
    </row>
    <row r="4076" spans="1:9">
      <c r="A4076" t="s">
        <v>15139</v>
      </c>
      <c r="B4076" t="s">
        <v>10</v>
      </c>
      <c r="C4076" t="s">
        <v>15140</v>
      </c>
      <c r="D4076" t="s">
        <v>6798</v>
      </c>
      <c r="E4076" t="s">
        <v>6798</v>
      </c>
      <c r="F4076" t="s">
        <v>15141</v>
      </c>
      <c r="G4076" t="s">
        <v>15142</v>
      </c>
      <c r="H4076" t="s">
        <v>30</v>
      </c>
      <c r="I4076" t="b">
        <f>COUNTIF(Estadísticas!I:I,'centraldecomunicacion.es'!H4076)&gt;0</f>
        <v>0</v>
      </c>
    </row>
    <row r="4077" spans="1:9">
      <c r="A4077" t="s">
        <v>15143</v>
      </c>
      <c r="B4077" t="s">
        <v>10</v>
      </c>
      <c r="C4077" t="s">
        <v>15144</v>
      </c>
      <c r="D4077" t="s">
        <v>6798</v>
      </c>
      <c r="E4077" t="s">
        <v>6798</v>
      </c>
      <c r="F4077" t="s">
        <v>28</v>
      </c>
      <c r="G4077" t="s">
        <v>15145</v>
      </c>
      <c r="H4077" t="s">
        <v>30</v>
      </c>
      <c r="I4077" t="b">
        <f>COUNTIF(Estadísticas!I:I,'centraldecomunicacion.es'!H4077)&gt;0</f>
        <v>0</v>
      </c>
    </row>
    <row r="4078" spans="1:9">
      <c r="A4078" t="s">
        <v>15146</v>
      </c>
      <c r="B4078" t="s">
        <v>10</v>
      </c>
      <c r="C4078" t="s">
        <v>15147</v>
      </c>
      <c r="D4078" t="s">
        <v>6798</v>
      </c>
      <c r="E4078" t="s">
        <v>6798</v>
      </c>
      <c r="F4078" t="s">
        <v>15148</v>
      </c>
      <c r="G4078" t="s">
        <v>15149</v>
      </c>
      <c r="H4078" t="s">
        <v>15150</v>
      </c>
      <c r="I4078" t="b">
        <f>COUNTIF(Estadísticas!I:I,'centraldecomunicacion.es'!H4078)&gt;0</f>
        <v>1</v>
      </c>
    </row>
    <row r="4079" spans="1:9">
      <c r="A4079" t="s">
        <v>15151</v>
      </c>
      <c r="B4079" t="s">
        <v>10</v>
      </c>
      <c r="C4079" t="s">
        <v>15152</v>
      </c>
      <c r="D4079" t="s">
        <v>6798</v>
      </c>
      <c r="E4079" t="s">
        <v>6798</v>
      </c>
      <c r="F4079" t="s">
        <v>28</v>
      </c>
      <c r="G4079" t="s">
        <v>15153</v>
      </c>
      <c r="H4079" t="s">
        <v>30</v>
      </c>
      <c r="I4079" t="b">
        <f>COUNTIF(Estadísticas!I:I,'centraldecomunicacion.es'!H4079)&gt;0</f>
        <v>0</v>
      </c>
    </row>
    <row r="4080" spans="1:9">
      <c r="A4080" t="s">
        <v>15154</v>
      </c>
      <c r="B4080" t="s">
        <v>10</v>
      </c>
      <c r="C4080" t="s">
        <v>15155</v>
      </c>
      <c r="D4080" t="s">
        <v>15156</v>
      </c>
      <c r="E4080" t="s">
        <v>6798</v>
      </c>
      <c r="F4080" t="s">
        <v>15157</v>
      </c>
      <c r="G4080" t="s">
        <v>15158</v>
      </c>
      <c r="H4080" t="s">
        <v>1242</v>
      </c>
      <c r="I4080" t="b">
        <f>COUNTIF(Estadísticas!I:I,'centraldecomunicacion.es'!H4080)&gt;0</f>
        <v>0</v>
      </c>
    </row>
    <row r="4081" spans="1:9">
      <c r="A4081" t="s">
        <v>15159</v>
      </c>
      <c r="B4081" t="s">
        <v>10</v>
      </c>
      <c r="C4081" t="s">
        <v>15160</v>
      </c>
      <c r="D4081" t="s">
        <v>15161</v>
      </c>
      <c r="E4081" t="s">
        <v>6798</v>
      </c>
      <c r="F4081" t="s">
        <v>15162</v>
      </c>
      <c r="G4081" t="s">
        <v>15163</v>
      </c>
      <c r="H4081" t="s">
        <v>30</v>
      </c>
      <c r="I4081" t="b">
        <f>COUNTIF(Estadísticas!I:I,'centraldecomunicacion.es'!H4081)&gt;0</f>
        <v>0</v>
      </c>
    </row>
    <row r="4082" spans="1:9">
      <c r="A4082" t="s">
        <v>15164</v>
      </c>
      <c r="B4082" t="s">
        <v>10</v>
      </c>
      <c r="C4082" t="s">
        <v>15165</v>
      </c>
      <c r="D4082" t="s">
        <v>15161</v>
      </c>
      <c r="E4082" t="s">
        <v>6798</v>
      </c>
      <c r="F4082" t="s">
        <v>28</v>
      </c>
      <c r="G4082" t="s">
        <v>15166</v>
      </c>
      <c r="H4082" t="s">
        <v>30</v>
      </c>
      <c r="I4082" t="b">
        <f>COUNTIF(Estadísticas!I:I,'centraldecomunicacion.es'!H4082)&gt;0</f>
        <v>0</v>
      </c>
    </row>
    <row r="4083" spans="1:9">
      <c r="A4083" t="s">
        <v>15167</v>
      </c>
      <c r="B4083" t="s">
        <v>10</v>
      </c>
      <c r="C4083" t="s">
        <v>15168</v>
      </c>
      <c r="D4083" t="s">
        <v>6798</v>
      </c>
      <c r="E4083" t="s">
        <v>6798</v>
      </c>
      <c r="F4083" t="s">
        <v>15169</v>
      </c>
      <c r="G4083" t="s">
        <v>15170</v>
      </c>
      <c r="H4083" t="s">
        <v>30</v>
      </c>
      <c r="I4083" t="b">
        <f>COUNTIF(Estadísticas!I:I,'centraldecomunicacion.es'!H4083)&gt;0</f>
        <v>0</v>
      </c>
    </row>
    <row r="4084" spans="1:9">
      <c r="A4084" t="s">
        <v>6257</v>
      </c>
      <c r="B4084" t="s">
        <v>10</v>
      </c>
      <c r="C4084" t="s">
        <v>15171</v>
      </c>
      <c r="D4084" t="s">
        <v>15172</v>
      </c>
      <c r="E4084" t="s">
        <v>6798</v>
      </c>
      <c r="F4084" t="s">
        <v>28</v>
      </c>
      <c r="G4084" t="s">
        <v>28</v>
      </c>
      <c r="H4084" t="s">
        <v>30</v>
      </c>
      <c r="I4084" t="b">
        <f>COUNTIF(Estadísticas!I:I,'centraldecomunicacion.es'!H4084)&gt;0</f>
        <v>0</v>
      </c>
    </row>
    <row r="4085" spans="1:9">
      <c r="A4085" t="s">
        <v>15173</v>
      </c>
      <c r="B4085" t="s">
        <v>10</v>
      </c>
      <c r="C4085" t="s">
        <v>15174</v>
      </c>
      <c r="D4085" t="s">
        <v>6798</v>
      </c>
      <c r="E4085" t="s">
        <v>6798</v>
      </c>
      <c r="F4085" t="s">
        <v>28</v>
      </c>
      <c r="G4085" t="s">
        <v>28</v>
      </c>
      <c r="H4085" t="s">
        <v>30</v>
      </c>
      <c r="I4085" t="b">
        <f>COUNTIF(Estadísticas!I:I,'centraldecomunicacion.es'!H4085)&gt;0</f>
        <v>0</v>
      </c>
    </row>
    <row r="4086" spans="1:9">
      <c r="A4086" t="s">
        <v>15175</v>
      </c>
      <c r="B4086" t="s">
        <v>10</v>
      </c>
      <c r="C4086" t="s">
        <v>15176</v>
      </c>
      <c r="D4086" t="s">
        <v>6798</v>
      </c>
      <c r="E4086" t="s">
        <v>6798</v>
      </c>
      <c r="F4086" t="s">
        <v>28</v>
      </c>
      <c r="G4086" t="s">
        <v>28</v>
      </c>
      <c r="H4086" t="s">
        <v>30</v>
      </c>
      <c r="I4086" t="b">
        <f>COUNTIF(Estadísticas!I:I,'centraldecomunicacion.es'!H4086)&gt;0</f>
        <v>0</v>
      </c>
    </row>
    <row r="4087" spans="1:9">
      <c r="A4087" t="s">
        <v>15177</v>
      </c>
      <c r="B4087" t="s">
        <v>10</v>
      </c>
      <c r="C4087" t="s">
        <v>15178</v>
      </c>
      <c r="D4087" t="s">
        <v>15179</v>
      </c>
      <c r="E4087" t="s">
        <v>6798</v>
      </c>
      <c r="F4087" t="s">
        <v>28</v>
      </c>
      <c r="G4087" t="s">
        <v>28</v>
      </c>
      <c r="H4087" t="s">
        <v>30</v>
      </c>
      <c r="I4087" t="b">
        <f>COUNTIF(Estadísticas!I:I,'centraldecomunicacion.es'!H4087)&gt;0</f>
        <v>0</v>
      </c>
    </row>
    <row r="4088" spans="1:9">
      <c r="A4088" t="s">
        <v>2780</v>
      </c>
      <c r="B4088" t="s">
        <v>10</v>
      </c>
      <c r="C4088" t="s">
        <v>15180</v>
      </c>
      <c r="D4088" t="s">
        <v>15126</v>
      </c>
      <c r="E4088" t="s">
        <v>6798</v>
      </c>
      <c r="F4088" t="s">
        <v>28</v>
      </c>
      <c r="G4088" t="s">
        <v>28</v>
      </c>
      <c r="H4088" t="s">
        <v>30</v>
      </c>
      <c r="I4088" t="b">
        <f>COUNTIF(Estadísticas!I:I,'centraldecomunicacion.es'!H4088)&gt;0</f>
        <v>0</v>
      </c>
    </row>
    <row r="4089" spans="1:9">
      <c r="A4089" t="s">
        <v>15181</v>
      </c>
      <c r="B4089" t="s">
        <v>10</v>
      </c>
      <c r="C4089" t="s">
        <v>15182</v>
      </c>
      <c r="D4089" t="s">
        <v>15183</v>
      </c>
      <c r="E4089" t="s">
        <v>6798</v>
      </c>
      <c r="F4089" t="s">
        <v>28</v>
      </c>
      <c r="G4089" t="s">
        <v>15184</v>
      </c>
      <c r="H4089" t="s">
        <v>30</v>
      </c>
      <c r="I4089" t="b">
        <f>COUNTIF(Estadísticas!I:I,'centraldecomunicacion.es'!H4089)&gt;0</f>
        <v>0</v>
      </c>
    </row>
    <row r="4090" spans="1:9">
      <c r="A4090" t="s">
        <v>15185</v>
      </c>
      <c r="B4090" t="s">
        <v>10</v>
      </c>
      <c r="C4090" t="s">
        <v>15186</v>
      </c>
      <c r="D4090" t="s">
        <v>15134</v>
      </c>
      <c r="E4090" t="s">
        <v>6798</v>
      </c>
      <c r="F4090" t="s">
        <v>511</v>
      </c>
      <c r="G4090" t="s">
        <v>15187</v>
      </c>
      <c r="H4090" t="s">
        <v>513</v>
      </c>
      <c r="I4090" t="b">
        <f>COUNTIF(Estadísticas!I:I,'centraldecomunicacion.es'!H4090)&gt;0</f>
        <v>1</v>
      </c>
    </row>
    <row r="4091" spans="1:9">
      <c r="A4091" t="s">
        <v>15188</v>
      </c>
      <c r="B4091" t="s">
        <v>10</v>
      </c>
      <c r="C4091" t="s">
        <v>15189</v>
      </c>
      <c r="D4091" t="s">
        <v>15190</v>
      </c>
      <c r="E4091" t="s">
        <v>15191</v>
      </c>
      <c r="F4091" t="s">
        <v>28</v>
      </c>
      <c r="G4091" t="s">
        <v>15192</v>
      </c>
      <c r="H4091" t="s">
        <v>30</v>
      </c>
      <c r="I4091" t="b">
        <f>COUNTIF(Estadísticas!I:I,'centraldecomunicacion.es'!H4091)&gt;0</f>
        <v>0</v>
      </c>
    </row>
    <row r="4092" spans="1:9">
      <c r="A4092" t="s">
        <v>15193</v>
      </c>
      <c r="B4092" t="s">
        <v>10</v>
      </c>
      <c r="C4092" t="s">
        <v>15194</v>
      </c>
      <c r="D4092" t="s">
        <v>15195</v>
      </c>
      <c r="E4092" t="s">
        <v>6798</v>
      </c>
      <c r="F4092" t="s">
        <v>28</v>
      </c>
      <c r="G4092" t="s">
        <v>28</v>
      </c>
      <c r="H4092" t="s">
        <v>30</v>
      </c>
      <c r="I4092" t="b">
        <f>COUNTIF(Estadísticas!I:I,'centraldecomunicacion.es'!H4092)&gt;0</f>
        <v>0</v>
      </c>
    </row>
    <row r="4093" spans="1:9">
      <c r="A4093" t="s">
        <v>15196</v>
      </c>
      <c r="B4093" t="s">
        <v>10</v>
      </c>
      <c r="C4093" t="s">
        <v>15197</v>
      </c>
      <c r="D4093" t="s">
        <v>15195</v>
      </c>
      <c r="E4093" t="s">
        <v>6798</v>
      </c>
      <c r="F4093" t="s">
        <v>28</v>
      </c>
      <c r="G4093" t="s">
        <v>15198</v>
      </c>
      <c r="H4093" t="s">
        <v>30</v>
      </c>
      <c r="I4093" t="b">
        <f>COUNTIF(Estadísticas!I:I,'centraldecomunicacion.es'!H4093)&gt;0</f>
        <v>0</v>
      </c>
    </row>
    <row r="4094" spans="1:9">
      <c r="A4094" t="s">
        <v>15199</v>
      </c>
      <c r="B4094" t="s">
        <v>10</v>
      </c>
      <c r="C4094" t="s">
        <v>15200</v>
      </c>
      <c r="D4094" t="s">
        <v>15183</v>
      </c>
      <c r="E4094" t="s">
        <v>6798</v>
      </c>
      <c r="F4094" t="s">
        <v>15201</v>
      </c>
      <c r="G4094" t="s">
        <v>15202</v>
      </c>
      <c r="H4094" t="s">
        <v>30</v>
      </c>
      <c r="I4094" t="b">
        <f>COUNTIF(Estadísticas!I:I,'centraldecomunicacion.es'!H4094)&gt;0</f>
        <v>0</v>
      </c>
    </row>
    <row r="4095" spans="1:9">
      <c r="A4095" t="s">
        <v>6783</v>
      </c>
      <c r="B4095" t="s">
        <v>10</v>
      </c>
      <c r="C4095" t="s">
        <v>15203</v>
      </c>
      <c r="D4095" t="s">
        <v>15195</v>
      </c>
      <c r="E4095" t="s">
        <v>6798</v>
      </c>
      <c r="F4095" t="s">
        <v>28</v>
      </c>
      <c r="G4095" t="s">
        <v>15204</v>
      </c>
      <c r="H4095" t="s">
        <v>30</v>
      </c>
      <c r="I4095" t="b">
        <f>COUNTIF(Estadísticas!I:I,'centraldecomunicacion.es'!H4095)&gt;0</f>
        <v>0</v>
      </c>
    </row>
    <row r="4096" spans="1:9">
      <c r="A4096" t="s">
        <v>15205</v>
      </c>
      <c r="B4096" t="s">
        <v>10</v>
      </c>
      <c r="C4096" t="s">
        <v>15206</v>
      </c>
      <c r="D4096" t="s">
        <v>15207</v>
      </c>
      <c r="E4096" t="s">
        <v>6798</v>
      </c>
      <c r="F4096" t="s">
        <v>50</v>
      </c>
      <c r="G4096" t="s">
        <v>15208</v>
      </c>
      <c r="H4096" t="s">
        <v>30</v>
      </c>
      <c r="I4096" t="b">
        <f>COUNTIF(Estadísticas!I:I,'centraldecomunicacion.es'!H4096)&gt;0</f>
        <v>0</v>
      </c>
    </row>
    <row r="4097" spans="1:9">
      <c r="A4097" t="s">
        <v>15209</v>
      </c>
      <c r="B4097" t="s">
        <v>10</v>
      </c>
      <c r="C4097" t="s">
        <v>15210</v>
      </c>
      <c r="D4097" t="s">
        <v>15207</v>
      </c>
      <c r="E4097" t="s">
        <v>6798</v>
      </c>
      <c r="F4097" t="s">
        <v>15211</v>
      </c>
      <c r="G4097" t="s">
        <v>15212</v>
      </c>
      <c r="H4097" t="s">
        <v>30</v>
      </c>
      <c r="I4097" t="b">
        <f>COUNTIF(Estadísticas!I:I,'centraldecomunicacion.es'!H4097)&gt;0</f>
        <v>0</v>
      </c>
    </row>
    <row r="4098" spans="1:9">
      <c r="A4098" t="s">
        <v>3012</v>
      </c>
      <c r="B4098" t="s">
        <v>10</v>
      </c>
      <c r="C4098" t="s">
        <v>15213</v>
      </c>
      <c r="D4098" t="s">
        <v>15207</v>
      </c>
      <c r="E4098" t="s">
        <v>6798</v>
      </c>
      <c r="F4098" t="s">
        <v>28</v>
      </c>
      <c r="G4098" t="s">
        <v>15214</v>
      </c>
      <c r="H4098" t="s">
        <v>30</v>
      </c>
      <c r="I4098" t="b">
        <f>COUNTIF(Estadísticas!I:I,'centraldecomunicacion.es'!H4098)&gt;0</f>
        <v>0</v>
      </c>
    </row>
    <row r="4099" spans="1:9">
      <c r="A4099" t="s">
        <v>15215</v>
      </c>
      <c r="B4099" t="s">
        <v>10</v>
      </c>
      <c r="C4099" t="s">
        <v>15216</v>
      </c>
      <c r="D4099" t="s">
        <v>15217</v>
      </c>
      <c r="E4099" t="s">
        <v>6798</v>
      </c>
      <c r="F4099" t="s">
        <v>15218</v>
      </c>
      <c r="G4099" t="s">
        <v>15219</v>
      </c>
      <c r="H4099" t="s">
        <v>15220</v>
      </c>
      <c r="I4099" t="b">
        <f>COUNTIF(Estadísticas!I:I,'centraldecomunicacion.es'!H4099)&gt;0</f>
        <v>0</v>
      </c>
    </row>
    <row r="4100" spans="1:9">
      <c r="A4100" t="s">
        <v>15221</v>
      </c>
      <c r="B4100" t="s">
        <v>10</v>
      </c>
      <c r="C4100" t="s">
        <v>15222</v>
      </c>
      <c r="D4100" t="s">
        <v>15223</v>
      </c>
      <c r="E4100" t="s">
        <v>6798</v>
      </c>
      <c r="F4100" t="s">
        <v>28</v>
      </c>
      <c r="G4100" t="s">
        <v>28</v>
      </c>
      <c r="H4100" t="s">
        <v>30</v>
      </c>
      <c r="I4100" t="b">
        <f>COUNTIF(Estadísticas!I:I,'centraldecomunicacion.es'!H4100)&gt;0</f>
        <v>0</v>
      </c>
    </row>
    <row r="4101" spans="1:9">
      <c r="A4101" t="s">
        <v>15224</v>
      </c>
      <c r="B4101" t="s">
        <v>10</v>
      </c>
      <c r="C4101" t="s">
        <v>15225</v>
      </c>
      <c r="D4101" t="s">
        <v>15226</v>
      </c>
      <c r="E4101" t="s">
        <v>6798</v>
      </c>
      <c r="F4101" t="s">
        <v>50</v>
      </c>
      <c r="G4101" t="s">
        <v>15227</v>
      </c>
      <c r="H4101" t="s">
        <v>30</v>
      </c>
      <c r="I4101" t="b">
        <f>COUNTIF(Estadísticas!I:I,'centraldecomunicacion.es'!H4101)&gt;0</f>
        <v>0</v>
      </c>
    </row>
    <row r="4102" spans="1:9">
      <c r="A4102" t="s">
        <v>15228</v>
      </c>
      <c r="B4102" t="s">
        <v>10</v>
      </c>
      <c r="C4102" t="s">
        <v>15229</v>
      </c>
      <c r="D4102" t="s">
        <v>15230</v>
      </c>
      <c r="E4102" t="s">
        <v>6798</v>
      </c>
      <c r="F4102" t="s">
        <v>28</v>
      </c>
      <c r="G4102" t="s">
        <v>15231</v>
      </c>
      <c r="H4102" t="s">
        <v>30</v>
      </c>
      <c r="I4102" t="b">
        <f>COUNTIF(Estadísticas!I:I,'centraldecomunicacion.es'!H4102)&gt;0</f>
        <v>0</v>
      </c>
    </row>
    <row r="4103" spans="1:9">
      <c r="A4103" t="s">
        <v>15232</v>
      </c>
      <c r="B4103" t="s">
        <v>10</v>
      </c>
      <c r="C4103" t="s">
        <v>15233</v>
      </c>
      <c r="D4103" t="s">
        <v>15230</v>
      </c>
      <c r="E4103" t="s">
        <v>6798</v>
      </c>
      <c r="F4103" t="s">
        <v>28</v>
      </c>
      <c r="G4103" t="s">
        <v>15234</v>
      </c>
      <c r="H4103" t="s">
        <v>30</v>
      </c>
      <c r="I4103" t="b">
        <f>COUNTIF(Estadísticas!I:I,'centraldecomunicacion.es'!H4103)&gt;0</f>
        <v>0</v>
      </c>
    </row>
    <row r="4104" spans="1:9">
      <c r="A4104" t="s">
        <v>15235</v>
      </c>
      <c r="B4104" t="s">
        <v>10</v>
      </c>
      <c r="C4104" t="s">
        <v>15236</v>
      </c>
      <c r="D4104" t="s">
        <v>15230</v>
      </c>
      <c r="E4104" t="s">
        <v>6798</v>
      </c>
      <c r="F4104" t="s">
        <v>15237</v>
      </c>
      <c r="G4104" t="s">
        <v>15238</v>
      </c>
      <c r="H4104" t="s">
        <v>30</v>
      </c>
      <c r="I4104" t="b">
        <f>COUNTIF(Estadísticas!I:I,'centraldecomunicacion.es'!H4104)&gt;0</f>
        <v>0</v>
      </c>
    </row>
    <row r="4105" spans="1:9">
      <c r="A4105" t="s">
        <v>15239</v>
      </c>
      <c r="B4105" t="s">
        <v>10</v>
      </c>
      <c r="C4105" t="s">
        <v>15240</v>
      </c>
      <c r="D4105" t="s">
        <v>15241</v>
      </c>
      <c r="E4105" t="s">
        <v>6798</v>
      </c>
      <c r="F4105" t="s">
        <v>7245</v>
      </c>
      <c r="G4105" t="s">
        <v>15242</v>
      </c>
      <c r="H4105" t="s">
        <v>7247</v>
      </c>
      <c r="I4105" t="b">
        <f>COUNTIF(Estadísticas!I:I,'centraldecomunicacion.es'!H4105)&gt;0</f>
        <v>0</v>
      </c>
    </row>
    <row r="4106" spans="1:9">
      <c r="A4106" t="s">
        <v>15243</v>
      </c>
      <c r="B4106" t="s">
        <v>10</v>
      </c>
      <c r="C4106" t="s">
        <v>15244</v>
      </c>
      <c r="D4106" t="s">
        <v>15230</v>
      </c>
      <c r="E4106" t="s">
        <v>6798</v>
      </c>
      <c r="F4106" t="s">
        <v>28</v>
      </c>
      <c r="G4106" t="s">
        <v>15245</v>
      </c>
      <c r="H4106" t="s">
        <v>30</v>
      </c>
      <c r="I4106" t="b">
        <f>COUNTIF(Estadísticas!I:I,'centraldecomunicacion.es'!H4106)&gt;0</f>
        <v>0</v>
      </c>
    </row>
    <row r="4107" spans="1:9">
      <c r="A4107" t="s">
        <v>15246</v>
      </c>
      <c r="B4107" t="s">
        <v>10</v>
      </c>
      <c r="C4107" t="s">
        <v>15247</v>
      </c>
      <c r="D4107" t="s">
        <v>15230</v>
      </c>
      <c r="E4107" t="s">
        <v>6798</v>
      </c>
      <c r="F4107" t="s">
        <v>28</v>
      </c>
      <c r="G4107" t="s">
        <v>15248</v>
      </c>
      <c r="H4107" t="s">
        <v>30</v>
      </c>
      <c r="I4107" t="b">
        <f>COUNTIF(Estadísticas!I:I,'centraldecomunicacion.es'!H4107)&gt;0</f>
        <v>0</v>
      </c>
    </row>
    <row r="4108" spans="1:9">
      <c r="A4108" t="s">
        <v>15249</v>
      </c>
      <c r="B4108" t="s">
        <v>10</v>
      </c>
      <c r="C4108" t="s">
        <v>15250</v>
      </c>
      <c r="D4108" t="s">
        <v>15251</v>
      </c>
      <c r="E4108" t="s">
        <v>6798</v>
      </c>
      <c r="F4108" t="s">
        <v>3856</v>
      </c>
      <c r="G4108" t="s">
        <v>15252</v>
      </c>
      <c r="H4108" t="s">
        <v>30</v>
      </c>
      <c r="I4108" t="b">
        <f>COUNTIF(Estadísticas!I:I,'centraldecomunicacion.es'!H4108)&gt;0</f>
        <v>0</v>
      </c>
    </row>
    <row r="4109" spans="1:9">
      <c r="A4109" t="s">
        <v>15232</v>
      </c>
      <c r="B4109" t="s">
        <v>10</v>
      </c>
      <c r="C4109" t="s">
        <v>15253</v>
      </c>
      <c r="D4109" t="s">
        <v>15230</v>
      </c>
      <c r="E4109" t="s">
        <v>6798</v>
      </c>
      <c r="F4109" t="s">
        <v>28</v>
      </c>
      <c r="G4109" t="s">
        <v>15234</v>
      </c>
      <c r="H4109" t="s">
        <v>30</v>
      </c>
      <c r="I4109" t="b">
        <f>COUNTIF(Estadísticas!I:I,'centraldecomunicacion.es'!H4109)&gt;0</f>
        <v>0</v>
      </c>
    </row>
    <row r="4110" spans="1:9">
      <c r="A4110" t="s">
        <v>15254</v>
      </c>
      <c r="B4110" t="s">
        <v>10</v>
      </c>
      <c r="C4110" t="s">
        <v>15255</v>
      </c>
      <c r="D4110" t="s">
        <v>15241</v>
      </c>
      <c r="E4110" t="s">
        <v>6798</v>
      </c>
      <c r="F4110" t="s">
        <v>28</v>
      </c>
      <c r="G4110" t="s">
        <v>15256</v>
      </c>
      <c r="H4110" t="s">
        <v>30</v>
      </c>
      <c r="I4110" t="b">
        <f>COUNTIF(Estadísticas!I:I,'centraldecomunicacion.es'!H4110)&gt;0</f>
        <v>0</v>
      </c>
    </row>
    <row r="4111" spans="1:9">
      <c r="A4111" t="s">
        <v>15257</v>
      </c>
      <c r="B4111" t="s">
        <v>10</v>
      </c>
      <c r="C4111" t="s">
        <v>15258</v>
      </c>
      <c r="D4111" t="s">
        <v>15241</v>
      </c>
      <c r="E4111" t="s">
        <v>6798</v>
      </c>
      <c r="F4111" t="s">
        <v>28</v>
      </c>
      <c r="G4111" t="s">
        <v>15259</v>
      </c>
      <c r="H4111" t="s">
        <v>30</v>
      </c>
      <c r="I4111" t="b">
        <f>COUNTIF(Estadísticas!I:I,'centraldecomunicacion.es'!H4111)&gt;0</f>
        <v>0</v>
      </c>
    </row>
    <row r="4112" spans="1:9">
      <c r="A4112" t="s">
        <v>15260</v>
      </c>
      <c r="B4112" t="s">
        <v>10</v>
      </c>
      <c r="C4112" t="s">
        <v>15261</v>
      </c>
      <c r="D4112" t="s">
        <v>15195</v>
      </c>
      <c r="E4112" t="s">
        <v>6798</v>
      </c>
      <c r="F4112" t="s">
        <v>28</v>
      </c>
      <c r="G4112" t="s">
        <v>15262</v>
      </c>
      <c r="H4112" t="s">
        <v>30</v>
      </c>
      <c r="I4112" t="b">
        <f>COUNTIF(Estadísticas!I:I,'centraldecomunicacion.es'!H4112)&gt;0</f>
        <v>0</v>
      </c>
    </row>
    <row r="4113" spans="1:9">
      <c r="A4113" t="s">
        <v>15263</v>
      </c>
      <c r="B4113" t="s">
        <v>10</v>
      </c>
      <c r="C4113" t="s">
        <v>15264</v>
      </c>
      <c r="D4113" t="s">
        <v>15265</v>
      </c>
      <c r="E4113" t="s">
        <v>6798</v>
      </c>
      <c r="F4113" t="s">
        <v>15266</v>
      </c>
      <c r="G4113" t="s">
        <v>15267</v>
      </c>
      <c r="H4113" t="s">
        <v>15268</v>
      </c>
      <c r="I4113" t="b">
        <f>COUNTIF(Estadísticas!I:I,'centraldecomunicacion.es'!H4113)&gt;0</f>
        <v>0</v>
      </c>
    </row>
    <row r="4114" spans="1:9">
      <c r="A4114" t="s">
        <v>15269</v>
      </c>
      <c r="B4114" t="s">
        <v>10</v>
      </c>
      <c r="C4114" t="s">
        <v>15270</v>
      </c>
      <c r="D4114" t="s">
        <v>15251</v>
      </c>
      <c r="E4114" t="s">
        <v>6798</v>
      </c>
      <c r="F4114" t="s">
        <v>15271</v>
      </c>
      <c r="G4114" t="s">
        <v>15272</v>
      </c>
      <c r="H4114" t="s">
        <v>30</v>
      </c>
      <c r="I4114" t="b">
        <f>COUNTIF(Estadísticas!I:I,'centraldecomunicacion.es'!H4114)&gt;0</f>
        <v>0</v>
      </c>
    </row>
    <row r="4115" spans="1:9">
      <c r="A4115" t="s">
        <v>13958</v>
      </c>
      <c r="B4115" t="s">
        <v>10</v>
      </c>
      <c r="C4115" t="s">
        <v>15273</v>
      </c>
      <c r="D4115" t="s">
        <v>15274</v>
      </c>
      <c r="E4115" t="s">
        <v>6798</v>
      </c>
      <c r="F4115" t="s">
        <v>28</v>
      </c>
      <c r="G4115" t="s">
        <v>15275</v>
      </c>
      <c r="H4115" t="s">
        <v>30</v>
      </c>
      <c r="I4115" t="b">
        <f>COUNTIF(Estadísticas!I:I,'centraldecomunicacion.es'!H4115)&gt;0</f>
        <v>0</v>
      </c>
    </row>
    <row r="4116" spans="1:9">
      <c r="A4116" t="s">
        <v>15276</v>
      </c>
      <c r="B4116" t="s">
        <v>10</v>
      </c>
      <c r="C4116" t="s">
        <v>15277</v>
      </c>
      <c r="D4116" t="s">
        <v>15230</v>
      </c>
      <c r="E4116" t="s">
        <v>6798</v>
      </c>
      <c r="F4116" t="s">
        <v>28</v>
      </c>
      <c r="G4116" t="s">
        <v>28</v>
      </c>
      <c r="H4116" t="s">
        <v>30</v>
      </c>
      <c r="I4116" t="b">
        <f>COUNTIF(Estadísticas!I:I,'centraldecomunicacion.es'!H4116)&gt;0</f>
        <v>0</v>
      </c>
    </row>
    <row r="4117" spans="1:9">
      <c r="A4117" t="s">
        <v>15278</v>
      </c>
      <c r="B4117" t="s">
        <v>10</v>
      </c>
      <c r="C4117" t="s">
        <v>15279</v>
      </c>
      <c r="D4117" t="s">
        <v>15251</v>
      </c>
      <c r="E4117" t="s">
        <v>6798</v>
      </c>
      <c r="F4117" t="s">
        <v>28</v>
      </c>
      <c r="G4117" t="s">
        <v>15280</v>
      </c>
      <c r="H4117" t="s">
        <v>30</v>
      </c>
      <c r="I4117" t="b">
        <f>COUNTIF(Estadísticas!I:I,'centraldecomunicacion.es'!H4117)&gt;0</f>
        <v>0</v>
      </c>
    </row>
    <row r="4118" spans="1:9">
      <c r="A4118" t="s">
        <v>15281</v>
      </c>
      <c r="B4118" t="s">
        <v>10</v>
      </c>
      <c r="C4118" t="s">
        <v>15282</v>
      </c>
      <c r="D4118" t="s">
        <v>15283</v>
      </c>
      <c r="E4118" t="s">
        <v>6798</v>
      </c>
      <c r="F4118" t="s">
        <v>28</v>
      </c>
      <c r="G4118" t="s">
        <v>15284</v>
      </c>
      <c r="H4118" t="s">
        <v>30</v>
      </c>
      <c r="I4118" t="b">
        <f>COUNTIF(Estadísticas!I:I,'centraldecomunicacion.es'!H4118)&gt;0</f>
        <v>0</v>
      </c>
    </row>
    <row r="4119" spans="1:9">
      <c r="A4119" t="s">
        <v>15285</v>
      </c>
      <c r="B4119" t="s">
        <v>10</v>
      </c>
      <c r="C4119" t="s">
        <v>15286</v>
      </c>
      <c r="D4119" t="s">
        <v>15287</v>
      </c>
      <c r="E4119" t="s">
        <v>6798</v>
      </c>
      <c r="F4119" t="s">
        <v>28</v>
      </c>
      <c r="G4119" t="s">
        <v>15288</v>
      </c>
      <c r="H4119" t="s">
        <v>30</v>
      </c>
      <c r="I4119" t="b">
        <f>COUNTIF(Estadísticas!I:I,'centraldecomunicacion.es'!H4119)&gt;0</f>
        <v>0</v>
      </c>
    </row>
    <row r="4120" spans="1:9">
      <c r="A4120" t="s">
        <v>15289</v>
      </c>
      <c r="B4120" t="s">
        <v>10</v>
      </c>
      <c r="C4120" t="s">
        <v>15290</v>
      </c>
      <c r="D4120" t="s">
        <v>15161</v>
      </c>
      <c r="E4120" t="s">
        <v>6798</v>
      </c>
      <c r="F4120" t="s">
        <v>28</v>
      </c>
      <c r="G4120" t="s">
        <v>15291</v>
      </c>
      <c r="H4120" t="s">
        <v>30</v>
      </c>
      <c r="I4120" t="b">
        <f>COUNTIF(Estadísticas!I:I,'centraldecomunicacion.es'!H4120)&gt;0</f>
        <v>0</v>
      </c>
    </row>
    <row r="4121" spans="1:9">
      <c r="A4121" t="s">
        <v>15292</v>
      </c>
      <c r="B4121" t="s">
        <v>10</v>
      </c>
      <c r="C4121" t="s">
        <v>15293</v>
      </c>
      <c r="D4121" t="s">
        <v>15294</v>
      </c>
      <c r="E4121" t="s">
        <v>6798</v>
      </c>
      <c r="F4121" t="s">
        <v>28</v>
      </c>
      <c r="G4121" t="s">
        <v>15295</v>
      </c>
      <c r="H4121" t="s">
        <v>30</v>
      </c>
      <c r="I4121" t="b">
        <f>COUNTIF(Estadísticas!I:I,'centraldecomunicacion.es'!H4121)&gt;0</f>
        <v>0</v>
      </c>
    </row>
    <row r="4122" spans="1:9">
      <c r="A4122" t="s">
        <v>15296</v>
      </c>
      <c r="B4122" t="s">
        <v>10</v>
      </c>
      <c r="C4122" t="s">
        <v>15297</v>
      </c>
      <c r="D4122" t="s">
        <v>15283</v>
      </c>
      <c r="E4122" t="s">
        <v>6798</v>
      </c>
      <c r="F4122" t="s">
        <v>28</v>
      </c>
      <c r="G4122" t="s">
        <v>15298</v>
      </c>
      <c r="H4122" t="s">
        <v>30</v>
      </c>
      <c r="I4122" t="b">
        <f>COUNTIF(Estadísticas!I:I,'centraldecomunicacion.es'!H4122)&gt;0</f>
        <v>0</v>
      </c>
    </row>
    <row r="4123" spans="1:9">
      <c r="A4123" t="s">
        <v>15299</v>
      </c>
      <c r="B4123" t="s">
        <v>10</v>
      </c>
      <c r="C4123" t="s">
        <v>15300</v>
      </c>
      <c r="D4123" t="s">
        <v>15294</v>
      </c>
      <c r="E4123" t="s">
        <v>6798</v>
      </c>
      <c r="F4123" t="s">
        <v>15301</v>
      </c>
      <c r="G4123" t="s">
        <v>15302</v>
      </c>
      <c r="H4123" t="s">
        <v>15303</v>
      </c>
      <c r="I4123" t="b">
        <f>COUNTIF(Estadísticas!I:I,'centraldecomunicacion.es'!H4123)&gt;0</f>
        <v>0</v>
      </c>
    </row>
    <row r="4124" spans="1:9">
      <c r="A4124" t="s">
        <v>15304</v>
      </c>
      <c r="B4124" t="s">
        <v>10</v>
      </c>
      <c r="C4124" t="s">
        <v>15305</v>
      </c>
      <c r="D4124" t="s">
        <v>15230</v>
      </c>
      <c r="E4124" t="s">
        <v>6798</v>
      </c>
      <c r="F4124" t="s">
        <v>28</v>
      </c>
      <c r="G4124" t="s">
        <v>15306</v>
      </c>
      <c r="H4124" t="s">
        <v>30</v>
      </c>
      <c r="I4124" t="b">
        <f>COUNTIF(Estadísticas!I:I,'centraldecomunicacion.es'!H4124)&gt;0</f>
        <v>0</v>
      </c>
    </row>
    <row r="4125" spans="1:9">
      <c r="A4125" t="s">
        <v>15307</v>
      </c>
      <c r="B4125" t="s">
        <v>10</v>
      </c>
      <c r="C4125" t="s">
        <v>15308</v>
      </c>
      <c r="D4125" t="s">
        <v>15241</v>
      </c>
      <c r="E4125" t="s">
        <v>6798</v>
      </c>
      <c r="F4125" t="s">
        <v>15309</v>
      </c>
      <c r="G4125" t="s">
        <v>15310</v>
      </c>
      <c r="H4125" t="s">
        <v>15311</v>
      </c>
      <c r="I4125" t="b">
        <f>COUNTIF(Estadísticas!I:I,'centraldecomunicacion.es'!H4125)&gt;0</f>
        <v>0</v>
      </c>
    </row>
    <row r="4126" spans="1:9">
      <c r="A4126" t="s">
        <v>15312</v>
      </c>
      <c r="B4126" t="s">
        <v>10</v>
      </c>
      <c r="C4126" t="s">
        <v>15313</v>
      </c>
      <c r="D4126" t="s">
        <v>15314</v>
      </c>
      <c r="E4126" t="s">
        <v>6798</v>
      </c>
      <c r="F4126" t="s">
        <v>28</v>
      </c>
      <c r="G4126" t="s">
        <v>15315</v>
      </c>
      <c r="H4126" t="s">
        <v>30</v>
      </c>
      <c r="I4126" t="b">
        <f>COUNTIF(Estadísticas!I:I,'centraldecomunicacion.es'!H4126)&gt;0</f>
        <v>0</v>
      </c>
    </row>
    <row r="4127" spans="1:9">
      <c r="A4127" t="s">
        <v>15316</v>
      </c>
      <c r="B4127" t="s">
        <v>10</v>
      </c>
      <c r="C4127" t="s">
        <v>15317</v>
      </c>
      <c r="D4127" t="s">
        <v>15318</v>
      </c>
      <c r="E4127" t="s">
        <v>6798</v>
      </c>
      <c r="F4127" t="s">
        <v>15319</v>
      </c>
      <c r="G4127" t="s">
        <v>15320</v>
      </c>
      <c r="H4127" t="s">
        <v>30</v>
      </c>
      <c r="I4127" t="b">
        <f>COUNTIF(Estadísticas!I:I,'centraldecomunicacion.es'!H4127)&gt;0</f>
        <v>0</v>
      </c>
    </row>
    <row r="4128" spans="1:9">
      <c r="A4128" t="s">
        <v>15321</v>
      </c>
      <c r="B4128" t="s">
        <v>10</v>
      </c>
      <c r="C4128" t="s">
        <v>15322</v>
      </c>
      <c r="D4128" t="s">
        <v>15318</v>
      </c>
      <c r="E4128" t="s">
        <v>6798</v>
      </c>
      <c r="F4128" t="s">
        <v>28</v>
      </c>
      <c r="G4128" t="s">
        <v>15323</v>
      </c>
      <c r="H4128" t="s">
        <v>30</v>
      </c>
      <c r="I4128" t="b">
        <f>COUNTIF(Estadísticas!I:I,'centraldecomunicacion.es'!H4128)&gt;0</f>
        <v>0</v>
      </c>
    </row>
    <row r="4129" spans="1:9">
      <c r="A4129" t="s">
        <v>15324</v>
      </c>
      <c r="B4129" t="s">
        <v>10</v>
      </c>
      <c r="C4129" t="s">
        <v>15325</v>
      </c>
      <c r="D4129" t="s">
        <v>15326</v>
      </c>
      <c r="E4129" t="s">
        <v>6798</v>
      </c>
      <c r="F4129" t="s">
        <v>38</v>
      </c>
      <c r="G4129" t="s">
        <v>15327</v>
      </c>
      <c r="H4129" t="s">
        <v>30</v>
      </c>
      <c r="I4129" t="b">
        <f>COUNTIF(Estadísticas!I:I,'centraldecomunicacion.es'!H4129)&gt;0</f>
        <v>0</v>
      </c>
    </row>
    <row r="4130" spans="1:9">
      <c r="A4130" t="s">
        <v>15328</v>
      </c>
      <c r="B4130" t="s">
        <v>10</v>
      </c>
      <c r="C4130" t="s">
        <v>15329</v>
      </c>
      <c r="D4130" t="s">
        <v>15330</v>
      </c>
      <c r="E4130" t="s">
        <v>6798</v>
      </c>
      <c r="F4130" t="s">
        <v>15331</v>
      </c>
      <c r="G4130" t="s">
        <v>15332</v>
      </c>
      <c r="H4130" t="s">
        <v>30</v>
      </c>
      <c r="I4130" t="b">
        <f>COUNTIF(Estadísticas!I:I,'centraldecomunicacion.es'!H4130)&gt;0</f>
        <v>0</v>
      </c>
    </row>
    <row r="4131" spans="1:9">
      <c r="A4131" t="s">
        <v>15333</v>
      </c>
      <c r="B4131" t="s">
        <v>10</v>
      </c>
      <c r="C4131" t="s">
        <v>15334</v>
      </c>
      <c r="D4131" t="s">
        <v>15335</v>
      </c>
      <c r="E4131" t="s">
        <v>6798</v>
      </c>
      <c r="F4131" t="s">
        <v>38</v>
      </c>
      <c r="G4131" t="s">
        <v>15336</v>
      </c>
      <c r="H4131" t="s">
        <v>30</v>
      </c>
      <c r="I4131" t="b">
        <f>COUNTIF(Estadísticas!I:I,'centraldecomunicacion.es'!H4131)&gt;0</f>
        <v>0</v>
      </c>
    </row>
    <row r="4132" spans="1:9">
      <c r="A4132" t="s">
        <v>15337</v>
      </c>
      <c r="B4132" t="s">
        <v>10</v>
      </c>
      <c r="C4132" t="s">
        <v>15338</v>
      </c>
      <c r="D4132" t="s">
        <v>15335</v>
      </c>
      <c r="E4132" t="s">
        <v>6798</v>
      </c>
      <c r="F4132" t="s">
        <v>28</v>
      </c>
      <c r="G4132" t="s">
        <v>15339</v>
      </c>
      <c r="H4132" t="s">
        <v>30</v>
      </c>
      <c r="I4132" t="b">
        <f>COUNTIF(Estadísticas!I:I,'centraldecomunicacion.es'!H4132)&gt;0</f>
        <v>0</v>
      </c>
    </row>
    <row r="4133" spans="1:9">
      <c r="A4133" t="s">
        <v>15340</v>
      </c>
      <c r="B4133" t="s">
        <v>10</v>
      </c>
      <c r="C4133" t="s">
        <v>15341</v>
      </c>
      <c r="D4133" t="s">
        <v>15342</v>
      </c>
      <c r="E4133" t="s">
        <v>6798</v>
      </c>
      <c r="F4133" t="s">
        <v>28</v>
      </c>
      <c r="G4133" t="s">
        <v>15343</v>
      </c>
      <c r="H4133" t="s">
        <v>30</v>
      </c>
      <c r="I4133" t="b">
        <f>COUNTIF(Estadísticas!I:I,'centraldecomunicacion.es'!H4133)&gt;0</f>
        <v>0</v>
      </c>
    </row>
    <row r="4134" spans="1:9">
      <c r="A4134" t="s">
        <v>15344</v>
      </c>
      <c r="B4134" t="s">
        <v>6504</v>
      </c>
      <c r="C4134" t="s">
        <v>15345</v>
      </c>
      <c r="D4134" t="s">
        <v>15346</v>
      </c>
      <c r="E4134" t="s">
        <v>6798</v>
      </c>
      <c r="F4134" t="s">
        <v>15347</v>
      </c>
      <c r="G4134" t="s">
        <v>15348</v>
      </c>
      <c r="H4134" t="s">
        <v>15349</v>
      </c>
      <c r="I4134" t="b">
        <f>COUNTIF(Estadísticas!I:I,'centraldecomunicacion.es'!H4134)&gt;0</f>
        <v>0</v>
      </c>
    </row>
    <row r="4135" spans="1:9">
      <c r="A4135" t="s">
        <v>15350</v>
      </c>
      <c r="B4135" t="s">
        <v>10</v>
      </c>
      <c r="C4135" t="s">
        <v>15351</v>
      </c>
      <c r="D4135" t="s">
        <v>15352</v>
      </c>
      <c r="E4135" t="s">
        <v>6798</v>
      </c>
      <c r="F4135" t="s">
        <v>15353</v>
      </c>
      <c r="G4135" t="s">
        <v>15354</v>
      </c>
      <c r="H4135" t="s">
        <v>30</v>
      </c>
      <c r="I4135" t="b">
        <f>COUNTIF(Estadísticas!I:I,'centraldecomunicacion.es'!H4135)&gt;0</f>
        <v>0</v>
      </c>
    </row>
    <row r="4136" spans="1:9">
      <c r="A4136" t="s">
        <v>15355</v>
      </c>
      <c r="B4136" t="s">
        <v>10</v>
      </c>
      <c r="C4136" t="s">
        <v>15356</v>
      </c>
      <c r="D4136" t="s">
        <v>15357</v>
      </c>
      <c r="E4136" t="s">
        <v>6798</v>
      </c>
      <c r="F4136" t="s">
        <v>38</v>
      </c>
      <c r="G4136" t="s">
        <v>15358</v>
      </c>
      <c r="H4136" t="s">
        <v>30</v>
      </c>
      <c r="I4136" t="b">
        <f>COUNTIF(Estadísticas!I:I,'centraldecomunicacion.es'!H4136)&gt;0</f>
        <v>0</v>
      </c>
    </row>
    <row r="4137" spans="1:9">
      <c r="A4137" t="s">
        <v>15359</v>
      </c>
      <c r="B4137" t="s">
        <v>10</v>
      </c>
      <c r="C4137" t="s">
        <v>15360</v>
      </c>
      <c r="D4137" t="s">
        <v>15352</v>
      </c>
      <c r="E4137" t="s">
        <v>6798</v>
      </c>
      <c r="F4137" t="s">
        <v>28</v>
      </c>
      <c r="G4137" t="s">
        <v>15361</v>
      </c>
      <c r="H4137" t="s">
        <v>30</v>
      </c>
      <c r="I4137" t="b">
        <f>COUNTIF(Estadísticas!I:I,'centraldecomunicacion.es'!H4137)&gt;0</f>
        <v>0</v>
      </c>
    </row>
    <row r="4138" spans="1:9">
      <c r="A4138" t="s">
        <v>15362</v>
      </c>
      <c r="B4138" t="s">
        <v>10</v>
      </c>
      <c r="C4138" t="s">
        <v>15363</v>
      </c>
      <c r="D4138" t="s">
        <v>15364</v>
      </c>
      <c r="E4138" t="s">
        <v>6798</v>
      </c>
      <c r="F4138" t="s">
        <v>28</v>
      </c>
      <c r="G4138" t="s">
        <v>15365</v>
      </c>
      <c r="H4138" t="s">
        <v>30</v>
      </c>
      <c r="I4138" t="b">
        <f>COUNTIF(Estadísticas!I:I,'centraldecomunicacion.es'!H4138)&gt;0</f>
        <v>0</v>
      </c>
    </row>
    <row r="4139" spans="1:9">
      <c r="A4139" t="s">
        <v>15366</v>
      </c>
      <c r="B4139" t="s">
        <v>10</v>
      </c>
      <c r="C4139" t="s">
        <v>15367</v>
      </c>
      <c r="D4139" t="s">
        <v>15352</v>
      </c>
      <c r="E4139" t="s">
        <v>6798</v>
      </c>
      <c r="F4139" t="s">
        <v>15368</v>
      </c>
      <c r="G4139" t="s">
        <v>15369</v>
      </c>
      <c r="H4139" t="s">
        <v>15370</v>
      </c>
      <c r="I4139" t="b">
        <f>COUNTIF(Estadísticas!I:I,'centraldecomunicacion.es'!H4139)&gt;0</f>
        <v>0</v>
      </c>
    </row>
    <row r="4140" spans="1:9">
      <c r="A4140" t="s">
        <v>10022</v>
      </c>
      <c r="B4140" t="s">
        <v>10</v>
      </c>
      <c r="C4140" t="s">
        <v>15371</v>
      </c>
      <c r="D4140" t="s">
        <v>15372</v>
      </c>
      <c r="E4140" t="s">
        <v>6798</v>
      </c>
      <c r="F4140" t="s">
        <v>15373</v>
      </c>
      <c r="G4140" t="s">
        <v>15374</v>
      </c>
      <c r="H4140" t="s">
        <v>30</v>
      </c>
      <c r="I4140" t="b">
        <f>COUNTIF(Estadísticas!I:I,'centraldecomunicacion.es'!H4140)&gt;0</f>
        <v>0</v>
      </c>
    </row>
    <row r="4141" spans="1:9">
      <c r="A4141" t="s">
        <v>15375</v>
      </c>
      <c r="B4141" t="s">
        <v>10</v>
      </c>
      <c r="C4141" t="s">
        <v>15376</v>
      </c>
      <c r="D4141" t="s">
        <v>15372</v>
      </c>
      <c r="E4141" t="s">
        <v>6798</v>
      </c>
      <c r="F4141" t="s">
        <v>15377</v>
      </c>
      <c r="G4141" t="s">
        <v>15378</v>
      </c>
      <c r="H4141" t="s">
        <v>15379</v>
      </c>
      <c r="I4141" t="b">
        <f>COUNTIF(Estadísticas!I:I,'centraldecomunicacion.es'!H4141)&gt;0</f>
        <v>0</v>
      </c>
    </row>
    <row r="4142" spans="1:9">
      <c r="A4142" t="s">
        <v>15380</v>
      </c>
      <c r="B4142" t="s">
        <v>10</v>
      </c>
      <c r="C4142" t="s">
        <v>15381</v>
      </c>
      <c r="D4142" t="s">
        <v>15364</v>
      </c>
      <c r="E4142" t="s">
        <v>6798</v>
      </c>
      <c r="F4142" t="s">
        <v>50</v>
      </c>
      <c r="G4142" t="s">
        <v>15382</v>
      </c>
      <c r="H4142" t="s">
        <v>30</v>
      </c>
      <c r="I4142" t="b">
        <f>COUNTIF(Estadísticas!I:I,'centraldecomunicacion.es'!H4142)&gt;0</f>
        <v>0</v>
      </c>
    </row>
    <row r="4143" spans="1:9">
      <c r="A4143" t="s">
        <v>15383</v>
      </c>
      <c r="B4143" t="s">
        <v>10</v>
      </c>
      <c r="C4143" t="s">
        <v>15384</v>
      </c>
      <c r="D4143" t="s">
        <v>15372</v>
      </c>
      <c r="E4143" t="s">
        <v>6798</v>
      </c>
      <c r="F4143" t="s">
        <v>15385</v>
      </c>
      <c r="G4143" t="s">
        <v>15386</v>
      </c>
      <c r="H4143" t="s">
        <v>15387</v>
      </c>
      <c r="I4143" t="b">
        <f>COUNTIF(Estadísticas!I:I,'centraldecomunicacion.es'!H4143)&gt;0</f>
        <v>0</v>
      </c>
    </row>
    <row r="4144" spans="1:9">
      <c r="A4144" t="s">
        <v>15388</v>
      </c>
      <c r="B4144" t="s">
        <v>10</v>
      </c>
      <c r="C4144" t="s">
        <v>15389</v>
      </c>
      <c r="D4144" t="s">
        <v>15330</v>
      </c>
      <c r="E4144" t="s">
        <v>6798</v>
      </c>
      <c r="F4144" t="s">
        <v>15390</v>
      </c>
      <c r="G4144" t="s">
        <v>15391</v>
      </c>
      <c r="H4144" t="s">
        <v>15392</v>
      </c>
      <c r="I4144" t="b">
        <f>COUNTIF(Estadísticas!I:I,'centraldecomunicacion.es'!H4144)&gt;0</f>
        <v>1</v>
      </c>
    </row>
    <row r="4145" spans="1:9">
      <c r="A4145" t="s">
        <v>15393</v>
      </c>
      <c r="B4145" t="s">
        <v>10</v>
      </c>
      <c r="C4145" t="s">
        <v>15394</v>
      </c>
      <c r="D4145" t="s">
        <v>15335</v>
      </c>
      <c r="E4145" t="s">
        <v>6798</v>
      </c>
      <c r="F4145" t="s">
        <v>28</v>
      </c>
      <c r="G4145" t="s">
        <v>15395</v>
      </c>
      <c r="H4145" t="s">
        <v>30</v>
      </c>
      <c r="I4145" t="b">
        <f>COUNTIF(Estadísticas!I:I,'centraldecomunicacion.es'!H4145)&gt;0</f>
        <v>0</v>
      </c>
    </row>
    <row r="4146" spans="1:9">
      <c r="A4146" t="s">
        <v>15396</v>
      </c>
      <c r="B4146" t="s">
        <v>10</v>
      </c>
      <c r="C4146" t="s">
        <v>15397</v>
      </c>
      <c r="D4146" t="s">
        <v>15372</v>
      </c>
      <c r="E4146" t="s">
        <v>6798</v>
      </c>
      <c r="F4146" t="s">
        <v>28</v>
      </c>
      <c r="G4146" t="s">
        <v>15398</v>
      </c>
      <c r="H4146" t="s">
        <v>30</v>
      </c>
      <c r="I4146" t="b">
        <f>COUNTIF(Estadísticas!I:I,'centraldecomunicacion.es'!H4146)&gt;0</f>
        <v>0</v>
      </c>
    </row>
    <row r="4147" spans="1:9">
      <c r="A4147" t="s">
        <v>15399</v>
      </c>
      <c r="B4147" t="s">
        <v>10</v>
      </c>
      <c r="C4147" t="s">
        <v>15400</v>
      </c>
      <c r="D4147" t="s">
        <v>15401</v>
      </c>
      <c r="E4147" t="s">
        <v>6798</v>
      </c>
      <c r="F4147" t="s">
        <v>28</v>
      </c>
      <c r="G4147" t="s">
        <v>15402</v>
      </c>
      <c r="H4147" t="s">
        <v>30</v>
      </c>
      <c r="I4147" t="b">
        <f>COUNTIF(Estadísticas!I:I,'centraldecomunicacion.es'!H4147)&gt;0</f>
        <v>0</v>
      </c>
    </row>
    <row r="4148" spans="1:9">
      <c r="A4148" t="s">
        <v>15403</v>
      </c>
      <c r="B4148" t="s">
        <v>10</v>
      </c>
      <c r="C4148" t="s">
        <v>15404</v>
      </c>
      <c r="D4148" t="s">
        <v>15372</v>
      </c>
      <c r="E4148" t="s">
        <v>6798</v>
      </c>
      <c r="F4148" t="s">
        <v>15405</v>
      </c>
      <c r="G4148" t="s">
        <v>15406</v>
      </c>
      <c r="H4148" t="s">
        <v>30</v>
      </c>
      <c r="I4148" t="b">
        <f>COUNTIF(Estadísticas!I:I,'centraldecomunicacion.es'!H4148)&gt;0</f>
        <v>0</v>
      </c>
    </row>
    <row r="4149" spans="1:9">
      <c r="A4149" t="s">
        <v>13521</v>
      </c>
      <c r="B4149" t="s">
        <v>10</v>
      </c>
      <c r="C4149" t="s">
        <v>15407</v>
      </c>
      <c r="D4149" t="s">
        <v>15372</v>
      </c>
      <c r="E4149" t="s">
        <v>6798</v>
      </c>
      <c r="F4149" t="s">
        <v>50</v>
      </c>
      <c r="G4149" t="s">
        <v>15408</v>
      </c>
      <c r="H4149" t="s">
        <v>30</v>
      </c>
      <c r="I4149" t="b">
        <f>COUNTIF(Estadísticas!I:I,'centraldecomunicacion.es'!H4149)&gt;0</f>
        <v>0</v>
      </c>
    </row>
    <row r="4150" spans="1:9">
      <c r="A4150" t="s">
        <v>5197</v>
      </c>
      <c r="B4150" t="s">
        <v>10</v>
      </c>
      <c r="C4150" t="s">
        <v>15409</v>
      </c>
      <c r="D4150" t="s">
        <v>15401</v>
      </c>
      <c r="E4150" t="s">
        <v>6798</v>
      </c>
      <c r="F4150" t="s">
        <v>28</v>
      </c>
      <c r="G4150" t="s">
        <v>28</v>
      </c>
      <c r="H4150" t="s">
        <v>30</v>
      </c>
      <c r="I4150" t="b">
        <f>COUNTIF(Estadísticas!I:I,'centraldecomunicacion.es'!H4150)&gt;0</f>
        <v>0</v>
      </c>
    </row>
    <row r="4151" spans="1:9">
      <c r="A4151" t="s">
        <v>15410</v>
      </c>
      <c r="B4151" t="s">
        <v>10</v>
      </c>
      <c r="C4151" t="s">
        <v>15411</v>
      </c>
      <c r="D4151" t="s">
        <v>15412</v>
      </c>
      <c r="E4151" t="s">
        <v>6798</v>
      </c>
      <c r="F4151" t="s">
        <v>28</v>
      </c>
      <c r="G4151" t="s">
        <v>15413</v>
      </c>
      <c r="H4151" t="s">
        <v>30</v>
      </c>
      <c r="I4151" t="b">
        <f>COUNTIF(Estadísticas!I:I,'centraldecomunicacion.es'!H4151)&gt;0</f>
        <v>0</v>
      </c>
    </row>
    <row r="4152" spans="1:9">
      <c r="A4152" t="s">
        <v>15414</v>
      </c>
      <c r="B4152" t="s">
        <v>10</v>
      </c>
      <c r="C4152" t="s">
        <v>15415</v>
      </c>
      <c r="D4152" t="s">
        <v>15416</v>
      </c>
      <c r="E4152" t="s">
        <v>6798</v>
      </c>
      <c r="F4152" t="s">
        <v>28</v>
      </c>
      <c r="G4152" t="s">
        <v>15417</v>
      </c>
      <c r="H4152" t="s">
        <v>30</v>
      </c>
      <c r="I4152" t="b">
        <f>COUNTIF(Estadísticas!I:I,'centraldecomunicacion.es'!H4152)&gt;0</f>
        <v>0</v>
      </c>
    </row>
    <row r="4153" spans="1:9">
      <c r="A4153" t="s">
        <v>15418</v>
      </c>
      <c r="B4153" t="s">
        <v>10</v>
      </c>
      <c r="C4153" t="s">
        <v>15419</v>
      </c>
      <c r="D4153" t="s">
        <v>15318</v>
      </c>
      <c r="E4153" t="s">
        <v>6798</v>
      </c>
      <c r="F4153" t="s">
        <v>15420</v>
      </c>
      <c r="G4153" t="s">
        <v>28</v>
      </c>
      <c r="H4153" t="s">
        <v>30</v>
      </c>
      <c r="I4153" t="b">
        <f>COUNTIF(Estadísticas!I:I,'centraldecomunicacion.es'!H4153)&gt;0</f>
        <v>0</v>
      </c>
    </row>
    <row r="4154" spans="1:9">
      <c r="A4154" t="s">
        <v>15421</v>
      </c>
      <c r="B4154" t="s">
        <v>10</v>
      </c>
      <c r="C4154" t="s">
        <v>15422</v>
      </c>
      <c r="D4154" t="s">
        <v>6797</v>
      </c>
      <c r="E4154" t="s">
        <v>6798</v>
      </c>
      <c r="F4154" t="s">
        <v>28</v>
      </c>
      <c r="G4154" t="s">
        <v>15423</v>
      </c>
      <c r="H4154" t="s">
        <v>30</v>
      </c>
      <c r="I4154" t="b">
        <f>COUNTIF(Estadísticas!I:I,'centraldecomunicacion.es'!H4154)&gt;0</f>
        <v>0</v>
      </c>
    </row>
    <row r="4155" spans="1:9">
      <c r="A4155" t="s">
        <v>15424</v>
      </c>
      <c r="B4155" t="s">
        <v>10</v>
      </c>
      <c r="C4155" t="s">
        <v>15425</v>
      </c>
      <c r="D4155" t="s">
        <v>15426</v>
      </c>
      <c r="E4155" t="s">
        <v>6798</v>
      </c>
      <c r="F4155" t="s">
        <v>28</v>
      </c>
      <c r="G4155" t="s">
        <v>15427</v>
      </c>
      <c r="H4155" t="s">
        <v>30</v>
      </c>
      <c r="I4155" t="b">
        <f>COUNTIF(Estadísticas!I:I,'centraldecomunicacion.es'!H4155)&gt;0</f>
        <v>0</v>
      </c>
    </row>
    <row r="4156" spans="1:9">
      <c r="A4156" t="s">
        <v>15428</v>
      </c>
      <c r="B4156" t="s">
        <v>10</v>
      </c>
      <c r="C4156" t="s">
        <v>15429</v>
      </c>
      <c r="D4156" t="s">
        <v>6797</v>
      </c>
      <c r="E4156" t="s">
        <v>6798</v>
      </c>
      <c r="F4156" t="s">
        <v>28</v>
      </c>
      <c r="G4156" t="s">
        <v>28</v>
      </c>
      <c r="H4156" t="s">
        <v>30</v>
      </c>
      <c r="I4156" t="b">
        <f>COUNTIF(Estadísticas!I:I,'centraldecomunicacion.es'!H4156)&gt;0</f>
        <v>0</v>
      </c>
    </row>
    <row r="4157" spans="1:9">
      <c r="A4157" t="s">
        <v>15430</v>
      </c>
      <c r="B4157" t="s">
        <v>10</v>
      </c>
      <c r="C4157" t="s">
        <v>15431</v>
      </c>
      <c r="D4157" t="s">
        <v>15432</v>
      </c>
      <c r="E4157" t="s">
        <v>6786</v>
      </c>
      <c r="F4157" t="s">
        <v>15433</v>
      </c>
      <c r="G4157" t="s">
        <v>15434</v>
      </c>
      <c r="H4157" t="s">
        <v>11689</v>
      </c>
      <c r="I4157" t="b">
        <f>COUNTIF(Estadísticas!I:I,'centraldecomunicacion.es'!H4157)&gt;0</f>
        <v>0</v>
      </c>
    </row>
    <row r="4158" spans="1:9">
      <c r="A4158" t="s">
        <v>15435</v>
      </c>
      <c r="B4158" t="s">
        <v>10</v>
      </c>
      <c r="C4158" t="s">
        <v>15436</v>
      </c>
      <c r="D4158" t="s">
        <v>15412</v>
      </c>
      <c r="E4158" t="s">
        <v>6798</v>
      </c>
      <c r="F4158" t="s">
        <v>12478</v>
      </c>
      <c r="G4158" t="s">
        <v>15437</v>
      </c>
      <c r="H4158" t="s">
        <v>30</v>
      </c>
      <c r="I4158" t="b">
        <f>COUNTIF(Estadísticas!I:I,'centraldecomunicacion.es'!H4158)&gt;0</f>
        <v>0</v>
      </c>
    </row>
    <row r="4159" spans="1:9">
      <c r="A4159" t="s">
        <v>15438</v>
      </c>
      <c r="B4159" t="s">
        <v>10</v>
      </c>
      <c r="C4159" t="s">
        <v>15439</v>
      </c>
      <c r="D4159" t="s">
        <v>6797</v>
      </c>
      <c r="E4159" t="s">
        <v>6798</v>
      </c>
      <c r="F4159" t="s">
        <v>28</v>
      </c>
      <c r="G4159" t="s">
        <v>15440</v>
      </c>
      <c r="H4159" t="s">
        <v>30</v>
      </c>
      <c r="I4159" t="b">
        <f>COUNTIF(Estadísticas!I:I,'centraldecomunicacion.es'!H4159)&gt;0</f>
        <v>0</v>
      </c>
    </row>
    <row r="4160" spans="1:9">
      <c r="A4160" t="s">
        <v>15441</v>
      </c>
      <c r="B4160" t="s">
        <v>10</v>
      </c>
      <c r="C4160" t="s">
        <v>6796</v>
      </c>
      <c r="D4160" t="s">
        <v>6797</v>
      </c>
      <c r="E4160" t="s">
        <v>6798</v>
      </c>
      <c r="F4160" t="s">
        <v>15442</v>
      </c>
      <c r="G4160" t="s">
        <v>15443</v>
      </c>
      <c r="H4160" t="s">
        <v>15444</v>
      </c>
      <c r="I4160" t="b">
        <f>COUNTIF(Estadísticas!I:I,'centraldecomunicacion.es'!H4160)&gt;0</f>
        <v>0</v>
      </c>
    </row>
    <row r="4161" spans="1:9">
      <c r="A4161" t="s">
        <v>15445</v>
      </c>
      <c r="B4161" t="s">
        <v>10</v>
      </c>
      <c r="C4161" t="s">
        <v>15446</v>
      </c>
      <c r="D4161" t="s">
        <v>6797</v>
      </c>
      <c r="E4161" t="s">
        <v>6798</v>
      </c>
      <c r="F4161" t="s">
        <v>28</v>
      </c>
      <c r="G4161" t="s">
        <v>15447</v>
      </c>
      <c r="H4161" t="s">
        <v>30</v>
      </c>
      <c r="I4161" t="b">
        <f>COUNTIF(Estadísticas!I:I,'centraldecomunicacion.es'!H4161)&gt;0</f>
        <v>0</v>
      </c>
    </row>
    <row r="4162" spans="1:9">
      <c r="A4162" t="s">
        <v>15448</v>
      </c>
      <c r="B4162" t="s">
        <v>10</v>
      </c>
      <c r="C4162" t="s">
        <v>15449</v>
      </c>
      <c r="D4162" t="s">
        <v>15450</v>
      </c>
      <c r="E4162" t="s">
        <v>6798</v>
      </c>
      <c r="F4162" t="s">
        <v>15451</v>
      </c>
      <c r="G4162" t="s">
        <v>15452</v>
      </c>
      <c r="H4162" t="s">
        <v>15453</v>
      </c>
      <c r="I4162" t="b">
        <f>COUNTIF(Estadísticas!I:I,'centraldecomunicacion.es'!H4162)&gt;0</f>
        <v>1</v>
      </c>
    </row>
    <row r="4163" spans="1:9">
      <c r="A4163" t="s">
        <v>15454</v>
      </c>
      <c r="B4163" t="s">
        <v>10</v>
      </c>
      <c r="C4163" t="s">
        <v>15455</v>
      </c>
      <c r="D4163" t="s">
        <v>15450</v>
      </c>
      <c r="E4163" t="s">
        <v>6798</v>
      </c>
      <c r="F4163" t="s">
        <v>28</v>
      </c>
      <c r="G4163" t="s">
        <v>15456</v>
      </c>
      <c r="H4163" t="s">
        <v>30</v>
      </c>
      <c r="I4163" t="b">
        <f>COUNTIF(Estadísticas!I:I,'centraldecomunicacion.es'!H4163)&gt;0</f>
        <v>0</v>
      </c>
    </row>
    <row r="4164" spans="1:9">
      <c r="A4164" t="s">
        <v>15457</v>
      </c>
      <c r="B4164" t="s">
        <v>6504</v>
      </c>
      <c r="C4164" t="s">
        <v>28</v>
      </c>
      <c r="D4164" t="s">
        <v>15069</v>
      </c>
      <c r="E4164" t="s">
        <v>28</v>
      </c>
      <c r="F4164" t="s">
        <v>15458</v>
      </c>
      <c r="G4164" t="s">
        <v>15459</v>
      </c>
      <c r="H4164" t="s">
        <v>30</v>
      </c>
      <c r="I4164" t="b">
        <f>COUNTIF(Estadísticas!I:I,'centraldecomunicacion.es'!H4164)&gt;0</f>
        <v>0</v>
      </c>
    </row>
    <row r="4165" spans="1:9">
      <c r="A4165" t="s">
        <v>15460</v>
      </c>
      <c r="B4165" t="s">
        <v>10</v>
      </c>
      <c r="C4165" t="s">
        <v>15461</v>
      </c>
      <c r="D4165" t="s">
        <v>15412</v>
      </c>
      <c r="E4165" t="s">
        <v>6798</v>
      </c>
      <c r="F4165" t="s">
        <v>28</v>
      </c>
      <c r="G4165" t="s">
        <v>15462</v>
      </c>
      <c r="H4165" t="s">
        <v>30</v>
      </c>
      <c r="I4165" t="b">
        <f>COUNTIF(Estadísticas!I:I,'centraldecomunicacion.es'!H4165)&gt;0</f>
        <v>0</v>
      </c>
    </row>
    <row r="4166" spans="1:9">
      <c r="A4166" t="s">
        <v>15463</v>
      </c>
      <c r="B4166" t="s">
        <v>10</v>
      </c>
      <c r="C4166" t="s">
        <v>15464</v>
      </c>
      <c r="D4166" t="s">
        <v>15465</v>
      </c>
      <c r="E4166" t="s">
        <v>3544</v>
      </c>
      <c r="F4166" t="s">
        <v>15466</v>
      </c>
      <c r="G4166" t="s">
        <v>15467</v>
      </c>
      <c r="H4166" t="s">
        <v>30</v>
      </c>
      <c r="I4166" t="b">
        <f>COUNTIF(Estadísticas!I:I,'centraldecomunicacion.es'!H4166)&gt;0</f>
        <v>0</v>
      </c>
    </row>
    <row r="4167" spans="1:9">
      <c r="A4167" t="s">
        <v>15468</v>
      </c>
      <c r="B4167" t="s">
        <v>10</v>
      </c>
      <c r="C4167" t="s">
        <v>15469</v>
      </c>
      <c r="D4167" t="s">
        <v>15465</v>
      </c>
      <c r="E4167" t="s">
        <v>3544</v>
      </c>
      <c r="F4167" t="s">
        <v>15470</v>
      </c>
      <c r="G4167" t="s">
        <v>15471</v>
      </c>
      <c r="H4167" t="s">
        <v>15472</v>
      </c>
      <c r="I4167" t="b">
        <f>COUNTIF(Estadísticas!I:I,'centraldecomunicacion.es'!H4167)&gt;0</f>
        <v>1</v>
      </c>
    </row>
    <row r="4168" spans="1:9">
      <c r="A4168" t="s">
        <v>15473</v>
      </c>
      <c r="B4168" t="s">
        <v>10</v>
      </c>
      <c r="C4168" t="s">
        <v>15474</v>
      </c>
      <c r="D4168" t="s">
        <v>15465</v>
      </c>
      <c r="E4168" t="s">
        <v>3544</v>
      </c>
      <c r="F4168" t="s">
        <v>15466</v>
      </c>
      <c r="G4168" t="s">
        <v>15475</v>
      </c>
      <c r="H4168" t="s">
        <v>30</v>
      </c>
      <c r="I4168" t="b">
        <f>COUNTIF(Estadísticas!I:I,'centraldecomunicacion.es'!H4168)&gt;0</f>
        <v>0</v>
      </c>
    </row>
    <row r="4169" spans="1:9">
      <c r="A4169" t="s">
        <v>15476</v>
      </c>
      <c r="B4169" t="s">
        <v>10</v>
      </c>
      <c r="C4169" t="s">
        <v>15477</v>
      </c>
      <c r="D4169" t="s">
        <v>15465</v>
      </c>
      <c r="E4169" t="s">
        <v>3544</v>
      </c>
      <c r="F4169" t="s">
        <v>28</v>
      </c>
      <c r="G4169" t="s">
        <v>15478</v>
      </c>
      <c r="H4169" t="s">
        <v>30</v>
      </c>
      <c r="I4169" t="b">
        <f>COUNTIF(Estadísticas!I:I,'centraldecomunicacion.es'!H4169)&gt;0</f>
        <v>0</v>
      </c>
    </row>
    <row r="4170" spans="1:9">
      <c r="A4170" t="s">
        <v>15479</v>
      </c>
      <c r="B4170" t="s">
        <v>10</v>
      </c>
      <c r="C4170" t="s">
        <v>15480</v>
      </c>
      <c r="D4170" t="s">
        <v>15481</v>
      </c>
      <c r="E4170" t="s">
        <v>3544</v>
      </c>
      <c r="F4170" t="s">
        <v>15482</v>
      </c>
      <c r="G4170" t="s">
        <v>15483</v>
      </c>
      <c r="H4170" t="s">
        <v>30</v>
      </c>
      <c r="I4170" t="b">
        <f>COUNTIF(Estadísticas!I:I,'centraldecomunicacion.es'!H4170)&gt;0</f>
        <v>0</v>
      </c>
    </row>
    <row r="4171" spans="1:9">
      <c r="A4171" t="s">
        <v>15484</v>
      </c>
      <c r="B4171" t="s">
        <v>10</v>
      </c>
      <c r="C4171" t="s">
        <v>15485</v>
      </c>
      <c r="D4171" t="s">
        <v>15465</v>
      </c>
      <c r="E4171" t="s">
        <v>3544</v>
      </c>
      <c r="F4171" t="s">
        <v>15486</v>
      </c>
      <c r="G4171" t="s">
        <v>15487</v>
      </c>
      <c r="H4171" t="s">
        <v>15488</v>
      </c>
      <c r="I4171" t="b">
        <f>COUNTIF(Estadísticas!I:I,'centraldecomunicacion.es'!H4171)&gt;0</f>
        <v>1</v>
      </c>
    </row>
    <row r="4172" spans="1:9">
      <c r="A4172" t="s">
        <v>15489</v>
      </c>
      <c r="B4172" t="s">
        <v>10</v>
      </c>
      <c r="C4172" t="s">
        <v>15490</v>
      </c>
      <c r="D4172" t="s">
        <v>15465</v>
      </c>
      <c r="E4172" t="s">
        <v>3544</v>
      </c>
      <c r="F4172" t="s">
        <v>15491</v>
      </c>
      <c r="G4172" t="s">
        <v>15492</v>
      </c>
      <c r="H4172" t="s">
        <v>15493</v>
      </c>
      <c r="I4172" t="b">
        <f>COUNTIF(Estadísticas!I:I,'centraldecomunicacion.es'!H4172)&gt;0</f>
        <v>0</v>
      </c>
    </row>
    <row r="4173" spans="1:9">
      <c r="A4173" t="s">
        <v>15494</v>
      </c>
      <c r="B4173" t="s">
        <v>10</v>
      </c>
      <c r="C4173" t="s">
        <v>15495</v>
      </c>
      <c r="D4173" t="s">
        <v>15496</v>
      </c>
      <c r="E4173" t="s">
        <v>3544</v>
      </c>
      <c r="F4173" t="s">
        <v>15497</v>
      </c>
      <c r="G4173" t="s">
        <v>15498</v>
      </c>
      <c r="H4173" t="s">
        <v>15499</v>
      </c>
      <c r="I4173" t="b">
        <f>COUNTIF(Estadísticas!I:I,'centraldecomunicacion.es'!H4173)&gt;0</f>
        <v>0</v>
      </c>
    </row>
    <row r="4174" spans="1:9">
      <c r="A4174" t="s">
        <v>15500</v>
      </c>
      <c r="B4174" t="s">
        <v>10</v>
      </c>
      <c r="C4174" t="s">
        <v>15501</v>
      </c>
      <c r="D4174" t="s">
        <v>15465</v>
      </c>
      <c r="E4174" t="s">
        <v>3544</v>
      </c>
      <c r="F4174" t="s">
        <v>15502</v>
      </c>
      <c r="G4174" t="s">
        <v>15503</v>
      </c>
      <c r="H4174" t="s">
        <v>30</v>
      </c>
      <c r="I4174" t="b">
        <f>COUNTIF(Estadísticas!I:I,'centraldecomunicacion.es'!H4174)&gt;0</f>
        <v>0</v>
      </c>
    </row>
    <row r="4175" spans="1:9">
      <c r="A4175" t="s">
        <v>15504</v>
      </c>
      <c r="B4175" t="s">
        <v>10</v>
      </c>
      <c r="C4175" t="s">
        <v>15505</v>
      </c>
      <c r="D4175" t="s">
        <v>15465</v>
      </c>
      <c r="E4175" t="s">
        <v>3544</v>
      </c>
      <c r="F4175" t="s">
        <v>15506</v>
      </c>
      <c r="G4175" t="s">
        <v>15507</v>
      </c>
      <c r="H4175" t="s">
        <v>30</v>
      </c>
      <c r="I4175" t="b">
        <f>COUNTIF(Estadísticas!I:I,'centraldecomunicacion.es'!H4175)&gt;0</f>
        <v>0</v>
      </c>
    </row>
    <row r="4176" spans="1:9">
      <c r="A4176" t="s">
        <v>15508</v>
      </c>
      <c r="B4176" t="s">
        <v>10</v>
      </c>
      <c r="C4176" t="s">
        <v>15509</v>
      </c>
      <c r="D4176" t="s">
        <v>15510</v>
      </c>
      <c r="E4176" t="s">
        <v>3544</v>
      </c>
      <c r="F4176" t="s">
        <v>28</v>
      </c>
      <c r="G4176" t="s">
        <v>28</v>
      </c>
      <c r="H4176" t="s">
        <v>30</v>
      </c>
      <c r="I4176" t="b">
        <f>COUNTIF(Estadísticas!I:I,'centraldecomunicacion.es'!H4176)&gt;0</f>
        <v>0</v>
      </c>
    </row>
    <row r="4177" spans="1:9">
      <c r="A4177" t="s">
        <v>15511</v>
      </c>
      <c r="B4177" t="s">
        <v>10</v>
      </c>
      <c r="C4177" t="s">
        <v>15512</v>
      </c>
      <c r="D4177" t="s">
        <v>15465</v>
      </c>
      <c r="E4177" t="s">
        <v>3544</v>
      </c>
      <c r="F4177" t="s">
        <v>15470</v>
      </c>
      <c r="G4177" t="s">
        <v>15513</v>
      </c>
      <c r="H4177" t="s">
        <v>15472</v>
      </c>
      <c r="I4177" t="b">
        <f>COUNTIF(Estadísticas!I:I,'centraldecomunicacion.es'!H4177)&gt;0</f>
        <v>1</v>
      </c>
    </row>
    <row r="4178" spans="1:9">
      <c r="A4178" t="s">
        <v>12886</v>
      </c>
      <c r="B4178" t="s">
        <v>10</v>
      </c>
      <c r="C4178" t="s">
        <v>15514</v>
      </c>
      <c r="D4178" t="s">
        <v>15465</v>
      </c>
      <c r="E4178" t="s">
        <v>3544</v>
      </c>
      <c r="F4178" t="s">
        <v>15515</v>
      </c>
      <c r="G4178" t="s">
        <v>15516</v>
      </c>
      <c r="H4178" t="s">
        <v>15517</v>
      </c>
      <c r="I4178" t="b">
        <f>COUNTIF(Estadísticas!I:I,'centraldecomunicacion.es'!H4178)&gt;0</f>
        <v>0</v>
      </c>
    </row>
    <row r="4179" spans="1:9">
      <c r="A4179" t="s">
        <v>15518</v>
      </c>
      <c r="B4179" t="s">
        <v>10</v>
      </c>
      <c r="C4179" t="s">
        <v>15519</v>
      </c>
      <c r="D4179" t="s">
        <v>15465</v>
      </c>
      <c r="E4179" t="s">
        <v>3544</v>
      </c>
      <c r="F4179" t="s">
        <v>15520</v>
      </c>
      <c r="G4179" t="s">
        <v>15521</v>
      </c>
      <c r="H4179" t="s">
        <v>30</v>
      </c>
      <c r="I4179" t="b">
        <f>COUNTIF(Estadísticas!I:I,'centraldecomunicacion.es'!H4179)&gt;0</f>
        <v>0</v>
      </c>
    </row>
    <row r="4180" spans="1:9">
      <c r="A4180" t="s">
        <v>1306</v>
      </c>
      <c r="B4180" t="s">
        <v>10</v>
      </c>
      <c r="C4180" t="s">
        <v>15522</v>
      </c>
      <c r="D4180" t="s">
        <v>15510</v>
      </c>
      <c r="E4180" t="s">
        <v>3544</v>
      </c>
      <c r="F4180" t="s">
        <v>15523</v>
      </c>
      <c r="G4180" t="s">
        <v>15524</v>
      </c>
      <c r="H4180" t="s">
        <v>15525</v>
      </c>
      <c r="I4180" t="b">
        <f>COUNTIF(Estadísticas!I:I,'centraldecomunicacion.es'!H4180)&gt;0</f>
        <v>1</v>
      </c>
    </row>
    <row r="4181" spans="1:9">
      <c r="A4181" t="s">
        <v>15526</v>
      </c>
      <c r="B4181" t="s">
        <v>10</v>
      </c>
      <c r="C4181" t="s">
        <v>15527</v>
      </c>
      <c r="D4181" t="s">
        <v>15528</v>
      </c>
      <c r="E4181" t="s">
        <v>3544</v>
      </c>
      <c r="F4181" t="s">
        <v>15529</v>
      </c>
      <c r="G4181" t="s">
        <v>15530</v>
      </c>
      <c r="H4181" t="s">
        <v>15531</v>
      </c>
      <c r="I4181" t="b">
        <f>COUNTIF(Estadísticas!I:I,'centraldecomunicacion.es'!H4181)&gt;0</f>
        <v>1</v>
      </c>
    </row>
    <row r="4182" spans="1:9">
      <c r="A4182" t="s">
        <v>15532</v>
      </c>
      <c r="B4182" t="s">
        <v>10</v>
      </c>
      <c r="C4182" t="s">
        <v>15533</v>
      </c>
      <c r="D4182" t="s">
        <v>15465</v>
      </c>
      <c r="E4182" t="s">
        <v>3544</v>
      </c>
      <c r="F4182" t="s">
        <v>15534</v>
      </c>
      <c r="G4182" t="s">
        <v>15535</v>
      </c>
      <c r="H4182" t="s">
        <v>30</v>
      </c>
      <c r="I4182" t="b">
        <f>COUNTIF(Estadísticas!I:I,'centraldecomunicacion.es'!H4182)&gt;0</f>
        <v>0</v>
      </c>
    </row>
    <row r="4183" spans="1:9">
      <c r="A4183" t="s">
        <v>15536</v>
      </c>
      <c r="B4183" t="s">
        <v>10</v>
      </c>
      <c r="C4183" t="s">
        <v>15537</v>
      </c>
      <c r="D4183" t="s">
        <v>15465</v>
      </c>
      <c r="E4183" t="s">
        <v>3544</v>
      </c>
      <c r="F4183" t="s">
        <v>15538</v>
      </c>
      <c r="G4183" t="s">
        <v>15539</v>
      </c>
      <c r="H4183" t="s">
        <v>30</v>
      </c>
      <c r="I4183" t="b">
        <f>COUNTIF(Estadísticas!I:I,'centraldecomunicacion.es'!H4183)&gt;0</f>
        <v>0</v>
      </c>
    </row>
    <row r="4184" spans="1:9">
      <c r="A4184" t="s">
        <v>15540</v>
      </c>
      <c r="B4184" t="s">
        <v>10</v>
      </c>
      <c r="C4184" t="s">
        <v>15541</v>
      </c>
      <c r="D4184" t="s">
        <v>15465</v>
      </c>
      <c r="E4184" t="s">
        <v>3544</v>
      </c>
      <c r="F4184" t="s">
        <v>15542</v>
      </c>
      <c r="G4184" t="s">
        <v>15543</v>
      </c>
      <c r="H4184" t="s">
        <v>15544</v>
      </c>
      <c r="I4184" t="b">
        <f>COUNTIF(Estadísticas!I:I,'centraldecomunicacion.es'!H4184)&gt;0</f>
        <v>0</v>
      </c>
    </row>
    <row r="4185" spans="1:9">
      <c r="A4185" t="s">
        <v>15484</v>
      </c>
      <c r="B4185" t="s">
        <v>10</v>
      </c>
      <c r="C4185" t="s">
        <v>15545</v>
      </c>
      <c r="D4185" t="s">
        <v>15465</v>
      </c>
      <c r="E4185" t="s">
        <v>3544</v>
      </c>
      <c r="F4185" t="s">
        <v>15486</v>
      </c>
      <c r="G4185" t="s">
        <v>15546</v>
      </c>
      <c r="H4185" t="s">
        <v>15488</v>
      </c>
      <c r="I4185" t="b">
        <f>COUNTIF(Estadísticas!I:I,'centraldecomunicacion.es'!H4185)&gt;0</f>
        <v>1</v>
      </c>
    </row>
    <row r="4186" spans="1:9">
      <c r="A4186" t="s">
        <v>1920</v>
      </c>
      <c r="B4186" t="s">
        <v>10</v>
      </c>
      <c r="C4186" t="s">
        <v>15547</v>
      </c>
      <c r="D4186" t="s">
        <v>15481</v>
      </c>
      <c r="E4186" t="s">
        <v>15481</v>
      </c>
      <c r="F4186" t="s">
        <v>15548</v>
      </c>
      <c r="G4186" t="s">
        <v>15549</v>
      </c>
      <c r="H4186" t="s">
        <v>30</v>
      </c>
      <c r="I4186" t="b">
        <f>COUNTIF(Estadísticas!I:I,'centraldecomunicacion.es'!H4186)&gt;0</f>
        <v>0</v>
      </c>
    </row>
    <row r="4187" spans="1:9">
      <c r="A4187" t="s">
        <v>15550</v>
      </c>
      <c r="B4187" t="s">
        <v>10</v>
      </c>
      <c r="C4187" t="s">
        <v>15551</v>
      </c>
      <c r="D4187" t="s">
        <v>15465</v>
      </c>
      <c r="E4187" t="s">
        <v>3544</v>
      </c>
      <c r="F4187" t="s">
        <v>15470</v>
      </c>
      <c r="G4187" t="s">
        <v>15552</v>
      </c>
      <c r="H4187" t="s">
        <v>15472</v>
      </c>
      <c r="I4187" t="b">
        <f>COUNTIF(Estadísticas!I:I,'centraldecomunicacion.es'!H4187)&gt;0</f>
        <v>1</v>
      </c>
    </row>
    <row r="4188" spans="1:9">
      <c r="A4188" t="s">
        <v>15553</v>
      </c>
      <c r="B4188" t="s">
        <v>10</v>
      </c>
      <c r="C4188" t="s">
        <v>15554</v>
      </c>
      <c r="D4188" t="s">
        <v>15465</v>
      </c>
      <c r="E4188" t="s">
        <v>3544</v>
      </c>
      <c r="F4188" t="s">
        <v>15555</v>
      </c>
      <c r="G4188" t="s">
        <v>15556</v>
      </c>
      <c r="H4188" t="s">
        <v>30</v>
      </c>
      <c r="I4188" t="b">
        <f>COUNTIF(Estadísticas!I:I,'centraldecomunicacion.es'!H4188)&gt;0</f>
        <v>0</v>
      </c>
    </row>
    <row r="4189" spans="1:9">
      <c r="A4189" t="s">
        <v>15557</v>
      </c>
      <c r="B4189" t="s">
        <v>10</v>
      </c>
      <c r="C4189" t="s">
        <v>15558</v>
      </c>
      <c r="D4189" t="s">
        <v>15559</v>
      </c>
      <c r="E4189" t="s">
        <v>3544</v>
      </c>
      <c r="F4189" t="s">
        <v>15560</v>
      </c>
      <c r="G4189" t="s">
        <v>15561</v>
      </c>
      <c r="H4189" t="s">
        <v>15562</v>
      </c>
      <c r="I4189" t="b">
        <f>COUNTIF(Estadísticas!I:I,'centraldecomunicacion.es'!H4189)&gt;0</f>
        <v>0</v>
      </c>
    </row>
    <row r="4190" spans="1:9">
      <c r="A4190" t="s">
        <v>15563</v>
      </c>
      <c r="B4190" t="s">
        <v>10</v>
      </c>
      <c r="C4190" t="s">
        <v>15564</v>
      </c>
      <c r="D4190" t="s">
        <v>15565</v>
      </c>
      <c r="E4190" t="s">
        <v>3544</v>
      </c>
      <c r="F4190" t="s">
        <v>50</v>
      </c>
      <c r="G4190" t="s">
        <v>15566</v>
      </c>
      <c r="H4190" t="s">
        <v>30</v>
      </c>
      <c r="I4190" t="b">
        <f>COUNTIF(Estadísticas!I:I,'centraldecomunicacion.es'!H4190)&gt;0</f>
        <v>0</v>
      </c>
    </row>
    <row r="4191" spans="1:9">
      <c r="A4191" t="s">
        <v>15567</v>
      </c>
      <c r="B4191" t="s">
        <v>10</v>
      </c>
      <c r="C4191" t="s">
        <v>15568</v>
      </c>
      <c r="D4191" t="s">
        <v>15569</v>
      </c>
      <c r="E4191" t="s">
        <v>3544</v>
      </c>
      <c r="F4191" t="s">
        <v>15570</v>
      </c>
      <c r="G4191" t="s">
        <v>15571</v>
      </c>
      <c r="H4191" t="s">
        <v>30</v>
      </c>
      <c r="I4191" t="b">
        <f>COUNTIF(Estadísticas!I:I,'centraldecomunicacion.es'!H4191)&gt;0</f>
        <v>0</v>
      </c>
    </row>
    <row r="4192" spans="1:9">
      <c r="A4192" t="s">
        <v>15572</v>
      </c>
      <c r="B4192" t="s">
        <v>10</v>
      </c>
      <c r="C4192" t="s">
        <v>15573</v>
      </c>
      <c r="D4192" t="s">
        <v>15574</v>
      </c>
      <c r="E4192" t="s">
        <v>3544</v>
      </c>
      <c r="F4192" t="s">
        <v>15575</v>
      </c>
      <c r="G4192" t="s">
        <v>15576</v>
      </c>
      <c r="H4192" t="s">
        <v>15577</v>
      </c>
      <c r="I4192" t="b">
        <f>COUNTIF(Estadísticas!I:I,'centraldecomunicacion.es'!H4192)&gt;0</f>
        <v>0</v>
      </c>
    </row>
    <row r="4193" spans="1:9">
      <c r="A4193" t="s">
        <v>15578</v>
      </c>
      <c r="B4193" t="s">
        <v>10</v>
      </c>
      <c r="C4193" t="s">
        <v>15579</v>
      </c>
      <c r="D4193" t="s">
        <v>15580</v>
      </c>
      <c r="E4193" t="s">
        <v>3544</v>
      </c>
      <c r="F4193" t="s">
        <v>38</v>
      </c>
      <c r="G4193" t="s">
        <v>15581</v>
      </c>
      <c r="H4193" t="s">
        <v>30</v>
      </c>
      <c r="I4193" t="b">
        <f>COUNTIF(Estadísticas!I:I,'centraldecomunicacion.es'!H4193)&gt;0</f>
        <v>0</v>
      </c>
    </row>
    <row r="4194" spans="1:9">
      <c r="A4194" t="s">
        <v>15582</v>
      </c>
      <c r="B4194" t="s">
        <v>10</v>
      </c>
      <c r="C4194" t="s">
        <v>15583</v>
      </c>
      <c r="D4194" t="s">
        <v>15465</v>
      </c>
      <c r="E4194" t="s">
        <v>3544</v>
      </c>
      <c r="F4194" t="s">
        <v>15584</v>
      </c>
      <c r="G4194" t="s">
        <v>15585</v>
      </c>
      <c r="H4194" t="s">
        <v>30</v>
      </c>
      <c r="I4194" t="b">
        <f>COUNTIF(Estadísticas!I:I,'centraldecomunicacion.es'!H4194)&gt;0</f>
        <v>0</v>
      </c>
    </row>
    <row r="4195" spans="1:9">
      <c r="A4195" t="s">
        <v>15586</v>
      </c>
      <c r="B4195" t="s">
        <v>10</v>
      </c>
      <c r="C4195" t="s">
        <v>15587</v>
      </c>
      <c r="D4195" t="s">
        <v>15465</v>
      </c>
      <c r="E4195" t="s">
        <v>3544</v>
      </c>
      <c r="F4195" t="s">
        <v>15588</v>
      </c>
      <c r="G4195" t="s">
        <v>15589</v>
      </c>
      <c r="H4195" t="s">
        <v>15590</v>
      </c>
      <c r="I4195" t="b">
        <f>COUNTIF(Estadísticas!I:I,'centraldecomunicacion.es'!H4195)&gt;0</f>
        <v>0</v>
      </c>
    </row>
    <row r="4196" spans="1:9">
      <c r="A4196" t="s">
        <v>15591</v>
      </c>
      <c r="B4196" t="s">
        <v>10</v>
      </c>
      <c r="C4196" t="s">
        <v>15592</v>
      </c>
      <c r="D4196" t="s">
        <v>15465</v>
      </c>
      <c r="E4196" t="s">
        <v>3544</v>
      </c>
      <c r="F4196" t="s">
        <v>15593</v>
      </c>
      <c r="G4196" t="s">
        <v>15594</v>
      </c>
      <c r="H4196" t="s">
        <v>691</v>
      </c>
      <c r="I4196" t="b">
        <f>COUNTIF(Estadísticas!I:I,'centraldecomunicacion.es'!H4196)&gt;0</f>
        <v>0</v>
      </c>
    </row>
    <row r="4197" spans="1:9">
      <c r="A4197" t="s">
        <v>15595</v>
      </c>
      <c r="B4197" t="s">
        <v>10</v>
      </c>
      <c r="C4197" t="s">
        <v>15596</v>
      </c>
      <c r="D4197" t="s">
        <v>15528</v>
      </c>
      <c r="E4197" t="s">
        <v>3544</v>
      </c>
      <c r="F4197" t="s">
        <v>28</v>
      </c>
      <c r="G4197" t="s">
        <v>15597</v>
      </c>
      <c r="H4197" t="s">
        <v>30</v>
      </c>
      <c r="I4197" t="b">
        <f>COUNTIF(Estadísticas!I:I,'centraldecomunicacion.es'!H4197)&gt;0</f>
        <v>0</v>
      </c>
    </row>
    <row r="4198" spans="1:9">
      <c r="A4198" t="s">
        <v>15598</v>
      </c>
      <c r="B4198" t="s">
        <v>10</v>
      </c>
      <c r="C4198" t="s">
        <v>15599</v>
      </c>
      <c r="D4198" t="s">
        <v>15600</v>
      </c>
      <c r="E4198" t="s">
        <v>3544</v>
      </c>
      <c r="F4198" t="s">
        <v>28</v>
      </c>
      <c r="G4198" t="s">
        <v>15601</v>
      </c>
      <c r="H4198" t="s">
        <v>30</v>
      </c>
      <c r="I4198" t="b">
        <f>COUNTIF(Estadísticas!I:I,'centraldecomunicacion.es'!H4198)&gt;0</f>
        <v>0</v>
      </c>
    </row>
    <row r="4199" spans="1:9">
      <c r="A4199" t="s">
        <v>15602</v>
      </c>
      <c r="B4199" t="s">
        <v>10</v>
      </c>
      <c r="C4199" t="s">
        <v>15603</v>
      </c>
      <c r="D4199" t="s">
        <v>15604</v>
      </c>
      <c r="E4199" t="s">
        <v>3544</v>
      </c>
      <c r="F4199" t="s">
        <v>28</v>
      </c>
      <c r="G4199" t="s">
        <v>15605</v>
      </c>
      <c r="H4199" t="s">
        <v>30</v>
      </c>
      <c r="I4199" t="b">
        <f>COUNTIF(Estadísticas!I:I,'centraldecomunicacion.es'!H4199)&gt;0</f>
        <v>0</v>
      </c>
    </row>
    <row r="4200" spans="1:9">
      <c r="A4200" t="s">
        <v>15572</v>
      </c>
      <c r="B4200" t="s">
        <v>10</v>
      </c>
      <c r="C4200" t="s">
        <v>15606</v>
      </c>
      <c r="D4200" t="s">
        <v>15607</v>
      </c>
      <c r="E4200" t="s">
        <v>3544</v>
      </c>
      <c r="F4200" t="s">
        <v>15608</v>
      </c>
      <c r="G4200" t="s">
        <v>15609</v>
      </c>
      <c r="H4200" t="s">
        <v>15610</v>
      </c>
      <c r="I4200" t="b">
        <f>COUNTIF(Estadísticas!I:I,'centraldecomunicacion.es'!H4200)&gt;0</f>
        <v>1</v>
      </c>
    </row>
    <row r="4201" spans="1:9">
      <c r="A4201" t="s">
        <v>15611</v>
      </c>
      <c r="B4201" t="s">
        <v>10</v>
      </c>
      <c r="C4201" t="s">
        <v>15612</v>
      </c>
      <c r="D4201" t="s">
        <v>15510</v>
      </c>
      <c r="E4201" t="s">
        <v>3544</v>
      </c>
      <c r="F4201" t="s">
        <v>15613</v>
      </c>
      <c r="G4201" t="s">
        <v>15614</v>
      </c>
      <c r="H4201" t="s">
        <v>15615</v>
      </c>
      <c r="I4201" t="b">
        <f>COUNTIF(Estadísticas!I:I,'centraldecomunicacion.es'!H4201)&gt;0</f>
        <v>0</v>
      </c>
    </row>
    <row r="4202" spans="1:9">
      <c r="A4202" t="s">
        <v>15616</v>
      </c>
      <c r="B4202" t="s">
        <v>10</v>
      </c>
      <c r="C4202" t="s">
        <v>15617</v>
      </c>
      <c r="D4202" t="s">
        <v>15510</v>
      </c>
      <c r="E4202" t="s">
        <v>3544</v>
      </c>
      <c r="F4202" t="s">
        <v>15618</v>
      </c>
      <c r="G4202" t="s">
        <v>15619</v>
      </c>
      <c r="H4202" t="s">
        <v>30</v>
      </c>
      <c r="I4202" t="b">
        <f>COUNTIF(Estadísticas!I:I,'centraldecomunicacion.es'!H4202)&gt;0</f>
        <v>0</v>
      </c>
    </row>
    <row r="4203" spans="1:9">
      <c r="A4203" t="s">
        <v>2331</v>
      </c>
      <c r="B4203" t="s">
        <v>10</v>
      </c>
      <c r="C4203" t="s">
        <v>15620</v>
      </c>
      <c r="D4203" t="s">
        <v>15621</v>
      </c>
      <c r="E4203" t="s">
        <v>3544</v>
      </c>
      <c r="F4203" t="s">
        <v>15622</v>
      </c>
      <c r="G4203" t="s">
        <v>15623</v>
      </c>
      <c r="H4203" t="s">
        <v>15624</v>
      </c>
      <c r="I4203" t="b">
        <f>COUNTIF(Estadísticas!I:I,'centraldecomunicacion.es'!H4203)&gt;0</f>
        <v>0</v>
      </c>
    </row>
    <row r="4204" spans="1:9">
      <c r="A4204" t="s">
        <v>15625</v>
      </c>
      <c r="B4204" t="s">
        <v>10</v>
      </c>
      <c r="C4204" t="s">
        <v>15626</v>
      </c>
      <c r="D4204" t="s">
        <v>15465</v>
      </c>
      <c r="E4204" t="s">
        <v>3544</v>
      </c>
      <c r="F4204" t="s">
        <v>15627</v>
      </c>
      <c r="G4204" t="s">
        <v>15628</v>
      </c>
      <c r="H4204" t="s">
        <v>30</v>
      </c>
      <c r="I4204" t="b">
        <f>COUNTIF(Estadísticas!I:I,'centraldecomunicacion.es'!H4204)&gt;0</f>
        <v>0</v>
      </c>
    </row>
    <row r="4205" spans="1:9">
      <c r="A4205" t="s">
        <v>15629</v>
      </c>
      <c r="B4205" t="s">
        <v>10</v>
      </c>
      <c r="C4205" t="s">
        <v>15630</v>
      </c>
      <c r="D4205" t="s">
        <v>15465</v>
      </c>
      <c r="E4205" t="s">
        <v>3544</v>
      </c>
      <c r="F4205" t="s">
        <v>15631</v>
      </c>
      <c r="G4205" t="s">
        <v>15632</v>
      </c>
      <c r="H4205" t="s">
        <v>30</v>
      </c>
      <c r="I4205" t="b">
        <f>COUNTIF(Estadísticas!I:I,'centraldecomunicacion.es'!H4205)&gt;0</f>
        <v>0</v>
      </c>
    </row>
    <row r="4206" spans="1:9">
      <c r="A4206" t="s">
        <v>26</v>
      </c>
      <c r="B4206" t="s">
        <v>10</v>
      </c>
      <c r="C4206" t="s">
        <v>15633</v>
      </c>
      <c r="D4206" t="s">
        <v>15465</v>
      </c>
      <c r="E4206" t="s">
        <v>3544</v>
      </c>
      <c r="F4206" t="s">
        <v>28</v>
      </c>
      <c r="G4206" t="s">
        <v>396</v>
      </c>
      <c r="H4206" t="s">
        <v>30</v>
      </c>
      <c r="I4206" t="b">
        <f>COUNTIF(Estadísticas!I:I,'centraldecomunicacion.es'!H4206)&gt;0</f>
        <v>0</v>
      </c>
    </row>
    <row r="4207" spans="1:9">
      <c r="A4207" t="s">
        <v>15634</v>
      </c>
      <c r="B4207" t="s">
        <v>10</v>
      </c>
      <c r="C4207" t="s">
        <v>15635</v>
      </c>
      <c r="D4207" t="s">
        <v>15636</v>
      </c>
      <c r="E4207" t="s">
        <v>3544</v>
      </c>
      <c r="F4207" t="s">
        <v>15637</v>
      </c>
      <c r="G4207" t="s">
        <v>15638</v>
      </c>
      <c r="H4207" t="s">
        <v>15639</v>
      </c>
      <c r="I4207" t="b">
        <f>COUNTIF(Estadísticas!I:I,'centraldecomunicacion.es'!H4207)&gt;0</f>
        <v>1</v>
      </c>
    </row>
    <row r="4208" spans="1:9">
      <c r="A4208" t="s">
        <v>15640</v>
      </c>
      <c r="B4208" t="s">
        <v>10</v>
      </c>
      <c r="C4208" t="s">
        <v>15641</v>
      </c>
      <c r="D4208" t="s">
        <v>15465</v>
      </c>
      <c r="E4208" t="s">
        <v>3544</v>
      </c>
      <c r="F4208" t="s">
        <v>28</v>
      </c>
      <c r="G4208" t="s">
        <v>15642</v>
      </c>
      <c r="H4208" t="s">
        <v>30</v>
      </c>
      <c r="I4208" t="b">
        <f>COUNTIF(Estadísticas!I:I,'centraldecomunicacion.es'!H4208)&gt;0</f>
        <v>0</v>
      </c>
    </row>
    <row r="4209" spans="1:9">
      <c r="A4209" t="s">
        <v>15643</v>
      </c>
      <c r="B4209" t="s">
        <v>10</v>
      </c>
      <c r="C4209" t="s">
        <v>15644</v>
      </c>
      <c r="D4209" t="s">
        <v>15528</v>
      </c>
      <c r="E4209" t="s">
        <v>3544</v>
      </c>
      <c r="F4209" t="s">
        <v>38</v>
      </c>
      <c r="G4209" t="s">
        <v>15645</v>
      </c>
      <c r="H4209" t="s">
        <v>30</v>
      </c>
      <c r="I4209" t="b">
        <f>COUNTIF(Estadísticas!I:I,'centraldecomunicacion.es'!H4209)&gt;0</f>
        <v>0</v>
      </c>
    </row>
    <row r="4210" spans="1:9">
      <c r="A4210" t="s">
        <v>15646</v>
      </c>
      <c r="B4210" t="s">
        <v>10</v>
      </c>
      <c r="C4210" t="s">
        <v>15647</v>
      </c>
      <c r="D4210" t="s">
        <v>15648</v>
      </c>
      <c r="E4210" t="s">
        <v>3544</v>
      </c>
      <c r="F4210" t="s">
        <v>28</v>
      </c>
      <c r="G4210" t="s">
        <v>15649</v>
      </c>
      <c r="H4210" t="s">
        <v>30</v>
      </c>
      <c r="I4210" t="b">
        <f>COUNTIF(Estadísticas!I:I,'centraldecomunicacion.es'!H4210)&gt;0</f>
        <v>0</v>
      </c>
    </row>
    <row r="4211" spans="1:9">
      <c r="A4211" t="s">
        <v>15650</v>
      </c>
      <c r="B4211" t="s">
        <v>10</v>
      </c>
      <c r="C4211" t="s">
        <v>15651</v>
      </c>
      <c r="D4211" t="s">
        <v>15465</v>
      </c>
      <c r="E4211" t="s">
        <v>3544</v>
      </c>
      <c r="F4211" t="s">
        <v>15466</v>
      </c>
      <c r="G4211" t="s">
        <v>28</v>
      </c>
      <c r="H4211" t="s">
        <v>30</v>
      </c>
      <c r="I4211" t="b">
        <f>COUNTIF(Estadísticas!I:I,'centraldecomunicacion.es'!H4211)&gt;0</f>
        <v>0</v>
      </c>
    </row>
    <row r="4212" spans="1:9">
      <c r="A4212" t="s">
        <v>15494</v>
      </c>
      <c r="B4212" t="s">
        <v>10</v>
      </c>
      <c r="C4212" t="s">
        <v>15652</v>
      </c>
      <c r="D4212" t="s">
        <v>15653</v>
      </c>
      <c r="E4212" t="s">
        <v>15653</v>
      </c>
      <c r="F4212" t="s">
        <v>15497</v>
      </c>
      <c r="G4212" t="s">
        <v>15654</v>
      </c>
      <c r="H4212" t="s">
        <v>15499</v>
      </c>
      <c r="I4212" t="b">
        <f>COUNTIF(Estadísticas!I:I,'centraldecomunicacion.es'!H4212)&gt;0</f>
        <v>0</v>
      </c>
    </row>
    <row r="4213" spans="1:9">
      <c r="A4213" t="s">
        <v>15655</v>
      </c>
      <c r="B4213" t="s">
        <v>10</v>
      </c>
      <c r="C4213" t="s">
        <v>15656</v>
      </c>
      <c r="D4213" t="s">
        <v>15657</v>
      </c>
      <c r="E4213" t="s">
        <v>3544</v>
      </c>
      <c r="F4213" t="s">
        <v>15658</v>
      </c>
      <c r="G4213" t="s">
        <v>15659</v>
      </c>
      <c r="H4213" t="s">
        <v>30</v>
      </c>
      <c r="I4213" t="b">
        <f>COUNTIF(Estadísticas!I:I,'centraldecomunicacion.es'!H4213)&gt;0</f>
        <v>0</v>
      </c>
    </row>
    <row r="4214" spans="1:9">
      <c r="A4214" t="s">
        <v>5112</v>
      </c>
      <c r="B4214" t="s">
        <v>10</v>
      </c>
      <c r="C4214" t="s">
        <v>15660</v>
      </c>
      <c r="D4214" t="s">
        <v>15661</v>
      </c>
      <c r="E4214" t="s">
        <v>3544</v>
      </c>
      <c r="F4214" t="s">
        <v>15662</v>
      </c>
      <c r="G4214" t="s">
        <v>15663</v>
      </c>
      <c r="H4214" t="s">
        <v>15664</v>
      </c>
      <c r="I4214" t="b">
        <f>COUNTIF(Estadísticas!I:I,'centraldecomunicacion.es'!H4214)&gt;0</f>
        <v>1</v>
      </c>
    </row>
    <row r="4215" spans="1:9">
      <c r="A4215" t="s">
        <v>15665</v>
      </c>
      <c r="B4215" t="s">
        <v>10</v>
      </c>
      <c r="C4215" t="s">
        <v>15666</v>
      </c>
      <c r="D4215" t="s">
        <v>15667</v>
      </c>
      <c r="E4215" t="s">
        <v>3544</v>
      </c>
      <c r="F4215" t="s">
        <v>28</v>
      </c>
      <c r="G4215" t="s">
        <v>15668</v>
      </c>
      <c r="H4215" t="s">
        <v>30</v>
      </c>
      <c r="I4215" t="b">
        <f>COUNTIF(Estadísticas!I:I,'centraldecomunicacion.es'!H4215)&gt;0</f>
        <v>0</v>
      </c>
    </row>
    <row r="4216" spans="1:9">
      <c r="A4216" t="s">
        <v>15669</v>
      </c>
      <c r="B4216" t="s">
        <v>10</v>
      </c>
      <c r="C4216" t="s">
        <v>15670</v>
      </c>
      <c r="D4216" t="s">
        <v>15559</v>
      </c>
      <c r="E4216" t="s">
        <v>3544</v>
      </c>
      <c r="F4216" t="s">
        <v>15671</v>
      </c>
      <c r="G4216" t="s">
        <v>15672</v>
      </c>
      <c r="H4216" t="s">
        <v>15673</v>
      </c>
      <c r="I4216" t="b">
        <f>COUNTIF(Estadísticas!I:I,'centraldecomunicacion.es'!H4216)&gt;0</f>
        <v>0</v>
      </c>
    </row>
    <row r="4217" spans="1:9">
      <c r="A4217" t="s">
        <v>15674</v>
      </c>
      <c r="B4217" t="s">
        <v>10</v>
      </c>
      <c r="C4217" t="s">
        <v>15675</v>
      </c>
      <c r="D4217" t="s">
        <v>15676</v>
      </c>
      <c r="E4217" t="s">
        <v>3544</v>
      </c>
      <c r="F4217" t="s">
        <v>28</v>
      </c>
      <c r="G4217" t="s">
        <v>15677</v>
      </c>
      <c r="H4217" t="s">
        <v>30</v>
      </c>
      <c r="I4217" t="b">
        <f>COUNTIF(Estadísticas!I:I,'centraldecomunicacion.es'!H4217)&gt;0</f>
        <v>0</v>
      </c>
    </row>
    <row r="4218" spans="1:9">
      <c r="A4218" t="s">
        <v>15678</v>
      </c>
      <c r="B4218" t="s">
        <v>10</v>
      </c>
      <c r="C4218" t="s">
        <v>15679</v>
      </c>
      <c r="D4218" t="s">
        <v>15680</v>
      </c>
      <c r="E4218" t="s">
        <v>3544</v>
      </c>
      <c r="F4218" t="s">
        <v>28</v>
      </c>
      <c r="G4218" t="s">
        <v>15681</v>
      </c>
      <c r="H4218" t="s">
        <v>30</v>
      </c>
      <c r="I4218" t="b">
        <f>COUNTIF(Estadísticas!I:I,'centraldecomunicacion.es'!H4218)&gt;0</f>
        <v>0</v>
      </c>
    </row>
    <row r="4219" spans="1:9">
      <c r="A4219" t="s">
        <v>15682</v>
      </c>
      <c r="B4219" t="s">
        <v>10</v>
      </c>
      <c r="C4219" t="s">
        <v>15683</v>
      </c>
      <c r="D4219" t="s">
        <v>15528</v>
      </c>
      <c r="E4219" t="s">
        <v>3544</v>
      </c>
      <c r="F4219" t="s">
        <v>15684</v>
      </c>
      <c r="G4219" t="s">
        <v>15685</v>
      </c>
      <c r="H4219" t="s">
        <v>15686</v>
      </c>
      <c r="I4219" t="b">
        <f>COUNTIF(Estadísticas!I:I,'centraldecomunicacion.es'!H4219)&gt;0</f>
        <v>0</v>
      </c>
    </row>
    <row r="4220" spans="1:9">
      <c r="A4220" t="s">
        <v>15687</v>
      </c>
      <c r="B4220" t="s">
        <v>10</v>
      </c>
      <c r="C4220" t="s">
        <v>15688</v>
      </c>
      <c r="D4220" t="s">
        <v>15465</v>
      </c>
      <c r="E4220" t="s">
        <v>3544</v>
      </c>
      <c r="F4220" t="s">
        <v>15689</v>
      </c>
      <c r="G4220" t="s">
        <v>15690</v>
      </c>
      <c r="H4220" t="s">
        <v>15691</v>
      </c>
      <c r="I4220" t="b">
        <f>COUNTIF(Estadísticas!I:I,'centraldecomunicacion.es'!H4220)&gt;0</f>
        <v>0</v>
      </c>
    </row>
    <row r="4221" spans="1:9">
      <c r="A4221" t="s">
        <v>15692</v>
      </c>
      <c r="B4221" t="s">
        <v>10</v>
      </c>
      <c r="C4221" t="s">
        <v>15693</v>
      </c>
      <c r="D4221" t="s">
        <v>15559</v>
      </c>
      <c r="E4221" t="s">
        <v>3544</v>
      </c>
      <c r="F4221" t="s">
        <v>15694</v>
      </c>
      <c r="G4221" t="s">
        <v>15695</v>
      </c>
      <c r="H4221" t="s">
        <v>15696</v>
      </c>
      <c r="I4221" t="b">
        <f>COUNTIF(Estadísticas!I:I,'centraldecomunicacion.es'!H4221)&gt;0</f>
        <v>1</v>
      </c>
    </row>
    <row r="4222" spans="1:9">
      <c r="A4222" t="s">
        <v>6439</v>
      </c>
      <c r="B4222" t="s">
        <v>10</v>
      </c>
      <c r="C4222" t="s">
        <v>15697</v>
      </c>
      <c r="D4222" t="s">
        <v>15465</v>
      </c>
      <c r="E4222" t="s">
        <v>3544</v>
      </c>
      <c r="F4222" t="s">
        <v>28</v>
      </c>
      <c r="G4222" t="s">
        <v>15698</v>
      </c>
      <c r="H4222" t="s">
        <v>30</v>
      </c>
      <c r="I4222" t="b">
        <f>COUNTIF(Estadísticas!I:I,'centraldecomunicacion.es'!H4222)&gt;0</f>
        <v>0</v>
      </c>
    </row>
    <row r="4223" spans="1:9">
      <c r="A4223" t="s">
        <v>15699</v>
      </c>
      <c r="B4223" t="s">
        <v>10</v>
      </c>
      <c r="C4223" t="s">
        <v>15700</v>
      </c>
      <c r="D4223" t="s">
        <v>15528</v>
      </c>
      <c r="E4223" t="s">
        <v>3544</v>
      </c>
      <c r="F4223" t="s">
        <v>28</v>
      </c>
      <c r="G4223" t="s">
        <v>15701</v>
      </c>
      <c r="H4223" t="s">
        <v>30</v>
      </c>
      <c r="I4223" t="b">
        <f>COUNTIF(Estadísticas!I:I,'centraldecomunicacion.es'!H4223)&gt;0</f>
        <v>0</v>
      </c>
    </row>
    <row r="4224" spans="1:9">
      <c r="A4224" t="s">
        <v>15674</v>
      </c>
      <c r="B4224" t="s">
        <v>10</v>
      </c>
      <c r="C4224" t="s">
        <v>15702</v>
      </c>
      <c r="D4224" t="s">
        <v>15465</v>
      </c>
      <c r="E4224" t="s">
        <v>3544</v>
      </c>
      <c r="F4224" t="s">
        <v>28</v>
      </c>
      <c r="G4224" t="s">
        <v>15703</v>
      </c>
      <c r="H4224" t="s">
        <v>30</v>
      </c>
      <c r="I4224" t="b">
        <f>COUNTIF(Estadísticas!I:I,'centraldecomunicacion.es'!H4224)&gt;0</f>
        <v>0</v>
      </c>
    </row>
    <row r="4225" spans="1:9">
      <c r="A4225" t="s">
        <v>15704</v>
      </c>
      <c r="B4225" t="s">
        <v>10</v>
      </c>
      <c r="C4225" t="s">
        <v>15705</v>
      </c>
      <c r="D4225" t="s">
        <v>15706</v>
      </c>
      <c r="E4225" t="s">
        <v>3544</v>
      </c>
      <c r="F4225" t="s">
        <v>38</v>
      </c>
      <c r="G4225" t="s">
        <v>15707</v>
      </c>
      <c r="H4225" t="s">
        <v>30</v>
      </c>
      <c r="I4225" t="b">
        <f>COUNTIF(Estadísticas!I:I,'centraldecomunicacion.es'!H4225)&gt;0</f>
        <v>0</v>
      </c>
    </row>
    <row r="4226" spans="1:9">
      <c r="A4226" t="s">
        <v>15708</v>
      </c>
      <c r="B4226" t="s">
        <v>10</v>
      </c>
      <c r="C4226" t="s">
        <v>15709</v>
      </c>
      <c r="D4226" t="s">
        <v>15710</v>
      </c>
      <c r="E4226" t="s">
        <v>3544</v>
      </c>
      <c r="F4226" t="s">
        <v>15613</v>
      </c>
      <c r="G4226" t="s">
        <v>15711</v>
      </c>
      <c r="H4226" t="s">
        <v>15615</v>
      </c>
      <c r="I4226" t="b">
        <f>COUNTIF(Estadísticas!I:I,'centraldecomunicacion.es'!H4226)&gt;0</f>
        <v>0</v>
      </c>
    </row>
    <row r="4227" spans="1:9">
      <c r="A4227" t="s">
        <v>15712</v>
      </c>
      <c r="B4227" t="s">
        <v>219</v>
      </c>
      <c r="C4227" t="s">
        <v>15713</v>
      </c>
      <c r="D4227" t="s">
        <v>15465</v>
      </c>
      <c r="E4227" t="s">
        <v>3544</v>
      </c>
      <c r="F4227" t="s">
        <v>28</v>
      </c>
      <c r="G4227" t="s">
        <v>15714</v>
      </c>
      <c r="H4227" t="s">
        <v>30</v>
      </c>
      <c r="I4227" t="b">
        <f>COUNTIF(Estadísticas!I:I,'centraldecomunicacion.es'!H4227)&gt;0</f>
        <v>0</v>
      </c>
    </row>
    <row r="4228" spans="1:9">
      <c r="A4228" t="s">
        <v>15715</v>
      </c>
      <c r="B4228" t="s">
        <v>10</v>
      </c>
      <c r="C4228" t="s">
        <v>15716</v>
      </c>
      <c r="D4228" t="s">
        <v>15717</v>
      </c>
      <c r="E4228" t="s">
        <v>3544</v>
      </c>
      <c r="F4228" t="s">
        <v>28</v>
      </c>
      <c r="G4228" t="s">
        <v>15718</v>
      </c>
      <c r="H4228" t="s">
        <v>30</v>
      </c>
      <c r="I4228" t="b">
        <f>COUNTIF(Estadísticas!I:I,'centraldecomunicacion.es'!H4228)&gt;0</f>
        <v>0</v>
      </c>
    </row>
    <row r="4229" spans="1:9">
      <c r="A4229" t="s">
        <v>15719</v>
      </c>
      <c r="B4229" t="s">
        <v>10</v>
      </c>
      <c r="C4229" t="s">
        <v>15720</v>
      </c>
      <c r="D4229" t="s">
        <v>15528</v>
      </c>
      <c r="E4229" t="s">
        <v>3544</v>
      </c>
      <c r="F4229" t="s">
        <v>38</v>
      </c>
      <c r="G4229" t="s">
        <v>15721</v>
      </c>
      <c r="H4229" t="s">
        <v>30</v>
      </c>
      <c r="I4229" t="b">
        <f>COUNTIF(Estadísticas!I:I,'centraldecomunicacion.es'!H4229)&gt;0</f>
        <v>0</v>
      </c>
    </row>
    <row r="4230" spans="1:9">
      <c r="A4230" t="s">
        <v>15722</v>
      </c>
      <c r="B4230" t="s">
        <v>10</v>
      </c>
      <c r="C4230" t="s">
        <v>15723</v>
      </c>
      <c r="D4230" t="s">
        <v>15724</v>
      </c>
      <c r="E4230" t="s">
        <v>3544</v>
      </c>
      <c r="F4230" t="s">
        <v>28</v>
      </c>
      <c r="G4230" t="s">
        <v>15725</v>
      </c>
      <c r="H4230" t="s">
        <v>30</v>
      </c>
      <c r="I4230" t="b">
        <f>COUNTIF(Estadísticas!I:I,'centraldecomunicacion.es'!H4230)&gt;0</f>
        <v>0</v>
      </c>
    </row>
    <row r="4231" spans="1:9">
      <c r="A4231" t="s">
        <v>15726</v>
      </c>
      <c r="B4231" t="s">
        <v>10</v>
      </c>
      <c r="C4231" t="s">
        <v>15727</v>
      </c>
      <c r="D4231" t="s">
        <v>15574</v>
      </c>
      <c r="E4231" t="s">
        <v>3544</v>
      </c>
      <c r="F4231" t="s">
        <v>15728</v>
      </c>
      <c r="G4231" t="s">
        <v>15729</v>
      </c>
      <c r="H4231" t="s">
        <v>30</v>
      </c>
      <c r="I4231" t="b">
        <f>COUNTIF(Estadísticas!I:I,'centraldecomunicacion.es'!H4231)&gt;0</f>
        <v>0</v>
      </c>
    </row>
    <row r="4232" spans="1:9">
      <c r="A4232" t="s">
        <v>15730</v>
      </c>
      <c r="B4232" t="s">
        <v>10</v>
      </c>
      <c r="C4232" t="s">
        <v>15731</v>
      </c>
      <c r="D4232" t="s">
        <v>15732</v>
      </c>
      <c r="E4232" t="s">
        <v>3544</v>
      </c>
      <c r="F4232" t="s">
        <v>28</v>
      </c>
      <c r="G4232" t="s">
        <v>28</v>
      </c>
      <c r="H4232" t="s">
        <v>30</v>
      </c>
      <c r="I4232" t="b">
        <f>COUNTIF(Estadísticas!I:I,'centraldecomunicacion.es'!H4232)&gt;0</f>
        <v>0</v>
      </c>
    </row>
    <row r="4233" spans="1:9">
      <c r="A4233" t="s">
        <v>15733</v>
      </c>
      <c r="B4233" t="s">
        <v>10</v>
      </c>
      <c r="C4233" t="s">
        <v>15734</v>
      </c>
      <c r="D4233" t="s">
        <v>15717</v>
      </c>
      <c r="E4233" t="s">
        <v>3544</v>
      </c>
      <c r="F4233" t="s">
        <v>28</v>
      </c>
      <c r="G4233" t="s">
        <v>28</v>
      </c>
      <c r="H4233" t="s">
        <v>30</v>
      </c>
      <c r="I4233" t="b">
        <f>COUNTIF(Estadísticas!I:I,'centraldecomunicacion.es'!H4233)&gt;0</f>
        <v>0</v>
      </c>
    </row>
    <row r="4234" spans="1:9">
      <c r="A4234" t="s">
        <v>15735</v>
      </c>
      <c r="B4234" t="s">
        <v>10</v>
      </c>
      <c r="C4234" t="s">
        <v>15736</v>
      </c>
      <c r="D4234" t="s">
        <v>15737</v>
      </c>
      <c r="E4234" t="s">
        <v>15738</v>
      </c>
      <c r="F4234" t="s">
        <v>28</v>
      </c>
      <c r="G4234" t="s">
        <v>15739</v>
      </c>
      <c r="H4234" t="s">
        <v>30</v>
      </c>
      <c r="I4234" t="b">
        <f>COUNTIF(Estadísticas!I:I,'centraldecomunicacion.es'!H4234)&gt;0</f>
        <v>0</v>
      </c>
    </row>
    <row r="4235" spans="1:9">
      <c r="A4235" t="s">
        <v>15740</v>
      </c>
      <c r="B4235" t="s">
        <v>10</v>
      </c>
      <c r="C4235" t="s">
        <v>15741</v>
      </c>
      <c r="D4235" t="s">
        <v>15732</v>
      </c>
      <c r="E4235" t="s">
        <v>3544</v>
      </c>
      <c r="F4235" t="s">
        <v>15742</v>
      </c>
      <c r="G4235" t="s">
        <v>15743</v>
      </c>
      <c r="H4235" t="s">
        <v>30</v>
      </c>
      <c r="I4235" t="b">
        <f>COUNTIF(Estadísticas!I:I,'centraldecomunicacion.es'!H4235)&gt;0</f>
        <v>0</v>
      </c>
    </row>
    <row r="4236" spans="1:9">
      <c r="A4236" t="s">
        <v>15744</v>
      </c>
      <c r="B4236" t="s">
        <v>10</v>
      </c>
      <c r="C4236" t="s">
        <v>15745</v>
      </c>
      <c r="D4236" t="s">
        <v>15510</v>
      </c>
      <c r="E4236" t="s">
        <v>3544</v>
      </c>
      <c r="F4236" t="s">
        <v>28</v>
      </c>
      <c r="G4236" t="s">
        <v>15746</v>
      </c>
      <c r="H4236" t="s">
        <v>30</v>
      </c>
      <c r="I4236" t="b">
        <f>COUNTIF(Estadísticas!I:I,'centraldecomunicacion.es'!H4236)&gt;0</f>
        <v>0</v>
      </c>
    </row>
    <row r="4237" spans="1:9">
      <c r="A4237" t="s">
        <v>15747</v>
      </c>
      <c r="B4237" t="s">
        <v>10</v>
      </c>
      <c r="C4237" t="s">
        <v>15568</v>
      </c>
      <c r="D4237" t="s">
        <v>15569</v>
      </c>
      <c r="E4237" t="s">
        <v>3544</v>
      </c>
      <c r="F4237" t="s">
        <v>28</v>
      </c>
      <c r="G4237" t="s">
        <v>28</v>
      </c>
      <c r="H4237" t="s">
        <v>30</v>
      </c>
      <c r="I4237" t="b">
        <f>COUNTIF(Estadísticas!I:I,'centraldecomunicacion.es'!H4237)&gt;0</f>
        <v>0</v>
      </c>
    </row>
    <row r="4238" spans="1:9">
      <c r="A4238" t="s">
        <v>15748</v>
      </c>
      <c r="B4238" t="s">
        <v>10</v>
      </c>
      <c r="C4238" t="s">
        <v>15501</v>
      </c>
      <c r="D4238" t="s">
        <v>15465</v>
      </c>
      <c r="E4238" t="s">
        <v>3544</v>
      </c>
      <c r="F4238" t="s">
        <v>28</v>
      </c>
      <c r="G4238" t="s">
        <v>15749</v>
      </c>
      <c r="H4238" t="s">
        <v>30</v>
      </c>
      <c r="I4238" t="b">
        <f>COUNTIF(Estadísticas!I:I,'centraldecomunicacion.es'!H4238)&gt;0</f>
        <v>0</v>
      </c>
    </row>
    <row r="4239" spans="1:9">
      <c r="A4239" t="s">
        <v>15750</v>
      </c>
      <c r="B4239" t="s">
        <v>10</v>
      </c>
      <c r="C4239" t="s">
        <v>15751</v>
      </c>
      <c r="D4239" t="s">
        <v>15752</v>
      </c>
      <c r="E4239" t="s">
        <v>15738</v>
      </c>
      <c r="F4239" t="s">
        <v>28</v>
      </c>
      <c r="G4239" t="s">
        <v>15753</v>
      </c>
      <c r="H4239" t="s">
        <v>30</v>
      </c>
      <c r="I4239" t="b">
        <f>COUNTIF(Estadísticas!I:I,'centraldecomunicacion.es'!H4239)&gt;0</f>
        <v>0</v>
      </c>
    </row>
    <row r="4240" spans="1:9">
      <c r="A4240" t="s">
        <v>15754</v>
      </c>
      <c r="B4240" t="s">
        <v>10</v>
      </c>
      <c r="C4240" t="s">
        <v>15755</v>
      </c>
      <c r="D4240" t="s">
        <v>15756</v>
      </c>
      <c r="E4240" t="s">
        <v>3544</v>
      </c>
      <c r="F4240" t="s">
        <v>15757</v>
      </c>
      <c r="G4240" t="s">
        <v>15758</v>
      </c>
      <c r="H4240" t="s">
        <v>15759</v>
      </c>
      <c r="I4240" t="b">
        <f>COUNTIF(Estadísticas!I:I,'centraldecomunicacion.es'!H4240)&gt;0</f>
        <v>0</v>
      </c>
    </row>
    <row r="4241" spans="1:9">
      <c r="A4241" t="s">
        <v>15760</v>
      </c>
      <c r="B4241" t="s">
        <v>10</v>
      </c>
      <c r="C4241" t="s">
        <v>15761</v>
      </c>
      <c r="D4241" t="s">
        <v>15600</v>
      </c>
      <c r="E4241" t="s">
        <v>3544</v>
      </c>
      <c r="F4241" t="s">
        <v>28</v>
      </c>
      <c r="G4241" t="s">
        <v>15762</v>
      </c>
      <c r="H4241" t="s">
        <v>30</v>
      </c>
      <c r="I4241" t="b">
        <f>COUNTIF(Estadísticas!I:I,'centraldecomunicacion.es'!H4241)&gt;0</f>
        <v>0</v>
      </c>
    </row>
    <row r="4242" spans="1:9">
      <c r="A4242" t="s">
        <v>15763</v>
      </c>
      <c r="B4242" t="s">
        <v>10</v>
      </c>
      <c r="C4242" t="s">
        <v>15764</v>
      </c>
      <c r="D4242" t="s">
        <v>14073</v>
      </c>
      <c r="E4242" t="s">
        <v>3544</v>
      </c>
      <c r="F4242" t="s">
        <v>28</v>
      </c>
      <c r="G4242" t="s">
        <v>28</v>
      </c>
      <c r="H4242" t="s">
        <v>30</v>
      </c>
      <c r="I4242" t="b">
        <f>COUNTIF(Estadísticas!I:I,'centraldecomunicacion.es'!H4242)&gt;0</f>
        <v>0</v>
      </c>
    </row>
    <row r="4243" spans="1:9">
      <c r="A4243" t="s">
        <v>1547</v>
      </c>
      <c r="B4243" t="s">
        <v>10</v>
      </c>
      <c r="C4243" t="s">
        <v>15765</v>
      </c>
      <c r="D4243" t="s">
        <v>15766</v>
      </c>
      <c r="E4243" t="s">
        <v>3544</v>
      </c>
      <c r="F4243" t="s">
        <v>28</v>
      </c>
      <c r="G4243" t="s">
        <v>15767</v>
      </c>
      <c r="H4243" t="s">
        <v>30</v>
      </c>
      <c r="I4243" t="b">
        <f>COUNTIF(Estadísticas!I:I,'centraldecomunicacion.es'!H4243)&gt;0</f>
        <v>0</v>
      </c>
    </row>
    <row r="4244" spans="1:9">
      <c r="A4244" t="s">
        <v>15768</v>
      </c>
      <c r="B4244" t="s">
        <v>10</v>
      </c>
      <c r="C4244" t="s">
        <v>15769</v>
      </c>
      <c r="D4244" t="s">
        <v>15770</v>
      </c>
      <c r="E4244" t="s">
        <v>3544</v>
      </c>
      <c r="F4244" t="s">
        <v>28</v>
      </c>
      <c r="G4244" t="s">
        <v>15771</v>
      </c>
      <c r="H4244" t="s">
        <v>30</v>
      </c>
      <c r="I4244" t="b">
        <f>COUNTIF(Estadísticas!I:I,'centraldecomunicacion.es'!H4244)&gt;0</f>
        <v>0</v>
      </c>
    </row>
    <row r="4245" spans="1:9">
      <c r="A4245" t="s">
        <v>15772</v>
      </c>
      <c r="B4245" t="s">
        <v>10</v>
      </c>
      <c r="C4245" t="s">
        <v>15773</v>
      </c>
      <c r="D4245" t="s">
        <v>15774</v>
      </c>
      <c r="E4245" t="s">
        <v>3544</v>
      </c>
      <c r="F4245" t="s">
        <v>28</v>
      </c>
      <c r="G4245" t="s">
        <v>15775</v>
      </c>
      <c r="H4245" t="s">
        <v>30</v>
      </c>
      <c r="I4245" t="b">
        <f>COUNTIF(Estadísticas!I:I,'centraldecomunicacion.es'!H4245)&gt;0</f>
        <v>0</v>
      </c>
    </row>
    <row r="4246" spans="1:9">
      <c r="A4246" t="s">
        <v>15776</v>
      </c>
      <c r="B4246" t="s">
        <v>10</v>
      </c>
      <c r="C4246" t="s">
        <v>15777</v>
      </c>
      <c r="D4246" t="s">
        <v>15778</v>
      </c>
      <c r="E4246" t="s">
        <v>15738</v>
      </c>
      <c r="F4246" t="s">
        <v>28</v>
      </c>
      <c r="G4246" t="s">
        <v>15779</v>
      </c>
      <c r="H4246" t="s">
        <v>30</v>
      </c>
      <c r="I4246" t="b">
        <f>COUNTIF(Estadísticas!I:I,'centraldecomunicacion.es'!H4246)&gt;0</f>
        <v>0</v>
      </c>
    </row>
    <row r="4247" spans="1:9">
      <c r="A4247" t="s">
        <v>15780</v>
      </c>
      <c r="B4247" t="s">
        <v>10</v>
      </c>
      <c r="C4247" t="s">
        <v>15781</v>
      </c>
      <c r="D4247" t="s">
        <v>14009</v>
      </c>
      <c r="E4247" t="s">
        <v>3564</v>
      </c>
      <c r="F4247" t="s">
        <v>50</v>
      </c>
      <c r="G4247" t="s">
        <v>15782</v>
      </c>
      <c r="H4247" t="s">
        <v>30</v>
      </c>
      <c r="I4247" t="b">
        <f>COUNTIF(Estadísticas!I:I,'centraldecomunicacion.es'!H4247)&gt;0</f>
        <v>0</v>
      </c>
    </row>
    <row r="4248" spans="1:9">
      <c r="A4248" t="s">
        <v>15783</v>
      </c>
      <c r="B4248" t="s">
        <v>6504</v>
      </c>
      <c r="C4248" t="s">
        <v>15784</v>
      </c>
      <c r="D4248" t="s">
        <v>15465</v>
      </c>
      <c r="E4248" t="s">
        <v>3544</v>
      </c>
      <c r="F4248" t="s">
        <v>15785</v>
      </c>
      <c r="G4248" t="s">
        <v>15786</v>
      </c>
      <c r="H4248" t="s">
        <v>15787</v>
      </c>
      <c r="I4248" t="b">
        <f>COUNTIF(Estadísticas!I:I,'centraldecomunicacion.es'!H4248)&gt;0</f>
        <v>1</v>
      </c>
    </row>
    <row r="4249" spans="1:9">
      <c r="A4249" t="s">
        <v>15788</v>
      </c>
      <c r="B4249" t="s">
        <v>10</v>
      </c>
      <c r="C4249" t="s">
        <v>15789</v>
      </c>
      <c r="D4249" t="s">
        <v>15790</v>
      </c>
      <c r="E4249" t="s">
        <v>6489</v>
      </c>
      <c r="F4249" t="s">
        <v>15791</v>
      </c>
      <c r="G4249" t="s">
        <v>15792</v>
      </c>
      <c r="H4249" t="s">
        <v>15793</v>
      </c>
      <c r="I4249" t="b">
        <f>COUNTIF(Estadísticas!I:I,'centraldecomunicacion.es'!H4249)&gt;0</f>
        <v>0</v>
      </c>
    </row>
    <row r="4250" spans="1:9">
      <c r="A4250" t="s">
        <v>15794</v>
      </c>
      <c r="B4250" t="s">
        <v>10</v>
      </c>
      <c r="C4250" t="s">
        <v>15795</v>
      </c>
      <c r="D4250" t="s">
        <v>15796</v>
      </c>
      <c r="E4250" t="s">
        <v>6478</v>
      </c>
      <c r="F4250" t="s">
        <v>15797</v>
      </c>
      <c r="G4250" t="s">
        <v>15798</v>
      </c>
      <c r="H4250" t="s">
        <v>30</v>
      </c>
      <c r="I4250" t="b">
        <f>COUNTIF(Estadísticas!I:I,'centraldecomunicacion.es'!H4250)&gt;0</f>
        <v>0</v>
      </c>
    </row>
    <row r="4251" spans="1:9">
      <c r="A4251" t="s">
        <v>15799</v>
      </c>
      <c r="B4251" t="s">
        <v>10</v>
      </c>
      <c r="C4251" t="s">
        <v>15800</v>
      </c>
      <c r="D4251" t="s">
        <v>15801</v>
      </c>
      <c r="E4251" t="s">
        <v>6489</v>
      </c>
      <c r="F4251" t="s">
        <v>15791</v>
      </c>
      <c r="G4251" t="s">
        <v>15802</v>
      </c>
      <c r="H4251" t="s">
        <v>15793</v>
      </c>
      <c r="I4251" t="b">
        <f>COUNTIF(Estadísticas!I:I,'centraldecomunicacion.es'!H4251)&gt;0</f>
        <v>0</v>
      </c>
    </row>
    <row r="4252" spans="1:9">
      <c r="A4252" t="s">
        <v>15803</v>
      </c>
      <c r="B4252" t="s">
        <v>10</v>
      </c>
      <c r="C4252" t="s">
        <v>15804</v>
      </c>
      <c r="D4252" t="s">
        <v>15790</v>
      </c>
      <c r="E4252" t="s">
        <v>6489</v>
      </c>
      <c r="F4252" t="s">
        <v>15805</v>
      </c>
      <c r="G4252" t="s">
        <v>15806</v>
      </c>
      <c r="H4252" t="s">
        <v>1242</v>
      </c>
      <c r="I4252" t="b">
        <f>COUNTIF(Estadísticas!I:I,'centraldecomunicacion.es'!H4252)&gt;0</f>
        <v>0</v>
      </c>
    </row>
    <row r="4253" spans="1:9">
      <c r="A4253" t="s">
        <v>15807</v>
      </c>
      <c r="B4253" t="s">
        <v>10</v>
      </c>
      <c r="C4253" t="s">
        <v>15808</v>
      </c>
      <c r="D4253" t="s">
        <v>15790</v>
      </c>
      <c r="E4253" t="s">
        <v>6489</v>
      </c>
      <c r="F4253" t="s">
        <v>15809</v>
      </c>
      <c r="G4253" t="s">
        <v>15810</v>
      </c>
      <c r="H4253" t="s">
        <v>15811</v>
      </c>
      <c r="I4253" t="b">
        <f>COUNTIF(Estadísticas!I:I,'centraldecomunicacion.es'!H4253)&gt;0</f>
        <v>1</v>
      </c>
    </row>
    <row r="4254" spans="1:9">
      <c r="A4254" t="s">
        <v>15812</v>
      </c>
      <c r="B4254" t="s">
        <v>10</v>
      </c>
      <c r="C4254" t="s">
        <v>15813</v>
      </c>
      <c r="D4254" t="s">
        <v>15814</v>
      </c>
      <c r="E4254" t="s">
        <v>6489</v>
      </c>
      <c r="F4254" t="s">
        <v>15815</v>
      </c>
      <c r="G4254" t="s">
        <v>15816</v>
      </c>
      <c r="H4254" t="s">
        <v>15817</v>
      </c>
      <c r="I4254" t="b">
        <f>COUNTIF(Estadísticas!I:I,'centraldecomunicacion.es'!H4254)&gt;0</f>
        <v>1</v>
      </c>
    </row>
    <row r="4255" spans="1:9">
      <c r="A4255" t="s">
        <v>15818</v>
      </c>
      <c r="B4255" t="s">
        <v>10</v>
      </c>
      <c r="C4255" t="s">
        <v>15819</v>
      </c>
      <c r="D4255" t="s">
        <v>15790</v>
      </c>
      <c r="E4255" t="s">
        <v>6489</v>
      </c>
      <c r="F4255" t="s">
        <v>15820</v>
      </c>
      <c r="G4255" t="s">
        <v>15821</v>
      </c>
      <c r="H4255" t="s">
        <v>30</v>
      </c>
      <c r="I4255" t="b">
        <f>COUNTIF(Estadísticas!I:I,'centraldecomunicacion.es'!H4255)&gt;0</f>
        <v>0</v>
      </c>
    </row>
    <row r="4256" spans="1:9">
      <c r="A4256" t="s">
        <v>15822</v>
      </c>
      <c r="B4256" t="s">
        <v>10</v>
      </c>
      <c r="C4256" t="s">
        <v>15823</v>
      </c>
      <c r="D4256" t="s">
        <v>15790</v>
      </c>
      <c r="E4256" t="s">
        <v>6489</v>
      </c>
      <c r="F4256" t="s">
        <v>38</v>
      </c>
      <c r="G4256" t="s">
        <v>15824</v>
      </c>
      <c r="H4256" t="s">
        <v>30</v>
      </c>
      <c r="I4256" t="b">
        <f>COUNTIF(Estadísticas!I:I,'centraldecomunicacion.es'!H4256)&gt;0</f>
        <v>0</v>
      </c>
    </row>
    <row r="4257" spans="1:9">
      <c r="A4257" t="s">
        <v>15825</v>
      </c>
      <c r="B4257" t="s">
        <v>10</v>
      </c>
      <c r="C4257" t="s">
        <v>15826</v>
      </c>
      <c r="D4257" t="s">
        <v>15790</v>
      </c>
      <c r="E4257" t="s">
        <v>6489</v>
      </c>
      <c r="F4257" t="s">
        <v>15805</v>
      </c>
      <c r="G4257" t="s">
        <v>15827</v>
      </c>
      <c r="H4257" t="s">
        <v>1242</v>
      </c>
      <c r="I4257" t="b">
        <f>COUNTIF(Estadísticas!I:I,'centraldecomunicacion.es'!H4257)&gt;0</f>
        <v>0</v>
      </c>
    </row>
    <row r="4258" spans="1:9">
      <c r="A4258" t="s">
        <v>15825</v>
      </c>
      <c r="B4258" t="s">
        <v>10</v>
      </c>
      <c r="C4258" t="s">
        <v>15828</v>
      </c>
      <c r="D4258" t="s">
        <v>15790</v>
      </c>
      <c r="E4258" t="s">
        <v>6489</v>
      </c>
      <c r="F4258" t="s">
        <v>15805</v>
      </c>
      <c r="G4258" t="s">
        <v>15806</v>
      </c>
      <c r="H4258" t="s">
        <v>1242</v>
      </c>
      <c r="I4258" t="b">
        <f>COUNTIF(Estadísticas!I:I,'centraldecomunicacion.es'!H4258)&gt;0</f>
        <v>0</v>
      </c>
    </row>
    <row r="4259" spans="1:9">
      <c r="A4259" t="s">
        <v>15829</v>
      </c>
      <c r="B4259" t="s">
        <v>10</v>
      </c>
      <c r="C4259" t="s">
        <v>15830</v>
      </c>
      <c r="D4259" t="s">
        <v>15790</v>
      </c>
      <c r="E4259" t="s">
        <v>6489</v>
      </c>
      <c r="F4259" t="s">
        <v>38</v>
      </c>
      <c r="G4259" t="s">
        <v>15831</v>
      </c>
      <c r="H4259" t="s">
        <v>30</v>
      </c>
      <c r="I4259" t="b">
        <f>COUNTIF(Estadísticas!I:I,'centraldecomunicacion.es'!H4259)&gt;0</f>
        <v>0</v>
      </c>
    </row>
    <row r="4260" spans="1:9">
      <c r="A4260" t="s">
        <v>15832</v>
      </c>
      <c r="B4260" t="s">
        <v>10</v>
      </c>
      <c r="C4260" t="s">
        <v>15833</v>
      </c>
      <c r="D4260" t="s">
        <v>15834</v>
      </c>
      <c r="E4260" t="s">
        <v>6489</v>
      </c>
      <c r="F4260" t="s">
        <v>28</v>
      </c>
      <c r="G4260" t="s">
        <v>15835</v>
      </c>
      <c r="H4260" t="s">
        <v>30</v>
      </c>
      <c r="I4260" t="b">
        <f>COUNTIF(Estadísticas!I:I,'centraldecomunicacion.es'!H4260)&gt;0</f>
        <v>0</v>
      </c>
    </row>
    <row r="4261" spans="1:9">
      <c r="A4261" t="s">
        <v>15836</v>
      </c>
      <c r="B4261" t="s">
        <v>10</v>
      </c>
      <c r="C4261" t="s">
        <v>15837</v>
      </c>
      <c r="D4261" t="s">
        <v>15838</v>
      </c>
      <c r="E4261" t="s">
        <v>6489</v>
      </c>
      <c r="F4261" t="s">
        <v>15839</v>
      </c>
      <c r="G4261" t="s">
        <v>15840</v>
      </c>
      <c r="H4261" t="s">
        <v>15841</v>
      </c>
      <c r="I4261" t="b">
        <f>COUNTIF(Estadísticas!I:I,'centraldecomunicacion.es'!H4261)&gt;0</f>
        <v>0</v>
      </c>
    </row>
    <row r="4262" spans="1:9">
      <c r="A4262" t="s">
        <v>15842</v>
      </c>
      <c r="B4262" t="s">
        <v>10</v>
      </c>
      <c r="C4262" t="s">
        <v>15843</v>
      </c>
      <c r="D4262" t="s">
        <v>15790</v>
      </c>
      <c r="E4262" t="s">
        <v>6489</v>
      </c>
      <c r="F4262" t="s">
        <v>50</v>
      </c>
      <c r="G4262" t="s">
        <v>15844</v>
      </c>
      <c r="H4262" t="s">
        <v>30</v>
      </c>
      <c r="I4262" t="b">
        <f>COUNTIF(Estadísticas!I:I,'centraldecomunicacion.es'!H4262)&gt;0</f>
        <v>0</v>
      </c>
    </row>
    <row r="4263" spans="1:9">
      <c r="A4263" t="s">
        <v>15845</v>
      </c>
      <c r="B4263" t="s">
        <v>10</v>
      </c>
      <c r="C4263" t="s">
        <v>15846</v>
      </c>
      <c r="D4263" t="s">
        <v>15790</v>
      </c>
      <c r="E4263" t="s">
        <v>6489</v>
      </c>
      <c r="F4263" t="s">
        <v>28</v>
      </c>
      <c r="G4263" t="s">
        <v>15847</v>
      </c>
      <c r="H4263" t="s">
        <v>30</v>
      </c>
      <c r="I4263" t="b">
        <f>COUNTIF(Estadísticas!I:I,'centraldecomunicacion.es'!H4263)&gt;0</f>
        <v>0</v>
      </c>
    </row>
    <row r="4264" spans="1:9">
      <c r="A4264" t="s">
        <v>15848</v>
      </c>
      <c r="B4264" t="s">
        <v>10</v>
      </c>
      <c r="C4264" t="s">
        <v>15849</v>
      </c>
      <c r="D4264" t="s">
        <v>15790</v>
      </c>
      <c r="E4264" t="s">
        <v>6489</v>
      </c>
      <c r="F4264" t="s">
        <v>15850</v>
      </c>
      <c r="G4264" t="s">
        <v>15851</v>
      </c>
      <c r="H4264" t="s">
        <v>15852</v>
      </c>
      <c r="I4264" t="b">
        <f>COUNTIF(Estadísticas!I:I,'centraldecomunicacion.es'!H4264)&gt;0</f>
        <v>1</v>
      </c>
    </row>
    <row r="4265" spans="1:9">
      <c r="A4265" t="s">
        <v>15853</v>
      </c>
      <c r="B4265" t="s">
        <v>10</v>
      </c>
      <c r="C4265" t="s">
        <v>15854</v>
      </c>
      <c r="D4265" t="s">
        <v>15790</v>
      </c>
      <c r="E4265" t="s">
        <v>6489</v>
      </c>
      <c r="F4265" t="s">
        <v>28</v>
      </c>
      <c r="G4265" t="s">
        <v>15855</v>
      </c>
      <c r="H4265" t="s">
        <v>30</v>
      </c>
      <c r="I4265" t="b">
        <f>COUNTIF(Estadísticas!I:I,'centraldecomunicacion.es'!H4265)&gt;0</f>
        <v>0</v>
      </c>
    </row>
    <row r="4266" spans="1:9">
      <c r="A4266" t="s">
        <v>15856</v>
      </c>
      <c r="B4266" t="s">
        <v>10</v>
      </c>
      <c r="C4266" t="s">
        <v>15857</v>
      </c>
      <c r="D4266" t="s">
        <v>15838</v>
      </c>
      <c r="E4266" t="s">
        <v>6489</v>
      </c>
      <c r="F4266" t="s">
        <v>15858</v>
      </c>
      <c r="G4266" t="s">
        <v>15859</v>
      </c>
      <c r="H4266" t="s">
        <v>15860</v>
      </c>
      <c r="I4266" t="b">
        <f>COUNTIF(Estadísticas!I:I,'centraldecomunicacion.es'!H4266)&gt;0</f>
        <v>0</v>
      </c>
    </row>
    <row r="4267" spans="1:9">
      <c r="A4267" t="s">
        <v>15861</v>
      </c>
      <c r="B4267" t="s">
        <v>10</v>
      </c>
      <c r="C4267" t="s">
        <v>15862</v>
      </c>
      <c r="D4267" t="s">
        <v>15863</v>
      </c>
      <c r="E4267" t="s">
        <v>6489</v>
      </c>
      <c r="F4267" t="s">
        <v>15864</v>
      </c>
      <c r="G4267" t="s">
        <v>15865</v>
      </c>
      <c r="H4267" t="s">
        <v>15866</v>
      </c>
      <c r="I4267" t="b">
        <f>COUNTIF(Estadísticas!I:I,'centraldecomunicacion.es'!H4267)&gt;0</f>
        <v>0</v>
      </c>
    </row>
    <row r="4268" spans="1:9">
      <c r="A4268" t="s">
        <v>15867</v>
      </c>
      <c r="B4268" t="s">
        <v>10</v>
      </c>
      <c r="C4268" t="s">
        <v>15868</v>
      </c>
      <c r="D4268" t="s">
        <v>15834</v>
      </c>
      <c r="E4268" t="s">
        <v>6489</v>
      </c>
      <c r="F4268" t="s">
        <v>28</v>
      </c>
      <c r="G4268" t="s">
        <v>15869</v>
      </c>
      <c r="H4268" t="s">
        <v>30</v>
      </c>
      <c r="I4268" t="b">
        <f>COUNTIF(Estadísticas!I:I,'centraldecomunicacion.es'!H4268)&gt;0</f>
        <v>0</v>
      </c>
    </row>
    <row r="4269" spans="1:9">
      <c r="A4269" t="s">
        <v>15870</v>
      </c>
      <c r="B4269" t="s">
        <v>10</v>
      </c>
      <c r="C4269" t="s">
        <v>15871</v>
      </c>
      <c r="D4269" t="s">
        <v>15838</v>
      </c>
      <c r="E4269" t="s">
        <v>6489</v>
      </c>
      <c r="F4269" t="s">
        <v>15872</v>
      </c>
      <c r="G4269" t="s">
        <v>15873</v>
      </c>
      <c r="H4269" t="s">
        <v>30</v>
      </c>
      <c r="I4269" t="b">
        <f>COUNTIF(Estadísticas!I:I,'centraldecomunicacion.es'!H4269)&gt;0</f>
        <v>0</v>
      </c>
    </row>
    <row r="4270" spans="1:9">
      <c r="A4270" t="s">
        <v>15874</v>
      </c>
      <c r="B4270" t="s">
        <v>10</v>
      </c>
      <c r="C4270" t="s">
        <v>15875</v>
      </c>
      <c r="D4270" t="s">
        <v>15801</v>
      </c>
      <c r="E4270" t="s">
        <v>6489</v>
      </c>
      <c r="F4270" t="s">
        <v>15876</v>
      </c>
      <c r="G4270" t="s">
        <v>15877</v>
      </c>
      <c r="H4270" t="s">
        <v>30</v>
      </c>
      <c r="I4270" t="b">
        <f>COUNTIF(Estadísticas!I:I,'centraldecomunicacion.es'!H4270)&gt;0</f>
        <v>0</v>
      </c>
    </row>
    <row r="4271" spans="1:9">
      <c r="A4271" t="s">
        <v>15878</v>
      </c>
      <c r="B4271" t="s">
        <v>10</v>
      </c>
      <c r="C4271" t="s">
        <v>15879</v>
      </c>
      <c r="D4271" t="s">
        <v>15790</v>
      </c>
      <c r="E4271" t="s">
        <v>6489</v>
      </c>
      <c r="F4271" t="s">
        <v>15880</v>
      </c>
      <c r="G4271" t="s">
        <v>15881</v>
      </c>
      <c r="H4271" t="s">
        <v>15882</v>
      </c>
      <c r="I4271" t="b">
        <f>COUNTIF(Estadísticas!I:I,'centraldecomunicacion.es'!H4271)&gt;0</f>
        <v>0</v>
      </c>
    </row>
    <row r="4272" spans="1:9">
      <c r="A4272" t="s">
        <v>15883</v>
      </c>
      <c r="B4272" t="s">
        <v>10</v>
      </c>
      <c r="C4272" t="s">
        <v>15884</v>
      </c>
      <c r="D4272" t="s">
        <v>15790</v>
      </c>
      <c r="E4272" t="s">
        <v>6489</v>
      </c>
      <c r="F4272" t="s">
        <v>28</v>
      </c>
      <c r="G4272" t="s">
        <v>28</v>
      </c>
      <c r="H4272" t="s">
        <v>30</v>
      </c>
      <c r="I4272" t="b">
        <f>COUNTIF(Estadísticas!I:I,'centraldecomunicacion.es'!H4272)&gt;0</f>
        <v>0</v>
      </c>
    </row>
    <row r="4273" spans="1:9">
      <c r="A4273" t="s">
        <v>15885</v>
      </c>
      <c r="B4273" t="s">
        <v>10</v>
      </c>
      <c r="C4273" t="s">
        <v>15886</v>
      </c>
      <c r="D4273" t="s">
        <v>15796</v>
      </c>
      <c r="E4273" t="s">
        <v>6489</v>
      </c>
      <c r="F4273" t="s">
        <v>15887</v>
      </c>
      <c r="G4273" t="s">
        <v>15888</v>
      </c>
      <c r="H4273" t="s">
        <v>30</v>
      </c>
      <c r="I4273" t="b">
        <f>COUNTIF(Estadísticas!I:I,'centraldecomunicacion.es'!H4273)&gt;0</f>
        <v>0</v>
      </c>
    </row>
    <row r="4274" spans="1:9">
      <c r="A4274" t="s">
        <v>1704</v>
      </c>
      <c r="B4274" t="s">
        <v>10</v>
      </c>
      <c r="C4274" t="s">
        <v>15889</v>
      </c>
      <c r="D4274" t="s">
        <v>15790</v>
      </c>
      <c r="E4274" t="s">
        <v>6489</v>
      </c>
      <c r="F4274" t="s">
        <v>15890</v>
      </c>
      <c r="G4274" t="s">
        <v>15891</v>
      </c>
      <c r="H4274" t="s">
        <v>30</v>
      </c>
      <c r="I4274" t="b">
        <f>COUNTIF(Estadísticas!I:I,'centraldecomunicacion.es'!H4274)&gt;0</f>
        <v>0</v>
      </c>
    </row>
    <row r="4275" spans="1:9">
      <c r="A4275" t="s">
        <v>15892</v>
      </c>
      <c r="B4275" t="s">
        <v>10</v>
      </c>
      <c r="C4275" t="s">
        <v>15893</v>
      </c>
      <c r="D4275" t="s">
        <v>15838</v>
      </c>
      <c r="E4275" t="s">
        <v>6478</v>
      </c>
      <c r="F4275" t="s">
        <v>15894</v>
      </c>
      <c r="G4275" t="s">
        <v>15895</v>
      </c>
      <c r="H4275" t="s">
        <v>30</v>
      </c>
      <c r="I4275" t="b">
        <f>COUNTIF(Estadísticas!I:I,'centraldecomunicacion.es'!H4275)&gt;0</f>
        <v>0</v>
      </c>
    </row>
    <row r="4276" spans="1:9">
      <c r="A4276" t="s">
        <v>15896</v>
      </c>
      <c r="B4276" t="s">
        <v>10</v>
      </c>
      <c r="C4276" t="s">
        <v>15897</v>
      </c>
      <c r="D4276" t="s">
        <v>15790</v>
      </c>
      <c r="E4276" t="s">
        <v>6489</v>
      </c>
      <c r="F4276" t="s">
        <v>15898</v>
      </c>
      <c r="G4276" t="s">
        <v>15899</v>
      </c>
      <c r="H4276" t="s">
        <v>15900</v>
      </c>
      <c r="I4276" t="b">
        <f>COUNTIF(Estadísticas!I:I,'centraldecomunicacion.es'!H4276)&gt;0</f>
        <v>1</v>
      </c>
    </row>
    <row r="4277" spans="1:9">
      <c r="A4277" t="s">
        <v>15901</v>
      </c>
      <c r="B4277" t="s">
        <v>10</v>
      </c>
      <c r="C4277" t="s">
        <v>15902</v>
      </c>
      <c r="D4277" t="s">
        <v>15903</v>
      </c>
      <c r="E4277" t="s">
        <v>6489</v>
      </c>
      <c r="F4277" t="s">
        <v>28</v>
      </c>
      <c r="G4277" t="s">
        <v>15904</v>
      </c>
      <c r="H4277" t="s">
        <v>30</v>
      </c>
      <c r="I4277" t="b">
        <f>COUNTIF(Estadísticas!I:I,'centraldecomunicacion.es'!H4277)&gt;0</f>
        <v>0</v>
      </c>
    </row>
    <row r="4278" spans="1:9">
      <c r="A4278" t="s">
        <v>15905</v>
      </c>
      <c r="B4278" t="s">
        <v>10</v>
      </c>
      <c r="C4278" t="s">
        <v>15906</v>
      </c>
      <c r="D4278" t="s">
        <v>15907</v>
      </c>
      <c r="E4278" t="s">
        <v>6489</v>
      </c>
      <c r="F4278" t="s">
        <v>15908</v>
      </c>
      <c r="G4278" t="s">
        <v>15909</v>
      </c>
      <c r="H4278" t="s">
        <v>30</v>
      </c>
      <c r="I4278" t="b">
        <f>COUNTIF(Estadísticas!I:I,'centraldecomunicacion.es'!H4278)&gt;0</f>
        <v>0</v>
      </c>
    </row>
    <row r="4279" spans="1:9">
      <c r="A4279" t="s">
        <v>15910</v>
      </c>
      <c r="B4279" t="s">
        <v>10</v>
      </c>
      <c r="C4279" t="s">
        <v>15911</v>
      </c>
      <c r="D4279" t="s">
        <v>15838</v>
      </c>
      <c r="E4279" t="s">
        <v>6489</v>
      </c>
      <c r="F4279" t="s">
        <v>28</v>
      </c>
      <c r="G4279" t="s">
        <v>15912</v>
      </c>
      <c r="H4279" t="s">
        <v>30</v>
      </c>
      <c r="I4279" t="b">
        <f>COUNTIF(Estadísticas!I:I,'centraldecomunicacion.es'!H4279)&gt;0</f>
        <v>0</v>
      </c>
    </row>
    <row r="4280" spans="1:9">
      <c r="A4280" t="s">
        <v>15913</v>
      </c>
      <c r="B4280" t="s">
        <v>10</v>
      </c>
      <c r="C4280" t="s">
        <v>15914</v>
      </c>
      <c r="D4280" t="s">
        <v>15790</v>
      </c>
      <c r="E4280" t="s">
        <v>6478</v>
      </c>
      <c r="F4280" t="s">
        <v>15915</v>
      </c>
      <c r="G4280" t="s">
        <v>15916</v>
      </c>
      <c r="H4280" t="s">
        <v>30</v>
      </c>
      <c r="I4280" t="b">
        <f>COUNTIF(Estadísticas!I:I,'centraldecomunicacion.es'!H4280)&gt;0</f>
        <v>0</v>
      </c>
    </row>
    <row r="4281" spans="1:9">
      <c r="A4281" t="s">
        <v>15917</v>
      </c>
      <c r="B4281" t="s">
        <v>10</v>
      </c>
      <c r="C4281" t="s">
        <v>15918</v>
      </c>
      <c r="D4281" t="s">
        <v>15919</v>
      </c>
      <c r="E4281" t="s">
        <v>6489</v>
      </c>
      <c r="F4281" t="s">
        <v>28</v>
      </c>
      <c r="G4281" t="s">
        <v>15920</v>
      </c>
      <c r="H4281" t="s">
        <v>30</v>
      </c>
      <c r="I4281" t="b">
        <f>COUNTIF(Estadísticas!I:I,'centraldecomunicacion.es'!H4281)&gt;0</f>
        <v>0</v>
      </c>
    </row>
    <row r="4282" spans="1:9">
      <c r="A4282" t="s">
        <v>12809</v>
      </c>
      <c r="B4282" t="s">
        <v>10</v>
      </c>
      <c r="C4282" t="s">
        <v>15921</v>
      </c>
      <c r="D4282" t="s">
        <v>15790</v>
      </c>
      <c r="E4282" t="s">
        <v>6489</v>
      </c>
      <c r="F4282" t="s">
        <v>15922</v>
      </c>
      <c r="G4282" t="s">
        <v>15923</v>
      </c>
      <c r="H4282" t="s">
        <v>15924</v>
      </c>
      <c r="I4282" t="b">
        <f>COUNTIF(Estadísticas!I:I,'centraldecomunicacion.es'!H4282)&gt;0</f>
        <v>1</v>
      </c>
    </row>
    <row r="4283" spans="1:9">
      <c r="A4283" t="s">
        <v>15925</v>
      </c>
      <c r="B4283" t="s">
        <v>10</v>
      </c>
      <c r="C4283" t="s">
        <v>15926</v>
      </c>
      <c r="D4283" t="s">
        <v>15927</v>
      </c>
      <c r="E4283" t="s">
        <v>6489</v>
      </c>
      <c r="F4283" t="s">
        <v>28</v>
      </c>
      <c r="G4283" t="s">
        <v>15928</v>
      </c>
      <c r="H4283" t="s">
        <v>30</v>
      </c>
      <c r="I4283" t="b">
        <f>COUNTIF(Estadísticas!I:I,'centraldecomunicacion.es'!H4283)&gt;0</f>
        <v>0</v>
      </c>
    </row>
    <row r="4284" spans="1:9">
      <c r="A4284" t="s">
        <v>15929</v>
      </c>
      <c r="B4284" t="s">
        <v>10</v>
      </c>
      <c r="C4284" t="s">
        <v>15930</v>
      </c>
      <c r="D4284" t="s">
        <v>15790</v>
      </c>
      <c r="E4284" t="s">
        <v>6489</v>
      </c>
      <c r="F4284" t="s">
        <v>28</v>
      </c>
      <c r="G4284" t="s">
        <v>15931</v>
      </c>
      <c r="H4284" t="s">
        <v>30</v>
      </c>
      <c r="I4284" t="b">
        <f>COUNTIF(Estadísticas!I:I,'centraldecomunicacion.es'!H4284)&gt;0</f>
        <v>0</v>
      </c>
    </row>
    <row r="4285" spans="1:9">
      <c r="A4285" t="s">
        <v>15932</v>
      </c>
      <c r="B4285" t="s">
        <v>10</v>
      </c>
      <c r="C4285" t="s">
        <v>15933</v>
      </c>
      <c r="D4285" t="s">
        <v>15934</v>
      </c>
      <c r="E4285" t="s">
        <v>6489</v>
      </c>
      <c r="F4285" t="s">
        <v>28</v>
      </c>
      <c r="G4285" t="s">
        <v>15935</v>
      </c>
      <c r="H4285" t="s">
        <v>30</v>
      </c>
      <c r="I4285" t="b">
        <f>COUNTIF(Estadísticas!I:I,'centraldecomunicacion.es'!H4285)&gt;0</f>
        <v>0</v>
      </c>
    </row>
    <row r="4286" spans="1:9">
      <c r="A4286" t="s">
        <v>15936</v>
      </c>
      <c r="B4286" t="s">
        <v>10</v>
      </c>
      <c r="C4286" t="s">
        <v>15937</v>
      </c>
      <c r="D4286" t="s">
        <v>15790</v>
      </c>
      <c r="E4286" t="s">
        <v>6489</v>
      </c>
      <c r="F4286" t="s">
        <v>28</v>
      </c>
      <c r="G4286" t="s">
        <v>15938</v>
      </c>
      <c r="H4286" t="s">
        <v>30</v>
      </c>
      <c r="I4286" t="b">
        <f>COUNTIF(Estadísticas!I:I,'centraldecomunicacion.es'!H4286)&gt;0</f>
        <v>0</v>
      </c>
    </row>
    <row r="4287" spans="1:9">
      <c r="A4287" t="s">
        <v>15939</v>
      </c>
      <c r="B4287" t="s">
        <v>10</v>
      </c>
      <c r="C4287" t="s">
        <v>15940</v>
      </c>
      <c r="D4287" t="s">
        <v>15801</v>
      </c>
      <c r="E4287" t="s">
        <v>6489</v>
      </c>
      <c r="F4287" t="s">
        <v>15941</v>
      </c>
      <c r="G4287" t="s">
        <v>15942</v>
      </c>
      <c r="H4287" t="s">
        <v>15943</v>
      </c>
      <c r="I4287" t="b">
        <f>COUNTIF(Estadísticas!I:I,'centraldecomunicacion.es'!H4287)&gt;0</f>
        <v>0</v>
      </c>
    </row>
    <row r="4288" spans="1:9">
      <c r="A4288" t="s">
        <v>15944</v>
      </c>
      <c r="B4288" t="s">
        <v>10</v>
      </c>
      <c r="C4288" t="s">
        <v>15945</v>
      </c>
      <c r="D4288" t="s">
        <v>15790</v>
      </c>
      <c r="E4288" t="s">
        <v>6489</v>
      </c>
      <c r="F4288" t="s">
        <v>15946</v>
      </c>
      <c r="G4288" t="s">
        <v>15947</v>
      </c>
      <c r="H4288" t="s">
        <v>15948</v>
      </c>
      <c r="I4288" t="b">
        <f>COUNTIF(Estadísticas!I:I,'centraldecomunicacion.es'!H4288)&gt;0</f>
        <v>1</v>
      </c>
    </row>
    <row r="4289" spans="1:9">
      <c r="A4289" t="s">
        <v>15949</v>
      </c>
      <c r="B4289" t="s">
        <v>10</v>
      </c>
      <c r="C4289" t="s">
        <v>15950</v>
      </c>
      <c r="D4289" t="s">
        <v>15834</v>
      </c>
      <c r="E4289" t="s">
        <v>6489</v>
      </c>
      <c r="F4289" t="s">
        <v>15951</v>
      </c>
      <c r="G4289" t="s">
        <v>15952</v>
      </c>
      <c r="H4289" t="s">
        <v>30</v>
      </c>
      <c r="I4289" t="b">
        <f>COUNTIF(Estadísticas!I:I,'centraldecomunicacion.es'!H4289)&gt;0</f>
        <v>0</v>
      </c>
    </row>
    <row r="4290" spans="1:9">
      <c r="A4290" t="s">
        <v>15953</v>
      </c>
      <c r="B4290" t="s">
        <v>10</v>
      </c>
      <c r="C4290" t="s">
        <v>15954</v>
      </c>
      <c r="D4290" t="s">
        <v>15790</v>
      </c>
      <c r="E4290" t="s">
        <v>6478</v>
      </c>
      <c r="F4290" t="s">
        <v>15955</v>
      </c>
      <c r="G4290" t="s">
        <v>15956</v>
      </c>
      <c r="H4290" t="s">
        <v>15957</v>
      </c>
      <c r="I4290" t="b">
        <f>COUNTIF(Estadísticas!I:I,'centraldecomunicacion.es'!H4290)&gt;0</f>
        <v>0</v>
      </c>
    </row>
    <row r="4291" spans="1:9">
      <c r="A4291" t="s">
        <v>15958</v>
      </c>
      <c r="B4291" t="s">
        <v>10</v>
      </c>
      <c r="C4291" t="s">
        <v>15959</v>
      </c>
      <c r="D4291" t="s">
        <v>15960</v>
      </c>
      <c r="E4291" t="s">
        <v>6489</v>
      </c>
      <c r="F4291" t="s">
        <v>50</v>
      </c>
      <c r="G4291" t="s">
        <v>15961</v>
      </c>
      <c r="H4291" t="s">
        <v>30</v>
      </c>
      <c r="I4291" t="b">
        <f>COUNTIF(Estadísticas!I:I,'centraldecomunicacion.es'!H4291)&gt;0</f>
        <v>0</v>
      </c>
    </row>
    <row r="4292" spans="1:9">
      <c r="A4292" t="s">
        <v>15962</v>
      </c>
      <c r="B4292" t="s">
        <v>10</v>
      </c>
      <c r="C4292" t="s">
        <v>15963</v>
      </c>
      <c r="D4292" t="s">
        <v>15796</v>
      </c>
      <c r="E4292" t="s">
        <v>6489</v>
      </c>
      <c r="F4292" t="s">
        <v>28</v>
      </c>
      <c r="G4292" t="s">
        <v>15964</v>
      </c>
      <c r="H4292" t="s">
        <v>30</v>
      </c>
      <c r="I4292" t="b">
        <f>COUNTIF(Estadísticas!I:I,'centraldecomunicacion.es'!H4292)&gt;0</f>
        <v>0</v>
      </c>
    </row>
    <row r="4293" spans="1:9">
      <c r="A4293" t="s">
        <v>15965</v>
      </c>
      <c r="B4293" t="s">
        <v>10</v>
      </c>
      <c r="C4293" t="s">
        <v>15966</v>
      </c>
      <c r="D4293" t="s">
        <v>15960</v>
      </c>
      <c r="E4293" t="s">
        <v>6489</v>
      </c>
      <c r="F4293" t="s">
        <v>6522</v>
      </c>
      <c r="G4293" t="s">
        <v>15967</v>
      </c>
      <c r="H4293" t="s">
        <v>30</v>
      </c>
      <c r="I4293" t="b">
        <f>COUNTIF(Estadísticas!I:I,'centraldecomunicacion.es'!H4293)&gt;0</f>
        <v>0</v>
      </c>
    </row>
    <row r="4294" spans="1:9">
      <c r="A4294" t="s">
        <v>15968</v>
      </c>
      <c r="B4294" t="s">
        <v>10</v>
      </c>
      <c r="C4294" t="s">
        <v>15969</v>
      </c>
      <c r="D4294" t="s">
        <v>15790</v>
      </c>
      <c r="E4294" t="s">
        <v>6489</v>
      </c>
      <c r="F4294" t="s">
        <v>15970</v>
      </c>
      <c r="G4294" t="s">
        <v>15971</v>
      </c>
      <c r="H4294" t="s">
        <v>30</v>
      </c>
      <c r="I4294" t="b">
        <f>COUNTIF(Estadísticas!I:I,'centraldecomunicacion.es'!H4294)&gt;0</f>
        <v>0</v>
      </c>
    </row>
    <row r="4295" spans="1:9">
      <c r="A4295" t="s">
        <v>15972</v>
      </c>
      <c r="B4295" t="s">
        <v>10</v>
      </c>
      <c r="C4295" t="s">
        <v>15973</v>
      </c>
      <c r="D4295" t="s">
        <v>15927</v>
      </c>
      <c r="E4295" t="s">
        <v>6478</v>
      </c>
      <c r="F4295" t="s">
        <v>28</v>
      </c>
      <c r="G4295" t="s">
        <v>15974</v>
      </c>
      <c r="H4295" t="s">
        <v>30</v>
      </c>
      <c r="I4295" t="b">
        <f>COUNTIF(Estadísticas!I:I,'centraldecomunicacion.es'!H4295)&gt;0</f>
        <v>0</v>
      </c>
    </row>
    <row r="4296" spans="1:9">
      <c r="A4296" t="s">
        <v>15975</v>
      </c>
      <c r="B4296" t="s">
        <v>10</v>
      </c>
      <c r="C4296" t="s">
        <v>15976</v>
      </c>
      <c r="D4296" t="s">
        <v>15838</v>
      </c>
      <c r="E4296" t="s">
        <v>6489</v>
      </c>
      <c r="F4296" t="s">
        <v>28</v>
      </c>
      <c r="G4296" t="s">
        <v>15977</v>
      </c>
      <c r="H4296" t="s">
        <v>30</v>
      </c>
      <c r="I4296" t="b">
        <f>COUNTIF(Estadísticas!I:I,'centraldecomunicacion.es'!H4296)&gt;0</f>
        <v>0</v>
      </c>
    </row>
    <row r="4297" spans="1:9">
      <c r="A4297" t="s">
        <v>15978</v>
      </c>
      <c r="B4297" t="s">
        <v>10</v>
      </c>
      <c r="C4297" t="s">
        <v>15979</v>
      </c>
      <c r="D4297" t="s">
        <v>15790</v>
      </c>
      <c r="E4297" t="s">
        <v>6489</v>
      </c>
      <c r="F4297" t="s">
        <v>28</v>
      </c>
      <c r="G4297" t="s">
        <v>15980</v>
      </c>
      <c r="H4297" t="s">
        <v>30</v>
      </c>
      <c r="I4297" t="b">
        <f>COUNTIF(Estadísticas!I:I,'centraldecomunicacion.es'!H4297)&gt;0</f>
        <v>0</v>
      </c>
    </row>
    <row r="4298" spans="1:9">
      <c r="A4298" t="s">
        <v>15981</v>
      </c>
      <c r="B4298" t="s">
        <v>10</v>
      </c>
      <c r="C4298" t="s">
        <v>15982</v>
      </c>
      <c r="D4298" t="s">
        <v>6521</v>
      </c>
      <c r="E4298" t="s">
        <v>6489</v>
      </c>
      <c r="F4298" t="s">
        <v>15983</v>
      </c>
      <c r="G4298" t="s">
        <v>15984</v>
      </c>
      <c r="H4298" t="s">
        <v>30</v>
      </c>
      <c r="I4298" t="b">
        <f>COUNTIF(Estadísticas!I:I,'centraldecomunicacion.es'!H4298)&gt;0</f>
        <v>0</v>
      </c>
    </row>
    <row r="4299" spans="1:9">
      <c r="A4299" t="s">
        <v>15985</v>
      </c>
      <c r="B4299" t="s">
        <v>10</v>
      </c>
      <c r="C4299" t="s">
        <v>15986</v>
      </c>
      <c r="D4299" t="s">
        <v>15790</v>
      </c>
      <c r="E4299" t="s">
        <v>6489</v>
      </c>
      <c r="F4299" t="s">
        <v>642</v>
      </c>
      <c r="G4299" t="s">
        <v>15916</v>
      </c>
      <c r="H4299" t="s">
        <v>30</v>
      </c>
      <c r="I4299" t="b">
        <f>COUNTIF(Estadísticas!I:I,'centraldecomunicacion.es'!H4299)&gt;0</f>
        <v>0</v>
      </c>
    </row>
    <row r="4300" spans="1:9">
      <c r="A4300" t="s">
        <v>15987</v>
      </c>
      <c r="B4300" t="s">
        <v>10</v>
      </c>
      <c r="C4300" t="s">
        <v>15988</v>
      </c>
      <c r="D4300" t="s">
        <v>15801</v>
      </c>
      <c r="E4300" t="s">
        <v>6489</v>
      </c>
      <c r="F4300" t="s">
        <v>15989</v>
      </c>
      <c r="G4300" t="s">
        <v>15990</v>
      </c>
      <c r="H4300" t="s">
        <v>15991</v>
      </c>
      <c r="I4300" t="b">
        <f>COUNTIF(Estadísticas!I:I,'centraldecomunicacion.es'!H4300)&gt;0</f>
        <v>0</v>
      </c>
    </row>
    <row r="4301" spans="1:9">
      <c r="A4301" t="s">
        <v>15992</v>
      </c>
      <c r="B4301" t="s">
        <v>10</v>
      </c>
      <c r="C4301" t="s">
        <v>15993</v>
      </c>
      <c r="D4301" t="s">
        <v>15790</v>
      </c>
      <c r="E4301" t="s">
        <v>6478</v>
      </c>
      <c r="F4301" t="s">
        <v>28</v>
      </c>
      <c r="G4301" t="s">
        <v>15994</v>
      </c>
      <c r="H4301" t="s">
        <v>30</v>
      </c>
      <c r="I4301" t="b">
        <f>COUNTIF(Estadísticas!I:I,'centraldecomunicacion.es'!H4301)&gt;0</f>
        <v>0</v>
      </c>
    </row>
    <row r="4302" spans="1:9">
      <c r="A4302" t="s">
        <v>15995</v>
      </c>
      <c r="B4302" t="s">
        <v>10</v>
      </c>
      <c r="C4302" t="s">
        <v>15996</v>
      </c>
      <c r="D4302" t="s">
        <v>15838</v>
      </c>
      <c r="E4302" t="s">
        <v>6478</v>
      </c>
      <c r="F4302" t="s">
        <v>38</v>
      </c>
      <c r="G4302" t="s">
        <v>15997</v>
      </c>
      <c r="H4302" t="s">
        <v>30</v>
      </c>
      <c r="I4302" t="b">
        <f>COUNTIF(Estadísticas!I:I,'centraldecomunicacion.es'!H4302)&gt;0</f>
        <v>0</v>
      </c>
    </row>
    <row r="4303" spans="1:9">
      <c r="A4303" t="s">
        <v>15998</v>
      </c>
      <c r="B4303" t="s">
        <v>10</v>
      </c>
      <c r="C4303" t="s">
        <v>15999</v>
      </c>
      <c r="D4303" t="s">
        <v>15790</v>
      </c>
      <c r="E4303" t="s">
        <v>6489</v>
      </c>
      <c r="F4303" t="s">
        <v>642</v>
      </c>
      <c r="G4303" t="s">
        <v>16000</v>
      </c>
      <c r="H4303" t="s">
        <v>30</v>
      </c>
      <c r="I4303" t="b">
        <f>COUNTIF(Estadísticas!I:I,'centraldecomunicacion.es'!H4303)&gt;0</f>
        <v>0</v>
      </c>
    </row>
    <row r="4304" spans="1:9">
      <c r="A4304" t="s">
        <v>26</v>
      </c>
      <c r="B4304" t="s">
        <v>10</v>
      </c>
      <c r="C4304" t="s">
        <v>16001</v>
      </c>
      <c r="D4304" t="s">
        <v>15801</v>
      </c>
      <c r="E4304" t="s">
        <v>6478</v>
      </c>
      <c r="F4304" t="s">
        <v>28</v>
      </c>
      <c r="G4304" t="s">
        <v>396</v>
      </c>
      <c r="H4304" t="s">
        <v>30</v>
      </c>
      <c r="I4304" t="b">
        <f>COUNTIF(Estadísticas!I:I,'centraldecomunicacion.es'!H4304)&gt;0</f>
        <v>0</v>
      </c>
    </row>
    <row r="4305" spans="1:9">
      <c r="A4305" t="s">
        <v>16002</v>
      </c>
      <c r="B4305" t="s">
        <v>10</v>
      </c>
      <c r="C4305" t="s">
        <v>16003</v>
      </c>
      <c r="D4305" t="s">
        <v>15838</v>
      </c>
      <c r="E4305" t="s">
        <v>6489</v>
      </c>
      <c r="F4305" t="s">
        <v>28</v>
      </c>
      <c r="G4305" t="s">
        <v>16004</v>
      </c>
      <c r="H4305" t="s">
        <v>30</v>
      </c>
      <c r="I4305" t="b">
        <f>COUNTIF(Estadísticas!I:I,'centraldecomunicacion.es'!H4305)&gt;0</f>
        <v>0</v>
      </c>
    </row>
    <row r="4306" spans="1:9">
      <c r="A4306" t="s">
        <v>15874</v>
      </c>
      <c r="B4306" t="s">
        <v>10</v>
      </c>
      <c r="C4306" t="s">
        <v>16005</v>
      </c>
      <c r="D4306" t="s">
        <v>15790</v>
      </c>
      <c r="E4306" t="s">
        <v>6478</v>
      </c>
      <c r="F4306" t="s">
        <v>28</v>
      </c>
      <c r="G4306" t="s">
        <v>16006</v>
      </c>
      <c r="H4306" t="s">
        <v>30</v>
      </c>
      <c r="I4306" t="b">
        <f>COUNTIF(Estadísticas!I:I,'centraldecomunicacion.es'!H4306)&gt;0</f>
        <v>0</v>
      </c>
    </row>
    <row r="4307" spans="1:9">
      <c r="A4307" t="s">
        <v>16007</v>
      </c>
      <c r="B4307" t="s">
        <v>10</v>
      </c>
      <c r="C4307" t="s">
        <v>16008</v>
      </c>
      <c r="D4307" t="s">
        <v>15796</v>
      </c>
      <c r="E4307" t="s">
        <v>6489</v>
      </c>
      <c r="F4307" t="s">
        <v>16009</v>
      </c>
      <c r="G4307" t="s">
        <v>16010</v>
      </c>
      <c r="H4307" t="s">
        <v>691</v>
      </c>
      <c r="I4307" t="b">
        <f>COUNTIF(Estadísticas!I:I,'centraldecomunicacion.es'!H4307)&gt;0</f>
        <v>0</v>
      </c>
    </row>
    <row r="4308" spans="1:9">
      <c r="A4308" t="s">
        <v>16011</v>
      </c>
      <c r="B4308" t="s">
        <v>10</v>
      </c>
      <c r="C4308" t="s">
        <v>16012</v>
      </c>
      <c r="D4308" t="s">
        <v>16013</v>
      </c>
      <c r="E4308" t="s">
        <v>6489</v>
      </c>
      <c r="F4308" t="s">
        <v>28</v>
      </c>
      <c r="G4308" t="s">
        <v>16014</v>
      </c>
      <c r="H4308" t="s">
        <v>30</v>
      </c>
      <c r="I4308" t="b">
        <f>COUNTIF(Estadísticas!I:I,'centraldecomunicacion.es'!H4308)&gt;0</f>
        <v>0</v>
      </c>
    </row>
    <row r="4309" spans="1:9">
      <c r="A4309" t="s">
        <v>16015</v>
      </c>
      <c r="B4309" t="s">
        <v>10</v>
      </c>
      <c r="C4309" t="s">
        <v>16016</v>
      </c>
      <c r="D4309" t="s">
        <v>16017</v>
      </c>
      <c r="E4309" t="s">
        <v>6489</v>
      </c>
      <c r="F4309" t="s">
        <v>28</v>
      </c>
      <c r="G4309" t="s">
        <v>16018</v>
      </c>
      <c r="H4309" t="s">
        <v>30</v>
      </c>
      <c r="I4309" t="b">
        <f>COUNTIF(Estadísticas!I:I,'centraldecomunicacion.es'!H4309)&gt;0</f>
        <v>0</v>
      </c>
    </row>
    <row r="4310" spans="1:9">
      <c r="A4310" t="s">
        <v>16019</v>
      </c>
      <c r="B4310" t="s">
        <v>10</v>
      </c>
      <c r="C4310" t="s">
        <v>16020</v>
      </c>
      <c r="D4310" t="s">
        <v>15838</v>
      </c>
      <c r="E4310" t="s">
        <v>6489</v>
      </c>
      <c r="F4310" t="s">
        <v>28</v>
      </c>
      <c r="G4310" t="s">
        <v>16021</v>
      </c>
      <c r="H4310" t="s">
        <v>30</v>
      </c>
      <c r="I4310" t="b">
        <f>COUNTIF(Estadísticas!I:I,'centraldecomunicacion.es'!H4310)&gt;0</f>
        <v>0</v>
      </c>
    </row>
    <row r="4311" spans="1:9">
      <c r="A4311" t="s">
        <v>16022</v>
      </c>
      <c r="B4311" t="s">
        <v>10</v>
      </c>
      <c r="C4311" t="s">
        <v>16023</v>
      </c>
      <c r="D4311" t="s">
        <v>16024</v>
      </c>
      <c r="E4311" t="s">
        <v>6489</v>
      </c>
      <c r="F4311" t="s">
        <v>28</v>
      </c>
      <c r="G4311" t="s">
        <v>16025</v>
      </c>
      <c r="H4311" t="s">
        <v>30</v>
      </c>
      <c r="I4311" t="b">
        <f>COUNTIF(Estadísticas!I:I,'centraldecomunicacion.es'!H4311)&gt;0</f>
        <v>0</v>
      </c>
    </row>
    <row r="4312" spans="1:9">
      <c r="A4312" t="s">
        <v>16026</v>
      </c>
      <c r="B4312" t="s">
        <v>10</v>
      </c>
      <c r="C4312" t="s">
        <v>16027</v>
      </c>
      <c r="D4312" t="s">
        <v>6521</v>
      </c>
      <c r="E4312" t="s">
        <v>6489</v>
      </c>
      <c r="F4312" t="s">
        <v>28</v>
      </c>
      <c r="G4312" t="s">
        <v>16028</v>
      </c>
      <c r="H4312" t="s">
        <v>30</v>
      </c>
      <c r="I4312" t="b">
        <f>COUNTIF(Estadísticas!I:I,'centraldecomunicacion.es'!H4312)&gt;0</f>
        <v>0</v>
      </c>
    </row>
    <row r="4313" spans="1:9">
      <c r="A4313" t="s">
        <v>16029</v>
      </c>
      <c r="B4313" t="s">
        <v>10</v>
      </c>
      <c r="C4313" t="s">
        <v>16030</v>
      </c>
      <c r="D4313" t="s">
        <v>16031</v>
      </c>
      <c r="E4313" t="s">
        <v>6489</v>
      </c>
      <c r="F4313" t="s">
        <v>50</v>
      </c>
      <c r="G4313" t="s">
        <v>16032</v>
      </c>
      <c r="H4313" t="s">
        <v>30</v>
      </c>
      <c r="I4313" t="b">
        <f>COUNTIF(Estadísticas!I:I,'centraldecomunicacion.es'!H4313)&gt;0</f>
        <v>0</v>
      </c>
    </row>
    <row r="4314" spans="1:9">
      <c r="A4314" t="s">
        <v>16033</v>
      </c>
      <c r="B4314" t="s">
        <v>10</v>
      </c>
      <c r="C4314" t="s">
        <v>16034</v>
      </c>
      <c r="D4314" t="s">
        <v>15919</v>
      </c>
      <c r="E4314" t="s">
        <v>6478</v>
      </c>
      <c r="F4314" t="s">
        <v>28</v>
      </c>
      <c r="G4314" t="s">
        <v>16035</v>
      </c>
      <c r="H4314" t="s">
        <v>30</v>
      </c>
      <c r="I4314" t="b">
        <f>COUNTIF(Estadísticas!I:I,'centraldecomunicacion.es'!H4314)&gt;0</f>
        <v>0</v>
      </c>
    </row>
    <row r="4315" spans="1:9">
      <c r="A4315" t="s">
        <v>16036</v>
      </c>
      <c r="B4315" t="s">
        <v>10</v>
      </c>
      <c r="C4315" t="s">
        <v>16037</v>
      </c>
      <c r="D4315" t="s">
        <v>15838</v>
      </c>
      <c r="E4315" t="s">
        <v>6489</v>
      </c>
      <c r="F4315" t="s">
        <v>16038</v>
      </c>
      <c r="G4315" t="s">
        <v>16039</v>
      </c>
      <c r="H4315" t="s">
        <v>30</v>
      </c>
      <c r="I4315" t="b">
        <f>COUNTIF(Estadísticas!I:I,'centraldecomunicacion.es'!H4315)&gt;0</f>
        <v>0</v>
      </c>
    </row>
    <row r="4316" spans="1:9">
      <c r="A4316" t="s">
        <v>16040</v>
      </c>
      <c r="B4316" t="s">
        <v>10</v>
      </c>
      <c r="C4316" t="s">
        <v>16041</v>
      </c>
      <c r="D4316" t="s">
        <v>6521</v>
      </c>
      <c r="E4316" t="s">
        <v>6489</v>
      </c>
      <c r="F4316" t="s">
        <v>16042</v>
      </c>
      <c r="G4316" t="s">
        <v>16043</v>
      </c>
      <c r="H4316" t="s">
        <v>16044</v>
      </c>
      <c r="I4316" t="b">
        <f>COUNTIF(Estadísticas!I:I,'centraldecomunicacion.es'!H4316)&gt;0</f>
        <v>0</v>
      </c>
    </row>
    <row r="4317" spans="1:9">
      <c r="A4317" t="s">
        <v>6270</v>
      </c>
      <c r="B4317" t="s">
        <v>10</v>
      </c>
      <c r="C4317" t="s">
        <v>16045</v>
      </c>
      <c r="D4317" t="s">
        <v>16024</v>
      </c>
      <c r="E4317" t="s">
        <v>6489</v>
      </c>
      <c r="F4317" t="s">
        <v>28</v>
      </c>
      <c r="G4317" t="s">
        <v>16046</v>
      </c>
      <c r="H4317" t="s">
        <v>30</v>
      </c>
      <c r="I4317" t="b">
        <f>COUNTIF(Estadísticas!I:I,'centraldecomunicacion.es'!H4317)&gt;0</f>
        <v>0</v>
      </c>
    </row>
    <row r="4318" spans="1:9">
      <c r="A4318" t="s">
        <v>16047</v>
      </c>
      <c r="B4318" t="s">
        <v>10</v>
      </c>
      <c r="C4318" t="s">
        <v>16048</v>
      </c>
      <c r="D4318" t="s">
        <v>15960</v>
      </c>
      <c r="E4318" t="s">
        <v>6489</v>
      </c>
      <c r="F4318" t="s">
        <v>16049</v>
      </c>
      <c r="G4318" t="s">
        <v>16050</v>
      </c>
      <c r="H4318" t="s">
        <v>16051</v>
      </c>
      <c r="I4318" t="b">
        <f>COUNTIF(Estadísticas!I:I,'centraldecomunicacion.es'!H4318)&gt;0</f>
        <v>1</v>
      </c>
    </row>
    <row r="4319" spans="1:9">
      <c r="A4319" t="s">
        <v>16052</v>
      </c>
      <c r="B4319" t="s">
        <v>10</v>
      </c>
      <c r="C4319" t="s">
        <v>16053</v>
      </c>
      <c r="D4319" t="s">
        <v>15801</v>
      </c>
      <c r="E4319" t="s">
        <v>6489</v>
      </c>
      <c r="F4319" t="s">
        <v>16054</v>
      </c>
      <c r="G4319" t="s">
        <v>16055</v>
      </c>
      <c r="H4319" t="s">
        <v>16056</v>
      </c>
      <c r="I4319" t="b">
        <f>COUNTIF(Estadísticas!I:I,'centraldecomunicacion.es'!H4319)&gt;0</f>
        <v>0</v>
      </c>
    </row>
    <row r="4320" spans="1:9">
      <c r="A4320" t="s">
        <v>16057</v>
      </c>
      <c r="B4320" t="s">
        <v>10</v>
      </c>
      <c r="C4320" t="s">
        <v>16058</v>
      </c>
      <c r="D4320" t="s">
        <v>15801</v>
      </c>
      <c r="E4320" t="s">
        <v>6489</v>
      </c>
      <c r="F4320" t="s">
        <v>16059</v>
      </c>
      <c r="G4320" t="s">
        <v>16060</v>
      </c>
      <c r="H4320" t="s">
        <v>30</v>
      </c>
      <c r="I4320" t="b">
        <f>COUNTIF(Estadísticas!I:I,'centraldecomunicacion.es'!H4320)&gt;0</f>
        <v>0</v>
      </c>
    </row>
    <row r="4321" spans="1:9">
      <c r="A4321" t="s">
        <v>16061</v>
      </c>
      <c r="B4321" t="s">
        <v>10</v>
      </c>
      <c r="C4321" t="s">
        <v>16062</v>
      </c>
      <c r="D4321" t="s">
        <v>16063</v>
      </c>
      <c r="E4321" t="s">
        <v>6489</v>
      </c>
      <c r="F4321" t="s">
        <v>16064</v>
      </c>
      <c r="G4321" t="s">
        <v>16065</v>
      </c>
      <c r="H4321" t="s">
        <v>30</v>
      </c>
      <c r="I4321" t="b">
        <f>COUNTIF(Estadísticas!I:I,'centraldecomunicacion.es'!H4321)&gt;0</f>
        <v>0</v>
      </c>
    </row>
    <row r="4322" spans="1:9">
      <c r="A4322" t="s">
        <v>16066</v>
      </c>
      <c r="B4322" t="s">
        <v>10</v>
      </c>
      <c r="C4322" t="s">
        <v>16067</v>
      </c>
      <c r="D4322" t="s">
        <v>15790</v>
      </c>
      <c r="E4322" t="s">
        <v>6489</v>
      </c>
      <c r="F4322" t="s">
        <v>28</v>
      </c>
      <c r="G4322" t="s">
        <v>16068</v>
      </c>
      <c r="H4322" t="s">
        <v>30</v>
      </c>
      <c r="I4322" t="b">
        <f>COUNTIF(Estadísticas!I:I,'centraldecomunicacion.es'!H4322)&gt;0</f>
        <v>0</v>
      </c>
    </row>
    <row r="4323" spans="1:9">
      <c r="A4323" t="s">
        <v>16069</v>
      </c>
      <c r="B4323" t="s">
        <v>10</v>
      </c>
      <c r="C4323" t="s">
        <v>16070</v>
      </c>
      <c r="D4323" t="s">
        <v>15934</v>
      </c>
      <c r="E4323" t="s">
        <v>6478</v>
      </c>
      <c r="F4323" t="s">
        <v>28</v>
      </c>
      <c r="G4323" t="s">
        <v>16071</v>
      </c>
      <c r="H4323" t="s">
        <v>30</v>
      </c>
      <c r="I4323" t="b">
        <f>COUNTIF(Estadísticas!I:I,'centraldecomunicacion.es'!H4323)&gt;0</f>
        <v>0</v>
      </c>
    </row>
    <row r="4324" spans="1:9">
      <c r="A4324" t="s">
        <v>4062</v>
      </c>
      <c r="B4324" t="s">
        <v>10</v>
      </c>
      <c r="C4324" t="s">
        <v>16072</v>
      </c>
      <c r="D4324" t="s">
        <v>15960</v>
      </c>
      <c r="E4324" t="s">
        <v>6489</v>
      </c>
      <c r="F4324" t="s">
        <v>16073</v>
      </c>
      <c r="G4324" t="s">
        <v>16074</v>
      </c>
      <c r="H4324" t="s">
        <v>16075</v>
      </c>
      <c r="I4324" t="b">
        <f>COUNTIF(Estadísticas!I:I,'centraldecomunicacion.es'!H4324)&gt;0</f>
        <v>0</v>
      </c>
    </row>
    <row r="4325" spans="1:9">
      <c r="A4325" t="s">
        <v>16076</v>
      </c>
      <c r="B4325" t="s">
        <v>10</v>
      </c>
      <c r="C4325" t="s">
        <v>16077</v>
      </c>
      <c r="D4325" t="s">
        <v>15790</v>
      </c>
      <c r="E4325" t="s">
        <v>6489</v>
      </c>
      <c r="F4325" t="s">
        <v>16078</v>
      </c>
      <c r="G4325" t="s">
        <v>16079</v>
      </c>
      <c r="H4325" t="s">
        <v>16080</v>
      </c>
      <c r="I4325" t="b">
        <f>COUNTIF(Estadísticas!I:I,'centraldecomunicacion.es'!H4325)&gt;0</f>
        <v>0</v>
      </c>
    </row>
    <row r="4326" spans="1:9">
      <c r="A4326" t="s">
        <v>12900</v>
      </c>
      <c r="B4326" t="s">
        <v>10</v>
      </c>
      <c r="C4326" t="s">
        <v>16081</v>
      </c>
      <c r="D4326" t="s">
        <v>6477</v>
      </c>
      <c r="E4326" t="s">
        <v>6478</v>
      </c>
      <c r="F4326" t="s">
        <v>28</v>
      </c>
      <c r="G4326" t="s">
        <v>16082</v>
      </c>
      <c r="H4326" t="s">
        <v>30</v>
      </c>
      <c r="I4326" t="b">
        <f>COUNTIF(Estadísticas!I:I,'centraldecomunicacion.es'!H4326)&gt;0</f>
        <v>0</v>
      </c>
    </row>
    <row r="4327" spans="1:9">
      <c r="A4327" t="s">
        <v>16083</v>
      </c>
      <c r="B4327" t="s">
        <v>10</v>
      </c>
      <c r="C4327" t="s">
        <v>16084</v>
      </c>
      <c r="D4327" t="s">
        <v>16085</v>
      </c>
      <c r="E4327" t="s">
        <v>6489</v>
      </c>
      <c r="F4327" t="s">
        <v>28</v>
      </c>
      <c r="G4327" t="s">
        <v>16086</v>
      </c>
      <c r="H4327" t="s">
        <v>30</v>
      </c>
      <c r="I4327" t="b">
        <f>COUNTIF(Estadísticas!I:I,'centraldecomunicacion.es'!H4327)&gt;0</f>
        <v>0</v>
      </c>
    </row>
    <row r="4328" spans="1:9">
      <c r="A4328" t="s">
        <v>16087</v>
      </c>
      <c r="B4328" t="s">
        <v>10</v>
      </c>
      <c r="C4328" t="s">
        <v>16088</v>
      </c>
      <c r="D4328" t="s">
        <v>16031</v>
      </c>
      <c r="E4328" t="s">
        <v>6489</v>
      </c>
      <c r="F4328" t="s">
        <v>16089</v>
      </c>
      <c r="G4328" t="s">
        <v>16090</v>
      </c>
      <c r="H4328" t="s">
        <v>16091</v>
      </c>
      <c r="I4328" t="b">
        <f>COUNTIF(Estadísticas!I:I,'centraldecomunicacion.es'!H4328)&gt;0</f>
        <v>0</v>
      </c>
    </row>
    <row r="4329" spans="1:9">
      <c r="A4329" t="s">
        <v>16092</v>
      </c>
      <c r="B4329" t="s">
        <v>10</v>
      </c>
      <c r="C4329" t="s">
        <v>16093</v>
      </c>
      <c r="D4329" t="s">
        <v>15790</v>
      </c>
      <c r="E4329" t="s">
        <v>6489</v>
      </c>
      <c r="F4329" t="s">
        <v>16094</v>
      </c>
      <c r="G4329" t="s">
        <v>16095</v>
      </c>
      <c r="H4329" t="s">
        <v>691</v>
      </c>
      <c r="I4329" t="b">
        <f>COUNTIF(Estadísticas!I:I,'centraldecomunicacion.es'!H4329)&gt;0</f>
        <v>0</v>
      </c>
    </row>
    <row r="4330" spans="1:9">
      <c r="A4330" t="s">
        <v>16096</v>
      </c>
      <c r="B4330" t="s">
        <v>10</v>
      </c>
      <c r="C4330" t="s">
        <v>16097</v>
      </c>
      <c r="D4330" t="s">
        <v>15790</v>
      </c>
      <c r="E4330" t="s">
        <v>6489</v>
      </c>
      <c r="F4330" t="s">
        <v>28</v>
      </c>
      <c r="G4330" t="s">
        <v>15916</v>
      </c>
      <c r="H4330" t="s">
        <v>30</v>
      </c>
      <c r="I4330" t="b">
        <f>COUNTIF(Estadísticas!I:I,'centraldecomunicacion.es'!H4330)&gt;0</f>
        <v>0</v>
      </c>
    </row>
    <row r="4331" spans="1:9">
      <c r="A4331" t="s">
        <v>16098</v>
      </c>
      <c r="B4331" t="s">
        <v>10</v>
      </c>
      <c r="C4331" t="s">
        <v>16099</v>
      </c>
      <c r="D4331" t="s">
        <v>16100</v>
      </c>
      <c r="E4331" t="s">
        <v>6489</v>
      </c>
      <c r="F4331" t="s">
        <v>16101</v>
      </c>
      <c r="G4331" t="s">
        <v>16102</v>
      </c>
      <c r="H4331" t="s">
        <v>30</v>
      </c>
      <c r="I4331" t="b">
        <f>COUNTIF(Estadísticas!I:I,'centraldecomunicacion.es'!H4331)&gt;0</f>
        <v>0</v>
      </c>
    </row>
    <row r="4332" spans="1:9">
      <c r="A4332" t="s">
        <v>16103</v>
      </c>
      <c r="B4332" t="s">
        <v>10</v>
      </c>
      <c r="C4332" t="s">
        <v>16104</v>
      </c>
      <c r="D4332" t="s">
        <v>16105</v>
      </c>
      <c r="E4332" t="s">
        <v>6489</v>
      </c>
      <c r="F4332" t="s">
        <v>16106</v>
      </c>
      <c r="G4332" t="s">
        <v>16107</v>
      </c>
      <c r="H4332" t="s">
        <v>30</v>
      </c>
      <c r="I4332" t="b">
        <f>COUNTIF(Estadísticas!I:I,'centraldecomunicacion.es'!H4332)&gt;0</f>
        <v>0</v>
      </c>
    </row>
    <row r="4333" spans="1:9">
      <c r="A4333" t="s">
        <v>16108</v>
      </c>
      <c r="B4333" t="s">
        <v>10</v>
      </c>
      <c r="C4333" t="s">
        <v>16109</v>
      </c>
      <c r="D4333" t="s">
        <v>15790</v>
      </c>
      <c r="E4333" t="s">
        <v>6489</v>
      </c>
      <c r="F4333" t="s">
        <v>16110</v>
      </c>
      <c r="G4333" t="s">
        <v>16111</v>
      </c>
      <c r="H4333" t="s">
        <v>30</v>
      </c>
      <c r="I4333" t="b">
        <f>COUNTIF(Estadísticas!I:I,'centraldecomunicacion.es'!H4333)&gt;0</f>
        <v>0</v>
      </c>
    </row>
    <row r="4334" spans="1:9">
      <c r="A4334" t="s">
        <v>16112</v>
      </c>
      <c r="B4334" t="s">
        <v>10</v>
      </c>
      <c r="C4334" t="s">
        <v>16113</v>
      </c>
      <c r="D4334" t="s">
        <v>15801</v>
      </c>
      <c r="E4334" t="s">
        <v>6489</v>
      </c>
      <c r="F4334" t="s">
        <v>28</v>
      </c>
      <c r="G4334" t="s">
        <v>16114</v>
      </c>
      <c r="H4334" t="s">
        <v>30</v>
      </c>
      <c r="I4334" t="b">
        <f>COUNTIF(Estadísticas!I:I,'centraldecomunicacion.es'!H4334)&gt;0</f>
        <v>0</v>
      </c>
    </row>
    <row r="4335" spans="1:9">
      <c r="A4335" t="s">
        <v>11101</v>
      </c>
      <c r="B4335" t="s">
        <v>10</v>
      </c>
      <c r="C4335" t="s">
        <v>16115</v>
      </c>
      <c r="D4335" t="s">
        <v>15960</v>
      </c>
      <c r="E4335" t="s">
        <v>6489</v>
      </c>
      <c r="F4335" t="s">
        <v>16116</v>
      </c>
      <c r="G4335" t="s">
        <v>16117</v>
      </c>
      <c r="H4335" t="s">
        <v>30</v>
      </c>
      <c r="I4335" t="b">
        <f>COUNTIF(Estadísticas!I:I,'centraldecomunicacion.es'!H4335)&gt;0</f>
        <v>0</v>
      </c>
    </row>
    <row r="4336" spans="1:9">
      <c r="A4336" t="s">
        <v>16118</v>
      </c>
      <c r="B4336" t="s">
        <v>10</v>
      </c>
      <c r="C4336" t="s">
        <v>16119</v>
      </c>
      <c r="D4336" t="s">
        <v>15838</v>
      </c>
      <c r="E4336" t="s">
        <v>6489</v>
      </c>
      <c r="F4336" t="s">
        <v>28</v>
      </c>
      <c r="G4336" t="s">
        <v>16120</v>
      </c>
      <c r="H4336" t="s">
        <v>30</v>
      </c>
      <c r="I4336" t="b">
        <f>COUNTIF(Estadísticas!I:I,'centraldecomunicacion.es'!H4336)&gt;0</f>
        <v>0</v>
      </c>
    </row>
    <row r="4337" spans="1:9">
      <c r="A4337" t="s">
        <v>16121</v>
      </c>
      <c r="B4337" t="s">
        <v>10</v>
      </c>
      <c r="C4337" t="s">
        <v>16122</v>
      </c>
      <c r="D4337" t="s">
        <v>15838</v>
      </c>
      <c r="E4337" t="s">
        <v>6489</v>
      </c>
      <c r="F4337" t="s">
        <v>28</v>
      </c>
      <c r="G4337" t="s">
        <v>16123</v>
      </c>
      <c r="H4337" t="s">
        <v>30</v>
      </c>
      <c r="I4337" t="b">
        <f>COUNTIF(Estadísticas!I:I,'centraldecomunicacion.es'!H4337)&gt;0</f>
        <v>0</v>
      </c>
    </row>
    <row r="4338" spans="1:9">
      <c r="A4338" t="s">
        <v>16124</v>
      </c>
      <c r="B4338" t="s">
        <v>10</v>
      </c>
      <c r="C4338" t="s">
        <v>16125</v>
      </c>
      <c r="D4338" t="s">
        <v>16126</v>
      </c>
      <c r="E4338" t="s">
        <v>6489</v>
      </c>
      <c r="F4338" t="s">
        <v>28</v>
      </c>
      <c r="G4338" t="s">
        <v>16127</v>
      </c>
      <c r="H4338" t="s">
        <v>30</v>
      </c>
      <c r="I4338" t="b">
        <f>COUNTIF(Estadísticas!I:I,'centraldecomunicacion.es'!H4338)&gt;0</f>
        <v>0</v>
      </c>
    </row>
    <row r="4339" spans="1:9">
      <c r="A4339" t="s">
        <v>16026</v>
      </c>
      <c r="B4339" t="s">
        <v>219</v>
      </c>
      <c r="C4339" t="s">
        <v>16128</v>
      </c>
      <c r="D4339" t="s">
        <v>6521</v>
      </c>
      <c r="E4339" t="s">
        <v>6478</v>
      </c>
      <c r="F4339" t="s">
        <v>28</v>
      </c>
      <c r="G4339" t="s">
        <v>16129</v>
      </c>
      <c r="H4339" t="s">
        <v>30</v>
      </c>
      <c r="I4339" t="b">
        <f>COUNTIF(Estadísticas!I:I,'centraldecomunicacion.es'!H4339)&gt;0</f>
        <v>0</v>
      </c>
    </row>
    <row r="4340" spans="1:9">
      <c r="A4340" t="s">
        <v>16130</v>
      </c>
      <c r="B4340" t="s">
        <v>10</v>
      </c>
      <c r="C4340" t="s">
        <v>16131</v>
      </c>
      <c r="D4340" t="s">
        <v>15919</v>
      </c>
      <c r="E4340" t="s">
        <v>6489</v>
      </c>
      <c r="F4340" t="s">
        <v>28</v>
      </c>
      <c r="G4340" t="s">
        <v>16132</v>
      </c>
      <c r="H4340" t="s">
        <v>30</v>
      </c>
      <c r="I4340" t="b">
        <f>COUNTIF(Estadísticas!I:I,'centraldecomunicacion.es'!H4340)&gt;0</f>
        <v>0</v>
      </c>
    </row>
    <row r="4341" spans="1:9">
      <c r="A4341" t="s">
        <v>16133</v>
      </c>
      <c r="B4341" t="s">
        <v>10</v>
      </c>
      <c r="C4341" t="s">
        <v>16134</v>
      </c>
      <c r="D4341" t="s">
        <v>6521</v>
      </c>
      <c r="E4341" t="s">
        <v>6489</v>
      </c>
      <c r="F4341" t="s">
        <v>50</v>
      </c>
      <c r="G4341" t="s">
        <v>16135</v>
      </c>
      <c r="H4341" t="s">
        <v>30</v>
      </c>
      <c r="I4341" t="b">
        <f>COUNTIF(Estadísticas!I:I,'centraldecomunicacion.es'!H4341)&gt;0</f>
        <v>0</v>
      </c>
    </row>
    <row r="4342" spans="1:9">
      <c r="A4342" t="s">
        <v>16136</v>
      </c>
      <c r="B4342" t="s">
        <v>10</v>
      </c>
      <c r="C4342" t="s">
        <v>16137</v>
      </c>
      <c r="D4342" t="s">
        <v>15834</v>
      </c>
      <c r="E4342" t="s">
        <v>6478</v>
      </c>
      <c r="F4342" t="s">
        <v>16138</v>
      </c>
      <c r="G4342" t="s">
        <v>16139</v>
      </c>
      <c r="H4342" t="s">
        <v>16140</v>
      </c>
      <c r="I4342" t="b">
        <f>COUNTIF(Estadísticas!I:I,'centraldecomunicacion.es'!H4342)&gt;0</f>
        <v>0</v>
      </c>
    </row>
    <row r="4343" spans="1:9">
      <c r="A4343" t="s">
        <v>16141</v>
      </c>
      <c r="B4343" t="s">
        <v>10</v>
      </c>
      <c r="C4343" t="s">
        <v>16142</v>
      </c>
      <c r="D4343" t="s">
        <v>6488</v>
      </c>
      <c r="E4343" t="s">
        <v>6489</v>
      </c>
      <c r="F4343" t="s">
        <v>28</v>
      </c>
      <c r="G4343" t="s">
        <v>16143</v>
      </c>
      <c r="H4343" t="s">
        <v>30</v>
      </c>
      <c r="I4343" t="b">
        <f>COUNTIF(Estadísticas!I:I,'centraldecomunicacion.es'!H4343)&gt;0</f>
        <v>0</v>
      </c>
    </row>
    <row r="4344" spans="1:9">
      <c r="A4344" t="s">
        <v>16144</v>
      </c>
      <c r="B4344" t="s">
        <v>10</v>
      </c>
      <c r="C4344" t="s">
        <v>16145</v>
      </c>
      <c r="D4344" t="s">
        <v>15834</v>
      </c>
      <c r="E4344" t="s">
        <v>6489</v>
      </c>
      <c r="F4344" t="s">
        <v>28</v>
      </c>
      <c r="G4344" t="s">
        <v>16146</v>
      </c>
      <c r="H4344" t="s">
        <v>30</v>
      </c>
      <c r="I4344" t="b">
        <f>COUNTIF(Estadísticas!I:I,'centraldecomunicacion.es'!H4344)&gt;0</f>
        <v>0</v>
      </c>
    </row>
    <row r="4345" spans="1:9">
      <c r="A4345" t="s">
        <v>16147</v>
      </c>
      <c r="B4345" t="s">
        <v>10</v>
      </c>
      <c r="C4345" t="s">
        <v>16148</v>
      </c>
      <c r="D4345" t="s">
        <v>16149</v>
      </c>
      <c r="E4345" t="s">
        <v>6478</v>
      </c>
      <c r="F4345" t="s">
        <v>16150</v>
      </c>
      <c r="G4345" t="s">
        <v>16151</v>
      </c>
      <c r="H4345" t="s">
        <v>30</v>
      </c>
      <c r="I4345" t="b">
        <f>COUNTIF(Estadísticas!I:I,'centraldecomunicacion.es'!H4345)&gt;0</f>
        <v>0</v>
      </c>
    </row>
    <row r="4346" spans="1:9">
      <c r="A4346" t="s">
        <v>16152</v>
      </c>
      <c r="B4346" t="s">
        <v>10</v>
      </c>
      <c r="C4346" t="s">
        <v>16153</v>
      </c>
      <c r="D4346" t="s">
        <v>16154</v>
      </c>
      <c r="E4346" t="s">
        <v>6489</v>
      </c>
      <c r="F4346" t="s">
        <v>28</v>
      </c>
      <c r="G4346" t="s">
        <v>16155</v>
      </c>
      <c r="H4346" t="s">
        <v>30</v>
      </c>
      <c r="I4346" t="b">
        <f>COUNTIF(Estadísticas!I:I,'centraldecomunicacion.es'!H4346)&gt;0</f>
        <v>0</v>
      </c>
    </row>
    <row r="4347" spans="1:9">
      <c r="A4347" t="s">
        <v>16156</v>
      </c>
      <c r="B4347" t="s">
        <v>10</v>
      </c>
      <c r="C4347" t="s">
        <v>16157</v>
      </c>
      <c r="D4347" t="s">
        <v>15790</v>
      </c>
      <c r="E4347" t="s">
        <v>6478</v>
      </c>
      <c r="F4347" t="s">
        <v>28</v>
      </c>
      <c r="G4347" t="s">
        <v>28</v>
      </c>
      <c r="H4347" t="s">
        <v>30</v>
      </c>
      <c r="I4347" t="b">
        <f>COUNTIF(Estadísticas!I:I,'centraldecomunicacion.es'!H4347)&gt;0</f>
        <v>0</v>
      </c>
    </row>
    <row r="4348" spans="1:9">
      <c r="A4348" t="s">
        <v>16158</v>
      </c>
      <c r="B4348" t="s">
        <v>10</v>
      </c>
      <c r="C4348" t="s">
        <v>16159</v>
      </c>
      <c r="D4348" t="s">
        <v>15834</v>
      </c>
      <c r="E4348" t="s">
        <v>6489</v>
      </c>
      <c r="F4348" t="s">
        <v>28</v>
      </c>
      <c r="G4348" t="s">
        <v>16160</v>
      </c>
      <c r="H4348" t="s">
        <v>30</v>
      </c>
      <c r="I4348" t="b">
        <f>COUNTIF(Estadísticas!I:I,'centraldecomunicacion.es'!H4348)&gt;0</f>
        <v>0</v>
      </c>
    </row>
    <row r="4349" spans="1:9">
      <c r="A4349" t="s">
        <v>16161</v>
      </c>
      <c r="B4349" t="s">
        <v>10</v>
      </c>
      <c r="C4349" t="s">
        <v>16162</v>
      </c>
      <c r="D4349" t="s">
        <v>6511</v>
      </c>
      <c r="E4349" t="s">
        <v>6489</v>
      </c>
      <c r="F4349" t="s">
        <v>28</v>
      </c>
      <c r="G4349" t="s">
        <v>16163</v>
      </c>
      <c r="H4349" t="s">
        <v>30</v>
      </c>
      <c r="I4349" t="b">
        <f>COUNTIF(Estadísticas!I:I,'centraldecomunicacion.es'!H4349)&gt;0</f>
        <v>0</v>
      </c>
    </row>
    <row r="4350" spans="1:9">
      <c r="A4350" t="s">
        <v>16164</v>
      </c>
      <c r="B4350" t="s">
        <v>10</v>
      </c>
      <c r="C4350" t="s">
        <v>16165</v>
      </c>
      <c r="D4350" t="s">
        <v>6521</v>
      </c>
      <c r="E4350" t="s">
        <v>6478</v>
      </c>
      <c r="F4350" t="s">
        <v>28</v>
      </c>
      <c r="G4350" t="s">
        <v>16166</v>
      </c>
      <c r="H4350" t="s">
        <v>30</v>
      </c>
      <c r="I4350" t="b">
        <f>COUNTIF(Estadísticas!I:I,'centraldecomunicacion.es'!H4350)&gt;0</f>
        <v>0</v>
      </c>
    </row>
    <row r="4351" spans="1:9">
      <c r="A4351" t="s">
        <v>16167</v>
      </c>
      <c r="B4351" t="s">
        <v>10</v>
      </c>
      <c r="C4351" t="s">
        <v>16168</v>
      </c>
      <c r="D4351" t="s">
        <v>15863</v>
      </c>
      <c r="E4351" t="s">
        <v>6489</v>
      </c>
      <c r="F4351" t="s">
        <v>16169</v>
      </c>
      <c r="G4351" t="s">
        <v>16170</v>
      </c>
      <c r="H4351" t="s">
        <v>16171</v>
      </c>
      <c r="I4351" t="b">
        <f>COUNTIF(Estadísticas!I:I,'centraldecomunicacion.es'!H4351)&gt;0</f>
        <v>1</v>
      </c>
    </row>
    <row r="4352" spans="1:9">
      <c r="A4352" t="s">
        <v>16172</v>
      </c>
      <c r="B4352" t="s">
        <v>10</v>
      </c>
      <c r="C4352" t="s">
        <v>16173</v>
      </c>
      <c r="D4352" t="s">
        <v>16149</v>
      </c>
      <c r="E4352" t="s">
        <v>6478</v>
      </c>
      <c r="F4352" t="s">
        <v>28</v>
      </c>
      <c r="G4352" t="s">
        <v>16174</v>
      </c>
      <c r="H4352" t="s">
        <v>30</v>
      </c>
      <c r="I4352" t="b">
        <f>COUNTIF(Estadísticas!I:I,'centraldecomunicacion.es'!H4352)&gt;0</f>
        <v>0</v>
      </c>
    </row>
    <row r="4353" spans="1:9">
      <c r="A4353" t="s">
        <v>16175</v>
      </c>
      <c r="B4353" t="s">
        <v>10</v>
      </c>
      <c r="C4353" t="s">
        <v>16176</v>
      </c>
      <c r="D4353" t="s">
        <v>16085</v>
      </c>
      <c r="E4353" t="s">
        <v>6489</v>
      </c>
      <c r="F4353" t="s">
        <v>28</v>
      </c>
      <c r="G4353" t="s">
        <v>16177</v>
      </c>
      <c r="H4353" t="s">
        <v>30</v>
      </c>
      <c r="I4353" t="b">
        <f>COUNTIF(Estadísticas!I:I,'centraldecomunicacion.es'!H4353)&gt;0</f>
        <v>0</v>
      </c>
    </row>
    <row r="4354" spans="1:9">
      <c r="A4354" t="s">
        <v>16178</v>
      </c>
      <c r="B4354" t="s">
        <v>10</v>
      </c>
      <c r="C4354" t="s">
        <v>16179</v>
      </c>
      <c r="D4354" t="s">
        <v>15790</v>
      </c>
      <c r="E4354" t="s">
        <v>6489</v>
      </c>
      <c r="F4354" t="s">
        <v>28</v>
      </c>
      <c r="G4354" t="s">
        <v>28</v>
      </c>
      <c r="H4354" t="s">
        <v>30</v>
      </c>
      <c r="I4354" t="b">
        <f>COUNTIF(Estadísticas!I:I,'centraldecomunicacion.es'!H4354)&gt;0</f>
        <v>0</v>
      </c>
    </row>
    <row r="4355" spans="1:9">
      <c r="A4355" t="s">
        <v>16180</v>
      </c>
      <c r="B4355" t="s">
        <v>10</v>
      </c>
      <c r="C4355" t="s">
        <v>16181</v>
      </c>
      <c r="D4355" t="s">
        <v>15960</v>
      </c>
      <c r="E4355" t="s">
        <v>6478</v>
      </c>
      <c r="F4355" t="s">
        <v>28</v>
      </c>
      <c r="G4355" t="s">
        <v>28</v>
      </c>
      <c r="H4355" t="s">
        <v>30</v>
      </c>
      <c r="I4355" t="b">
        <f>COUNTIF(Estadísticas!I:I,'centraldecomunicacion.es'!H4355)&gt;0</f>
        <v>0</v>
      </c>
    </row>
    <row r="4356" spans="1:9">
      <c r="A4356" t="s">
        <v>16182</v>
      </c>
      <c r="B4356" t="s">
        <v>10</v>
      </c>
      <c r="C4356" t="s">
        <v>16183</v>
      </c>
      <c r="D4356" t="s">
        <v>16184</v>
      </c>
      <c r="E4356" t="s">
        <v>16185</v>
      </c>
      <c r="F4356" t="s">
        <v>28</v>
      </c>
      <c r="G4356" t="s">
        <v>28</v>
      </c>
      <c r="H4356" t="s">
        <v>30</v>
      </c>
      <c r="I4356" t="b">
        <f>COUNTIF(Estadísticas!I:I,'centraldecomunicacion.es'!H4356)&gt;0</f>
        <v>0</v>
      </c>
    </row>
    <row r="4357" spans="1:9">
      <c r="A4357" t="s">
        <v>26</v>
      </c>
      <c r="B4357" t="s">
        <v>10</v>
      </c>
      <c r="C4357" t="s">
        <v>16186</v>
      </c>
      <c r="D4357" t="s">
        <v>16184</v>
      </c>
      <c r="E4357" t="s">
        <v>16185</v>
      </c>
      <c r="F4357" t="s">
        <v>28</v>
      </c>
      <c r="G4357" t="s">
        <v>396</v>
      </c>
      <c r="H4357" t="s">
        <v>30</v>
      </c>
      <c r="I4357" t="b">
        <f>COUNTIF(Estadísticas!I:I,'centraldecomunicacion.es'!H4357)&gt;0</f>
        <v>0</v>
      </c>
    </row>
    <row r="4358" spans="1:9">
      <c r="A4358" t="s">
        <v>16187</v>
      </c>
      <c r="B4358" t="s">
        <v>10</v>
      </c>
      <c r="C4358" t="s">
        <v>16188</v>
      </c>
      <c r="D4358" t="s">
        <v>15790</v>
      </c>
      <c r="E4358" t="s">
        <v>6478</v>
      </c>
      <c r="F4358" t="s">
        <v>16189</v>
      </c>
      <c r="G4358" t="s">
        <v>16190</v>
      </c>
      <c r="H4358" t="s">
        <v>16191</v>
      </c>
      <c r="I4358" t="b">
        <f>COUNTIF(Estadísticas!I:I,'centraldecomunicacion.es'!H4358)&gt;0</f>
        <v>1</v>
      </c>
    </row>
    <row r="4359" spans="1:9">
      <c r="A4359" t="s">
        <v>16192</v>
      </c>
      <c r="B4359" t="s">
        <v>10</v>
      </c>
      <c r="C4359" t="s">
        <v>16193</v>
      </c>
      <c r="D4359" t="s">
        <v>6511</v>
      </c>
      <c r="E4359" t="s">
        <v>6489</v>
      </c>
      <c r="F4359" t="s">
        <v>28</v>
      </c>
      <c r="G4359" t="s">
        <v>16194</v>
      </c>
      <c r="H4359" t="s">
        <v>30</v>
      </c>
      <c r="I4359" t="b">
        <f>COUNTIF(Estadísticas!I:I,'centraldecomunicacion.es'!H4359)&gt;0</f>
        <v>0</v>
      </c>
    </row>
    <row r="4360" spans="1:9">
      <c r="A4360" t="s">
        <v>16195</v>
      </c>
      <c r="B4360" t="s">
        <v>10</v>
      </c>
      <c r="C4360" t="s">
        <v>16196</v>
      </c>
      <c r="D4360" t="s">
        <v>16197</v>
      </c>
      <c r="E4360" t="s">
        <v>6489</v>
      </c>
      <c r="F4360" t="s">
        <v>28</v>
      </c>
      <c r="G4360" t="s">
        <v>16198</v>
      </c>
      <c r="H4360" t="s">
        <v>30</v>
      </c>
      <c r="I4360" t="b">
        <f>COUNTIF(Estadísticas!I:I,'centraldecomunicacion.es'!H4360)&gt;0</f>
        <v>0</v>
      </c>
    </row>
    <row r="4361" spans="1:9">
      <c r="A4361" t="s">
        <v>16199</v>
      </c>
      <c r="B4361" t="s">
        <v>10</v>
      </c>
      <c r="C4361" t="s">
        <v>16200</v>
      </c>
      <c r="D4361" t="s">
        <v>16184</v>
      </c>
      <c r="E4361" t="s">
        <v>16185</v>
      </c>
      <c r="F4361" t="s">
        <v>16201</v>
      </c>
      <c r="G4361" t="s">
        <v>16202</v>
      </c>
      <c r="H4361" t="s">
        <v>30</v>
      </c>
      <c r="I4361" t="b">
        <f>COUNTIF(Estadísticas!I:I,'centraldecomunicacion.es'!H4361)&gt;0</f>
        <v>0</v>
      </c>
    </row>
    <row r="4362" spans="1:9">
      <c r="A4362" t="s">
        <v>16203</v>
      </c>
      <c r="B4362" t="s">
        <v>10</v>
      </c>
      <c r="C4362" t="s">
        <v>16204</v>
      </c>
      <c r="D4362" t="s">
        <v>16205</v>
      </c>
      <c r="E4362" t="s">
        <v>16206</v>
      </c>
      <c r="F4362" t="s">
        <v>16207</v>
      </c>
      <c r="G4362" t="s">
        <v>16208</v>
      </c>
      <c r="H4362" t="s">
        <v>30</v>
      </c>
      <c r="I4362" t="b">
        <f>COUNTIF(Estadísticas!I:I,'centraldecomunicacion.es'!H4362)&gt;0</f>
        <v>0</v>
      </c>
    </row>
    <row r="4363" spans="1:9">
      <c r="A4363" t="s">
        <v>16209</v>
      </c>
      <c r="B4363" t="s">
        <v>10</v>
      </c>
      <c r="C4363" t="s">
        <v>15906</v>
      </c>
      <c r="D4363" t="s">
        <v>15907</v>
      </c>
      <c r="E4363" t="s">
        <v>6489</v>
      </c>
      <c r="F4363" t="s">
        <v>28</v>
      </c>
      <c r="G4363" t="s">
        <v>16210</v>
      </c>
      <c r="H4363" t="s">
        <v>30</v>
      </c>
      <c r="I4363" t="b">
        <f>COUNTIF(Estadísticas!I:I,'centraldecomunicacion.es'!H4363)&gt;0</f>
        <v>0</v>
      </c>
    </row>
    <row r="4364" spans="1:9">
      <c r="A4364" t="s">
        <v>16211</v>
      </c>
      <c r="B4364" t="s">
        <v>10</v>
      </c>
      <c r="C4364" t="s">
        <v>16212</v>
      </c>
      <c r="D4364" t="s">
        <v>16205</v>
      </c>
      <c r="E4364" t="s">
        <v>16213</v>
      </c>
      <c r="F4364" t="s">
        <v>28</v>
      </c>
      <c r="G4364" t="s">
        <v>16214</v>
      </c>
      <c r="H4364" t="s">
        <v>30</v>
      </c>
      <c r="I4364" t="b">
        <f>COUNTIF(Estadísticas!I:I,'centraldecomunicacion.es'!H4364)&gt;0</f>
        <v>0</v>
      </c>
    </row>
    <row r="4365" spans="1:9">
      <c r="A4365" t="s">
        <v>16215</v>
      </c>
      <c r="B4365" t="s">
        <v>10</v>
      </c>
      <c r="C4365" t="s">
        <v>16216</v>
      </c>
      <c r="D4365" t="s">
        <v>16217</v>
      </c>
      <c r="E4365" t="s">
        <v>6478</v>
      </c>
      <c r="F4365" t="s">
        <v>28</v>
      </c>
      <c r="G4365" t="s">
        <v>16218</v>
      </c>
      <c r="H4365" t="s">
        <v>30</v>
      </c>
      <c r="I4365" t="b">
        <f>COUNTIF(Estadísticas!I:I,'centraldecomunicacion.es'!H4365)&gt;0</f>
        <v>0</v>
      </c>
    </row>
    <row r="4366" spans="1:9">
      <c r="A4366" t="s">
        <v>16219</v>
      </c>
      <c r="B4366" t="s">
        <v>10</v>
      </c>
      <c r="C4366" t="s">
        <v>16220</v>
      </c>
      <c r="D4366" t="s">
        <v>15927</v>
      </c>
      <c r="E4366" t="s">
        <v>6489</v>
      </c>
      <c r="F4366" t="s">
        <v>28</v>
      </c>
      <c r="G4366" t="s">
        <v>28</v>
      </c>
      <c r="H4366" t="s">
        <v>30</v>
      </c>
      <c r="I4366" t="b">
        <f>COUNTIF(Estadísticas!I:I,'centraldecomunicacion.es'!H4366)&gt;0</f>
        <v>0</v>
      </c>
    </row>
    <row r="4367" spans="1:9">
      <c r="A4367" t="s">
        <v>16221</v>
      </c>
      <c r="B4367" t="s">
        <v>10</v>
      </c>
      <c r="C4367" t="s">
        <v>16222</v>
      </c>
      <c r="D4367" t="s">
        <v>16031</v>
      </c>
      <c r="E4367" t="s">
        <v>6489</v>
      </c>
      <c r="F4367" t="s">
        <v>28</v>
      </c>
      <c r="G4367" t="s">
        <v>16223</v>
      </c>
      <c r="H4367" t="s">
        <v>30</v>
      </c>
      <c r="I4367" t="b">
        <f>COUNTIF(Estadísticas!I:I,'centraldecomunicacion.es'!H4367)&gt;0</f>
        <v>0</v>
      </c>
    </row>
    <row r="4368" spans="1:9">
      <c r="A4368" t="s">
        <v>3012</v>
      </c>
      <c r="B4368" t="s">
        <v>10</v>
      </c>
      <c r="C4368" t="s">
        <v>16224</v>
      </c>
      <c r="D4368" t="s">
        <v>15801</v>
      </c>
      <c r="E4368" t="s">
        <v>16225</v>
      </c>
      <c r="F4368" t="s">
        <v>28</v>
      </c>
      <c r="G4368" t="s">
        <v>28</v>
      </c>
      <c r="H4368" t="s">
        <v>30</v>
      </c>
      <c r="I4368" t="b">
        <f>COUNTIF(Estadísticas!I:I,'centraldecomunicacion.es'!H4368)&gt;0</f>
        <v>0</v>
      </c>
    </row>
    <row r="4369" spans="1:9">
      <c r="A4369" t="s">
        <v>16226</v>
      </c>
      <c r="B4369" t="s">
        <v>10</v>
      </c>
      <c r="C4369" t="s">
        <v>28</v>
      </c>
      <c r="D4369" t="s">
        <v>16217</v>
      </c>
      <c r="E4369" t="s">
        <v>28</v>
      </c>
      <c r="F4369" t="s">
        <v>28</v>
      </c>
      <c r="G4369" t="s">
        <v>16227</v>
      </c>
      <c r="H4369" t="s">
        <v>30</v>
      </c>
      <c r="I4369" t="b">
        <f>COUNTIF(Estadísticas!I:I,'centraldecomunicacion.es'!H4369)&gt;0</f>
        <v>0</v>
      </c>
    </row>
    <row r="4370" spans="1:9">
      <c r="A4370" t="s">
        <v>16228</v>
      </c>
      <c r="B4370" t="s">
        <v>10</v>
      </c>
      <c r="C4370" t="s">
        <v>16229</v>
      </c>
      <c r="D4370" t="s">
        <v>15790</v>
      </c>
      <c r="E4370" t="s">
        <v>16225</v>
      </c>
      <c r="F4370" t="s">
        <v>28</v>
      </c>
      <c r="G4370" t="s">
        <v>28</v>
      </c>
      <c r="H4370" t="s">
        <v>30</v>
      </c>
      <c r="I4370" t="b">
        <f>COUNTIF(Estadísticas!I:I,'centraldecomunicacion.es'!H4370)&gt;0</f>
        <v>0</v>
      </c>
    </row>
    <row r="4371" spans="1:9">
      <c r="A4371" t="s">
        <v>16230</v>
      </c>
      <c r="B4371" t="s">
        <v>10</v>
      </c>
      <c r="C4371" t="s">
        <v>16231</v>
      </c>
      <c r="D4371" t="s">
        <v>15801</v>
      </c>
      <c r="E4371" t="s">
        <v>6489</v>
      </c>
      <c r="F4371" t="s">
        <v>16232</v>
      </c>
      <c r="G4371" t="s">
        <v>16233</v>
      </c>
      <c r="H4371" t="s">
        <v>16234</v>
      </c>
      <c r="I4371" t="b">
        <f>COUNTIF(Estadísticas!I:I,'centraldecomunicacion.es'!H4371)&gt;0</f>
        <v>0</v>
      </c>
    </row>
    <row r="4372" spans="1:9">
      <c r="A4372" t="s">
        <v>16235</v>
      </c>
      <c r="B4372" t="s">
        <v>10</v>
      </c>
      <c r="C4372" t="s">
        <v>16236</v>
      </c>
      <c r="D4372" t="s">
        <v>16205</v>
      </c>
      <c r="E4372" t="s">
        <v>16213</v>
      </c>
      <c r="F4372" t="s">
        <v>28</v>
      </c>
      <c r="G4372" t="s">
        <v>28</v>
      </c>
      <c r="H4372" t="s">
        <v>30</v>
      </c>
      <c r="I4372" t="b">
        <f>COUNTIF(Estadísticas!I:I,'centraldecomunicacion.es'!H4372)&gt;0</f>
        <v>0</v>
      </c>
    </row>
    <row r="4373" spans="1:9">
      <c r="A4373" t="s">
        <v>16237</v>
      </c>
      <c r="B4373" t="s">
        <v>10</v>
      </c>
      <c r="C4373" t="s">
        <v>16238</v>
      </c>
      <c r="D4373" t="s">
        <v>16239</v>
      </c>
      <c r="E4373" t="s">
        <v>16185</v>
      </c>
      <c r="F4373" t="s">
        <v>16240</v>
      </c>
      <c r="G4373" t="s">
        <v>16241</v>
      </c>
      <c r="H4373" t="s">
        <v>30</v>
      </c>
      <c r="I4373" t="b">
        <f>COUNTIF(Estadísticas!I:I,'centraldecomunicacion.es'!H4373)&gt;0</f>
        <v>0</v>
      </c>
    </row>
    <row r="4374" spans="1:9">
      <c r="A4374" t="s">
        <v>16242</v>
      </c>
      <c r="B4374" t="s">
        <v>10</v>
      </c>
      <c r="C4374" t="s">
        <v>16243</v>
      </c>
      <c r="D4374" t="s">
        <v>16244</v>
      </c>
      <c r="E4374" t="s">
        <v>6478</v>
      </c>
      <c r="F4374" t="s">
        <v>16245</v>
      </c>
      <c r="G4374" t="s">
        <v>16246</v>
      </c>
      <c r="H4374" t="s">
        <v>16247</v>
      </c>
      <c r="I4374" t="b">
        <f>COUNTIF(Estadísticas!I:I,'centraldecomunicacion.es'!H4374)&gt;0</f>
        <v>0</v>
      </c>
    </row>
    <row r="4375" spans="1:9">
      <c r="A4375" t="s">
        <v>16248</v>
      </c>
      <c r="B4375" t="s">
        <v>10</v>
      </c>
      <c r="C4375" t="s">
        <v>16249</v>
      </c>
      <c r="D4375" t="s">
        <v>15796</v>
      </c>
      <c r="E4375" t="s">
        <v>6489</v>
      </c>
      <c r="F4375" t="s">
        <v>16232</v>
      </c>
      <c r="G4375" t="s">
        <v>16250</v>
      </c>
      <c r="H4375" t="s">
        <v>16234</v>
      </c>
      <c r="I4375" t="b">
        <f>COUNTIF(Estadísticas!I:I,'centraldecomunicacion.es'!H4375)&gt;0</f>
        <v>0</v>
      </c>
    </row>
    <row r="4376" spans="1:9">
      <c r="A4376" t="s">
        <v>16251</v>
      </c>
      <c r="B4376" t="s">
        <v>6504</v>
      </c>
      <c r="C4376" t="s">
        <v>28</v>
      </c>
      <c r="D4376" t="s">
        <v>16217</v>
      </c>
      <c r="E4376" t="s">
        <v>28</v>
      </c>
      <c r="F4376" t="s">
        <v>28</v>
      </c>
      <c r="G4376" t="s">
        <v>16252</v>
      </c>
      <c r="H4376" t="s">
        <v>30</v>
      </c>
      <c r="I4376" t="b">
        <f>COUNTIF(Estadísticas!I:I,'centraldecomunicacion.es'!H4376)&gt;0</f>
        <v>0</v>
      </c>
    </row>
    <row r="4377" spans="1:9">
      <c r="A4377" t="s">
        <v>16253</v>
      </c>
      <c r="B4377" t="s">
        <v>10</v>
      </c>
      <c r="C4377" t="s">
        <v>16254</v>
      </c>
      <c r="D4377" t="s">
        <v>16255</v>
      </c>
      <c r="E4377" t="s">
        <v>16185</v>
      </c>
      <c r="F4377" t="s">
        <v>16256</v>
      </c>
      <c r="G4377" t="s">
        <v>16257</v>
      </c>
      <c r="H4377" t="s">
        <v>16258</v>
      </c>
      <c r="I4377" t="b">
        <f>COUNTIF(Estadísticas!I:I,'centraldecomunicacion.es'!H4377)&gt;0</f>
        <v>0</v>
      </c>
    </row>
    <row r="4378" spans="1:9">
      <c r="A4378" t="s">
        <v>16259</v>
      </c>
      <c r="B4378" t="s">
        <v>10</v>
      </c>
      <c r="C4378" t="s">
        <v>16260</v>
      </c>
      <c r="D4378" t="s">
        <v>16255</v>
      </c>
      <c r="E4378" t="s">
        <v>16261</v>
      </c>
      <c r="F4378" t="s">
        <v>50</v>
      </c>
      <c r="G4378" t="s">
        <v>16262</v>
      </c>
      <c r="H4378" t="s">
        <v>30</v>
      </c>
      <c r="I4378" t="b">
        <f>COUNTIF(Estadísticas!I:I,'centraldecomunicacion.es'!H4378)&gt;0</f>
        <v>0</v>
      </c>
    </row>
    <row r="4379" spans="1:9">
      <c r="A4379" t="s">
        <v>16263</v>
      </c>
      <c r="B4379" t="s">
        <v>10</v>
      </c>
      <c r="C4379" t="s">
        <v>16264</v>
      </c>
      <c r="D4379" t="s">
        <v>16265</v>
      </c>
      <c r="E4379" t="s">
        <v>16185</v>
      </c>
      <c r="F4379" t="s">
        <v>28</v>
      </c>
      <c r="G4379" t="s">
        <v>16266</v>
      </c>
      <c r="H4379" t="s">
        <v>30</v>
      </c>
      <c r="I4379" t="b">
        <f>COUNTIF(Estadísticas!I:I,'centraldecomunicacion.es'!H4379)&gt;0</f>
        <v>0</v>
      </c>
    </row>
    <row r="4380" spans="1:9">
      <c r="A4380" t="s">
        <v>16267</v>
      </c>
      <c r="B4380" t="s">
        <v>10</v>
      </c>
      <c r="C4380" t="s">
        <v>16268</v>
      </c>
      <c r="D4380" t="s">
        <v>16269</v>
      </c>
      <c r="E4380" t="s">
        <v>16206</v>
      </c>
      <c r="F4380" t="s">
        <v>16270</v>
      </c>
      <c r="G4380" t="s">
        <v>16271</v>
      </c>
      <c r="H4380" t="s">
        <v>16272</v>
      </c>
      <c r="I4380" t="b">
        <f>COUNTIF(Estadísticas!I:I,'centraldecomunicacion.es'!H4380)&gt;0</f>
        <v>0</v>
      </c>
    </row>
    <row r="4381" spans="1:9">
      <c r="A4381" t="s">
        <v>16273</v>
      </c>
      <c r="B4381" t="s">
        <v>10</v>
      </c>
      <c r="C4381" t="s">
        <v>16274</v>
      </c>
      <c r="D4381" t="s">
        <v>16269</v>
      </c>
      <c r="E4381" t="s">
        <v>16206</v>
      </c>
      <c r="F4381" t="s">
        <v>16275</v>
      </c>
      <c r="G4381" t="s">
        <v>16276</v>
      </c>
      <c r="H4381" t="s">
        <v>16277</v>
      </c>
      <c r="I4381" t="b">
        <f>COUNTIF(Estadísticas!I:I,'centraldecomunicacion.es'!H4381)&gt;0</f>
        <v>0</v>
      </c>
    </row>
    <row r="4382" spans="1:9">
      <c r="A4382" t="s">
        <v>16278</v>
      </c>
      <c r="B4382" t="s">
        <v>10</v>
      </c>
      <c r="C4382" t="s">
        <v>16279</v>
      </c>
      <c r="D4382" t="s">
        <v>16269</v>
      </c>
      <c r="E4382" t="s">
        <v>16206</v>
      </c>
      <c r="F4382" t="s">
        <v>16280</v>
      </c>
      <c r="G4382" t="s">
        <v>16281</v>
      </c>
      <c r="H4382" t="s">
        <v>30</v>
      </c>
      <c r="I4382" t="b">
        <f>COUNTIF(Estadísticas!I:I,'centraldecomunicacion.es'!H4382)&gt;0</f>
        <v>0</v>
      </c>
    </row>
    <row r="4383" spans="1:9">
      <c r="A4383" t="s">
        <v>16282</v>
      </c>
      <c r="B4383" t="s">
        <v>10</v>
      </c>
      <c r="C4383" t="s">
        <v>16283</v>
      </c>
      <c r="D4383" t="s">
        <v>16284</v>
      </c>
      <c r="E4383" t="s">
        <v>16206</v>
      </c>
      <c r="F4383" t="s">
        <v>50</v>
      </c>
      <c r="G4383" t="s">
        <v>16285</v>
      </c>
      <c r="H4383" t="s">
        <v>30</v>
      </c>
      <c r="I4383" t="b">
        <f>COUNTIF(Estadísticas!I:I,'centraldecomunicacion.es'!H4383)&gt;0</f>
        <v>0</v>
      </c>
    </row>
    <row r="4384" spans="1:9">
      <c r="A4384" t="s">
        <v>16286</v>
      </c>
      <c r="B4384" t="s">
        <v>10</v>
      </c>
      <c r="C4384" t="s">
        <v>16287</v>
      </c>
      <c r="D4384" t="s">
        <v>16269</v>
      </c>
      <c r="E4384" t="s">
        <v>16206</v>
      </c>
      <c r="F4384" t="s">
        <v>50</v>
      </c>
      <c r="G4384" t="s">
        <v>16288</v>
      </c>
      <c r="H4384" t="s">
        <v>30</v>
      </c>
      <c r="I4384" t="b">
        <f>COUNTIF(Estadísticas!I:I,'centraldecomunicacion.es'!H4384)&gt;0</f>
        <v>0</v>
      </c>
    </row>
    <row r="4385" spans="1:9">
      <c r="A4385" t="s">
        <v>16289</v>
      </c>
      <c r="B4385" t="s">
        <v>10</v>
      </c>
      <c r="C4385" t="s">
        <v>16290</v>
      </c>
      <c r="D4385" t="s">
        <v>16269</v>
      </c>
      <c r="E4385" t="s">
        <v>16206</v>
      </c>
      <c r="F4385" t="s">
        <v>16291</v>
      </c>
      <c r="G4385" t="s">
        <v>16292</v>
      </c>
      <c r="H4385" t="s">
        <v>30</v>
      </c>
      <c r="I4385" t="b">
        <f>COUNTIF(Estadísticas!I:I,'centraldecomunicacion.es'!H4385)&gt;0</f>
        <v>0</v>
      </c>
    </row>
    <row r="4386" spans="1:9">
      <c r="A4386" t="s">
        <v>16293</v>
      </c>
      <c r="B4386" t="s">
        <v>10</v>
      </c>
      <c r="C4386" t="s">
        <v>16294</v>
      </c>
      <c r="D4386" t="s">
        <v>16269</v>
      </c>
      <c r="E4386" t="s">
        <v>16206</v>
      </c>
      <c r="F4386" t="s">
        <v>16291</v>
      </c>
      <c r="G4386" t="s">
        <v>16295</v>
      </c>
      <c r="H4386" t="s">
        <v>30</v>
      </c>
      <c r="I4386" t="b">
        <f>COUNTIF(Estadísticas!I:I,'centraldecomunicacion.es'!H4386)&gt;0</f>
        <v>0</v>
      </c>
    </row>
    <row r="4387" spans="1:9">
      <c r="A4387" t="s">
        <v>1041</v>
      </c>
      <c r="B4387" t="s">
        <v>10</v>
      </c>
      <c r="C4387" t="s">
        <v>16296</v>
      </c>
      <c r="D4387" t="s">
        <v>16269</v>
      </c>
      <c r="E4387" t="s">
        <v>16206</v>
      </c>
      <c r="F4387" t="s">
        <v>38</v>
      </c>
      <c r="G4387" t="s">
        <v>16297</v>
      </c>
      <c r="H4387" t="s">
        <v>30</v>
      </c>
      <c r="I4387" t="b">
        <f>COUNTIF(Estadísticas!I:I,'centraldecomunicacion.es'!H4387)&gt;0</f>
        <v>0</v>
      </c>
    </row>
    <row r="4388" spans="1:9">
      <c r="A4388" t="s">
        <v>16298</v>
      </c>
      <c r="B4388" t="s">
        <v>10</v>
      </c>
      <c r="C4388" t="s">
        <v>16299</v>
      </c>
      <c r="D4388" t="s">
        <v>16269</v>
      </c>
      <c r="E4388" t="s">
        <v>16206</v>
      </c>
      <c r="F4388" t="s">
        <v>16300</v>
      </c>
      <c r="G4388" t="s">
        <v>16301</v>
      </c>
      <c r="H4388" t="s">
        <v>16302</v>
      </c>
      <c r="I4388" t="b">
        <f>COUNTIF(Estadísticas!I:I,'centraldecomunicacion.es'!H4388)&gt;0</f>
        <v>1</v>
      </c>
    </row>
    <row r="4389" spans="1:9">
      <c r="A4389" t="s">
        <v>16303</v>
      </c>
      <c r="B4389" t="s">
        <v>10</v>
      </c>
      <c r="C4389" t="s">
        <v>16304</v>
      </c>
      <c r="D4389" t="s">
        <v>16269</v>
      </c>
      <c r="E4389" t="s">
        <v>16206</v>
      </c>
      <c r="F4389" t="s">
        <v>16291</v>
      </c>
      <c r="G4389" t="s">
        <v>16305</v>
      </c>
      <c r="H4389" t="s">
        <v>30</v>
      </c>
      <c r="I4389" t="b">
        <f>COUNTIF(Estadísticas!I:I,'centraldecomunicacion.es'!H4389)&gt;0</f>
        <v>0</v>
      </c>
    </row>
    <row r="4390" spans="1:9">
      <c r="A4390" t="s">
        <v>16306</v>
      </c>
      <c r="B4390" t="s">
        <v>10</v>
      </c>
      <c r="C4390" t="s">
        <v>16307</v>
      </c>
      <c r="D4390" t="s">
        <v>16269</v>
      </c>
      <c r="E4390" t="s">
        <v>16206</v>
      </c>
      <c r="F4390" t="s">
        <v>16308</v>
      </c>
      <c r="G4390" t="s">
        <v>16309</v>
      </c>
      <c r="H4390" t="s">
        <v>16310</v>
      </c>
      <c r="I4390" t="b">
        <f>COUNTIF(Estadísticas!I:I,'centraldecomunicacion.es'!H4390)&gt;0</f>
        <v>0</v>
      </c>
    </row>
    <row r="4391" spans="1:9">
      <c r="A4391" t="s">
        <v>16311</v>
      </c>
      <c r="B4391" t="s">
        <v>10</v>
      </c>
      <c r="C4391" t="s">
        <v>16312</v>
      </c>
      <c r="D4391" t="s">
        <v>16269</v>
      </c>
      <c r="E4391" t="s">
        <v>16213</v>
      </c>
      <c r="F4391" t="s">
        <v>16313</v>
      </c>
      <c r="G4391" t="s">
        <v>16314</v>
      </c>
      <c r="H4391" t="s">
        <v>30</v>
      </c>
      <c r="I4391" t="b">
        <f>COUNTIF(Estadísticas!I:I,'centraldecomunicacion.es'!H4391)&gt;0</f>
        <v>0</v>
      </c>
    </row>
    <row r="4392" spans="1:9">
      <c r="A4392" t="s">
        <v>16315</v>
      </c>
      <c r="B4392" t="s">
        <v>10</v>
      </c>
      <c r="C4392" t="s">
        <v>16316</v>
      </c>
      <c r="D4392" t="s">
        <v>16269</v>
      </c>
      <c r="E4392" t="s">
        <v>16206</v>
      </c>
      <c r="F4392" t="s">
        <v>28</v>
      </c>
      <c r="G4392" t="s">
        <v>16317</v>
      </c>
      <c r="H4392" t="s">
        <v>30</v>
      </c>
      <c r="I4392" t="b">
        <f>COUNTIF(Estadísticas!I:I,'centraldecomunicacion.es'!H4392)&gt;0</f>
        <v>0</v>
      </c>
    </row>
    <row r="4393" spans="1:9">
      <c r="A4393" t="s">
        <v>16318</v>
      </c>
      <c r="B4393" t="s">
        <v>10</v>
      </c>
      <c r="C4393" t="s">
        <v>16319</v>
      </c>
      <c r="D4393" t="s">
        <v>16320</v>
      </c>
      <c r="E4393" t="s">
        <v>16206</v>
      </c>
      <c r="F4393" t="s">
        <v>28</v>
      </c>
      <c r="G4393" t="s">
        <v>16321</v>
      </c>
      <c r="H4393" t="s">
        <v>30</v>
      </c>
      <c r="I4393" t="b">
        <f>COUNTIF(Estadísticas!I:I,'centraldecomunicacion.es'!H4393)&gt;0</f>
        <v>0</v>
      </c>
    </row>
    <row r="4394" spans="1:9">
      <c r="A4394" t="s">
        <v>16322</v>
      </c>
      <c r="B4394" t="s">
        <v>10</v>
      </c>
      <c r="C4394" t="s">
        <v>16323</v>
      </c>
      <c r="D4394" t="s">
        <v>16269</v>
      </c>
      <c r="E4394" t="s">
        <v>16206</v>
      </c>
      <c r="F4394" t="s">
        <v>16324</v>
      </c>
      <c r="G4394" t="s">
        <v>16325</v>
      </c>
      <c r="H4394" t="s">
        <v>16326</v>
      </c>
      <c r="I4394" t="b">
        <f>COUNTIF(Estadísticas!I:I,'centraldecomunicacion.es'!H4394)&gt;0</f>
        <v>1</v>
      </c>
    </row>
    <row r="4395" spans="1:9">
      <c r="A4395" t="s">
        <v>16327</v>
      </c>
      <c r="B4395" t="s">
        <v>10</v>
      </c>
      <c r="C4395" t="s">
        <v>16328</v>
      </c>
      <c r="D4395" t="s">
        <v>16269</v>
      </c>
      <c r="E4395" t="s">
        <v>16206</v>
      </c>
      <c r="F4395" t="s">
        <v>16329</v>
      </c>
      <c r="G4395" t="s">
        <v>16330</v>
      </c>
      <c r="H4395" t="s">
        <v>16331</v>
      </c>
      <c r="I4395" t="b">
        <f>COUNTIF(Estadísticas!I:I,'centraldecomunicacion.es'!H4395)&gt;0</f>
        <v>0</v>
      </c>
    </row>
    <row r="4396" spans="1:9">
      <c r="A4396" t="s">
        <v>16332</v>
      </c>
      <c r="B4396" t="s">
        <v>10</v>
      </c>
      <c r="C4396" t="s">
        <v>16333</v>
      </c>
      <c r="D4396" t="s">
        <v>16269</v>
      </c>
      <c r="E4396" t="s">
        <v>16206</v>
      </c>
      <c r="F4396" t="s">
        <v>38</v>
      </c>
      <c r="G4396" t="s">
        <v>16334</v>
      </c>
      <c r="H4396" t="s">
        <v>30</v>
      </c>
      <c r="I4396" t="b">
        <f>COUNTIF(Estadísticas!I:I,'centraldecomunicacion.es'!H4396)&gt;0</f>
        <v>0</v>
      </c>
    </row>
    <row r="4397" spans="1:9">
      <c r="A4397" t="s">
        <v>16335</v>
      </c>
      <c r="B4397" t="s">
        <v>10</v>
      </c>
      <c r="C4397" t="s">
        <v>16336</v>
      </c>
      <c r="D4397" t="s">
        <v>16269</v>
      </c>
      <c r="E4397" t="s">
        <v>16206</v>
      </c>
      <c r="F4397" t="s">
        <v>28</v>
      </c>
      <c r="G4397" t="s">
        <v>16337</v>
      </c>
      <c r="H4397" t="s">
        <v>30</v>
      </c>
      <c r="I4397" t="b">
        <f>COUNTIF(Estadísticas!I:I,'centraldecomunicacion.es'!H4397)&gt;0</f>
        <v>0</v>
      </c>
    </row>
    <row r="4398" spans="1:9">
      <c r="A4398" t="s">
        <v>16293</v>
      </c>
      <c r="B4398" t="s">
        <v>10</v>
      </c>
      <c r="C4398" t="s">
        <v>16338</v>
      </c>
      <c r="D4398" t="s">
        <v>16269</v>
      </c>
      <c r="E4398" t="s">
        <v>16206</v>
      </c>
      <c r="F4398" t="s">
        <v>16291</v>
      </c>
      <c r="G4398" t="s">
        <v>16339</v>
      </c>
      <c r="H4398" t="s">
        <v>30</v>
      </c>
      <c r="I4398" t="b">
        <f>COUNTIF(Estadísticas!I:I,'centraldecomunicacion.es'!H4398)&gt;0</f>
        <v>0</v>
      </c>
    </row>
    <row r="4399" spans="1:9">
      <c r="A4399" t="s">
        <v>16340</v>
      </c>
      <c r="B4399" t="s">
        <v>10</v>
      </c>
      <c r="C4399" t="s">
        <v>16341</v>
      </c>
      <c r="D4399" t="s">
        <v>16269</v>
      </c>
      <c r="E4399" t="s">
        <v>16213</v>
      </c>
      <c r="F4399" t="s">
        <v>16342</v>
      </c>
      <c r="G4399" t="s">
        <v>16343</v>
      </c>
      <c r="H4399" t="s">
        <v>16344</v>
      </c>
      <c r="I4399" t="b">
        <f>COUNTIF(Estadísticas!I:I,'centraldecomunicacion.es'!H4399)&gt;0</f>
        <v>0</v>
      </c>
    </row>
    <row r="4400" spans="1:9">
      <c r="A4400" t="s">
        <v>16345</v>
      </c>
      <c r="B4400" t="s">
        <v>10</v>
      </c>
      <c r="C4400" t="s">
        <v>16346</v>
      </c>
      <c r="D4400" t="s">
        <v>16269</v>
      </c>
      <c r="E4400" t="s">
        <v>16213</v>
      </c>
      <c r="F4400" t="s">
        <v>16347</v>
      </c>
      <c r="G4400" t="s">
        <v>16348</v>
      </c>
      <c r="H4400" t="s">
        <v>30</v>
      </c>
      <c r="I4400" t="b">
        <f>COUNTIF(Estadísticas!I:I,'centraldecomunicacion.es'!H4400)&gt;0</f>
        <v>0</v>
      </c>
    </row>
    <row r="4401" spans="1:9">
      <c r="A4401" t="s">
        <v>16349</v>
      </c>
      <c r="B4401" t="s">
        <v>10</v>
      </c>
      <c r="C4401" t="s">
        <v>16350</v>
      </c>
      <c r="D4401" t="s">
        <v>16269</v>
      </c>
      <c r="E4401" t="s">
        <v>16213</v>
      </c>
      <c r="F4401" t="s">
        <v>28</v>
      </c>
      <c r="G4401" t="s">
        <v>16351</v>
      </c>
      <c r="H4401" t="s">
        <v>30</v>
      </c>
      <c r="I4401" t="b">
        <f>COUNTIF(Estadísticas!I:I,'centraldecomunicacion.es'!H4401)&gt;0</f>
        <v>0</v>
      </c>
    </row>
    <row r="4402" spans="1:9">
      <c r="A4402" t="s">
        <v>16352</v>
      </c>
      <c r="B4402" t="s">
        <v>10</v>
      </c>
      <c r="C4402" t="s">
        <v>16353</v>
      </c>
      <c r="D4402" t="s">
        <v>16269</v>
      </c>
      <c r="E4402" t="s">
        <v>16206</v>
      </c>
      <c r="F4402" t="s">
        <v>16354</v>
      </c>
      <c r="G4402" t="s">
        <v>16355</v>
      </c>
      <c r="H4402" t="s">
        <v>16356</v>
      </c>
      <c r="I4402" t="b">
        <f>COUNTIF(Estadísticas!I:I,'centraldecomunicacion.es'!H4402)&gt;0</f>
        <v>0</v>
      </c>
    </row>
    <row r="4403" spans="1:9">
      <c r="A4403" t="s">
        <v>16357</v>
      </c>
      <c r="B4403" t="s">
        <v>10</v>
      </c>
      <c r="C4403" t="s">
        <v>16358</v>
      </c>
      <c r="D4403" t="s">
        <v>16269</v>
      </c>
      <c r="E4403" t="s">
        <v>16206</v>
      </c>
      <c r="F4403" t="s">
        <v>28</v>
      </c>
      <c r="G4403" t="s">
        <v>16359</v>
      </c>
      <c r="H4403" t="s">
        <v>30</v>
      </c>
      <c r="I4403" t="b">
        <f>COUNTIF(Estadísticas!I:I,'centraldecomunicacion.es'!H4403)&gt;0</f>
        <v>0</v>
      </c>
    </row>
    <row r="4404" spans="1:9">
      <c r="A4404" t="s">
        <v>16278</v>
      </c>
      <c r="B4404" t="s">
        <v>10</v>
      </c>
      <c r="C4404" t="s">
        <v>16360</v>
      </c>
      <c r="D4404" t="s">
        <v>16269</v>
      </c>
      <c r="E4404" t="s">
        <v>16213</v>
      </c>
      <c r="F4404" t="s">
        <v>16280</v>
      </c>
      <c r="G4404" t="s">
        <v>16281</v>
      </c>
      <c r="H4404" t="s">
        <v>30</v>
      </c>
      <c r="I4404" t="b">
        <f>COUNTIF(Estadísticas!I:I,'centraldecomunicacion.es'!H4404)&gt;0</f>
        <v>0</v>
      </c>
    </row>
    <row r="4405" spans="1:9">
      <c r="A4405" t="s">
        <v>16361</v>
      </c>
      <c r="B4405" t="s">
        <v>10</v>
      </c>
      <c r="C4405" t="s">
        <v>16362</v>
      </c>
      <c r="D4405" t="s">
        <v>16363</v>
      </c>
      <c r="E4405" t="s">
        <v>16206</v>
      </c>
      <c r="F4405" t="s">
        <v>28</v>
      </c>
      <c r="G4405" t="s">
        <v>16364</v>
      </c>
      <c r="H4405" t="s">
        <v>30</v>
      </c>
      <c r="I4405" t="b">
        <f>COUNTIF(Estadísticas!I:I,'centraldecomunicacion.es'!H4405)&gt;0</f>
        <v>0</v>
      </c>
    </row>
    <row r="4406" spans="1:9">
      <c r="A4406" t="s">
        <v>16365</v>
      </c>
      <c r="B4406" t="s">
        <v>10</v>
      </c>
      <c r="C4406" t="s">
        <v>16366</v>
      </c>
      <c r="D4406" t="s">
        <v>16269</v>
      </c>
      <c r="E4406" t="s">
        <v>16206</v>
      </c>
      <c r="F4406" t="s">
        <v>28</v>
      </c>
      <c r="G4406" t="s">
        <v>16343</v>
      </c>
      <c r="H4406" t="s">
        <v>30</v>
      </c>
      <c r="I4406" t="b">
        <f>COUNTIF(Estadísticas!I:I,'centraldecomunicacion.es'!H4406)&gt;0</f>
        <v>0</v>
      </c>
    </row>
    <row r="4407" spans="1:9">
      <c r="A4407" t="s">
        <v>16367</v>
      </c>
      <c r="B4407" t="s">
        <v>10</v>
      </c>
      <c r="C4407" t="s">
        <v>16368</v>
      </c>
      <c r="D4407" t="s">
        <v>16269</v>
      </c>
      <c r="E4407" t="s">
        <v>16213</v>
      </c>
      <c r="F4407" t="s">
        <v>28</v>
      </c>
      <c r="G4407" t="s">
        <v>16369</v>
      </c>
      <c r="H4407" t="s">
        <v>30</v>
      </c>
      <c r="I4407" t="b">
        <f>COUNTIF(Estadísticas!I:I,'centraldecomunicacion.es'!H4407)&gt;0</f>
        <v>0</v>
      </c>
    </row>
    <row r="4408" spans="1:9">
      <c r="A4408" t="s">
        <v>16370</v>
      </c>
      <c r="B4408" t="s">
        <v>10</v>
      </c>
      <c r="C4408" t="s">
        <v>16371</v>
      </c>
      <c r="D4408" t="s">
        <v>16269</v>
      </c>
      <c r="E4408" t="s">
        <v>16213</v>
      </c>
      <c r="F4408" t="s">
        <v>16372</v>
      </c>
      <c r="G4408" t="s">
        <v>16373</v>
      </c>
      <c r="H4408" t="s">
        <v>16374</v>
      </c>
      <c r="I4408" t="b">
        <f>COUNTIF(Estadísticas!I:I,'centraldecomunicacion.es'!H4408)&gt;0</f>
        <v>1</v>
      </c>
    </row>
    <row r="4409" spans="1:9">
      <c r="A4409" t="s">
        <v>16375</v>
      </c>
      <c r="B4409" t="s">
        <v>10</v>
      </c>
      <c r="C4409" t="s">
        <v>16376</v>
      </c>
      <c r="D4409" t="s">
        <v>16377</v>
      </c>
      <c r="E4409" t="s">
        <v>16206</v>
      </c>
      <c r="F4409" t="s">
        <v>28</v>
      </c>
      <c r="G4409" t="s">
        <v>16378</v>
      </c>
      <c r="H4409" t="s">
        <v>30</v>
      </c>
      <c r="I4409" t="b">
        <f>COUNTIF(Estadísticas!I:I,'centraldecomunicacion.es'!H4409)&gt;0</f>
        <v>0</v>
      </c>
    </row>
    <row r="4410" spans="1:9">
      <c r="A4410" t="s">
        <v>16379</v>
      </c>
      <c r="B4410" t="s">
        <v>10</v>
      </c>
      <c r="C4410" t="s">
        <v>16380</v>
      </c>
      <c r="D4410" t="s">
        <v>16269</v>
      </c>
      <c r="E4410" t="s">
        <v>16206</v>
      </c>
      <c r="F4410" t="s">
        <v>16381</v>
      </c>
      <c r="G4410" t="s">
        <v>16382</v>
      </c>
      <c r="H4410" t="s">
        <v>16383</v>
      </c>
      <c r="I4410" t="b">
        <f>COUNTIF(Estadísticas!I:I,'centraldecomunicacion.es'!H4410)&gt;0</f>
        <v>1</v>
      </c>
    </row>
    <row r="4411" spans="1:9">
      <c r="A4411" t="s">
        <v>16384</v>
      </c>
      <c r="B4411" t="s">
        <v>10</v>
      </c>
      <c r="C4411" t="s">
        <v>16385</v>
      </c>
      <c r="D4411" t="s">
        <v>16269</v>
      </c>
      <c r="E4411" t="s">
        <v>16206</v>
      </c>
      <c r="F4411" t="s">
        <v>28</v>
      </c>
      <c r="G4411" t="s">
        <v>16386</v>
      </c>
      <c r="H4411" t="s">
        <v>30</v>
      </c>
      <c r="I4411" t="b">
        <f>COUNTIF(Estadísticas!I:I,'centraldecomunicacion.es'!H4411)&gt;0</f>
        <v>0</v>
      </c>
    </row>
    <row r="4412" spans="1:9">
      <c r="A4412" t="s">
        <v>16387</v>
      </c>
      <c r="B4412" t="s">
        <v>10</v>
      </c>
      <c r="C4412" t="s">
        <v>16388</v>
      </c>
      <c r="D4412" t="s">
        <v>16269</v>
      </c>
      <c r="E4412" t="s">
        <v>16269</v>
      </c>
      <c r="F4412" t="s">
        <v>28</v>
      </c>
      <c r="G4412" t="s">
        <v>28</v>
      </c>
      <c r="H4412" t="s">
        <v>30</v>
      </c>
      <c r="I4412" t="b">
        <f>COUNTIF(Estadísticas!I:I,'centraldecomunicacion.es'!H4412)&gt;0</f>
        <v>0</v>
      </c>
    </row>
    <row r="4413" spans="1:9">
      <c r="A4413" t="s">
        <v>16389</v>
      </c>
      <c r="B4413" t="s">
        <v>10</v>
      </c>
      <c r="C4413" t="s">
        <v>16390</v>
      </c>
      <c r="D4413" t="s">
        <v>16391</v>
      </c>
      <c r="E4413" t="s">
        <v>16261</v>
      </c>
      <c r="F4413" t="s">
        <v>16392</v>
      </c>
      <c r="G4413" t="s">
        <v>16393</v>
      </c>
      <c r="H4413" t="s">
        <v>16394</v>
      </c>
      <c r="I4413" t="b">
        <f>COUNTIF(Estadísticas!I:I,'centraldecomunicacion.es'!H4413)&gt;0</f>
        <v>0</v>
      </c>
    </row>
    <row r="4414" spans="1:9">
      <c r="A4414" t="s">
        <v>16395</v>
      </c>
      <c r="B4414" t="s">
        <v>10</v>
      </c>
      <c r="C4414" t="s">
        <v>16396</v>
      </c>
      <c r="D4414" t="s">
        <v>16397</v>
      </c>
      <c r="E4414" t="s">
        <v>16185</v>
      </c>
      <c r="F4414" t="s">
        <v>16398</v>
      </c>
      <c r="G4414" t="s">
        <v>16399</v>
      </c>
      <c r="H4414" t="s">
        <v>30</v>
      </c>
      <c r="I4414" t="b">
        <f>COUNTIF(Estadísticas!I:I,'centraldecomunicacion.es'!H4414)&gt;0</f>
        <v>0</v>
      </c>
    </row>
    <row r="4415" spans="1:9">
      <c r="A4415" t="s">
        <v>16400</v>
      </c>
      <c r="B4415" t="s">
        <v>10</v>
      </c>
      <c r="C4415" t="s">
        <v>16401</v>
      </c>
      <c r="D4415" t="s">
        <v>16391</v>
      </c>
      <c r="E4415" t="s">
        <v>16185</v>
      </c>
      <c r="F4415" t="s">
        <v>50</v>
      </c>
      <c r="G4415" t="s">
        <v>16402</v>
      </c>
      <c r="H4415" t="s">
        <v>30</v>
      </c>
      <c r="I4415" t="b">
        <f>COUNTIF(Estadísticas!I:I,'centraldecomunicacion.es'!H4415)&gt;0</f>
        <v>0</v>
      </c>
    </row>
    <row r="4416" spans="1:9">
      <c r="A4416" t="s">
        <v>16403</v>
      </c>
      <c r="B4416" t="s">
        <v>10</v>
      </c>
      <c r="C4416" t="s">
        <v>16404</v>
      </c>
      <c r="D4416" t="s">
        <v>16405</v>
      </c>
      <c r="E4416" t="s">
        <v>16185</v>
      </c>
      <c r="F4416" t="s">
        <v>16406</v>
      </c>
      <c r="G4416" t="s">
        <v>16407</v>
      </c>
      <c r="H4416" t="s">
        <v>16408</v>
      </c>
      <c r="I4416" t="b">
        <f>COUNTIF(Estadísticas!I:I,'centraldecomunicacion.es'!H4416)&gt;0</f>
        <v>0</v>
      </c>
    </row>
    <row r="4417" spans="1:9">
      <c r="A4417" t="s">
        <v>16409</v>
      </c>
      <c r="B4417" t="s">
        <v>10</v>
      </c>
      <c r="C4417" t="s">
        <v>16410</v>
      </c>
      <c r="D4417" t="s">
        <v>16391</v>
      </c>
      <c r="E4417" t="s">
        <v>16185</v>
      </c>
      <c r="F4417" t="s">
        <v>16411</v>
      </c>
      <c r="G4417" t="s">
        <v>16412</v>
      </c>
      <c r="H4417" t="s">
        <v>16413</v>
      </c>
      <c r="I4417" t="b">
        <f>COUNTIF(Estadísticas!I:I,'centraldecomunicacion.es'!H4417)&gt;0</f>
        <v>1</v>
      </c>
    </row>
    <row r="4418" spans="1:9">
      <c r="A4418" t="s">
        <v>16414</v>
      </c>
      <c r="B4418" t="s">
        <v>10</v>
      </c>
      <c r="C4418" t="s">
        <v>16415</v>
      </c>
      <c r="D4418" t="s">
        <v>16416</v>
      </c>
      <c r="E4418" t="s">
        <v>16185</v>
      </c>
      <c r="F4418" t="s">
        <v>28</v>
      </c>
      <c r="G4418" t="s">
        <v>16417</v>
      </c>
      <c r="H4418" t="s">
        <v>30</v>
      </c>
      <c r="I4418" t="b">
        <f>COUNTIF(Estadísticas!I:I,'centraldecomunicacion.es'!H4418)&gt;0</f>
        <v>0</v>
      </c>
    </row>
    <row r="4419" spans="1:9">
      <c r="A4419" t="s">
        <v>16418</v>
      </c>
      <c r="B4419" t="s">
        <v>10</v>
      </c>
      <c r="C4419" t="s">
        <v>16419</v>
      </c>
      <c r="D4419" t="s">
        <v>16405</v>
      </c>
      <c r="E4419" t="s">
        <v>16261</v>
      </c>
      <c r="F4419" t="s">
        <v>16420</v>
      </c>
      <c r="G4419" t="s">
        <v>16421</v>
      </c>
      <c r="H4419" t="s">
        <v>16422</v>
      </c>
      <c r="I4419" t="b">
        <f>COUNTIF(Estadísticas!I:I,'centraldecomunicacion.es'!H4419)&gt;0</f>
        <v>0</v>
      </c>
    </row>
    <row r="4420" spans="1:9">
      <c r="A4420" t="s">
        <v>16423</v>
      </c>
      <c r="B4420" t="s">
        <v>10</v>
      </c>
      <c r="C4420" t="s">
        <v>16424</v>
      </c>
      <c r="D4420" t="s">
        <v>16391</v>
      </c>
      <c r="E4420" t="s">
        <v>16185</v>
      </c>
      <c r="F4420" t="s">
        <v>28</v>
      </c>
      <c r="G4420" t="s">
        <v>16425</v>
      </c>
      <c r="H4420" t="s">
        <v>30</v>
      </c>
      <c r="I4420" t="b">
        <f>COUNTIF(Estadísticas!I:I,'centraldecomunicacion.es'!H4420)&gt;0</f>
        <v>0</v>
      </c>
    </row>
    <row r="4421" spans="1:9">
      <c r="A4421" t="s">
        <v>16426</v>
      </c>
      <c r="B4421" t="s">
        <v>10</v>
      </c>
      <c r="C4421" t="s">
        <v>16427</v>
      </c>
      <c r="D4421" t="s">
        <v>16428</v>
      </c>
      <c r="E4421" t="s">
        <v>16185</v>
      </c>
      <c r="F4421" t="s">
        <v>16429</v>
      </c>
      <c r="G4421" t="s">
        <v>16430</v>
      </c>
      <c r="H4421" t="s">
        <v>16431</v>
      </c>
      <c r="I4421" t="b">
        <f>COUNTIF(Estadísticas!I:I,'centraldecomunicacion.es'!H4421)&gt;0</f>
        <v>0</v>
      </c>
    </row>
    <row r="4422" spans="1:9">
      <c r="A4422" t="s">
        <v>16432</v>
      </c>
      <c r="B4422" t="s">
        <v>10</v>
      </c>
      <c r="C4422" t="s">
        <v>16433</v>
      </c>
      <c r="D4422" t="s">
        <v>16391</v>
      </c>
      <c r="E4422" t="s">
        <v>16185</v>
      </c>
      <c r="F4422" t="s">
        <v>16434</v>
      </c>
      <c r="G4422" t="s">
        <v>16435</v>
      </c>
      <c r="H4422" t="s">
        <v>16436</v>
      </c>
      <c r="I4422" t="b">
        <f>COUNTIF(Estadísticas!I:I,'centraldecomunicacion.es'!H4422)&gt;0</f>
        <v>1</v>
      </c>
    </row>
    <row r="4423" spans="1:9">
      <c r="A4423" t="s">
        <v>16437</v>
      </c>
      <c r="B4423" t="s">
        <v>10</v>
      </c>
      <c r="C4423" t="s">
        <v>16438</v>
      </c>
      <c r="D4423" t="s">
        <v>16391</v>
      </c>
      <c r="E4423" t="s">
        <v>16185</v>
      </c>
      <c r="F4423" t="s">
        <v>16439</v>
      </c>
      <c r="G4423" t="s">
        <v>16440</v>
      </c>
      <c r="H4423" t="s">
        <v>16441</v>
      </c>
      <c r="I4423" t="b">
        <f>COUNTIF(Estadísticas!I:I,'centraldecomunicacion.es'!H4423)&gt;0</f>
        <v>0</v>
      </c>
    </row>
    <row r="4424" spans="1:9">
      <c r="A4424" t="s">
        <v>16442</v>
      </c>
      <c r="B4424" t="s">
        <v>10</v>
      </c>
      <c r="C4424" t="s">
        <v>16443</v>
      </c>
      <c r="D4424" t="s">
        <v>16416</v>
      </c>
      <c r="E4424" t="s">
        <v>16261</v>
      </c>
      <c r="F4424" t="s">
        <v>416</v>
      </c>
      <c r="G4424" t="s">
        <v>16444</v>
      </c>
      <c r="H4424" t="s">
        <v>30</v>
      </c>
      <c r="I4424" t="b">
        <f>COUNTIF(Estadísticas!I:I,'centraldecomunicacion.es'!H4424)&gt;0</f>
        <v>0</v>
      </c>
    </row>
    <row r="4425" spans="1:9">
      <c r="A4425" t="s">
        <v>16445</v>
      </c>
      <c r="B4425" t="s">
        <v>10</v>
      </c>
      <c r="C4425" t="s">
        <v>16446</v>
      </c>
      <c r="D4425" t="s">
        <v>16391</v>
      </c>
      <c r="E4425" t="s">
        <v>16185</v>
      </c>
      <c r="F4425" t="s">
        <v>16447</v>
      </c>
      <c r="G4425" t="s">
        <v>16448</v>
      </c>
      <c r="H4425" t="s">
        <v>16449</v>
      </c>
      <c r="I4425" t="b">
        <f>COUNTIF(Estadísticas!I:I,'centraldecomunicacion.es'!H4425)&gt;0</f>
        <v>0</v>
      </c>
    </row>
    <row r="4426" spans="1:9">
      <c r="A4426" t="s">
        <v>16450</v>
      </c>
      <c r="B4426" t="s">
        <v>10</v>
      </c>
      <c r="C4426" t="s">
        <v>16451</v>
      </c>
      <c r="D4426" t="s">
        <v>16391</v>
      </c>
      <c r="E4426" t="s">
        <v>16261</v>
      </c>
      <c r="F4426" t="s">
        <v>28</v>
      </c>
      <c r="G4426" t="s">
        <v>16435</v>
      </c>
      <c r="H4426" t="s">
        <v>30</v>
      </c>
      <c r="I4426" t="b">
        <f>COUNTIF(Estadísticas!I:I,'centraldecomunicacion.es'!H4426)&gt;0</f>
        <v>0</v>
      </c>
    </row>
    <row r="4427" spans="1:9">
      <c r="A4427" t="s">
        <v>16452</v>
      </c>
      <c r="B4427" t="s">
        <v>10</v>
      </c>
      <c r="C4427" t="s">
        <v>16453</v>
      </c>
      <c r="D4427" t="s">
        <v>16454</v>
      </c>
      <c r="E4427" t="s">
        <v>16185</v>
      </c>
      <c r="F4427" t="s">
        <v>16455</v>
      </c>
      <c r="G4427" t="s">
        <v>16456</v>
      </c>
      <c r="H4427" t="s">
        <v>16457</v>
      </c>
      <c r="I4427" t="b">
        <f>COUNTIF(Estadísticas!I:I,'centraldecomunicacion.es'!H4427)&gt;0</f>
        <v>0</v>
      </c>
    </row>
    <row r="4428" spans="1:9">
      <c r="A4428" t="s">
        <v>16458</v>
      </c>
      <c r="B4428" t="s">
        <v>10</v>
      </c>
      <c r="C4428" t="s">
        <v>16459</v>
      </c>
      <c r="D4428" t="s">
        <v>16391</v>
      </c>
      <c r="E4428" t="s">
        <v>16261</v>
      </c>
      <c r="F4428" t="s">
        <v>16460</v>
      </c>
      <c r="G4428" t="s">
        <v>16461</v>
      </c>
      <c r="H4428" t="s">
        <v>16462</v>
      </c>
      <c r="I4428" t="b">
        <f>COUNTIF(Estadísticas!I:I,'centraldecomunicacion.es'!H4428)&gt;0</f>
        <v>0</v>
      </c>
    </row>
    <row r="4429" spans="1:9">
      <c r="A4429" t="s">
        <v>16463</v>
      </c>
      <c r="B4429" t="s">
        <v>10</v>
      </c>
      <c r="C4429" t="s">
        <v>16464</v>
      </c>
      <c r="D4429" t="s">
        <v>16465</v>
      </c>
      <c r="E4429" t="s">
        <v>16261</v>
      </c>
      <c r="F4429" t="s">
        <v>16466</v>
      </c>
      <c r="G4429" t="s">
        <v>16467</v>
      </c>
      <c r="H4429" t="s">
        <v>16468</v>
      </c>
      <c r="I4429" t="b">
        <f>COUNTIF(Estadísticas!I:I,'centraldecomunicacion.es'!H4429)&gt;0</f>
        <v>1</v>
      </c>
    </row>
    <row r="4430" spans="1:9">
      <c r="A4430" t="s">
        <v>16469</v>
      </c>
      <c r="B4430" t="s">
        <v>10</v>
      </c>
      <c r="C4430" t="s">
        <v>16470</v>
      </c>
      <c r="D4430" t="s">
        <v>16454</v>
      </c>
      <c r="E4430" t="s">
        <v>16185</v>
      </c>
      <c r="F4430" t="s">
        <v>87</v>
      </c>
      <c r="G4430" t="s">
        <v>16471</v>
      </c>
      <c r="H4430" t="s">
        <v>30</v>
      </c>
      <c r="I4430" t="b">
        <f>COUNTIF(Estadísticas!I:I,'centraldecomunicacion.es'!H4430)&gt;0</f>
        <v>0</v>
      </c>
    </row>
    <row r="4431" spans="1:9">
      <c r="A4431" t="s">
        <v>16472</v>
      </c>
      <c r="B4431" t="s">
        <v>10</v>
      </c>
      <c r="C4431" t="s">
        <v>16473</v>
      </c>
      <c r="D4431" t="s">
        <v>16239</v>
      </c>
      <c r="E4431" t="s">
        <v>16185</v>
      </c>
      <c r="F4431" t="s">
        <v>28</v>
      </c>
      <c r="G4431" t="s">
        <v>16474</v>
      </c>
      <c r="H4431" t="s">
        <v>30</v>
      </c>
      <c r="I4431" t="b">
        <f>COUNTIF(Estadísticas!I:I,'centraldecomunicacion.es'!H4431)&gt;0</f>
        <v>0</v>
      </c>
    </row>
    <row r="4432" spans="1:9">
      <c r="A4432" t="s">
        <v>3031</v>
      </c>
      <c r="B4432" t="s">
        <v>10</v>
      </c>
      <c r="C4432" t="s">
        <v>16475</v>
      </c>
      <c r="D4432" t="s">
        <v>16391</v>
      </c>
      <c r="E4432" t="s">
        <v>16261</v>
      </c>
      <c r="F4432" t="s">
        <v>16476</v>
      </c>
      <c r="G4432" t="s">
        <v>16477</v>
      </c>
      <c r="H4432" t="s">
        <v>30</v>
      </c>
      <c r="I4432" t="b">
        <f>COUNTIF(Estadísticas!I:I,'centraldecomunicacion.es'!H4432)&gt;0</f>
        <v>0</v>
      </c>
    </row>
    <row r="4433" spans="1:9">
      <c r="A4433" t="s">
        <v>16478</v>
      </c>
      <c r="B4433" t="s">
        <v>10</v>
      </c>
      <c r="C4433" t="s">
        <v>16479</v>
      </c>
      <c r="D4433" t="s">
        <v>16480</v>
      </c>
      <c r="E4433" t="s">
        <v>16185</v>
      </c>
      <c r="F4433" t="s">
        <v>16481</v>
      </c>
      <c r="G4433" t="s">
        <v>16482</v>
      </c>
      <c r="H4433" t="s">
        <v>30</v>
      </c>
      <c r="I4433" t="b">
        <f>COUNTIF(Estadísticas!I:I,'centraldecomunicacion.es'!H4433)&gt;0</f>
        <v>0</v>
      </c>
    </row>
    <row r="4434" spans="1:9">
      <c r="A4434" t="s">
        <v>16483</v>
      </c>
      <c r="B4434" t="s">
        <v>10</v>
      </c>
      <c r="C4434" t="s">
        <v>16484</v>
      </c>
      <c r="D4434" t="s">
        <v>16391</v>
      </c>
      <c r="E4434" t="s">
        <v>16185</v>
      </c>
      <c r="F4434" t="s">
        <v>16485</v>
      </c>
      <c r="G4434" t="s">
        <v>16486</v>
      </c>
      <c r="H4434" t="s">
        <v>16487</v>
      </c>
      <c r="I4434" t="b">
        <f>COUNTIF(Estadísticas!I:I,'centraldecomunicacion.es'!H4434)&gt;0</f>
        <v>1</v>
      </c>
    </row>
    <row r="4435" spans="1:9">
      <c r="A4435" t="s">
        <v>16488</v>
      </c>
      <c r="B4435" t="s">
        <v>10</v>
      </c>
      <c r="C4435" t="s">
        <v>16489</v>
      </c>
      <c r="D4435" t="s">
        <v>16490</v>
      </c>
      <c r="E4435" t="s">
        <v>16185</v>
      </c>
      <c r="F4435" t="s">
        <v>3856</v>
      </c>
      <c r="G4435" t="s">
        <v>16491</v>
      </c>
      <c r="H4435" t="s">
        <v>30</v>
      </c>
      <c r="I4435" t="b">
        <f>COUNTIF(Estadísticas!I:I,'centraldecomunicacion.es'!H4435)&gt;0</f>
        <v>0</v>
      </c>
    </row>
    <row r="4436" spans="1:9">
      <c r="A4436" t="s">
        <v>16492</v>
      </c>
      <c r="B4436" t="s">
        <v>10</v>
      </c>
      <c r="C4436" t="s">
        <v>16493</v>
      </c>
      <c r="D4436" t="s">
        <v>16480</v>
      </c>
      <c r="E4436" t="s">
        <v>16185</v>
      </c>
      <c r="F4436" t="s">
        <v>28</v>
      </c>
      <c r="G4436" t="s">
        <v>16494</v>
      </c>
      <c r="H4436" t="s">
        <v>30</v>
      </c>
      <c r="I4436" t="b">
        <f>COUNTIF(Estadísticas!I:I,'centraldecomunicacion.es'!H4436)&gt;0</f>
        <v>0</v>
      </c>
    </row>
    <row r="4437" spans="1:9">
      <c r="A4437" t="s">
        <v>16495</v>
      </c>
      <c r="B4437" t="s">
        <v>10</v>
      </c>
      <c r="C4437" t="s">
        <v>16496</v>
      </c>
      <c r="D4437" t="s">
        <v>16391</v>
      </c>
      <c r="E4437" t="s">
        <v>16185</v>
      </c>
      <c r="F4437" t="s">
        <v>16497</v>
      </c>
      <c r="G4437" t="s">
        <v>16498</v>
      </c>
      <c r="H4437" t="s">
        <v>30</v>
      </c>
      <c r="I4437" t="b">
        <f>COUNTIF(Estadísticas!I:I,'centraldecomunicacion.es'!H4437)&gt;0</f>
        <v>0</v>
      </c>
    </row>
    <row r="4438" spans="1:9">
      <c r="A4438" t="s">
        <v>16499</v>
      </c>
      <c r="B4438" t="s">
        <v>10</v>
      </c>
      <c r="C4438" t="s">
        <v>16500</v>
      </c>
      <c r="D4438" t="s">
        <v>16391</v>
      </c>
      <c r="E4438" t="s">
        <v>16185</v>
      </c>
      <c r="F4438" t="s">
        <v>28</v>
      </c>
      <c r="G4438" t="s">
        <v>16501</v>
      </c>
      <c r="H4438" t="s">
        <v>30</v>
      </c>
      <c r="I4438" t="b">
        <f>COUNTIF(Estadísticas!I:I,'centraldecomunicacion.es'!H4438)&gt;0</f>
        <v>0</v>
      </c>
    </row>
    <row r="4439" spans="1:9">
      <c r="A4439" t="s">
        <v>16502</v>
      </c>
      <c r="B4439" t="s">
        <v>10</v>
      </c>
      <c r="C4439" t="s">
        <v>16503</v>
      </c>
      <c r="D4439" t="s">
        <v>16504</v>
      </c>
      <c r="E4439" t="s">
        <v>16185</v>
      </c>
      <c r="F4439" t="s">
        <v>16505</v>
      </c>
      <c r="G4439" t="s">
        <v>16506</v>
      </c>
      <c r="H4439" t="s">
        <v>691</v>
      </c>
      <c r="I4439" t="b">
        <f>COUNTIF(Estadísticas!I:I,'centraldecomunicacion.es'!H4439)&gt;0</f>
        <v>0</v>
      </c>
    </row>
    <row r="4440" spans="1:9">
      <c r="A4440" t="s">
        <v>16507</v>
      </c>
      <c r="B4440" t="s">
        <v>10</v>
      </c>
      <c r="C4440" t="s">
        <v>16508</v>
      </c>
      <c r="D4440" t="s">
        <v>16428</v>
      </c>
      <c r="E4440" t="s">
        <v>16185</v>
      </c>
      <c r="F4440" t="s">
        <v>16509</v>
      </c>
      <c r="G4440" t="s">
        <v>16510</v>
      </c>
      <c r="H4440" t="s">
        <v>30</v>
      </c>
      <c r="I4440" t="b">
        <f>COUNTIF(Estadísticas!I:I,'centraldecomunicacion.es'!H4440)&gt;0</f>
        <v>0</v>
      </c>
    </row>
    <row r="4441" spans="1:9">
      <c r="A4441" t="s">
        <v>16511</v>
      </c>
      <c r="B4441" t="s">
        <v>10</v>
      </c>
      <c r="C4441" t="s">
        <v>16512</v>
      </c>
      <c r="D4441" t="s">
        <v>16480</v>
      </c>
      <c r="E4441" t="s">
        <v>16261</v>
      </c>
      <c r="F4441" t="s">
        <v>16513</v>
      </c>
      <c r="G4441" t="s">
        <v>16514</v>
      </c>
      <c r="H4441" t="s">
        <v>16515</v>
      </c>
      <c r="I4441" t="b">
        <f>COUNTIF(Estadísticas!I:I,'centraldecomunicacion.es'!H4441)&gt;0</f>
        <v>1</v>
      </c>
    </row>
    <row r="4442" spans="1:9">
      <c r="A4442" t="s">
        <v>16516</v>
      </c>
      <c r="B4442" t="s">
        <v>10</v>
      </c>
      <c r="C4442" t="s">
        <v>16517</v>
      </c>
      <c r="D4442" t="s">
        <v>16391</v>
      </c>
      <c r="E4442" t="s">
        <v>16261</v>
      </c>
      <c r="F4442" t="s">
        <v>28</v>
      </c>
      <c r="G4442" t="s">
        <v>16518</v>
      </c>
      <c r="H4442" t="s">
        <v>30</v>
      </c>
      <c r="I4442" t="b">
        <f>COUNTIF(Estadísticas!I:I,'centraldecomunicacion.es'!H4442)&gt;0</f>
        <v>0</v>
      </c>
    </row>
    <row r="4443" spans="1:9">
      <c r="A4443" t="s">
        <v>16519</v>
      </c>
      <c r="B4443" t="s">
        <v>10</v>
      </c>
      <c r="C4443" t="s">
        <v>16520</v>
      </c>
      <c r="D4443" t="s">
        <v>16521</v>
      </c>
      <c r="E4443" t="s">
        <v>16261</v>
      </c>
      <c r="F4443" t="s">
        <v>50</v>
      </c>
      <c r="G4443" t="s">
        <v>16522</v>
      </c>
      <c r="H4443" t="s">
        <v>30</v>
      </c>
      <c r="I4443" t="b">
        <f>COUNTIF(Estadísticas!I:I,'centraldecomunicacion.es'!H4443)&gt;0</f>
        <v>0</v>
      </c>
    </row>
    <row r="4444" spans="1:9">
      <c r="A4444" t="s">
        <v>16523</v>
      </c>
      <c r="B4444" t="s">
        <v>10</v>
      </c>
      <c r="C4444" t="s">
        <v>16524</v>
      </c>
      <c r="D4444" t="s">
        <v>16391</v>
      </c>
      <c r="E4444" t="s">
        <v>16261</v>
      </c>
      <c r="F4444" t="s">
        <v>50</v>
      </c>
      <c r="G4444" t="s">
        <v>16525</v>
      </c>
      <c r="H4444" t="s">
        <v>30</v>
      </c>
      <c r="I4444" t="b">
        <f>COUNTIF(Estadísticas!I:I,'centraldecomunicacion.es'!H4444)&gt;0</f>
        <v>0</v>
      </c>
    </row>
    <row r="4445" spans="1:9">
      <c r="A4445" t="s">
        <v>16526</v>
      </c>
      <c r="B4445" t="s">
        <v>10</v>
      </c>
      <c r="C4445" t="s">
        <v>16527</v>
      </c>
      <c r="D4445" t="s">
        <v>16391</v>
      </c>
      <c r="E4445" t="s">
        <v>16185</v>
      </c>
      <c r="F4445" t="s">
        <v>28</v>
      </c>
      <c r="G4445" t="s">
        <v>16528</v>
      </c>
      <c r="H4445" t="s">
        <v>30</v>
      </c>
      <c r="I4445" t="b">
        <f>COUNTIF(Estadísticas!I:I,'centraldecomunicacion.es'!H4445)&gt;0</f>
        <v>0</v>
      </c>
    </row>
    <row r="4446" spans="1:9">
      <c r="A4446" t="s">
        <v>16529</v>
      </c>
      <c r="B4446" t="s">
        <v>10</v>
      </c>
      <c r="C4446" t="s">
        <v>16530</v>
      </c>
      <c r="D4446" t="s">
        <v>16531</v>
      </c>
      <c r="E4446" t="s">
        <v>16185</v>
      </c>
      <c r="F4446" t="s">
        <v>16420</v>
      </c>
      <c r="G4446" t="s">
        <v>16532</v>
      </c>
      <c r="H4446" t="s">
        <v>16422</v>
      </c>
      <c r="I4446" t="b">
        <f>COUNTIF(Estadísticas!I:I,'centraldecomunicacion.es'!H4446)&gt;0</f>
        <v>0</v>
      </c>
    </row>
    <row r="4447" spans="1:9">
      <c r="A4447" t="s">
        <v>16533</v>
      </c>
      <c r="B4447" t="s">
        <v>10</v>
      </c>
      <c r="C4447" t="s">
        <v>16534</v>
      </c>
      <c r="D4447" t="s">
        <v>16428</v>
      </c>
      <c r="E4447" t="s">
        <v>16185</v>
      </c>
      <c r="F4447" t="s">
        <v>16535</v>
      </c>
      <c r="G4447" t="s">
        <v>16536</v>
      </c>
      <c r="H4447" t="s">
        <v>16537</v>
      </c>
      <c r="I4447" t="b">
        <f>COUNTIF(Estadísticas!I:I,'centraldecomunicacion.es'!H4447)&gt;0</f>
        <v>0</v>
      </c>
    </row>
    <row r="4448" spans="1:9">
      <c r="A4448" t="s">
        <v>16538</v>
      </c>
      <c r="B4448" t="s">
        <v>10</v>
      </c>
      <c r="C4448" t="s">
        <v>16539</v>
      </c>
      <c r="D4448" t="s">
        <v>16184</v>
      </c>
      <c r="E4448" t="s">
        <v>16261</v>
      </c>
      <c r="F4448" t="s">
        <v>28</v>
      </c>
      <c r="G4448" t="s">
        <v>16540</v>
      </c>
      <c r="H4448" t="s">
        <v>30</v>
      </c>
      <c r="I4448" t="b">
        <f>COUNTIF(Estadísticas!I:I,'centraldecomunicacion.es'!H4448)&gt;0</f>
        <v>0</v>
      </c>
    </row>
    <row r="4449" spans="1:9">
      <c r="A4449" t="s">
        <v>2331</v>
      </c>
      <c r="B4449" t="s">
        <v>10</v>
      </c>
      <c r="C4449" t="s">
        <v>16541</v>
      </c>
      <c r="D4449" t="s">
        <v>16542</v>
      </c>
      <c r="E4449" t="s">
        <v>16185</v>
      </c>
      <c r="F4449" t="s">
        <v>28</v>
      </c>
      <c r="G4449" t="s">
        <v>16543</v>
      </c>
      <c r="H4449" t="s">
        <v>30</v>
      </c>
      <c r="I4449" t="b">
        <f>COUNTIF(Estadísticas!I:I,'centraldecomunicacion.es'!H4449)&gt;0</f>
        <v>0</v>
      </c>
    </row>
    <row r="4450" spans="1:9">
      <c r="A4450" t="s">
        <v>16544</v>
      </c>
      <c r="B4450" t="s">
        <v>10</v>
      </c>
      <c r="C4450" t="s">
        <v>16545</v>
      </c>
      <c r="D4450" t="s">
        <v>16490</v>
      </c>
      <c r="E4450" t="s">
        <v>16185</v>
      </c>
      <c r="F4450" t="s">
        <v>28</v>
      </c>
      <c r="G4450" t="s">
        <v>16546</v>
      </c>
      <c r="H4450" t="s">
        <v>30</v>
      </c>
      <c r="I4450" t="b">
        <f>COUNTIF(Estadísticas!I:I,'centraldecomunicacion.es'!H4450)&gt;0</f>
        <v>0</v>
      </c>
    </row>
    <row r="4451" spans="1:9">
      <c r="A4451" t="s">
        <v>16547</v>
      </c>
      <c r="B4451" t="s">
        <v>10</v>
      </c>
      <c r="C4451" t="s">
        <v>16548</v>
      </c>
      <c r="D4451" t="s">
        <v>16549</v>
      </c>
      <c r="E4451" t="s">
        <v>16185</v>
      </c>
      <c r="F4451" t="s">
        <v>50</v>
      </c>
      <c r="G4451" t="s">
        <v>16550</v>
      </c>
      <c r="H4451" t="s">
        <v>30</v>
      </c>
      <c r="I4451" t="b">
        <f>COUNTIF(Estadísticas!I:I,'centraldecomunicacion.es'!H4451)&gt;0</f>
        <v>0</v>
      </c>
    </row>
    <row r="4452" spans="1:9">
      <c r="A4452" t="s">
        <v>16551</v>
      </c>
      <c r="B4452" t="s">
        <v>10</v>
      </c>
      <c r="C4452" t="s">
        <v>16552</v>
      </c>
      <c r="D4452" t="s">
        <v>16521</v>
      </c>
      <c r="E4452" t="s">
        <v>16261</v>
      </c>
      <c r="F4452" t="s">
        <v>28</v>
      </c>
      <c r="G4452" t="s">
        <v>16553</v>
      </c>
      <c r="H4452" t="s">
        <v>30</v>
      </c>
      <c r="I4452" t="b">
        <f>COUNTIF(Estadísticas!I:I,'centraldecomunicacion.es'!H4452)&gt;0</f>
        <v>0</v>
      </c>
    </row>
    <row r="4453" spans="1:9">
      <c r="A4453" t="s">
        <v>16554</v>
      </c>
      <c r="B4453" t="s">
        <v>10</v>
      </c>
      <c r="C4453" t="s">
        <v>16555</v>
      </c>
      <c r="D4453" t="s">
        <v>16556</v>
      </c>
      <c r="E4453" t="s">
        <v>16185</v>
      </c>
      <c r="F4453" t="s">
        <v>16557</v>
      </c>
      <c r="G4453" t="s">
        <v>16558</v>
      </c>
      <c r="H4453" t="s">
        <v>30</v>
      </c>
      <c r="I4453" t="b">
        <f>COUNTIF(Estadísticas!I:I,'centraldecomunicacion.es'!H4453)&gt;0</f>
        <v>0</v>
      </c>
    </row>
    <row r="4454" spans="1:9">
      <c r="A4454" t="s">
        <v>16559</v>
      </c>
      <c r="B4454" t="s">
        <v>10</v>
      </c>
      <c r="C4454" t="s">
        <v>16560</v>
      </c>
      <c r="D4454" t="s">
        <v>16561</v>
      </c>
      <c r="E4454" t="s">
        <v>16261</v>
      </c>
      <c r="F4454" t="s">
        <v>16562</v>
      </c>
      <c r="G4454" t="s">
        <v>16563</v>
      </c>
      <c r="H4454" t="s">
        <v>16564</v>
      </c>
      <c r="I4454" t="b">
        <f>COUNTIF(Estadísticas!I:I,'centraldecomunicacion.es'!H4454)&gt;0</f>
        <v>0</v>
      </c>
    </row>
    <row r="4455" spans="1:9">
      <c r="A4455" t="s">
        <v>16565</v>
      </c>
      <c r="B4455" t="s">
        <v>10</v>
      </c>
      <c r="C4455" t="s">
        <v>16566</v>
      </c>
      <c r="D4455" t="s">
        <v>16542</v>
      </c>
      <c r="E4455" t="s">
        <v>16185</v>
      </c>
      <c r="F4455" t="s">
        <v>28</v>
      </c>
      <c r="G4455" t="s">
        <v>16567</v>
      </c>
      <c r="H4455" t="s">
        <v>30</v>
      </c>
      <c r="I4455" t="b">
        <f>COUNTIF(Estadísticas!I:I,'centraldecomunicacion.es'!H4455)&gt;0</f>
        <v>0</v>
      </c>
    </row>
    <row r="4456" spans="1:9">
      <c r="A4456" t="s">
        <v>16568</v>
      </c>
      <c r="B4456" t="s">
        <v>10</v>
      </c>
      <c r="C4456" t="s">
        <v>16569</v>
      </c>
      <c r="D4456" t="s">
        <v>16570</v>
      </c>
      <c r="E4456" t="s">
        <v>16185</v>
      </c>
      <c r="F4456" t="s">
        <v>28</v>
      </c>
      <c r="G4456" t="s">
        <v>16571</v>
      </c>
      <c r="H4456" t="s">
        <v>30</v>
      </c>
      <c r="I4456" t="b">
        <f>COUNTIF(Estadísticas!I:I,'centraldecomunicacion.es'!H4456)&gt;0</f>
        <v>0</v>
      </c>
    </row>
    <row r="4457" spans="1:9">
      <c r="A4457" t="s">
        <v>16572</v>
      </c>
      <c r="B4457" t="s">
        <v>10</v>
      </c>
      <c r="C4457" t="s">
        <v>16573</v>
      </c>
      <c r="D4457" t="s">
        <v>16391</v>
      </c>
      <c r="E4457" t="s">
        <v>16185</v>
      </c>
      <c r="F4457" t="s">
        <v>16574</v>
      </c>
      <c r="G4457" t="s">
        <v>16575</v>
      </c>
      <c r="H4457" t="s">
        <v>30</v>
      </c>
      <c r="I4457" t="b">
        <f>COUNTIF(Estadísticas!I:I,'centraldecomunicacion.es'!H4457)&gt;0</f>
        <v>0</v>
      </c>
    </row>
    <row r="4458" spans="1:9">
      <c r="A4458" t="s">
        <v>1161</v>
      </c>
      <c r="B4458" t="s">
        <v>10</v>
      </c>
      <c r="C4458" t="s">
        <v>16576</v>
      </c>
      <c r="D4458" t="s">
        <v>16542</v>
      </c>
      <c r="E4458" t="s">
        <v>16185</v>
      </c>
      <c r="F4458" t="s">
        <v>16577</v>
      </c>
      <c r="G4458" t="s">
        <v>16578</v>
      </c>
      <c r="H4458" t="s">
        <v>16579</v>
      </c>
      <c r="I4458" t="b">
        <f>COUNTIF(Estadísticas!I:I,'centraldecomunicacion.es'!H4458)&gt;0</f>
        <v>0</v>
      </c>
    </row>
    <row r="4459" spans="1:9">
      <c r="A4459" t="s">
        <v>16580</v>
      </c>
      <c r="B4459" t="s">
        <v>10</v>
      </c>
      <c r="C4459" t="s">
        <v>16581</v>
      </c>
      <c r="D4459" t="s">
        <v>16465</v>
      </c>
      <c r="E4459" t="s">
        <v>16261</v>
      </c>
      <c r="F4459" t="s">
        <v>28</v>
      </c>
      <c r="G4459" t="s">
        <v>16582</v>
      </c>
      <c r="H4459" t="s">
        <v>30</v>
      </c>
      <c r="I4459" t="b">
        <f>COUNTIF(Estadísticas!I:I,'centraldecomunicacion.es'!H4459)&gt;0</f>
        <v>0</v>
      </c>
    </row>
    <row r="4460" spans="1:9">
      <c r="A4460" t="s">
        <v>16583</v>
      </c>
      <c r="B4460" t="s">
        <v>10</v>
      </c>
      <c r="C4460" t="s">
        <v>16584</v>
      </c>
      <c r="D4460" t="s">
        <v>16585</v>
      </c>
      <c r="E4460" t="s">
        <v>16185</v>
      </c>
      <c r="F4460" t="s">
        <v>28</v>
      </c>
      <c r="G4460" t="s">
        <v>16586</v>
      </c>
      <c r="H4460" t="s">
        <v>30</v>
      </c>
      <c r="I4460" t="b">
        <f>COUNTIF(Estadísticas!I:I,'centraldecomunicacion.es'!H4460)&gt;0</f>
        <v>0</v>
      </c>
    </row>
    <row r="4461" spans="1:9">
      <c r="A4461" t="s">
        <v>16587</v>
      </c>
      <c r="B4461" t="s">
        <v>10</v>
      </c>
      <c r="C4461" t="s">
        <v>16588</v>
      </c>
      <c r="D4461" t="s">
        <v>16391</v>
      </c>
      <c r="E4461" t="s">
        <v>16185</v>
      </c>
      <c r="F4461" t="s">
        <v>16589</v>
      </c>
      <c r="G4461" t="s">
        <v>16590</v>
      </c>
      <c r="H4461" t="s">
        <v>30</v>
      </c>
      <c r="I4461" t="b">
        <f>COUNTIF(Estadísticas!I:I,'centraldecomunicacion.es'!H4461)&gt;0</f>
        <v>0</v>
      </c>
    </row>
    <row r="4462" spans="1:9">
      <c r="A4462" t="s">
        <v>16591</v>
      </c>
      <c r="B4462" t="s">
        <v>10</v>
      </c>
      <c r="C4462" t="s">
        <v>16592</v>
      </c>
      <c r="D4462" t="s">
        <v>16585</v>
      </c>
      <c r="E4462" t="s">
        <v>16185</v>
      </c>
      <c r="F4462" t="s">
        <v>28</v>
      </c>
      <c r="G4462" t="s">
        <v>16593</v>
      </c>
      <c r="H4462" t="s">
        <v>30</v>
      </c>
      <c r="I4462" t="b">
        <f>COUNTIF(Estadísticas!I:I,'centraldecomunicacion.es'!H4462)&gt;0</f>
        <v>0</v>
      </c>
    </row>
    <row r="4463" spans="1:9">
      <c r="A4463" t="s">
        <v>16594</v>
      </c>
      <c r="B4463" t="s">
        <v>10</v>
      </c>
      <c r="C4463" t="s">
        <v>16595</v>
      </c>
      <c r="D4463" t="s">
        <v>16428</v>
      </c>
      <c r="E4463" t="s">
        <v>16261</v>
      </c>
      <c r="F4463" t="s">
        <v>16596</v>
      </c>
      <c r="G4463" t="s">
        <v>16597</v>
      </c>
      <c r="H4463" t="s">
        <v>16598</v>
      </c>
      <c r="I4463" t="b">
        <f>COUNTIF(Estadísticas!I:I,'centraldecomunicacion.es'!H4463)&gt;0</f>
        <v>0</v>
      </c>
    </row>
    <row r="4464" spans="1:9">
      <c r="A4464" t="s">
        <v>16599</v>
      </c>
      <c r="B4464" t="s">
        <v>10</v>
      </c>
      <c r="C4464" t="s">
        <v>16600</v>
      </c>
      <c r="D4464" t="s">
        <v>16601</v>
      </c>
      <c r="E4464" t="s">
        <v>16261</v>
      </c>
      <c r="F4464" t="s">
        <v>28</v>
      </c>
      <c r="G4464" t="s">
        <v>16602</v>
      </c>
      <c r="H4464" t="s">
        <v>30</v>
      </c>
      <c r="I4464" t="b">
        <f>COUNTIF(Estadísticas!I:I,'centraldecomunicacion.es'!H4464)&gt;0</f>
        <v>0</v>
      </c>
    </row>
    <row r="4465" spans="1:9">
      <c r="A4465" t="s">
        <v>16603</v>
      </c>
      <c r="B4465" t="s">
        <v>10</v>
      </c>
      <c r="C4465" t="s">
        <v>16604</v>
      </c>
      <c r="D4465" t="s">
        <v>16605</v>
      </c>
      <c r="E4465" t="s">
        <v>16185</v>
      </c>
      <c r="F4465" t="s">
        <v>16606</v>
      </c>
      <c r="G4465" t="s">
        <v>16607</v>
      </c>
      <c r="H4465" t="s">
        <v>30</v>
      </c>
      <c r="I4465" t="b">
        <f>COUNTIF(Estadísticas!I:I,'centraldecomunicacion.es'!H4465)&gt;0</f>
        <v>0</v>
      </c>
    </row>
    <row r="4466" spans="1:9">
      <c r="A4466" t="s">
        <v>16608</v>
      </c>
      <c r="B4466" t="s">
        <v>10</v>
      </c>
      <c r="C4466" t="s">
        <v>16609</v>
      </c>
      <c r="D4466" t="s">
        <v>16454</v>
      </c>
      <c r="E4466" t="s">
        <v>16185</v>
      </c>
      <c r="F4466" t="s">
        <v>28</v>
      </c>
      <c r="G4466" t="s">
        <v>16610</v>
      </c>
      <c r="H4466" t="s">
        <v>30</v>
      </c>
      <c r="I4466" t="b">
        <f>COUNTIF(Estadísticas!I:I,'centraldecomunicacion.es'!H4466)&gt;0</f>
        <v>0</v>
      </c>
    </row>
    <row r="4467" spans="1:9">
      <c r="A4467" t="s">
        <v>16611</v>
      </c>
      <c r="B4467" t="s">
        <v>10</v>
      </c>
      <c r="C4467" t="s">
        <v>16612</v>
      </c>
      <c r="D4467" t="s">
        <v>16531</v>
      </c>
      <c r="E4467" t="s">
        <v>16261</v>
      </c>
      <c r="F4467" t="s">
        <v>28</v>
      </c>
      <c r="G4467" t="s">
        <v>16613</v>
      </c>
      <c r="H4467" t="s">
        <v>30</v>
      </c>
      <c r="I4467" t="b">
        <f>COUNTIF(Estadísticas!I:I,'centraldecomunicacion.es'!H4467)&gt;0</f>
        <v>0</v>
      </c>
    </row>
    <row r="4468" spans="1:9">
      <c r="A4468" t="s">
        <v>16614</v>
      </c>
      <c r="B4468" t="s">
        <v>10</v>
      </c>
      <c r="C4468" t="s">
        <v>16615</v>
      </c>
      <c r="D4468" t="s">
        <v>16570</v>
      </c>
      <c r="E4468" t="s">
        <v>16185</v>
      </c>
      <c r="F4468" t="s">
        <v>28</v>
      </c>
      <c r="G4468" t="s">
        <v>16616</v>
      </c>
      <c r="H4468" t="s">
        <v>30</v>
      </c>
      <c r="I4468" t="b">
        <f>COUNTIF(Estadísticas!I:I,'centraldecomunicacion.es'!H4468)&gt;0</f>
        <v>0</v>
      </c>
    </row>
    <row r="4469" spans="1:9">
      <c r="A4469" t="s">
        <v>16617</v>
      </c>
      <c r="B4469" t="s">
        <v>10</v>
      </c>
      <c r="C4469" t="s">
        <v>16618</v>
      </c>
      <c r="D4469" t="s">
        <v>16561</v>
      </c>
      <c r="E4469" t="s">
        <v>16261</v>
      </c>
      <c r="F4469" t="s">
        <v>16619</v>
      </c>
      <c r="G4469" t="s">
        <v>16620</v>
      </c>
      <c r="H4469" t="s">
        <v>16621</v>
      </c>
      <c r="I4469" t="b">
        <f>COUNTIF(Estadísticas!I:I,'centraldecomunicacion.es'!H4469)&gt;0</f>
        <v>0</v>
      </c>
    </row>
    <row r="4470" spans="1:9">
      <c r="A4470" t="s">
        <v>16622</v>
      </c>
      <c r="B4470" t="s">
        <v>10</v>
      </c>
      <c r="C4470" t="s">
        <v>16623</v>
      </c>
      <c r="D4470" t="s">
        <v>16624</v>
      </c>
      <c r="E4470" t="s">
        <v>16185</v>
      </c>
      <c r="F4470" t="s">
        <v>28</v>
      </c>
      <c r="G4470" t="s">
        <v>16625</v>
      </c>
      <c r="H4470" t="s">
        <v>30</v>
      </c>
      <c r="I4470" t="b">
        <f>COUNTIF(Estadísticas!I:I,'centraldecomunicacion.es'!H4470)&gt;0</f>
        <v>0</v>
      </c>
    </row>
    <row r="4471" spans="1:9">
      <c r="A4471" t="s">
        <v>16626</v>
      </c>
      <c r="B4471" t="s">
        <v>10</v>
      </c>
      <c r="C4471" t="s">
        <v>16627</v>
      </c>
      <c r="D4471" t="s">
        <v>16570</v>
      </c>
      <c r="E4471" t="s">
        <v>16185</v>
      </c>
      <c r="F4471" t="s">
        <v>28</v>
      </c>
      <c r="G4471" t="s">
        <v>16628</v>
      </c>
      <c r="H4471" t="s">
        <v>30</v>
      </c>
      <c r="I4471" t="b">
        <f>COUNTIF(Estadísticas!I:I,'centraldecomunicacion.es'!H4471)&gt;0</f>
        <v>0</v>
      </c>
    </row>
    <row r="4472" spans="1:9">
      <c r="A4472" t="s">
        <v>16629</v>
      </c>
      <c r="B4472" t="s">
        <v>10</v>
      </c>
      <c r="C4472" t="s">
        <v>16630</v>
      </c>
      <c r="D4472" t="s">
        <v>16391</v>
      </c>
      <c r="E4472" t="s">
        <v>16185</v>
      </c>
      <c r="F4472" t="s">
        <v>16631</v>
      </c>
      <c r="G4472" t="s">
        <v>16632</v>
      </c>
      <c r="H4472" t="s">
        <v>30</v>
      </c>
      <c r="I4472" t="b">
        <f>COUNTIF(Estadísticas!I:I,'centraldecomunicacion.es'!H4472)&gt;0</f>
        <v>0</v>
      </c>
    </row>
    <row r="4473" spans="1:9">
      <c r="A4473" t="s">
        <v>16633</v>
      </c>
      <c r="B4473" t="s">
        <v>10</v>
      </c>
      <c r="C4473" t="s">
        <v>16634</v>
      </c>
      <c r="D4473" t="s">
        <v>16624</v>
      </c>
      <c r="E4473" t="s">
        <v>16185</v>
      </c>
      <c r="F4473" t="s">
        <v>28</v>
      </c>
      <c r="G4473" t="s">
        <v>16635</v>
      </c>
      <c r="H4473" t="s">
        <v>30</v>
      </c>
      <c r="I4473" t="b">
        <f>COUNTIF(Estadísticas!I:I,'centraldecomunicacion.es'!H4473)&gt;0</f>
        <v>0</v>
      </c>
    </row>
    <row r="4474" spans="1:9">
      <c r="A4474" t="s">
        <v>16636</v>
      </c>
      <c r="B4474" t="s">
        <v>10</v>
      </c>
      <c r="C4474" t="s">
        <v>16637</v>
      </c>
      <c r="D4474" t="s">
        <v>16391</v>
      </c>
      <c r="E4474" t="s">
        <v>16185</v>
      </c>
      <c r="F4474" t="s">
        <v>28</v>
      </c>
      <c r="G4474" t="s">
        <v>16638</v>
      </c>
      <c r="H4474" t="s">
        <v>30</v>
      </c>
      <c r="I4474" t="b">
        <f>COUNTIF(Estadísticas!I:I,'centraldecomunicacion.es'!H4474)&gt;0</f>
        <v>0</v>
      </c>
    </row>
    <row r="4475" spans="1:9">
      <c r="A4475" t="s">
        <v>16639</v>
      </c>
      <c r="B4475" t="s">
        <v>10</v>
      </c>
      <c r="C4475" t="s">
        <v>16640</v>
      </c>
      <c r="D4475" t="s">
        <v>16641</v>
      </c>
      <c r="E4475" t="s">
        <v>16185</v>
      </c>
      <c r="F4475" t="s">
        <v>28</v>
      </c>
      <c r="G4475" t="s">
        <v>16642</v>
      </c>
      <c r="H4475" t="s">
        <v>30</v>
      </c>
      <c r="I4475" t="b">
        <f>COUNTIF(Estadísticas!I:I,'centraldecomunicacion.es'!H4475)&gt;0</f>
        <v>0</v>
      </c>
    </row>
    <row r="4476" spans="1:9">
      <c r="A4476" t="s">
        <v>16643</v>
      </c>
      <c r="B4476" t="s">
        <v>10</v>
      </c>
      <c r="C4476" t="s">
        <v>16644</v>
      </c>
      <c r="D4476" t="s">
        <v>16542</v>
      </c>
      <c r="E4476" t="s">
        <v>16185</v>
      </c>
      <c r="F4476" t="s">
        <v>28</v>
      </c>
      <c r="G4476" t="s">
        <v>16645</v>
      </c>
      <c r="H4476" t="s">
        <v>30</v>
      </c>
      <c r="I4476" t="b">
        <f>COUNTIF(Estadísticas!I:I,'centraldecomunicacion.es'!H4476)&gt;0</f>
        <v>0</v>
      </c>
    </row>
    <row r="4477" spans="1:9">
      <c r="A4477" t="s">
        <v>16646</v>
      </c>
      <c r="B4477" t="s">
        <v>10</v>
      </c>
      <c r="C4477" t="s">
        <v>16647</v>
      </c>
      <c r="D4477" t="s">
        <v>16648</v>
      </c>
      <c r="E4477" t="s">
        <v>16185</v>
      </c>
      <c r="F4477" t="s">
        <v>28</v>
      </c>
      <c r="G4477" t="s">
        <v>16649</v>
      </c>
      <c r="H4477" t="s">
        <v>30</v>
      </c>
      <c r="I4477" t="b">
        <f>COUNTIF(Estadísticas!I:I,'centraldecomunicacion.es'!H4477)&gt;0</f>
        <v>0</v>
      </c>
    </row>
    <row r="4478" spans="1:9">
      <c r="A4478" t="s">
        <v>16650</v>
      </c>
      <c r="B4478" t="s">
        <v>10</v>
      </c>
      <c r="C4478" t="s">
        <v>16651</v>
      </c>
      <c r="D4478" t="s">
        <v>16239</v>
      </c>
      <c r="E4478" t="s">
        <v>16185</v>
      </c>
      <c r="F4478" t="s">
        <v>28</v>
      </c>
      <c r="G4478" t="s">
        <v>28</v>
      </c>
      <c r="H4478" t="s">
        <v>30</v>
      </c>
      <c r="I4478" t="b">
        <f>COUNTIF(Estadísticas!I:I,'centraldecomunicacion.es'!H4478)&gt;0</f>
        <v>0</v>
      </c>
    </row>
    <row r="4479" spans="1:9">
      <c r="A4479" t="s">
        <v>16652</v>
      </c>
      <c r="B4479" t="s">
        <v>10</v>
      </c>
      <c r="C4479" t="s">
        <v>16653</v>
      </c>
      <c r="D4479" t="s">
        <v>16654</v>
      </c>
      <c r="E4479" t="s">
        <v>16185</v>
      </c>
      <c r="F4479" t="s">
        <v>16655</v>
      </c>
      <c r="G4479" t="s">
        <v>16656</v>
      </c>
      <c r="H4479" t="s">
        <v>691</v>
      </c>
      <c r="I4479" t="b">
        <f>COUNTIF(Estadísticas!I:I,'centraldecomunicacion.es'!H4479)&gt;0</f>
        <v>0</v>
      </c>
    </row>
    <row r="4480" spans="1:9">
      <c r="A4480" t="s">
        <v>16657</v>
      </c>
      <c r="B4480" t="s">
        <v>10</v>
      </c>
      <c r="C4480" t="s">
        <v>16658</v>
      </c>
      <c r="D4480" t="s">
        <v>16184</v>
      </c>
      <c r="E4480" t="s">
        <v>16185</v>
      </c>
      <c r="F4480" t="s">
        <v>50</v>
      </c>
      <c r="G4480" t="s">
        <v>16659</v>
      </c>
      <c r="H4480" t="s">
        <v>30</v>
      </c>
      <c r="I4480" t="b">
        <f>COUNTIF(Estadísticas!I:I,'centraldecomunicacion.es'!H4480)&gt;0</f>
        <v>0</v>
      </c>
    </row>
    <row r="4481" spans="1:9">
      <c r="A4481" t="s">
        <v>16660</v>
      </c>
      <c r="B4481" t="s">
        <v>10</v>
      </c>
      <c r="C4481" t="s">
        <v>16661</v>
      </c>
      <c r="D4481" t="s">
        <v>16662</v>
      </c>
      <c r="E4481" t="s">
        <v>16185</v>
      </c>
      <c r="F4481" t="s">
        <v>28</v>
      </c>
      <c r="G4481" t="s">
        <v>16663</v>
      </c>
      <c r="H4481" t="s">
        <v>30</v>
      </c>
      <c r="I4481" t="b">
        <f>COUNTIF(Estadísticas!I:I,'centraldecomunicacion.es'!H4481)&gt;0</f>
        <v>0</v>
      </c>
    </row>
    <row r="4482" spans="1:9">
      <c r="A4482" t="s">
        <v>16664</v>
      </c>
      <c r="B4482" t="s">
        <v>10</v>
      </c>
      <c r="C4482" t="s">
        <v>16665</v>
      </c>
      <c r="D4482" t="s">
        <v>16255</v>
      </c>
      <c r="E4482" t="s">
        <v>16185</v>
      </c>
      <c r="F4482" t="s">
        <v>28</v>
      </c>
      <c r="G4482" t="s">
        <v>16666</v>
      </c>
      <c r="H4482" t="s">
        <v>30</v>
      </c>
      <c r="I4482" t="b">
        <f>COUNTIF(Estadísticas!I:I,'centraldecomunicacion.es'!H4482)&gt;0</f>
        <v>0</v>
      </c>
    </row>
    <row r="4483" spans="1:9">
      <c r="A4483" t="s">
        <v>16667</v>
      </c>
      <c r="B4483" t="s">
        <v>10</v>
      </c>
      <c r="C4483" t="s">
        <v>16668</v>
      </c>
      <c r="D4483" t="s">
        <v>16669</v>
      </c>
      <c r="E4483" t="s">
        <v>16185</v>
      </c>
      <c r="F4483" t="s">
        <v>28</v>
      </c>
      <c r="G4483" t="s">
        <v>16670</v>
      </c>
      <c r="H4483" t="s">
        <v>30</v>
      </c>
      <c r="I4483" t="b">
        <f>COUNTIF(Estadísticas!I:I,'centraldecomunicacion.es'!H4483)&gt;0</f>
        <v>0</v>
      </c>
    </row>
    <row r="4484" spans="1:9">
      <c r="A4484" t="s">
        <v>16671</v>
      </c>
      <c r="B4484" t="s">
        <v>10</v>
      </c>
      <c r="C4484" t="s">
        <v>16672</v>
      </c>
      <c r="D4484" t="s">
        <v>16480</v>
      </c>
      <c r="E4484" t="s">
        <v>16185</v>
      </c>
      <c r="F4484" t="s">
        <v>16673</v>
      </c>
      <c r="G4484" t="s">
        <v>16674</v>
      </c>
      <c r="H4484" t="s">
        <v>691</v>
      </c>
      <c r="I4484" t="b">
        <f>COUNTIF(Estadísticas!I:I,'centraldecomunicacion.es'!H4484)&gt;0</f>
        <v>0</v>
      </c>
    </row>
    <row r="4485" spans="1:9">
      <c r="A4485" t="s">
        <v>16675</v>
      </c>
      <c r="B4485" t="s">
        <v>10</v>
      </c>
      <c r="C4485" t="s">
        <v>16676</v>
      </c>
      <c r="D4485" t="s">
        <v>16391</v>
      </c>
      <c r="E4485" t="s">
        <v>16185</v>
      </c>
      <c r="F4485" t="s">
        <v>28</v>
      </c>
      <c r="G4485" t="s">
        <v>28</v>
      </c>
      <c r="H4485" t="s">
        <v>30</v>
      </c>
      <c r="I4485" t="b">
        <f>COUNTIF(Estadísticas!I:I,'centraldecomunicacion.es'!H4485)&gt;0</f>
        <v>0</v>
      </c>
    </row>
    <row r="4486" spans="1:9">
      <c r="A4486" t="s">
        <v>16677</v>
      </c>
      <c r="B4486" t="s">
        <v>10</v>
      </c>
      <c r="C4486" t="s">
        <v>16678</v>
      </c>
      <c r="D4486" t="s">
        <v>16679</v>
      </c>
      <c r="E4486" t="s">
        <v>16185</v>
      </c>
      <c r="F4486" t="s">
        <v>28</v>
      </c>
      <c r="G4486" t="s">
        <v>16680</v>
      </c>
      <c r="H4486" t="s">
        <v>30</v>
      </c>
      <c r="I4486" t="b">
        <f>COUNTIF(Estadísticas!I:I,'centraldecomunicacion.es'!H4486)&gt;0</f>
        <v>0</v>
      </c>
    </row>
    <row r="4487" spans="1:9">
      <c r="A4487" t="s">
        <v>16681</v>
      </c>
      <c r="B4487" t="s">
        <v>10</v>
      </c>
      <c r="C4487" t="s">
        <v>16682</v>
      </c>
      <c r="D4487" t="s">
        <v>16683</v>
      </c>
      <c r="E4487" t="s">
        <v>6489</v>
      </c>
      <c r="F4487" t="s">
        <v>28</v>
      </c>
      <c r="G4487" t="s">
        <v>16684</v>
      </c>
      <c r="H4487" t="s">
        <v>30</v>
      </c>
      <c r="I4487" t="b">
        <f>COUNTIF(Estadísticas!I:I,'centraldecomunicacion.es'!H4487)&gt;0</f>
        <v>0</v>
      </c>
    </row>
    <row r="4488" spans="1:9">
      <c r="A4488" t="s">
        <v>16685</v>
      </c>
      <c r="B4488" t="s">
        <v>10</v>
      </c>
      <c r="C4488" t="s">
        <v>16686</v>
      </c>
      <c r="D4488" t="s">
        <v>16687</v>
      </c>
      <c r="E4488" t="s">
        <v>16185</v>
      </c>
      <c r="F4488" t="s">
        <v>28</v>
      </c>
      <c r="G4488" t="s">
        <v>28</v>
      </c>
      <c r="H4488" t="s">
        <v>30</v>
      </c>
      <c r="I4488" t="b">
        <f>COUNTIF(Estadísticas!I:I,'centraldecomunicacion.es'!H4488)&gt;0</f>
        <v>0</v>
      </c>
    </row>
    <row r="4489" spans="1:9">
      <c r="A4489" t="s">
        <v>16688</v>
      </c>
      <c r="B4489" t="s">
        <v>10</v>
      </c>
      <c r="C4489" t="s">
        <v>16689</v>
      </c>
      <c r="D4489" t="s">
        <v>16648</v>
      </c>
      <c r="E4489" t="s">
        <v>16185</v>
      </c>
      <c r="F4489" t="s">
        <v>16690</v>
      </c>
      <c r="G4489" t="s">
        <v>16691</v>
      </c>
      <c r="H4489" t="s">
        <v>16692</v>
      </c>
      <c r="I4489" t="b">
        <f>COUNTIF(Estadísticas!I:I,'centraldecomunicacion.es'!H4489)&gt;0</f>
        <v>0</v>
      </c>
    </row>
    <row r="4490" spans="1:9">
      <c r="A4490" t="s">
        <v>16693</v>
      </c>
      <c r="B4490" t="s">
        <v>10</v>
      </c>
      <c r="C4490" t="s">
        <v>16694</v>
      </c>
      <c r="D4490" t="s">
        <v>16521</v>
      </c>
      <c r="E4490" t="s">
        <v>16185</v>
      </c>
      <c r="F4490" t="s">
        <v>16695</v>
      </c>
      <c r="G4490" t="s">
        <v>16696</v>
      </c>
      <c r="H4490" t="s">
        <v>691</v>
      </c>
      <c r="I4490" t="b">
        <f>COUNTIF(Estadísticas!I:I,'centraldecomunicacion.es'!H4490)&gt;0</f>
        <v>0</v>
      </c>
    </row>
    <row r="4491" spans="1:9">
      <c r="A4491" t="s">
        <v>16697</v>
      </c>
      <c r="B4491" t="s">
        <v>10</v>
      </c>
      <c r="C4491" t="s">
        <v>16698</v>
      </c>
      <c r="D4491" t="s">
        <v>16391</v>
      </c>
      <c r="E4491" t="s">
        <v>16185</v>
      </c>
      <c r="F4491" t="s">
        <v>16699</v>
      </c>
      <c r="G4491" t="s">
        <v>16700</v>
      </c>
      <c r="H4491" t="s">
        <v>16701</v>
      </c>
      <c r="I4491" t="b">
        <f>COUNTIF(Estadísticas!I:I,'centraldecomunicacion.es'!H4491)&gt;0</f>
        <v>0</v>
      </c>
    </row>
    <row r="4492" spans="1:9">
      <c r="A4492" t="s">
        <v>16702</v>
      </c>
      <c r="B4492" t="s">
        <v>10</v>
      </c>
      <c r="C4492" t="s">
        <v>16703</v>
      </c>
      <c r="D4492" t="s">
        <v>16704</v>
      </c>
      <c r="E4492" t="s">
        <v>16185</v>
      </c>
      <c r="F4492" t="s">
        <v>642</v>
      </c>
      <c r="G4492" t="s">
        <v>16705</v>
      </c>
      <c r="H4492" t="s">
        <v>30</v>
      </c>
      <c r="I4492" t="b">
        <f>COUNTIF(Estadísticas!I:I,'centraldecomunicacion.es'!H4492)&gt;0</f>
        <v>0</v>
      </c>
    </row>
    <row r="4493" spans="1:9">
      <c r="A4493" t="s">
        <v>16706</v>
      </c>
      <c r="B4493" t="s">
        <v>10</v>
      </c>
      <c r="C4493" t="s">
        <v>16707</v>
      </c>
      <c r="D4493" t="s">
        <v>16708</v>
      </c>
      <c r="E4493" t="s">
        <v>6489</v>
      </c>
      <c r="F4493" t="s">
        <v>28</v>
      </c>
      <c r="G4493" t="s">
        <v>16709</v>
      </c>
      <c r="H4493" t="s">
        <v>30</v>
      </c>
      <c r="I4493" t="b">
        <f>COUNTIF(Estadísticas!I:I,'centraldecomunicacion.es'!H4493)&gt;0</f>
        <v>0</v>
      </c>
    </row>
    <row r="4494" spans="1:9">
      <c r="A4494" t="s">
        <v>16710</v>
      </c>
      <c r="B4494" t="s">
        <v>219</v>
      </c>
      <c r="C4494" t="s">
        <v>16711</v>
      </c>
      <c r="D4494" t="s">
        <v>344</v>
      </c>
      <c r="E4494" t="s">
        <v>12</v>
      </c>
      <c r="F4494" t="s">
        <v>28</v>
      </c>
      <c r="G4494" t="s">
        <v>28</v>
      </c>
      <c r="H4494" t="s">
        <v>30</v>
      </c>
      <c r="I4494" t="b">
        <f>COUNTIF(Estadísticas!I:I,'centraldecomunicacion.es'!H4494)&gt;0</f>
        <v>0</v>
      </c>
    </row>
    <row r="4495" spans="1:9">
      <c r="A4495" t="s">
        <v>16712</v>
      </c>
      <c r="B4495" t="s">
        <v>219</v>
      </c>
      <c r="C4495" t="s">
        <v>16713</v>
      </c>
      <c r="D4495" t="s">
        <v>585</v>
      </c>
      <c r="E4495" t="s">
        <v>379</v>
      </c>
      <c r="F4495" t="s">
        <v>16714</v>
      </c>
      <c r="G4495" t="s">
        <v>16715</v>
      </c>
      <c r="H4495" t="s">
        <v>30</v>
      </c>
      <c r="I4495" t="b">
        <f>COUNTIF(Estadísticas!I:I,'centraldecomunicacion.es'!H4495)&gt;0</f>
        <v>0</v>
      </c>
    </row>
    <row r="4496" spans="1:9">
      <c r="A4496" t="s">
        <v>16716</v>
      </c>
      <c r="B4496" t="s">
        <v>219</v>
      </c>
      <c r="C4496" t="s">
        <v>16717</v>
      </c>
      <c r="D4496" t="s">
        <v>585</v>
      </c>
      <c r="E4496" t="s">
        <v>379</v>
      </c>
      <c r="F4496" t="s">
        <v>16718</v>
      </c>
      <c r="G4496" t="s">
        <v>16719</v>
      </c>
      <c r="H4496" t="s">
        <v>16720</v>
      </c>
      <c r="I4496" t="b">
        <f>COUNTIF(Estadísticas!I:I,'centraldecomunicacion.es'!H4496)&gt;0</f>
        <v>1</v>
      </c>
    </row>
    <row r="4497" spans="1:9">
      <c r="A4497" t="s">
        <v>16721</v>
      </c>
      <c r="B4497" t="s">
        <v>219</v>
      </c>
      <c r="C4497" t="s">
        <v>16722</v>
      </c>
      <c r="D4497" t="s">
        <v>585</v>
      </c>
      <c r="E4497" t="s">
        <v>379</v>
      </c>
      <c r="F4497" t="s">
        <v>16723</v>
      </c>
      <c r="G4497" t="s">
        <v>16724</v>
      </c>
      <c r="H4497" t="s">
        <v>16725</v>
      </c>
      <c r="I4497" t="b">
        <f>COUNTIF(Estadísticas!I:I,'centraldecomunicacion.es'!H4497)&gt;0</f>
        <v>1</v>
      </c>
    </row>
    <row r="4498" spans="1:9">
      <c r="A4498" t="s">
        <v>589</v>
      </c>
      <c r="B4498" t="s">
        <v>219</v>
      </c>
      <c r="C4498" t="s">
        <v>16726</v>
      </c>
      <c r="D4498" t="s">
        <v>585</v>
      </c>
      <c r="E4498" t="s">
        <v>379</v>
      </c>
      <c r="F4498" t="s">
        <v>592</v>
      </c>
      <c r="G4498" t="s">
        <v>16727</v>
      </c>
      <c r="H4498" t="s">
        <v>594</v>
      </c>
      <c r="I4498" t="b">
        <f>COUNTIF(Estadísticas!I:I,'centraldecomunicacion.es'!H4498)&gt;0</f>
        <v>0</v>
      </c>
    </row>
    <row r="4499" spans="1:9">
      <c r="A4499" t="s">
        <v>16728</v>
      </c>
      <c r="B4499" t="s">
        <v>219</v>
      </c>
      <c r="C4499" t="s">
        <v>16729</v>
      </c>
      <c r="D4499" t="s">
        <v>585</v>
      </c>
      <c r="E4499" t="s">
        <v>379</v>
      </c>
      <c r="F4499" t="s">
        <v>16730</v>
      </c>
      <c r="G4499" t="s">
        <v>16731</v>
      </c>
      <c r="H4499" t="s">
        <v>16732</v>
      </c>
      <c r="I4499" t="b">
        <f>COUNTIF(Estadísticas!I:I,'centraldecomunicacion.es'!H4499)&gt;0</f>
        <v>1</v>
      </c>
    </row>
    <row r="4500" spans="1:9">
      <c r="A4500" t="s">
        <v>16733</v>
      </c>
      <c r="B4500" t="s">
        <v>219</v>
      </c>
      <c r="C4500" t="s">
        <v>16734</v>
      </c>
      <c r="D4500" t="s">
        <v>585</v>
      </c>
      <c r="E4500" t="s">
        <v>379</v>
      </c>
      <c r="F4500" t="s">
        <v>16735</v>
      </c>
      <c r="G4500" t="s">
        <v>16736</v>
      </c>
      <c r="H4500" t="s">
        <v>16737</v>
      </c>
      <c r="I4500" t="b">
        <f>COUNTIF(Estadísticas!I:I,'centraldecomunicacion.es'!H4500)&gt;0</f>
        <v>0</v>
      </c>
    </row>
    <row r="4501" spans="1:9">
      <c r="A4501" t="s">
        <v>16738</v>
      </c>
      <c r="B4501" t="s">
        <v>219</v>
      </c>
      <c r="C4501" t="s">
        <v>16739</v>
      </c>
      <c r="D4501" t="s">
        <v>591</v>
      </c>
      <c r="E4501" t="s">
        <v>379</v>
      </c>
      <c r="F4501" t="s">
        <v>50</v>
      </c>
      <c r="G4501" t="s">
        <v>16740</v>
      </c>
      <c r="H4501" t="s">
        <v>30</v>
      </c>
      <c r="I4501" t="b">
        <f>COUNTIF(Estadísticas!I:I,'centraldecomunicacion.es'!H4501)&gt;0</f>
        <v>0</v>
      </c>
    </row>
    <row r="4502" spans="1:9">
      <c r="A4502" t="s">
        <v>16741</v>
      </c>
      <c r="B4502" t="s">
        <v>219</v>
      </c>
      <c r="C4502" t="s">
        <v>16742</v>
      </c>
      <c r="D4502" t="s">
        <v>585</v>
      </c>
      <c r="E4502" t="s">
        <v>379</v>
      </c>
      <c r="F4502" t="s">
        <v>16743</v>
      </c>
      <c r="G4502" t="s">
        <v>16744</v>
      </c>
      <c r="H4502" t="s">
        <v>16745</v>
      </c>
      <c r="I4502" t="b">
        <f>COUNTIF(Estadísticas!I:I,'centraldecomunicacion.es'!H4502)&gt;0</f>
        <v>0</v>
      </c>
    </row>
    <row r="4503" spans="1:9">
      <c r="A4503" t="s">
        <v>16746</v>
      </c>
      <c r="B4503" t="s">
        <v>10</v>
      </c>
      <c r="C4503" t="s">
        <v>16747</v>
      </c>
      <c r="D4503" t="s">
        <v>16748</v>
      </c>
      <c r="E4503" t="s">
        <v>796</v>
      </c>
      <c r="F4503" t="s">
        <v>16749</v>
      </c>
      <c r="G4503" t="s">
        <v>16750</v>
      </c>
      <c r="H4503" t="s">
        <v>691</v>
      </c>
      <c r="I4503" t="b">
        <f>COUNTIF(Estadísticas!I:I,'centraldecomunicacion.es'!H4503)&gt;0</f>
        <v>0</v>
      </c>
    </row>
    <row r="4504" spans="1:9">
      <c r="A4504" t="s">
        <v>16751</v>
      </c>
      <c r="B4504" t="s">
        <v>219</v>
      </c>
      <c r="C4504" t="s">
        <v>16752</v>
      </c>
      <c r="D4504" t="s">
        <v>1047</v>
      </c>
      <c r="E4504" t="s">
        <v>796</v>
      </c>
      <c r="F4504" t="s">
        <v>16753</v>
      </c>
      <c r="G4504" t="s">
        <v>16754</v>
      </c>
      <c r="H4504" t="s">
        <v>30</v>
      </c>
      <c r="I4504" t="b">
        <f>COUNTIF(Estadísticas!I:I,'centraldecomunicacion.es'!H4504)&gt;0</f>
        <v>0</v>
      </c>
    </row>
    <row r="4505" spans="1:9">
      <c r="A4505" t="s">
        <v>16755</v>
      </c>
      <c r="B4505" t="s">
        <v>219</v>
      </c>
      <c r="C4505" t="s">
        <v>16756</v>
      </c>
      <c r="D4505" t="s">
        <v>1430</v>
      </c>
      <c r="E4505" t="s">
        <v>373</v>
      </c>
      <c r="F4505" t="s">
        <v>28</v>
      </c>
      <c r="G4505" t="s">
        <v>16757</v>
      </c>
      <c r="H4505" t="s">
        <v>30</v>
      </c>
      <c r="I4505" t="b">
        <f>COUNTIF(Estadísticas!I:I,'centraldecomunicacion.es'!H4505)&gt;0</f>
        <v>0</v>
      </c>
    </row>
    <row r="4506" spans="1:9">
      <c r="A4506" t="s">
        <v>16758</v>
      </c>
      <c r="B4506" t="s">
        <v>10</v>
      </c>
      <c r="C4506" t="s">
        <v>28</v>
      </c>
      <c r="D4506" t="s">
        <v>1239</v>
      </c>
      <c r="E4506" t="s">
        <v>28</v>
      </c>
      <c r="F4506" t="s">
        <v>16759</v>
      </c>
      <c r="G4506" t="s">
        <v>16760</v>
      </c>
      <c r="H4506" t="s">
        <v>16761</v>
      </c>
      <c r="I4506" t="b">
        <f>COUNTIF(Estadísticas!I:I,'centraldecomunicacion.es'!H4506)&gt;0</f>
        <v>0</v>
      </c>
    </row>
    <row r="4507" spans="1:9">
      <c r="A4507" t="s">
        <v>16762</v>
      </c>
      <c r="B4507" t="s">
        <v>482</v>
      </c>
      <c r="C4507" t="s">
        <v>16763</v>
      </c>
      <c r="D4507" t="s">
        <v>1718</v>
      </c>
      <c r="E4507" t="s">
        <v>1609</v>
      </c>
      <c r="F4507" t="s">
        <v>28</v>
      </c>
      <c r="G4507" t="s">
        <v>28</v>
      </c>
      <c r="H4507" t="s">
        <v>30</v>
      </c>
      <c r="I4507" t="b">
        <f>COUNTIF(Estadísticas!I:I,'centraldecomunicacion.es'!H4507)&gt;0</f>
        <v>0</v>
      </c>
    </row>
    <row r="4508" spans="1:9">
      <c r="A4508" t="s">
        <v>16764</v>
      </c>
      <c r="B4508" t="s">
        <v>482</v>
      </c>
      <c r="C4508" t="s">
        <v>1737</v>
      </c>
      <c r="D4508" t="s">
        <v>1718</v>
      </c>
      <c r="E4508" t="s">
        <v>1609</v>
      </c>
      <c r="F4508" t="s">
        <v>28</v>
      </c>
      <c r="G4508" t="s">
        <v>28</v>
      </c>
      <c r="H4508" t="s">
        <v>30</v>
      </c>
      <c r="I4508" t="b">
        <f>COUNTIF(Estadísticas!I:I,'centraldecomunicacion.es'!H4508)&gt;0</f>
        <v>0</v>
      </c>
    </row>
    <row r="4509" spans="1:9">
      <c r="A4509" t="s">
        <v>16765</v>
      </c>
      <c r="B4509" t="s">
        <v>10</v>
      </c>
      <c r="C4509" t="s">
        <v>16766</v>
      </c>
      <c r="D4509" t="s">
        <v>2002</v>
      </c>
      <c r="E4509" t="s">
        <v>1884</v>
      </c>
      <c r="F4509" t="s">
        <v>16767</v>
      </c>
      <c r="G4509" t="s">
        <v>16768</v>
      </c>
      <c r="H4509" t="s">
        <v>16769</v>
      </c>
      <c r="I4509" t="b">
        <f>COUNTIF(Estadísticas!I:I,'centraldecomunicacion.es'!H4509)&gt;0</f>
        <v>1</v>
      </c>
    </row>
    <row r="4510" spans="1:9">
      <c r="A4510" t="s">
        <v>16770</v>
      </c>
      <c r="B4510" t="s">
        <v>10</v>
      </c>
      <c r="C4510" t="s">
        <v>16771</v>
      </c>
      <c r="D4510" t="s">
        <v>16772</v>
      </c>
      <c r="E4510" t="s">
        <v>780</v>
      </c>
      <c r="F4510" t="s">
        <v>50</v>
      </c>
      <c r="G4510" t="s">
        <v>16773</v>
      </c>
      <c r="H4510" t="s">
        <v>30</v>
      </c>
      <c r="I4510" t="b">
        <f>COUNTIF(Estadísticas!I:I,'centraldecomunicacion.es'!H4510)&gt;0</f>
        <v>0</v>
      </c>
    </row>
    <row r="4511" spans="1:9">
      <c r="A4511" t="s">
        <v>16774</v>
      </c>
      <c r="B4511" t="s">
        <v>219</v>
      </c>
      <c r="C4511" t="s">
        <v>16775</v>
      </c>
      <c r="D4511" t="s">
        <v>732</v>
      </c>
      <c r="E4511" t="s">
        <v>732</v>
      </c>
      <c r="F4511" t="s">
        <v>16776</v>
      </c>
      <c r="G4511" t="s">
        <v>16777</v>
      </c>
      <c r="H4511" t="s">
        <v>30</v>
      </c>
      <c r="I4511" t="b">
        <f>COUNTIF(Estadísticas!I:I,'centraldecomunicacion.es'!H4511)&gt;0</f>
        <v>0</v>
      </c>
    </row>
    <row r="4512" spans="1:9">
      <c r="A4512" t="s">
        <v>16778</v>
      </c>
      <c r="B4512" t="s">
        <v>219</v>
      </c>
      <c r="C4512" t="s">
        <v>16779</v>
      </c>
      <c r="D4512" t="s">
        <v>732</v>
      </c>
      <c r="E4512" t="s">
        <v>732</v>
      </c>
      <c r="F4512" t="s">
        <v>28</v>
      </c>
      <c r="G4512" t="s">
        <v>16780</v>
      </c>
      <c r="H4512" t="s">
        <v>30</v>
      </c>
      <c r="I4512" t="b">
        <f>COUNTIF(Estadísticas!I:I,'centraldecomunicacion.es'!H4512)&gt;0</f>
        <v>0</v>
      </c>
    </row>
    <row r="4513" spans="1:9">
      <c r="A4513" t="s">
        <v>16781</v>
      </c>
      <c r="B4513" t="s">
        <v>219</v>
      </c>
      <c r="C4513" t="s">
        <v>16782</v>
      </c>
      <c r="D4513" t="s">
        <v>3253</v>
      </c>
      <c r="E4513" t="s">
        <v>732</v>
      </c>
      <c r="F4513" t="s">
        <v>16783</v>
      </c>
      <c r="G4513" t="s">
        <v>16784</v>
      </c>
      <c r="H4513" t="s">
        <v>16785</v>
      </c>
      <c r="I4513" t="b">
        <f>COUNTIF(Estadísticas!I:I,'centraldecomunicacion.es'!H4513)&gt;0</f>
        <v>1</v>
      </c>
    </row>
    <row r="4514" spans="1:9">
      <c r="A4514" t="s">
        <v>16786</v>
      </c>
      <c r="B4514" t="s">
        <v>219</v>
      </c>
      <c r="C4514" t="s">
        <v>16787</v>
      </c>
      <c r="D4514" t="s">
        <v>3356</v>
      </c>
      <c r="E4514" t="s">
        <v>732</v>
      </c>
      <c r="F4514" t="s">
        <v>16776</v>
      </c>
      <c r="G4514" t="s">
        <v>16777</v>
      </c>
      <c r="H4514" t="s">
        <v>16788</v>
      </c>
      <c r="I4514" t="b">
        <f>COUNTIF(Estadísticas!I:I,'centraldecomunicacion.es'!H4514)&gt;0</f>
        <v>0</v>
      </c>
    </row>
    <row r="4515" spans="1:9">
      <c r="A4515" t="s">
        <v>16789</v>
      </c>
      <c r="B4515" t="s">
        <v>10</v>
      </c>
      <c r="C4515" t="s">
        <v>16790</v>
      </c>
      <c r="D4515" t="s">
        <v>8800</v>
      </c>
      <c r="E4515" t="s">
        <v>732</v>
      </c>
      <c r="F4515" t="s">
        <v>28</v>
      </c>
      <c r="G4515" t="s">
        <v>16791</v>
      </c>
      <c r="H4515" t="s">
        <v>30</v>
      </c>
      <c r="I4515" t="b">
        <f>COUNTIF(Estadísticas!I:I,'centraldecomunicacion.es'!H4515)&gt;0</f>
        <v>0</v>
      </c>
    </row>
    <row r="4516" spans="1:9">
      <c r="A4516" t="s">
        <v>16792</v>
      </c>
      <c r="B4516" t="s">
        <v>482</v>
      </c>
      <c r="C4516" t="s">
        <v>16793</v>
      </c>
      <c r="D4516" t="s">
        <v>3576</v>
      </c>
      <c r="E4516" t="s">
        <v>3480</v>
      </c>
      <c r="F4516" t="s">
        <v>16794</v>
      </c>
      <c r="G4516" t="s">
        <v>16795</v>
      </c>
      <c r="H4516" t="s">
        <v>16796</v>
      </c>
      <c r="I4516" t="b">
        <f>COUNTIF(Estadísticas!I:I,'centraldecomunicacion.es'!H4516)&gt;0</f>
        <v>0</v>
      </c>
    </row>
    <row r="4517" spans="1:9">
      <c r="A4517" t="s">
        <v>16797</v>
      </c>
      <c r="B4517" t="s">
        <v>10</v>
      </c>
      <c r="C4517" t="s">
        <v>16798</v>
      </c>
      <c r="D4517" t="s">
        <v>4735</v>
      </c>
      <c r="E4517" t="s">
        <v>4736</v>
      </c>
      <c r="F4517" t="s">
        <v>28</v>
      </c>
      <c r="G4517" t="s">
        <v>28</v>
      </c>
      <c r="H4517" t="s">
        <v>30</v>
      </c>
      <c r="I4517" t="b">
        <f>COUNTIF(Estadísticas!I:I,'centraldecomunicacion.es'!H4517)&gt;0</f>
        <v>0</v>
      </c>
    </row>
    <row r="4518" spans="1:9">
      <c r="A4518" t="s">
        <v>16799</v>
      </c>
      <c r="B4518" t="s">
        <v>219</v>
      </c>
      <c r="C4518" t="s">
        <v>16800</v>
      </c>
      <c r="D4518" t="s">
        <v>4735</v>
      </c>
      <c r="E4518" t="s">
        <v>4736</v>
      </c>
      <c r="F4518" t="s">
        <v>16801</v>
      </c>
      <c r="G4518" t="s">
        <v>16802</v>
      </c>
      <c r="H4518" t="s">
        <v>16803</v>
      </c>
      <c r="I4518" t="b">
        <f>COUNTIF(Estadísticas!I:I,'centraldecomunicacion.es'!H4518)&gt;0</f>
        <v>1</v>
      </c>
    </row>
    <row r="4519" spans="1:9">
      <c r="A4519" t="s">
        <v>16804</v>
      </c>
      <c r="B4519" t="s">
        <v>10</v>
      </c>
      <c r="C4519" t="s">
        <v>16805</v>
      </c>
      <c r="D4519" t="s">
        <v>5017</v>
      </c>
      <c r="E4519" t="s">
        <v>4736</v>
      </c>
      <c r="F4519" t="s">
        <v>28</v>
      </c>
      <c r="G4519" t="s">
        <v>16806</v>
      </c>
      <c r="H4519" t="s">
        <v>30</v>
      </c>
      <c r="I4519" t="b">
        <f>COUNTIF(Estadísticas!I:I,'centraldecomunicacion.es'!H4519)&gt;0</f>
        <v>0</v>
      </c>
    </row>
    <row r="4520" spans="1:9">
      <c r="A4520" t="s">
        <v>16807</v>
      </c>
      <c r="B4520" t="s">
        <v>10</v>
      </c>
      <c r="C4520" t="s">
        <v>16808</v>
      </c>
      <c r="D4520" t="s">
        <v>4836</v>
      </c>
      <c r="E4520" t="s">
        <v>4736</v>
      </c>
      <c r="F4520" t="s">
        <v>16809</v>
      </c>
      <c r="G4520" t="s">
        <v>16810</v>
      </c>
      <c r="H4520" t="s">
        <v>16811</v>
      </c>
      <c r="I4520" t="b">
        <f>COUNTIF(Estadísticas!I:I,'centraldecomunicacion.es'!H4520)&gt;0</f>
        <v>1</v>
      </c>
    </row>
    <row r="4521" spans="1:9">
      <c r="A4521" t="s">
        <v>16812</v>
      </c>
      <c r="B4521" t="s">
        <v>219</v>
      </c>
      <c r="C4521" t="s">
        <v>16813</v>
      </c>
      <c r="D4521" t="s">
        <v>5407</v>
      </c>
      <c r="E4521" t="s">
        <v>5331</v>
      </c>
      <c r="F4521" t="s">
        <v>28</v>
      </c>
      <c r="G4521" t="s">
        <v>16814</v>
      </c>
      <c r="H4521" t="s">
        <v>30</v>
      </c>
      <c r="I4521" t="b">
        <f>COUNTIF(Estadísticas!I:I,'centraldecomunicacion.es'!H4521)&gt;0</f>
        <v>0</v>
      </c>
    </row>
    <row r="4522" spans="1:9">
      <c r="A4522" t="s">
        <v>16815</v>
      </c>
      <c r="B4522" t="s">
        <v>219</v>
      </c>
      <c r="C4522" t="s">
        <v>16816</v>
      </c>
      <c r="D4522" t="s">
        <v>16817</v>
      </c>
      <c r="E4522" t="s">
        <v>5688</v>
      </c>
      <c r="F4522" t="s">
        <v>28</v>
      </c>
      <c r="G4522" t="s">
        <v>16818</v>
      </c>
      <c r="H4522" t="s">
        <v>30</v>
      </c>
      <c r="I4522" t="b">
        <f>COUNTIF(Estadísticas!I:I,'centraldecomunicacion.es'!H4522)&gt;0</f>
        <v>0</v>
      </c>
    </row>
    <row r="4523" spans="1:9">
      <c r="A4523" t="s">
        <v>16819</v>
      </c>
      <c r="B4523" t="s">
        <v>219</v>
      </c>
      <c r="C4523" t="s">
        <v>16820</v>
      </c>
      <c r="D4523" t="s">
        <v>16821</v>
      </c>
      <c r="E4523" t="s">
        <v>5688</v>
      </c>
      <c r="F4523" t="s">
        <v>28</v>
      </c>
      <c r="G4523" t="s">
        <v>16822</v>
      </c>
      <c r="H4523" t="s">
        <v>30</v>
      </c>
      <c r="I4523" t="b">
        <f>COUNTIF(Estadísticas!I:I,'centraldecomunicacion.es'!H4523)&gt;0</f>
        <v>0</v>
      </c>
    </row>
    <row r="4524" spans="1:9">
      <c r="A4524" t="s">
        <v>16823</v>
      </c>
      <c r="B4524" t="s">
        <v>10</v>
      </c>
      <c r="C4524" t="s">
        <v>16824</v>
      </c>
      <c r="D4524" t="s">
        <v>5725</v>
      </c>
      <c r="E4524" t="s">
        <v>5688</v>
      </c>
      <c r="F4524" t="s">
        <v>16825</v>
      </c>
      <c r="G4524" t="s">
        <v>16826</v>
      </c>
      <c r="H4524" t="s">
        <v>16827</v>
      </c>
      <c r="I4524" t="b">
        <f>COUNTIF(Estadísticas!I:I,'centraldecomunicacion.es'!H4524)&gt;0</f>
        <v>1</v>
      </c>
    </row>
    <row r="4525" spans="1:9">
      <c r="A4525" t="s">
        <v>16828</v>
      </c>
      <c r="B4525" t="s">
        <v>10</v>
      </c>
      <c r="C4525" t="s">
        <v>16829</v>
      </c>
      <c r="D4525" t="s">
        <v>6807</v>
      </c>
      <c r="E4525" t="s">
        <v>6771</v>
      </c>
      <c r="F4525" t="s">
        <v>6811</v>
      </c>
      <c r="G4525" t="s">
        <v>16830</v>
      </c>
      <c r="H4525" t="s">
        <v>16831</v>
      </c>
      <c r="I4525" t="b">
        <f>COUNTIF(Estadísticas!I:I,'centraldecomunicacion.es'!H4525)&gt;0</f>
        <v>1</v>
      </c>
    </row>
    <row r="4526" spans="1:9">
      <c r="A4526" t="s">
        <v>16832</v>
      </c>
      <c r="B4526" t="s">
        <v>10</v>
      </c>
      <c r="C4526" t="s">
        <v>16833</v>
      </c>
      <c r="D4526" t="s">
        <v>16834</v>
      </c>
      <c r="E4526" t="s">
        <v>7057</v>
      </c>
      <c r="F4526" t="s">
        <v>16835</v>
      </c>
      <c r="G4526" t="s">
        <v>16836</v>
      </c>
      <c r="H4526" t="s">
        <v>30</v>
      </c>
      <c r="I4526" t="b">
        <f>COUNTIF(Estadísticas!I:I,'centraldecomunicacion.es'!H4526)&gt;0</f>
        <v>0</v>
      </c>
    </row>
    <row r="4527" spans="1:9">
      <c r="A4527" t="s">
        <v>16837</v>
      </c>
      <c r="B4527" t="s">
        <v>219</v>
      </c>
      <c r="C4527" t="s">
        <v>16838</v>
      </c>
      <c r="D4527" t="s">
        <v>16839</v>
      </c>
      <c r="E4527" t="s">
        <v>7057</v>
      </c>
      <c r="F4527" t="s">
        <v>28</v>
      </c>
      <c r="G4527" t="s">
        <v>16840</v>
      </c>
      <c r="H4527" t="s">
        <v>30</v>
      </c>
      <c r="I4527" t="b">
        <f>COUNTIF(Estadísticas!I:I,'centraldecomunicacion.es'!H4527)&gt;0</f>
        <v>0</v>
      </c>
    </row>
    <row r="4528" spans="1:9">
      <c r="A4528" t="s">
        <v>16841</v>
      </c>
      <c r="B4528" t="s">
        <v>10</v>
      </c>
      <c r="C4528" t="s">
        <v>16842</v>
      </c>
      <c r="D4528" t="s">
        <v>16843</v>
      </c>
      <c r="E4528" t="s">
        <v>7057</v>
      </c>
      <c r="F4528" t="s">
        <v>16844</v>
      </c>
      <c r="G4528" t="s">
        <v>16845</v>
      </c>
      <c r="H4528" t="s">
        <v>30</v>
      </c>
      <c r="I4528" t="b">
        <f>COUNTIF(Estadísticas!I:I,'centraldecomunicacion.es'!H4528)&gt;0</f>
        <v>0</v>
      </c>
    </row>
    <row r="4529" spans="1:9">
      <c r="A4529" t="s">
        <v>16846</v>
      </c>
      <c r="B4529" t="s">
        <v>10</v>
      </c>
      <c r="C4529" t="s">
        <v>16847</v>
      </c>
      <c r="D4529" t="s">
        <v>16848</v>
      </c>
      <c r="E4529" t="s">
        <v>7057</v>
      </c>
      <c r="F4529" t="s">
        <v>28</v>
      </c>
      <c r="G4529" t="s">
        <v>16849</v>
      </c>
      <c r="H4529" t="s">
        <v>30</v>
      </c>
      <c r="I4529" t="b">
        <f>COUNTIF(Estadísticas!I:I,'centraldecomunicacion.es'!H4529)&gt;0</f>
        <v>0</v>
      </c>
    </row>
    <row r="4530" spans="1:9">
      <c r="A4530" t="s">
        <v>16850</v>
      </c>
      <c r="B4530" t="s">
        <v>10</v>
      </c>
      <c r="C4530" t="s">
        <v>8616</v>
      </c>
      <c r="D4530" t="s">
        <v>8608</v>
      </c>
      <c r="E4530" t="s">
        <v>7731</v>
      </c>
      <c r="F4530" t="s">
        <v>28</v>
      </c>
      <c r="G4530" t="s">
        <v>8617</v>
      </c>
      <c r="H4530" t="s">
        <v>30</v>
      </c>
      <c r="I4530" t="b">
        <f>COUNTIF(Estadísticas!I:I,'centraldecomunicacion.es'!H4530)&gt;0</f>
        <v>0</v>
      </c>
    </row>
    <row r="4531" spans="1:9">
      <c r="A4531" t="s">
        <v>16851</v>
      </c>
      <c r="B4531" t="s">
        <v>10</v>
      </c>
      <c r="C4531" t="s">
        <v>8754</v>
      </c>
      <c r="D4531" t="s">
        <v>8755</v>
      </c>
      <c r="E4531" t="s">
        <v>7721</v>
      </c>
      <c r="F4531" t="s">
        <v>16852</v>
      </c>
      <c r="G4531" t="s">
        <v>8757</v>
      </c>
      <c r="H4531" t="s">
        <v>16853</v>
      </c>
      <c r="I4531" t="b">
        <f>COUNTIF(Estadísticas!I:I,'centraldecomunicacion.es'!H4531)&gt;0</f>
        <v>0</v>
      </c>
    </row>
    <row r="4532" spans="1:9">
      <c r="A4532" t="s">
        <v>16854</v>
      </c>
      <c r="B4532" t="s">
        <v>219</v>
      </c>
      <c r="C4532" t="s">
        <v>16855</v>
      </c>
      <c r="D4532" t="s">
        <v>7364</v>
      </c>
      <c r="E4532" t="s">
        <v>7364</v>
      </c>
      <c r="F4532" t="s">
        <v>16856</v>
      </c>
      <c r="G4532" t="s">
        <v>16857</v>
      </c>
      <c r="H4532" t="s">
        <v>16858</v>
      </c>
      <c r="I4532" t="b">
        <f>COUNTIF(Estadísticas!I:I,'centraldecomunicacion.es'!H4532)&gt;0</f>
        <v>0</v>
      </c>
    </row>
    <row r="4533" spans="1:9">
      <c r="A4533" t="s">
        <v>16859</v>
      </c>
      <c r="B4533" t="s">
        <v>10</v>
      </c>
      <c r="C4533" t="s">
        <v>16860</v>
      </c>
      <c r="D4533" t="s">
        <v>8057</v>
      </c>
      <c r="E4533" t="s">
        <v>8057</v>
      </c>
      <c r="F4533" t="s">
        <v>16861</v>
      </c>
      <c r="G4533" t="s">
        <v>16862</v>
      </c>
      <c r="H4533" t="s">
        <v>30</v>
      </c>
      <c r="I4533" t="b">
        <f>COUNTIF(Estadísticas!I:I,'centraldecomunicacion.es'!H4533)&gt;0</f>
        <v>0</v>
      </c>
    </row>
    <row r="4534" spans="1:9">
      <c r="A4534" t="s">
        <v>16863</v>
      </c>
      <c r="B4534" t="s">
        <v>219</v>
      </c>
      <c r="C4534" t="s">
        <v>16864</v>
      </c>
      <c r="D4534" t="s">
        <v>16865</v>
      </c>
      <c r="E4534" t="s">
        <v>8057</v>
      </c>
      <c r="F4534" t="s">
        <v>28</v>
      </c>
      <c r="G4534" t="s">
        <v>16866</v>
      </c>
      <c r="H4534" t="s">
        <v>30</v>
      </c>
      <c r="I4534" t="b">
        <f>COUNTIF(Estadísticas!I:I,'centraldecomunicacion.es'!H4534)&gt;0</f>
        <v>0</v>
      </c>
    </row>
    <row r="4535" spans="1:9">
      <c r="A4535" t="s">
        <v>16867</v>
      </c>
      <c r="B4535" t="s">
        <v>219</v>
      </c>
      <c r="C4535" t="s">
        <v>16868</v>
      </c>
      <c r="D4535" t="s">
        <v>16865</v>
      </c>
      <c r="E4535" t="s">
        <v>8057</v>
      </c>
      <c r="F4535" t="s">
        <v>28</v>
      </c>
      <c r="G4535" t="s">
        <v>16869</v>
      </c>
      <c r="H4535" t="s">
        <v>30</v>
      </c>
      <c r="I4535" t="b">
        <f>COUNTIF(Estadísticas!I:I,'centraldecomunicacion.es'!H4535)&gt;0</f>
        <v>0</v>
      </c>
    </row>
    <row r="4536" spans="1:9">
      <c r="A4536" t="s">
        <v>16870</v>
      </c>
      <c r="B4536" t="s">
        <v>219</v>
      </c>
      <c r="C4536" t="s">
        <v>16871</v>
      </c>
      <c r="D4536" t="s">
        <v>16865</v>
      </c>
      <c r="E4536" t="s">
        <v>8057</v>
      </c>
      <c r="F4536" t="s">
        <v>16872</v>
      </c>
      <c r="G4536" t="s">
        <v>16873</v>
      </c>
      <c r="H4536" t="s">
        <v>30</v>
      </c>
      <c r="I4536" t="b">
        <f>COUNTIF(Estadísticas!I:I,'centraldecomunicacion.es'!H4536)&gt;0</f>
        <v>0</v>
      </c>
    </row>
    <row r="4537" spans="1:9">
      <c r="A4537" t="s">
        <v>16874</v>
      </c>
      <c r="B4537" t="s">
        <v>10</v>
      </c>
      <c r="C4537" t="s">
        <v>16875</v>
      </c>
      <c r="D4537" t="s">
        <v>9933</v>
      </c>
      <c r="E4537" t="s">
        <v>8057</v>
      </c>
      <c r="F4537" t="s">
        <v>28</v>
      </c>
      <c r="G4537" t="s">
        <v>9935</v>
      </c>
      <c r="H4537" t="s">
        <v>30</v>
      </c>
      <c r="I4537" t="b">
        <f>COUNTIF(Estadísticas!I:I,'centraldecomunicacion.es'!H4537)&gt;0</f>
        <v>0</v>
      </c>
    </row>
    <row r="4538" spans="1:9">
      <c r="A4538" t="s">
        <v>16876</v>
      </c>
      <c r="B4538" t="s">
        <v>10</v>
      </c>
      <c r="C4538" t="s">
        <v>16877</v>
      </c>
      <c r="D4538" t="s">
        <v>8057</v>
      </c>
      <c r="E4538" t="s">
        <v>8057</v>
      </c>
      <c r="F4538" t="s">
        <v>28</v>
      </c>
      <c r="G4538" t="s">
        <v>16878</v>
      </c>
      <c r="H4538" t="s">
        <v>30</v>
      </c>
      <c r="I4538" t="b">
        <f>COUNTIF(Estadísticas!I:I,'centraldecomunicacion.es'!H4538)&gt;0</f>
        <v>0</v>
      </c>
    </row>
    <row r="4539" spans="1:9">
      <c r="A4539" t="s">
        <v>16879</v>
      </c>
      <c r="B4539" t="s">
        <v>10</v>
      </c>
      <c r="C4539" t="s">
        <v>16880</v>
      </c>
      <c r="D4539" t="s">
        <v>16881</v>
      </c>
      <c r="E4539" t="s">
        <v>8057</v>
      </c>
      <c r="F4539" t="s">
        <v>16882</v>
      </c>
      <c r="G4539" t="s">
        <v>16883</v>
      </c>
      <c r="H4539" t="s">
        <v>30</v>
      </c>
      <c r="I4539" t="b">
        <f>COUNTIF(Estadísticas!I:I,'centraldecomunicacion.es'!H4539)&gt;0</f>
        <v>0</v>
      </c>
    </row>
    <row r="4540" spans="1:9">
      <c r="A4540" t="s">
        <v>16884</v>
      </c>
      <c r="B4540" t="s">
        <v>10</v>
      </c>
      <c r="C4540" t="s">
        <v>16885</v>
      </c>
      <c r="D4540" t="s">
        <v>9991</v>
      </c>
      <c r="E4540" t="s">
        <v>8057</v>
      </c>
      <c r="F4540" t="s">
        <v>28</v>
      </c>
      <c r="G4540" t="s">
        <v>16886</v>
      </c>
      <c r="H4540" t="s">
        <v>30</v>
      </c>
      <c r="I4540" t="b">
        <f>COUNTIF(Estadísticas!I:I,'centraldecomunicacion.es'!H4540)&gt;0</f>
        <v>0</v>
      </c>
    </row>
    <row r="4541" spans="1:9">
      <c r="A4541" t="s">
        <v>16887</v>
      </c>
      <c r="B4541" t="s">
        <v>219</v>
      </c>
      <c r="C4541" t="s">
        <v>16888</v>
      </c>
      <c r="D4541" t="s">
        <v>16889</v>
      </c>
      <c r="E4541" t="s">
        <v>10163</v>
      </c>
      <c r="F4541" t="s">
        <v>16890</v>
      </c>
      <c r="G4541" t="s">
        <v>16891</v>
      </c>
      <c r="H4541" t="s">
        <v>16892</v>
      </c>
      <c r="I4541" t="b">
        <f>COUNTIF(Estadísticas!I:I,'centraldecomunicacion.es'!H4541)&gt;0</f>
        <v>0</v>
      </c>
    </row>
    <row r="4542" spans="1:9">
      <c r="A4542" t="s">
        <v>16893</v>
      </c>
      <c r="B4542" t="s">
        <v>219</v>
      </c>
      <c r="C4542" t="s">
        <v>16894</v>
      </c>
      <c r="D4542" t="s">
        <v>10892</v>
      </c>
      <c r="E4542" t="s">
        <v>10592</v>
      </c>
      <c r="F4542" t="s">
        <v>16895</v>
      </c>
      <c r="G4542" t="s">
        <v>16896</v>
      </c>
      <c r="H4542" t="s">
        <v>30</v>
      </c>
      <c r="I4542" t="b">
        <f>COUNTIF(Estadísticas!I:I,'centraldecomunicacion.es'!H4542)&gt;0</f>
        <v>0</v>
      </c>
    </row>
    <row r="4543" spans="1:9">
      <c r="A4543" t="s">
        <v>16897</v>
      </c>
      <c r="B4543" t="s">
        <v>10</v>
      </c>
      <c r="C4543" t="s">
        <v>16898</v>
      </c>
      <c r="D4543" t="s">
        <v>1879</v>
      </c>
      <c r="E4543" t="s">
        <v>1879</v>
      </c>
      <c r="F4543" t="s">
        <v>28</v>
      </c>
      <c r="G4543" t="s">
        <v>16899</v>
      </c>
      <c r="H4543" t="s">
        <v>30</v>
      </c>
      <c r="I4543" t="b">
        <f>COUNTIF(Estadísticas!I:I,'centraldecomunicacion.es'!H4543)&gt;0</f>
        <v>0</v>
      </c>
    </row>
    <row r="4544" spans="1:9">
      <c r="A4544" t="s">
        <v>16900</v>
      </c>
      <c r="B4544" t="s">
        <v>219</v>
      </c>
      <c r="C4544" t="s">
        <v>16901</v>
      </c>
      <c r="D4544" t="s">
        <v>12662</v>
      </c>
      <c r="E4544" t="s">
        <v>1879</v>
      </c>
      <c r="F4544" t="s">
        <v>28</v>
      </c>
      <c r="G4544" t="s">
        <v>28</v>
      </c>
      <c r="H4544" t="s">
        <v>30</v>
      </c>
      <c r="I4544" t="b">
        <f>COUNTIF(Estadísticas!I:I,'centraldecomunicacion.es'!H4544)&gt;0</f>
        <v>0</v>
      </c>
    </row>
    <row r="4545" spans="1:9">
      <c r="A4545" t="s">
        <v>16902</v>
      </c>
      <c r="B4545" t="s">
        <v>219</v>
      </c>
      <c r="C4545" t="s">
        <v>16903</v>
      </c>
      <c r="D4545" t="s">
        <v>16904</v>
      </c>
      <c r="E4545" t="s">
        <v>1861</v>
      </c>
      <c r="F4545" t="s">
        <v>16905</v>
      </c>
      <c r="G4545" t="s">
        <v>16906</v>
      </c>
      <c r="H4545" t="s">
        <v>30</v>
      </c>
      <c r="I4545" t="b">
        <f>COUNTIF(Estadísticas!I:I,'centraldecomunicacion.es'!H4545)&gt;0</f>
        <v>0</v>
      </c>
    </row>
    <row r="4546" spans="1:9">
      <c r="A4546" t="s">
        <v>13866</v>
      </c>
      <c r="B4546" t="s">
        <v>10</v>
      </c>
      <c r="C4546" t="s">
        <v>16907</v>
      </c>
      <c r="D4546" t="s">
        <v>13108</v>
      </c>
      <c r="E4546" t="s">
        <v>1861</v>
      </c>
      <c r="F4546" t="s">
        <v>16908</v>
      </c>
      <c r="G4546" t="s">
        <v>16909</v>
      </c>
      <c r="H4546" t="s">
        <v>16910</v>
      </c>
      <c r="I4546" t="b">
        <f>COUNTIF(Estadísticas!I:I,'centraldecomunicacion.es'!H4546)&gt;0</f>
        <v>1</v>
      </c>
    </row>
    <row r="4547" spans="1:9">
      <c r="A4547" t="s">
        <v>16911</v>
      </c>
      <c r="B4547" t="s">
        <v>219</v>
      </c>
      <c r="C4547" t="s">
        <v>16912</v>
      </c>
      <c r="D4547" t="s">
        <v>13864</v>
      </c>
      <c r="E4547" t="s">
        <v>9299</v>
      </c>
      <c r="F4547" t="s">
        <v>28</v>
      </c>
      <c r="G4547" t="s">
        <v>16913</v>
      </c>
      <c r="H4547" t="s">
        <v>30</v>
      </c>
      <c r="I4547" t="b">
        <f>COUNTIF(Estadísticas!I:I,'centraldecomunicacion.es'!H4547)&gt;0</f>
        <v>0</v>
      </c>
    </row>
    <row r="4548" spans="1:9">
      <c r="A4548" t="s">
        <v>13798</v>
      </c>
      <c r="B4548" t="s">
        <v>219</v>
      </c>
      <c r="C4548" t="s">
        <v>16914</v>
      </c>
      <c r="D4548" t="s">
        <v>16915</v>
      </c>
      <c r="E4548" t="s">
        <v>9299</v>
      </c>
      <c r="F4548" t="s">
        <v>16916</v>
      </c>
      <c r="G4548" t="s">
        <v>16917</v>
      </c>
      <c r="H4548" t="s">
        <v>30</v>
      </c>
      <c r="I4548" t="b">
        <f>COUNTIF(Estadísticas!I:I,'centraldecomunicacion.es'!H4548)&gt;0</f>
        <v>0</v>
      </c>
    </row>
    <row r="4549" spans="1:9">
      <c r="A4549" t="s">
        <v>16918</v>
      </c>
      <c r="B4549" t="s">
        <v>219</v>
      </c>
      <c r="C4549" t="s">
        <v>16919</v>
      </c>
      <c r="D4549" t="s">
        <v>9299</v>
      </c>
      <c r="E4549" t="s">
        <v>9299</v>
      </c>
      <c r="F4549" t="s">
        <v>28</v>
      </c>
      <c r="G4549" t="s">
        <v>16920</v>
      </c>
      <c r="H4549" t="s">
        <v>30</v>
      </c>
      <c r="I4549" t="b">
        <f>COUNTIF(Estadísticas!I:I,'centraldecomunicacion.es'!H4549)&gt;0</f>
        <v>0</v>
      </c>
    </row>
    <row r="4550" spans="1:9">
      <c r="A4550" t="s">
        <v>16921</v>
      </c>
      <c r="B4550" t="s">
        <v>219</v>
      </c>
      <c r="C4550" t="s">
        <v>16922</v>
      </c>
      <c r="D4550" t="s">
        <v>16923</v>
      </c>
      <c r="E4550" t="s">
        <v>9299</v>
      </c>
      <c r="F4550" t="s">
        <v>28</v>
      </c>
      <c r="G4550" t="s">
        <v>16924</v>
      </c>
      <c r="H4550" t="s">
        <v>30</v>
      </c>
      <c r="I4550" t="b">
        <f>COUNTIF(Estadísticas!I:I,'centraldecomunicacion.es'!H4550)&gt;0</f>
        <v>0</v>
      </c>
    </row>
    <row r="4551" spans="1:9">
      <c r="A4551" t="s">
        <v>16925</v>
      </c>
      <c r="B4551" t="s">
        <v>219</v>
      </c>
      <c r="C4551" t="s">
        <v>16926</v>
      </c>
      <c r="D4551" t="s">
        <v>16927</v>
      </c>
      <c r="E4551" t="s">
        <v>9289</v>
      </c>
      <c r="F4551" t="s">
        <v>28</v>
      </c>
      <c r="G4551" t="s">
        <v>16928</v>
      </c>
      <c r="H4551" t="s">
        <v>30</v>
      </c>
      <c r="I4551" t="b">
        <f>COUNTIF(Estadísticas!I:I,'centraldecomunicacion.es'!H4551)&gt;0</f>
        <v>0</v>
      </c>
    </row>
    <row r="4552" spans="1:9">
      <c r="A4552" t="s">
        <v>16929</v>
      </c>
      <c r="B4552" t="s">
        <v>219</v>
      </c>
      <c r="C4552" t="s">
        <v>16930</v>
      </c>
      <c r="D4552" t="s">
        <v>16931</v>
      </c>
      <c r="E4552" t="s">
        <v>9289</v>
      </c>
      <c r="F4552" t="s">
        <v>28</v>
      </c>
      <c r="G4552" t="s">
        <v>16932</v>
      </c>
      <c r="H4552" t="s">
        <v>30</v>
      </c>
      <c r="I4552" t="b">
        <f>COUNTIF(Estadísticas!I:I,'centraldecomunicacion.es'!H4552)&gt;0</f>
        <v>0</v>
      </c>
    </row>
    <row r="4553" spans="1:9">
      <c r="A4553" t="s">
        <v>16933</v>
      </c>
      <c r="B4553" t="s">
        <v>10</v>
      </c>
      <c r="C4553" t="s">
        <v>16934</v>
      </c>
      <c r="D4553" t="s">
        <v>16935</v>
      </c>
      <c r="E4553" t="s">
        <v>9289</v>
      </c>
      <c r="F4553" t="s">
        <v>28</v>
      </c>
      <c r="G4553" t="s">
        <v>16936</v>
      </c>
      <c r="H4553" t="s">
        <v>30</v>
      </c>
      <c r="I4553" t="b">
        <f>COUNTIF(Estadísticas!I:I,'centraldecomunicacion.es'!H4553)&gt;0</f>
        <v>0</v>
      </c>
    </row>
    <row r="4554" spans="1:9">
      <c r="A4554" t="s">
        <v>16937</v>
      </c>
      <c r="B4554" t="s">
        <v>10</v>
      </c>
      <c r="C4554" t="s">
        <v>16938</v>
      </c>
      <c r="D4554" t="s">
        <v>9288</v>
      </c>
      <c r="E4554" t="s">
        <v>9299</v>
      </c>
      <c r="F4554" t="s">
        <v>16939</v>
      </c>
      <c r="G4554" t="s">
        <v>16940</v>
      </c>
      <c r="H4554" t="s">
        <v>16941</v>
      </c>
      <c r="I4554" t="b">
        <f>COUNTIF(Estadísticas!I:I,'centraldecomunicacion.es'!H4554)&gt;0</f>
        <v>0</v>
      </c>
    </row>
    <row r="4555" spans="1:9">
      <c r="A4555" t="s">
        <v>16942</v>
      </c>
      <c r="B4555" t="s">
        <v>10</v>
      </c>
      <c r="C4555" t="s">
        <v>16943</v>
      </c>
      <c r="D4555" t="s">
        <v>16944</v>
      </c>
      <c r="E4555" t="s">
        <v>9299</v>
      </c>
      <c r="F4555" t="s">
        <v>16945</v>
      </c>
      <c r="G4555" t="s">
        <v>16946</v>
      </c>
      <c r="H4555" t="s">
        <v>16947</v>
      </c>
      <c r="I4555" t="b">
        <f>COUNTIF(Estadísticas!I:I,'centraldecomunicacion.es'!H4555)&gt;0</f>
        <v>0</v>
      </c>
    </row>
    <row r="4556" spans="1:9">
      <c r="A4556" t="s">
        <v>16948</v>
      </c>
      <c r="B4556" t="s">
        <v>219</v>
      </c>
      <c r="C4556" t="s">
        <v>16949</v>
      </c>
      <c r="D4556" t="s">
        <v>1868</v>
      </c>
      <c r="E4556" t="s">
        <v>1868</v>
      </c>
      <c r="F4556" t="s">
        <v>28</v>
      </c>
      <c r="G4556" t="s">
        <v>16950</v>
      </c>
      <c r="H4556" t="s">
        <v>30</v>
      </c>
      <c r="I4556" t="b">
        <f>COUNTIF(Estadísticas!I:I,'centraldecomunicacion.es'!H4556)&gt;0</f>
        <v>0</v>
      </c>
    </row>
    <row r="4557" spans="1:9">
      <c r="A4557" t="s">
        <v>16951</v>
      </c>
      <c r="B4557" t="s">
        <v>10</v>
      </c>
      <c r="C4557" t="s">
        <v>16952</v>
      </c>
      <c r="D4557" t="s">
        <v>7995</v>
      </c>
      <c r="E4557" t="s">
        <v>1868</v>
      </c>
      <c r="F4557" t="s">
        <v>8004</v>
      </c>
      <c r="G4557" t="s">
        <v>16953</v>
      </c>
      <c r="H4557" t="s">
        <v>8006</v>
      </c>
      <c r="I4557" t="b">
        <f>COUNTIF(Estadísticas!I:I,'centraldecomunicacion.es'!H4557)&gt;0</f>
        <v>0</v>
      </c>
    </row>
    <row r="4558" spans="1:9">
      <c r="A4558" t="s">
        <v>12782</v>
      </c>
      <c r="B4558" t="s">
        <v>219</v>
      </c>
      <c r="C4558" t="s">
        <v>16954</v>
      </c>
      <c r="D4558" t="s">
        <v>14872</v>
      </c>
      <c r="E4558" t="s">
        <v>1868</v>
      </c>
      <c r="F4558" t="s">
        <v>12784</v>
      </c>
      <c r="G4558" t="s">
        <v>16955</v>
      </c>
      <c r="H4558" t="s">
        <v>30</v>
      </c>
      <c r="I4558" t="b">
        <f>COUNTIF(Estadísticas!I:I,'centraldecomunicacion.es'!H4558)&gt;0</f>
        <v>0</v>
      </c>
    </row>
    <row r="4559" spans="1:9">
      <c r="A4559" t="s">
        <v>16956</v>
      </c>
      <c r="B4559" t="s">
        <v>10</v>
      </c>
      <c r="C4559" t="s">
        <v>16957</v>
      </c>
      <c r="D4559" t="s">
        <v>1868</v>
      </c>
      <c r="E4559" t="s">
        <v>1868</v>
      </c>
      <c r="F4559" t="s">
        <v>16958</v>
      </c>
      <c r="G4559" t="s">
        <v>16959</v>
      </c>
      <c r="H4559" t="s">
        <v>691</v>
      </c>
      <c r="I4559" t="b">
        <f>COUNTIF(Estadísticas!I:I,'centraldecomunicacion.es'!H4559)&gt;0</f>
        <v>0</v>
      </c>
    </row>
    <row r="4560" spans="1:9">
      <c r="A4560" t="s">
        <v>16960</v>
      </c>
      <c r="B4560" t="s">
        <v>10</v>
      </c>
      <c r="C4560" t="s">
        <v>16961</v>
      </c>
      <c r="D4560" t="s">
        <v>16962</v>
      </c>
      <c r="E4560" t="s">
        <v>1868</v>
      </c>
      <c r="F4560" t="s">
        <v>16963</v>
      </c>
      <c r="G4560" t="s">
        <v>16964</v>
      </c>
      <c r="H4560" t="s">
        <v>16965</v>
      </c>
      <c r="I4560" t="b">
        <f>COUNTIF(Estadísticas!I:I,'centraldecomunicacion.es'!H4560)&gt;0</f>
        <v>0</v>
      </c>
    </row>
    <row r="4561" spans="1:9">
      <c r="A4561" t="s">
        <v>16966</v>
      </c>
      <c r="B4561" t="s">
        <v>219</v>
      </c>
      <c r="C4561" t="s">
        <v>16967</v>
      </c>
      <c r="D4561" t="s">
        <v>15251</v>
      </c>
      <c r="E4561" t="s">
        <v>6798</v>
      </c>
      <c r="F4561" t="s">
        <v>28</v>
      </c>
      <c r="G4561" t="s">
        <v>28</v>
      </c>
      <c r="H4561" t="s">
        <v>30</v>
      </c>
      <c r="I4561" t="b">
        <f>COUNTIF(Estadísticas!I:I,'centraldecomunicacion.es'!H4561)&gt;0</f>
        <v>0</v>
      </c>
    </row>
    <row r="4562" spans="1:9">
      <c r="A4562" t="s">
        <v>16968</v>
      </c>
      <c r="B4562" t="s">
        <v>219</v>
      </c>
      <c r="C4562" t="s">
        <v>16969</v>
      </c>
      <c r="D4562" t="s">
        <v>16970</v>
      </c>
      <c r="E4562" t="s">
        <v>6798</v>
      </c>
      <c r="F4562" t="s">
        <v>28</v>
      </c>
      <c r="G4562" t="s">
        <v>16971</v>
      </c>
      <c r="H4562" t="s">
        <v>30</v>
      </c>
      <c r="I4562" t="b">
        <f>COUNTIF(Estadísticas!I:I,'centraldecomunicacion.es'!H4562)&gt;0</f>
        <v>0</v>
      </c>
    </row>
    <row r="4563" spans="1:9">
      <c r="A4563" t="s">
        <v>16972</v>
      </c>
      <c r="B4563" t="s">
        <v>10</v>
      </c>
      <c r="C4563" t="s">
        <v>16973</v>
      </c>
      <c r="D4563" t="s">
        <v>15372</v>
      </c>
      <c r="E4563" t="s">
        <v>6798</v>
      </c>
      <c r="F4563" t="s">
        <v>16974</v>
      </c>
      <c r="G4563" t="s">
        <v>16975</v>
      </c>
      <c r="H4563" t="s">
        <v>16976</v>
      </c>
      <c r="I4563" t="b">
        <f>COUNTIF(Estadísticas!I:I,'centraldecomunicacion.es'!H4563)&gt;0</f>
        <v>0</v>
      </c>
    </row>
    <row r="4564" spans="1:9">
      <c r="A4564" t="s">
        <v>16977</v>
      </c>
      <c r="B4564" t="s">
        <v>10</v>
      </c>
      <c r="C4564" t="s">
        <v>16978</v>
      </c>
      <c r="D4564" t="s">
        <v>15352</v>
      </c>
      <c r="E4564" t="s">
        <v>15352</v>
      </c>
      <c r="F4564" t="s">
        <v>28</v>
      </c>
      <c r="G4564" t="s">
        <v>16979</v>
      </c>
      <c r="H4564" t="s">
        <v>30</v>
      </c>
      <c r="I4564" t="b">
        <f>COUNTIF(Estadísticas!I:I,'centraldecomunicacion.es'!H4564)&gt;0</f>
        <v>0</v>
      </c>
    </row>
  </sheetData>
  <autoFilter ref="A1:I4564" xr:uid="{6FD86D33-3C9E-435A-8BA3-1766DB5D3B73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5602C-EABA-44FE-92E2-3440381678AE}">
  <dimension ref="A1:I1054"/>
  <sheetViews>
    <sheetView topLeftCell="A335" workbookViewId="0">
      <selection activeCell="I336" sqref="I336"/>
    </sheetView>
  </sheetViews>
  <sheetFormatPr defaultColWidth="11.42578125" defaultRowHeight="14.45"/>
  <cols>
    <col min="1" max="1" width="20.85546875" customWidth="1"/>
    <col min="2" max="2" width="29" customWidth="1"/>
    <col min="3" max="3" width="15.42578125" customWidth="1"/>
    <col min="4" max="4" width="19.28515625" customWidth="1"/>
    <col min="5" max="5" width="25.42578125" customWidth="1"/>
    <col min="6" max="6" width="38.5703125" customWidth="1"/>
    <col min="7" max="7" width="24.85546875" customWidth="1"/>
    <col min="8" max="8" width="42.28515625" customWidth="1"/>
    <col min="9" max="9" width="29.5703125" bestFit="1" customWidth="1"/>
  </cols>
  <sheetData>
    <row r="1" spans="1:9" s="2" customFormat="1">
      <c r="A1" s="2" t="s">
        <v>16980</v>
      </c>
      <c r="B1" s="2" t="s">
        <v>16981</v>
      </c>
      <c r="C1" s="2" t="s">
        <v>16982</v>
      </c>
      <c r="D1" s="2" t="s">
        <v>16983</v>
      </c>
      <c r="E1" s="2" t="s">
        <v>16984</v>
      </c>
      <c r="F1" s="2" t="s">
        <v>16985</v>
      </c>
      <c r="G1" s="2" t="s">
        <v>16986</v>
      </c>
      <c r="H1" s="2" t="s">
        <v>16987</v>
      </c>
      <c r="I1" s="2" t="s">
        <v>16988</v>
      </c>
    </row>
    <row r="2" spans="1:9" ht="15">
      <c r="A2">
        <f ca="1">COUNTIF('centraldecomunicacion.es'!A2:'centraldecomunicacion.es'!A19472,"*")</f>
        <v>4563</v>
      </c>
      <c r="B2">
        <f ca="1">COUNTIF('centraldecomunicacion.es'!H2:'centraldecomunicacion.es'!H19472,"*@*")</f>
        <v>1290</v>
      </c>
      <c r="C2">
        <f ca="1">COUNTIF('centraldecomunicacion.es'!F2:'centraldecomunicacion.es'!F19472,"*.*")</f>
        <v>2458</v>
      </c>
      <c r="D2">
        <f ca="1">COUNTIF('centraldecomunicacion.es'!G2:'centraldecomunicacion.es'!G19472,"6*")+COUNTIF('centraldecomunicacion.es'!G2:'centraldecomunicacion.es'!G19472,"9*")</f>
        <v>4206</v>
      </c>
      <c r="E2">
        <f ca="1">COUNTIF('centraldecomunicacion.es'!G2:'centraldecomunicacion.es'!G19472,"9*")</f>
        <v>3150</v>
      </c>
      <c r="F2">
        <f ca="1">COUNTIF('centraldecomunicacion.es'!G2:'centraldecomunicacion.es'!G19472,"6*")</f>
        <v>1056</v>
      </c>
      <c r="G2" t="str" cm="1">
        <f t="array" aca="1" ref="G2:G6" ca="1">_xlfn.UNIQUE('centraldecomunicacion.es'!B2:'centraldecomunicacion.es'!B19472)</f>
        <v>Floristería</v>
      </c>
      <c r="H2" t="str" cm="1">
        <f t="array" aca="1" ref="H2:H1054" ca="1">_xlfn.UNIQUE('centraldecomunicacion.es'!H2:'centraldecomunicacion.es'!H19472)</f>
        <v>info@floristeriaenalmeria.com</v>
      </c>
      <c r="I2" s="3" t="s">
        <v>166</v>
      </c>
    </row>
    <row r="3" spans="1:9" ht="15">
      <c r="G3" t="str">
        <f ca="1"/>
        <v>Floristería mayorista</v>
      </c>
      <c r="H3" t="str">
        <f ca="1"/>
        <v>info@floristeriacarmona.com</v>
      </c>
      <c r="I3" s="3" t="s">
        <v>250</v>
      </c>
    </row>
    <row r="4" spans="1:9" ht="15">
      <c r="G4" t="str">
        <f ca="1"/>
        <v>Mercado de flores</v>
      </c>
      <c r="H4" t="str">
        <f ca="1"/>
        <v>info@floristeriaazabache.com</v>
      </c>
      <c r="I4" s="3" t="s">
        <v>265</v>
      </c>
    </row>
    <row r="5" spans="1:9" ht="15">
      <c r="G5" t="str">
        <f ca="1"/>
        <v>Tienda de flores secas</v>
      </c>
      <c r="H5" t="str">
        <f ca="1"/>
        <v>-</v>
      </c>
      <c r="I5" s="3" t="s">
        <v>273</v>
      </c>
    </row>
    <row r="6" spans="1:9" ht="15">
      <c r="G6">
        <f ca="1"/>
        <v>0</v>
      </c>
      <c r="H6" t="str">
        <f ca="1"/>
        <v>mar@floristeria-madreselva.com</v>
      </c>
      <c r="I6" s="3" t="s">
        <v>306</v>
      </c>
    </row>
    <row r="7" spans="1:9" ht="15">
      <c r="H7" t="str">
        <f ca="1"/>
        <v>info@floristeriacanamo.es</v>
      </c>
      <c r="I7" s="3" t="s">
        <v>16989</v>
      </c>
    </row>
    <row r="8" spans="1:9" ht="15">
      <c r="H8" t="str">
        <f ca="1"/>
        <v>info@lalesmartinez.com</v>
      </c>
      <c r="I8" s="3" t="s">
        <v>369</v>
      </c>
    </row>
    <row r="9" spans="1:9" ht="15">
      <c r="H9" t="str">
        <f ca="1"/>
        <v>info@floristeriairisalmeria.com</v>
      </c>
      <c r="I9" s="3" t="s">
        <v>376</v>
      </c>
    </row>
    <row r="10" spans="1:9" ht="15">
      <c r="H10" t="str">
        <f ca="1"/>
        <v>tortosafloristas@gmail.com</v>
      </c>
      <c r="I10" s="3" t="s">
        <v>513</v>
      </c>
    </row>
    <row r="11" spans="1:9" ht="15">
      <c r="H11" t="str">
        <f ca="1"/>
        <v>info@nenufarfloristerias.com</v>
      </c>
      <c r="I11" s="3" t="s">
        <v>588</v>
      </c>
    </row>
    <row r="12" spans="1:9" ht="15">
      <c r="H12" t="str">
        <f ca="1"/>
        <v>mariaflordeagua71@gmail.com</v>
      </c>
      <c r="I12" s="3" t="s">
        <v>622</v>
      </c>
    </row>
    <row r="13" spans="1:9" ht="15">
      <c r="H13" t="str">
        <f ca="1"/>
        <v>inma_floristeria@hotmail.com</v>
      </c>
      <c r="I13" s="3" t="s">
        <v>631</v>
      </c>
    </row>
    <row r="14" spans="1:9" ht="15">
      <c r="H14" t="str">
        <f ca="1"/>
        <v>cristinaxandreea@gmail.com</v>
      </c>
      <c r="I14" s="3" t="s">
        <v>726</v>
      </c>
    </row>
    <row r="15" spans="1:9" ht="15">
      <c r="H15" t="str">
        <f ca="1"/>
        <v>contacto@hernandezmiguel.es</v>
      </c>
      <c r="I15" s="3" t="s">
        <v>765</v>
      </c>
    </row>
    <row r="16" spans="1:9" ht="15">
      <c r="H16" t="str">
        <f ca="1"/>
        <v>floristeriacuadrado@gmail.com</v>
      </c>
      <c r="I16" s="3" t="s">
        <v>783</v>
      </c>
    </row>
    <row r="17" spans="8:9" ht="15">
      <c r="H17" t="str">
        <f ca="1"/>
        <v>HORTIFLORFLORISTAS@HOTMAIL.COM</v>
      </c>
      <c r="I17" s="3" t="s">
        <v>804</v>
      </c>
    </row>
    <row r="18" spans="8:9" ht="15">
      <c r="H18" t="str">
        <f ca="1"/>
        <v>info@persaflores.com</v>
      </c>
      <c r="I18" s="3" t="s">
        <v>818</v>
      </c>
    </row>
    <row r="19" spans="8:9" ht="15">
      <c r="H19" t="str">
        <f ca="1"/>
        <v>info@lisfloristeria.com</v>
      </c>
      <c r="I19" s="3" t="s">
        <v>837</v>
      </c>
    </row>
    <row r="20" spans="8:9" ht="15">
      <c r="H20" t="str">
        <f ca="1"/>
        <v>ejiturbas@ejiturbas.com</v>
      </c>
      <c r="I20" s="3" t="s">
        <v>923</v>
      </c>
    </row>
    <row r="21" spans="8:9" ht="15">
      <c r="H21" t="str">
        <f ca="1"/>
        <v>blancapimientafloristas@outlook.es</v>
      </c>
      <c r="I21" s="3" t="s">
        <v>966</v>
      </c>
    </row>
    <row r="22" spans="8:9" ht="15">
      <c r="H22" t="str">
        <f ca="1"/>
        <v>hola@etcbahia.com</v>
      </c>
      <c r="I22" s="3" t="s">
        <v>1112</v>
      </c>
    </row>
    <row r="23" spans="8:9" ht="15">
      <c r="H23" t="str">
        <f ca="1"/>
        <v>contact@florestacadiz.es</v>
      </c>
      <c r="I23" s="3" t="s">
        <v>1128</v>
      </c>
    </row>
    <row r="24" spans="8:9" ht="15">
      <c r="H24" t="str">
        <f ca="1"/>
        <v>marketing.retail-e360@ilunion.com</v>
      </c>
      <c r="I24" s="3" t="s">
        <v>1149</v>
      </c>
    </row>
    <row r="25" spans="8:9" ht="15">
      <c r="H25" t="str">
        <f ca="1"/>
        <v>info@florbahia.com</v>
      </c>
      <c r="I25" s="3" t="s">
        <v>1169</v>
      </c>
    </row>
    <row r="26" spans="8:9" ht="15">
      <c r="H26" t="str">
        <f ca="1"/>
        <v>clientes@telefloristeriamacheri.com</v>
      </c>
      <c r="I26" s="3" t="s">
        <v>1229</v>
      </c>
    </row>
    <row r="27" spans="8:9" ht="15">
      <c r="H27" t="str">
        <f ca="1"/>
        <v>info@flowering.es</v>
      </c>
      <c r="I27" s="3" t="s">
        <v>1268</v>
      </c>
    </row>
    <row r="28" spans="8:9" ht="15">
      <c r="H28" t="str">
        <f ca="1"/>
        <v>floresrumex@gmail.com</v>
      </c>
      <c r="I28" s="3" t="s">
        <v>1282</v>
      </c>
    </row>
    <row r="29" spans="8:9" ht="15">
      <c r="H29" t="str">
        <f ca="1"/>
        <v>info@florabel.es</v>
      </c>
      <c r="I29" s="3" t="s">
        <v>1400</v>
      </c>
    </row>
    <row r="30" spans="8:9" ht="15">
      <c r="H30" t="str">
        <f ca="1"/>
        <v>hola@floristeriacottoncandy.com</v>
      </c>
      <c r="I30" s="3" t="s">
        <v>1449</v>
      </c>
    </row>
    <row r="31" spans="8:9" ht="15">
      <c r="H31" t="str">
        <f ca="1"/>
        <v>emiliodesoto@icloud.com</v>
      </c>
      <c r="I31" s="3" t="s">
        <v>1586</v>
      </c>
    </row>
    <row r="32" spans="8:9" ht="15">
      <c r="H32" t="str">
        <f ca="1"/>
        <v>mateolopezgarcia@hotmail.com</v>
      </c>
      <c r="I32" s="3" t="s">
        <v>1639</v>
      </c>
    </row>
    <row r="33" spans="8:9" ht="15">
      <c r="H33" t="str">
        <f ca="1"/>
        <v>support@webnode.es</v>
      </c>
      <c r="I33" s="3" t="s">
        <v>1905</v>
      </c>
    </row>
    <row r="34" spans="8:9" ht="15">
      <c r="H34" t="str">
        <f ca="1"/>
        <v>hermanoslazaro@yahoo.es</v>
      </c>
      <c r="I34" s="3" t="s">
        <v>1930</v>
      </c>
    </row>
    <row r="35" spans="8:9" ht="15">
      <c r="H35" t="str">
        <f ca="1"/>
        <v>lamargaritafloes@outlook.es</v>
      </c>
      <c r="I35" s="3" t="s">
        <v>1965</v>
      </c>
    </row>
    <row r="36" spans="8:9" ht="15">
      <c r="H36" t="str">
        <f ca="1"/>
        <v>8b4e078a51d04e0e9efdf470027f0ec1@sentry.wixpress.com</v>
      </c>
      <c r="I36" s="3" t="s">
        <v>2005</v>
      </c>
    </row>
    <row r="37" spans="8:9" ht="15">
      <c r="H37" t="str">
        <f ca="1"/>
        <v>webmaster@cannamaria.es</v>
      </c>
      <c r="I37" s="3" t="s">
        <v>2053</v>
      </c>
    </row>
    <row r="38" spans="8:9" ht="15">
      <c r="H38" t="str">
        <f ca="1"/>
        <v>floristeriaalicia@hotmail.com</v>
      </c>
      <c r="I38" s="3" t="s">
        <v>2087</v>
      </c>
    </row>
    <row r="39" spans="8:9" ht="15">
      <c r="H39" t="str">
        <f ca="1"/>
        <v>info@floriumsotogrande.com</v>
      </c>
      <c r="I39" s="3" t="s">
        <v>2107</v>
      </c>
    </row>
    <row r="40" spans="8:9" ht="15">
      <c r="H40" t="str">
        <f ca="1"/>
        <v>floristeriaelramo@hotmail.com</v>
      </c>
      <c r="I40" s="3" t="s">
        <v>2146</v>
      </c>
    </row>
    <row r="41" spans="8:9" ht="15">
      <c r="H41" t="str">
        <f ca="1"/>
        <v>floristeria@elcortinal.es</v>
      </c>
      <c r="I41" s="3" t="s">
        <v>2152</v>
      </c>
    </row>
    <row r="42" spans="8:9" ht="15">
      <c r="H42" t="str">
        <f ca="1"/>
        <v>publi@telerosa.com</v>
      </c>
      <c r="I42" s="3" t="s">
        <v>2342</v>
      </c>
    </row>
    <row r="43" spans="8:9" ht="15">
      <c r="H43" t="str">
        <f ca="1"/>
        <v>info@floristeriabenalmadena.com</v>
      </c>
      <c r="I43" s="3" t="s">
        <v>2376</v>
      </c>
    </row>
    <row r="44" spans="8:9" ht="15">
      <c r="H44" t="str">
        <f ca="1"/>
        <v>support@elletricity.com</v>
      </c>
      <c r="I44" s="3" t="s">
        <v>2404</v>
      </c>
    </row>
    <row r="45" spans="8:9" ht="15">
      <c r="H45" t="str">
        <f ca="1"/>
        <v>angelafloristas@hotmail.com</v>
      </c>
      <c r="I45" s="3" t="s">
        <v>2409</v>
      </c>
    </row>
    <row r="46" spans="8:9" ht="15">
      <c r="H46" t="str">
        <f ca="1"/>
        <v>info@myfloristeria.com</v>
      </c>
      <c r="I46" s="3" t="s">
        <v>2454</v>
      </c>
    </row>
    <row r="47" spans="8:9" ht="15">
      <c r="H47" t="str">
        <f ca="1"/>
        <v>floresjardindefatima@gmail.com</v>
      </c>
      <c r="I47" s="3" t="s">
        <v>2471</v>
      </c>
    </row>
    <row r="48" spans="8:9" ht="15">
      <c r="H48" t="str">
        <f ca="1"/>
        <v>floristeriarosacordoba@hotmail.es</v>
      </c>
      <c r="I48" s="3" t="s">
        <v>2504</v>
      </c>
    </row>
    <row r="49" spans="8:9" ht="15">
      <c r="H49" t="str">
        <f ca="1"/>
        <v>direccion@pinsapodecoracion.com</v>
      </c>
      <c r="I49" s="3" t="s">
        <v>2512</v>
      </c>
    </row>
    <row r="50" spans="8:9" ht="15">
      <c r="H50" t="str">
        <f ca="1"/>
        <v>info@outlook.com</v>
      </c>
      <c r="I50" s="3" t="s">
        <v>2526</v>
      </c>
    </row>
    <row r="51" spans="8:9" ht="15">
      <c r="H51" t="str">
        <f ca="1"/>
        <v>info@floristerialospatios.es</v>
      </c>
      <c r="I51" s="3" t="s">
        <v>2531</v>
      </c>
    </row>
    <row r="52" spans="8:9" ht="15">
      <c r="H52" t="str">
        <f ca="1"/>
        <v>vouleeventos@gmail.com</v>
      </c>
      <c r="I52" s="3" t="s">
        <v>2555</v>
      </c>
    </row>
    <row r="53" spans="8:9" ht="15">
      <c r="H53" t="str">
        <f ca="1"/>
        <v>correoelectronico@ejemplo.com</v>
      </c>
      <c r="I53" s="3" t="s">
        <v>2625</v>
      </c>
    </row>
    <row r="54" spans="8:9" ht="15">
      <c r="H54" t="str">
        <f ca="1"/>
        <v>floristeriaeldeseo@hotmail.es</v>
      </c>
      <c r="I54" s="3" t="s">
        <v>2630</v>
      </c>
    </row>
    <row r="55" spans="8:9" ht="15">
      <c r="H55" t="str">
        <f ca="1"/>
        <v>info@carolinaleonflorista.es</v>
      </c>
      <c r="I55" s="3" t="s">
        <v>2652</v>
      </c>
    </row>
    <row r="56" spans="8:9" ht="15">
      <c r="H56" t="str">
        <f ca="1"/>
        <v>info@andaluflor.es</v>
      </c>
      <c r="I56" s="3" t="s">
        <v>2688</v>
      </c>
    </row>
    <row r="57" spans="8:9" ht="15">
      <c r="H57" t="str">
        <f ca="1"/>
        <v>villaflor1@floristeriavillaflor.com</v>
      </c>
      <c r="I57" s="3" t="s">
        <v>2728</v>
      </c>
    </row>
    <row r="58" spans="8:9" ht="15">
      <c r="H58" t="str">
        <f ca="1"/>
        <v>marketWatch@2x.png</v>
      </c>
      <c r="I58" s="3" t="s">
        <v>2834</v>
      </c>
    </row>
    <row r="59" spans="8:9" ht="15">
      <c r="H59" t="str">
        <f ca="1"/>
        <v>floristeriamaja@gmail.com</v>
      </c>
      <c r="I59" s="3" t="s">
        <v>2843</v>
      </c>
    </row>
    <row r="60" spans="8:9" ht="15">
      <c r="H60" t="str">
        <f ca="1"/>
        <v>floristeriaramosbaena@gmail.com</v>
      </c>
      <c r="I60" s="3" t="s">
        <v>2852</v>
      </c>
    </row>
    <row r="61" spans="8:9" ht="15">
      <c r="H61" t="str">
        <f ca="1"/>
        <v>contact@templatesforjoomla.eu</v>
      </c>
      <c r="I61" s="3" t="s">
        <v>2914</v>
      </c>
    </row>
    <row r="62" spans="8:9" ht="15">
      <c r="H62" t="str">
        <f ca="1"/>
        <v>correo@floristerianatura.es</v>
      </c>
      <c r="I62" s="3" t="s">
        <v>2933</v>
      </c>
    </row>
    <row r="63" spans="8:9" ht="15">
      <c r="H63" t="str">
        <f ca="1"/>
        <v>pafernni@hotmail.com</v>
      </c>
      <c r="I63" s="3" t="s">
        <v>2963</v>
      </c>
    </row>
    <row r="64" spans="8:9" ht="15">
      <c r="H64" t="str">
        <f ca="1"/>
        <v>info@floristeriaamelia.com</v>
      </c>
      <c r="I64" s="3" t="s">
        <v>2995</v>
      </c>
    </row>
    <row r="65" spans="8:9" ht="15">
      <c r="H65" t="str">
        <f ca="1"/>
        <v>floristeriaslamimosa@gmail.com</v>
      </c>
      <c r="I65" s="3" t="s">
        <v>3038</v>
      </c>
    </row>
    <row r="66" spans="8:9" ht="15">
      <c r="H66" t="str">
        <f ca="1"/>
        <v>floristerialeyva@gmail.com.com</v>
      </c>
      <c r="I66" s="3" t="s">
        <v>3121</v>
      </c>
    </row>
    <row r="67" spans="8:9" ht="15">
      <c r="H67" t="str">
        <f ca="1"/>
        <v>license@prestashop.com</v>
      </c>
      <c r="I67" s="3" t="s">
        <v>3163</v>
      </c>
    </row>
    <row r="68" spans="8:9" ht="15">
      <c r="H68" t="str">
        <f ca="1"/>
        <v>contacto@floristeriacaladium.es</v>
      </c>
      <c r="I68" s="3" t="s">
        <v>3179</v>
      </c>
    </row>
    <row r="69" spans="8:9" ht="15">
      <c r="H69" t="str">
        <f ca="1"/>
        <v>floristeria-araceli@hotmail.com</v>
      </c>
      <c r="I69" s="3" t="s">
        <v>3203</v>
      </c>
    </row>
    <row r="70" spans="8:9" ht="15">
      <c r="H70" t="str">
        <f ca="1"/>
        <v>info@floresparatodos.com</v>
      </c>
      <c r="I70" s="3" t="s">
        <v>3458</v>
      </c>
    </row>
    <row r="71" spans="8:9" ht="15">
      <c r="H71" t="str">
        <f ca="1"/>
        <v>floristerialoli5@hotmail.com</v>
      </c>
      <c r="I71" s="3" t="s">
        <v>3490</v>
      </c>
    </row>
    <row r="72" spans="8:9" ht="15">
      <c r="H72" t="str">
        <f ca="1"/>
        <v>info@carolinabouquet.com</v>
      </c>
      <c r="I72" s="3" t="s">
        <v>3550</v>
      </c>
    </row>
    <row r="73" spans="8:9" ht="15">
      <c r="H73" t="str">
        <f ca="1"/>
        <v>floresosuna@hotmail.com</v>
      </c>
      <c r="I73" s="3" t="s">
        <v>3602</v>
      </c>
    </row>
    <row r="74" spans="8:9" ht="15">
      <c r="H74" t="str">
        <f ca="1"/>
        <v>info@celineboroli.com</v>
      </c>
      <c r="I74" s="3" t="s">
        <v>3654</v>
      </c>
    </row>
    <row r="75" spans="8:9" ht="15">
      <c r="H75" t="str">
        <f ca="1"/>
        <v>floristeria@pedromorenoflorista.com</v>
      </c>
      <c r="I75" s="3" t="s">
        <v>3666</v>
      </c>
    </row>
    <row r="76" spans="8:9" ht="15">
      <c r="H76" t="str">
        <f ca="1"/>
        <v>info@soulgarden.es</v>
      </c>
      <c r="I76" s="3" t="s">
        <v>3712</v>
      </c>
    </row>
    <row r="77" spans="8:9" ht="15">
      <c r="H77" t="str">
        <f ca="1"/>
        <v>info.decorplant@gmail.com</v>
      </c>
      <c r="I77" s="3" t="s">
        <v>3724</v>
      </c>
    </row>
    <row r="78" spans="8:9" ht="15">
      <c r="H78" t="str">
        <f ca="1"/>
        <v>floristeriaelciruelo@hotmail.com</v>
      </c>
      <c r="I78" s="3" t="s">
        <v>3732</v>
      </c>
    </row>
    <row r="79" spans="8:9" ht="15">
      <c r="H79" t="str">
        <f ca="1"/>
        <v>elbosque_hu@interflora.es</v>
      </c>
      <c r="I79" s="3" t="s">
        <v>3737</v>
      </c>
    </row>
    <row r="80" spans="8:9" ht="15">
      <c r="H80" t="str">
        <f ca="1"/>
        <v>luisamariaroma@hotmail.com</v>
      </c>
      <c r="I80" s="3" t="s">
        <v>3742</v>
      </c>
    </row>
    <row r="81" spans="8:9" ht="15">
      <c r="H81" t="str">
        <f ca="1"/>
        <v>hola@miempresa.es</v>
      </c>
      <c r="I81" s="3" t="s">
        <v>3752</v>
      </c>
    </row>
    <row r="82" spans="8:9" ht="15">
      <c r="H82" t="str">
        <f ca="1"/>
        <v>info@girasolesartefloral.com</v>
      </c>
      <c r="I82" s="3" t="s">
        <v>3772</v>
      </c>
    </row>
    <row r="83" spans="8:9" ht="15">
      <c r="H83" t="str">
        <f ca="1"/>
        <v>info@mardeflores.com</v>
      </c>
      <c r="I83" s="3" t="s">
        <v>3821</v>
      </c>
    </row>
    <row r="84" spans="8:9" ht="15">
      <c r="H84" t="str">
        <f ca="1"/>
        <v>info@floristeriaaguilera.com</v>
      </c>
      <c r="I84" s="3" t="s">
        <v>3839</v>
      </c>
    </row>
    <row r="85" spans="8:9" ht="15">
      <c r="H85" t="str">
        <f ca="1"/>
        <v>floristeriajaen@hotmail.com</v>
      </c>
      <c r="I85" s="3" t="s">
        <v>3907</v>
      </c>
    </row>
    <row r="86" spans="8:9" ht="15">
      <c r="H86" t="str">
        <f ca="1"/>
        <v>smorenomm@gmail.com</v>
      </c>
      <c r="I86" s="3" t="s">
        <v>3965</v>
      </c>
    </row>
    <row r="87" spans="8:9" ht="15">
      <c r="H87" t="str">
        <f ca="1"/>
        <v>manuelserranojamilena@gmail.com</v>
      </c>
      <c r="I87" s="3" t="s">
        <v>3985</v>
      </c>
    </row>
    <row r="88" spans="8:9" ht="15">
      <c r="H88" t="str">
        <f ca="1"/>
        <v>floristeriacarmen_baeza@hotmail.com</v>
      </c>
      <c r="I88" s="3" t="s">
        <v>4015</v>
      </c>
    </row>
    <row r="89" spans="8:9" ht="15">
      <c r="H89" t="str">
        <f ca="1"/>
        <v>info@floristeriapozoflor.es</v>
      </c>
      <c r="I89" s="3" t="s">
        <v>4110</v>
      </c>
    </row>
    <row r="90" spans="8:9" ht="15">
      <c r="H90" t="str">
        <f ca="1"/>
        <v>info@caracuelnevado.com</v>
      </c>
      <c r="I90" s="3" t="s">
        <v>4115</v>
      </c>
    </row>
    <row r="91" spans="8:9" ht="15">
      <c r="H91" t="str">
        <f ca="1"/>
        <v>deco.flor@hotmail.com</v>
      </c>
      <c r="I91" s="3" t="s">
        <v>4135</v>
      </c>
    </row>
    <row r="92" spans="8:9" ht="15">
      <c r="H92" t="str">
        <f ca="1"/>
        <v>floristerialaparada@gmail.com</v>
      </c>
      <c r="I92" s="3" t="s">
        <v>4171</v>
      </c>
    </row>
    <row r="93" spans="8:9" ht="15">
      <c r="H93" t="str">
        <f ca="1"/>
        <v>info@floristeriafloriplant.es</v>
      </c>
      <c r="I93" s="3" t="s">
        <v>4188</v>
      </c>
    </row>
    <row r="94" spans="8:9" ht="15">
      <c r="H94" t="str">
        <f ca="1"/>
        <v>juani1-1@hotmail.com</v>
      </c>
      <c r="I94" s="3" t="s">
        <v>4206</v>
      </c>
    </row>
    <row r="95" spans="8:9" ht="15">
      <c r="H95" t="str">
        <f ca="1"/>
        <v>tanatoubeda@gmail.com</v>
      </c>
      <c r="I95" s="3" t="s">
        <v>4219</v>
      </c>
    </row>
    <row r="96" spans="8:9" ht="15">
      <c r="H96" t="str">
        <f ca="1"/>
        <v>contacto@plantacar.es</v>
      </c>
      <c r="I96" s="3" t="s">
        <v>4246</v>
      </c>
    </row>
    <row r="97" spans="8:9" ht="15">
      <c r="H97" t="str">
        <f ca="1"/>
        <v>guadalquivir28@hotmail.com</v>
      </c>
      <c r="I97" s="3" t="s">
        <v>4264</v>
      </c>
    </row>
    <row r="98" spans="8:9" ht="15">
      <c r="H98" t="str">
        <f ca="1"/>
        <v>decoflorfloristas@hotmail.com</v>
      </c>
      <c r="I98" s="3" t="s">
        <v>4296</v>
      </c>
    </row>
    <row r="99" spans="8:9" ht="15">
      <c r="H99" t="str">
        <f ca="1"/>
        <v>info@mundoflorjaen.com</v>
      </c>
      <c r="I99" s="3" t="s">
        <v>16990</v>
      </c>
    </row>
    <row r="100" spans="8:9" ht="15">
      <c r="H100" t="str">
        <f ca="1"/>
        <v>typesetit@att.net</v>
      </c>
      <c r="I100" s="3" t="s">
        <v>4354</v>
      </c>
    </row>
    <row r="101" spans="8:9" ht="15">
      <c r="H101" t="str">
        <f ca="1"/>
        <v>info@floristeriaavenida.com</v>
      </c>
      <c r="I101" s="3" t="s">
        <v>4420</v>
      </c>
    </row>
    <row r="102" spans="8:9" ht="15">
      <c r="H102" t="str">
        <f ca="1"/>
        <v>info@cazorla-alcon.com</v>
      </c>
      <c r="I102" s="3" t="s">
        <v>4548</v>
      </c>
    </row>
    <row r="103" spans="8:9" ht="15">
      <c r="H103" t="str">
        <f ca="1"/>
        <v>info@agapanthus.es</v>
      </c>
      <c r="I103" s="3" t="s">
        <v>4795</v>
      </c>
    </row>
    <row r="104" spans="8:9" ht="15">
      <c r="H104" t="str">
        <f ca="1"/>
        <v>info@marinaflor.es</v>
      </c>
      <c r="I104" s="3" t="s">
        <v>4806</v>
      </c>
    </row>
    <row r="105" spans="8:9" ht="15">
      <c r="H105" t="str">
        <f ca="1"/>
        <v>contacto@florzen.com</v>
      </c>
      <c r="I105" s="3" t="s">
        <v>4839</v>
      </c>
    </row>
    <row r="106" spans="8:9" ht="15">
      <c r="H106" t="str">
        <f ca="1"/>
        <v>clientes@virentiafloristas.com</v>
      </c>
      <c r="I106" s="3" t="s">
        <v>4879</v>
      </c>
    </row>
    <row r="107" spans="8:9" ht="15">
      <c r="H107" t="str">
        <f ca="1"/>
        <v>info@floristeriaaraucaria.com</v>
      </c>
      <c r="I107" s="3" t="s">
        <v>4927</v>
      </c>
    </row>
    <row r="108" spans="8:9" ht="15">
      <c r="H108" t="str">
        <f ca="1"/>
        <v>info@juancereto.com</v>
      </c>
      <c r="I108" s="3" t="s">
        <v>4975</v>
      </c>
    </row>
    <row r="109" spans="8:9" ht="15">
      <c r="H109" t="str">
        <f ca="1"/>
        <v>flor.angeles@hotmail.es</v>
      </c>
      <c r="I109" s="3" t="s">
        <v>5055</v>
      </c>
    </row>
    <row r="110" spans="8:9" ht="15">
      <c r="H110" t="str">
        <f ca="1"/>
        <v>sandra@blancafloristas.com</v>
      </c>
      <c r="I110" s="3" t="s">
        <v>5085</v>
      </c>
    </row>
    <row r="111" spans="8:9" ht="15">
      <c r="H111" t="str">
        <f ca="1"/>
        <v>floristeriamariola@gmail.com</v>
      </c>
      <c r="I111" s="3" t="s">
        <v>5143</v>
      </c>
    </row>
    <row r="112" spans="8:9" ht="15">
      <c r="H112" t="str">
        <f ca="1"/>
        <v>marina1990spaces@gmail.com</v>
      </c>
      <c r="I112" s="3" t="s">
        <v>5227</v>
      </c>
    </row>
    <row r="113" spans="8:9" ht="15">
      <c r="H113" t="str">
        <f ca="1"/>
        <v>sam_garci123@hotmail.com</v>
      </c>
      <c r="I113" s="3" t="s">
        <v>5312</v>
      </c>
    </row>
    <row r="114" spans="8:9" ht="15">
      <c r="H114" t="str">
        <f ca="1"/>
        <v>montseflor@montseflor.es</v>
      </c>
      <c r="I114" s="3" t="s">
        <v>5334</v>
      </c>
    </row>
    <row r="115" spans="8:9" ht="15">
      <c r="H115" t="str">
        <f ca="1"/>
        <v>info@laparadadekito.com</v>
      </c>
      <c r="I115" s="3" t="s">
        <v>5356</v>
      </c>
    </row>
    <row r="116" spans="8:9" ht="15">
      <c r="H116" t="str">
        <f ca="1"/>
        <v>floristeriaaries@hotmail.com</v>
      </c>
      <c r="I116" s="3" t="s">
        <v>5410</v>
      </c>
    </row>
    <row r="117" spans="8:9" ht="15">
      <c r="H117" t="str">
        <f ca="1"/>
        <v>kodeoka@gmail.com</v>
      </c>
      <c r="I117" s="3" t="s">
        <v>5419</v>
      </c>
    </row>
    <row r="118" spans="8:9" ht="15">
      <c r="H118" t="str">
        <f ca="1"/>
        <v>florestrujillo.reme@gmail.com</v>
      </c>
      <c r="I118" s="3" t="s">
        <v>5494</v>
      </c>
    </row>
    <row r="119" spans="8:9" ht="15">
      <c r="H119" t="str">
        <f ca="1"/>
        <v>pya.flormalaga@hotmail.com</v>
      </c>
      <c r="I119" s="3" t="s">
        <v>5538</v>
      </c>
    </row>
    <row r="120" spans="8:9" ht="15">
      <c r="H120" t="str">
        <f ca="1"/>
        <v>elpuntoerestu@elpuntoerestu.com</v>
      </c>
      <c r="I120" s="3" t="s">
        <v>5622</v>
      </c>
    </row>
    <row r="121" spans="8:9" ht="15">
      <c r="H121" t="str">
        <f ca="1"/>
        <v>info@florestorremolinos.com</v>
      </c>
      <c r="I121" s="3" t="s">
        <v>5667</v>
      </c>
    </row>
    <row r="122" spans="8:9" ht="15">
      <c r="H122" t="str">
        <f ca="1"/>
        <v>florazaharfuengirola@gmail.com</v>
      </c>
      <c r="I122" s="3" t="s">
        <v>5735</v>
      </c>
    </row>
    <row r="123" spans="8:9" ht="15">
      <c r="H123" t="str">
        <f ca="1"/>
        <v>janne@florvalentin.es</v>
      </c>
      <c r="I123" s="3" t="s">
        <v>5743</v>
      </c>
    </row>
    <row r="124" spans="8:9" ht="15">
      <c r="H124" t="str">
        <f ca="1"/>
        <v>flores@susanasanchez.es</v>
      </c>
      <c r="I124" s="3" t="s">
        <v>5789</v>
      </c>
    </row>
    <row r="125" spans="8:9" ht="15">
      <c r="H125" t="str">
        <f ca="1"/>
        <v>floristeria@anaisfloristas.com</v>
      </c>
      <c r="I125" s="3" t="s">
        <v>6177</v>
      </c>
    </row>
    <row r="126" spans="8:9" ht="15">
      <c r="H126" t="str">
        <f ca="1"/>
        <v>floresramireznunez@gmail.com</v>
      </c>
      <c r="I126" s="3" t="s">
        <v>6266</v>
      </c>
    </row>
    <row r="127" spans="8:9" ht="15">
      <c r="H127" t="str">
        <f ca="1"/>
        <v>andalucia@floralimage.es</v>
      </c>
      <c r="I127" s="3" t="s">
        <v>6274</v>
      </c>
    </row>
    <row r="128" spans="8:9" ht="15">
      <c r="H128" t="str">
        <f ca="1"/>
        <v>pymeflor@gmail.com</v>
      </c>
      <c r="I128" s="3" t="s">
        <v>6334</v>
      </c>
    </row>
    <row r="129" spans="8:9" ht="15">
      <c r="H129" t="str">
        <f ca="1"/>
        <v>info@floristeriacalahonda.es</v>
      </c>
      <c r="I129" s="3" t="s">
        <v>6345</v>
      </c>
    </row>
    <row r="130" spans="8:9" ht="15">
      <c r="H130" t="str">
        <f ca="1"/>
        <v>info@lasfloresdereding.com</v>
      </c>
      <c r="I130" s="3" t="s">
        <v>6414</v>
      </c>
    </row>
    <row r="131" spans="8:9" ht="15">
      <c r="H131" t="str">
        <f ca="1"/>
        <v>pedidos@virginiaflorista.com</v>
      </c>
      <c r="I131" s="3" t="s">
        <v>6422</v>
      </c>
    </row>
    <row r="132" spans="8:9" ht="15">
      <c r="H132" t="str">
        <f ca="1"/>
        <v>marbella@uniquerobertosilvosa.com</v>
      </c>
      <c r="I132" s="3" t="s">
        <v>6435</v>
      </c>
    </row>
    <row r="133" spans="8:9" ht="15">
      <c r="H133" t="str">
        <f ca="1"/>
        <v>lola@lolasfloristas.com</v>
      </c>
      <c r="I133" s="3" t="s">
        <v>6496</v>
      </c>
    </row>
    <row r="134" spans="8:9" ht="15">
      <c r="H134" t="str">
        <f ca="1"/>
        <v>tw-share-facebook@2x.png</v>
      </c>
      <c r="I134" s="3" t="s">
        <v>6514</v>
      </c>
    </row>
    <row r="135" spans="8:9" ht="15">
      <c r="H135" t="str">
        <f ca="1"/>
        <v>INFO@LNFLORALDESIGN.COM</v>
      </c>
      <c r="I135" s="3" t="s">
        <v>6568</v>
      </c>
    </row>
    <row r="136" spans="8:9" ht="15">
      <c r="H136" t="str">
        <f ca="1"/>
        <v>pedidos@bellarosa.es</v>
      </c>
      <c r="I136" s="3" t="s">
        <v>6631</v>
      </c>
    </row>
    <row r="137" spans="8:9" ht="15">
      <c r="H137" t="str">
        <f ca="1"/>
        <v>mamenartefloral@hotmail.com</v>
      </c>
      <c r="I137" s="3" t="s">
        <v>6665</v>
      </c>
    </row>
    <row r="138" spans="8:9" ht="15">
      <c r="H138" t="str">
        <f ca="1"/>
        <v>info@floresdesevilla.es</v>
      </c>
      <c r="I138" s="3" t="s">
        <v>6774</v>
      </c>
    </row>
    <row r="139" spans="8:9" ht="15">
      <c r="H139" t="str">
        <f ca="1"/>
        <v>sevillaenflor@gmail.com</v>
      </c>
      <c r="I139" s="3" t="s">
        <v>6816</v>
      </c>
    </row>
    <row r="140" spans="8:9" ht="15">
      <c r="H140" t="str">
        <f ca="1"/>
        <v>carelia@floristeriacarelia.es</v>
      </c>
      <c r="I140" s="3" t="s">
        <v>6832</v>
      </c>
    </row>
    <row r="141" spans="8:9" ht="15">
      <c r="H141" t="str">
        <f ca="1"/>
        <v>pedidos@iberflor.com</v>
      </c>
      <c r="I141" s="3" t="s">
        <v>6851</v>
      </c>
    </row>
    <row r="142" spans="8:9" ht="15">
      <c r="H142" t="str">
        <f ca="1"/>
        <v>info@lolaflor-fedriani.es</v>
      </c>
      <c r="I142" s="3" t="s">
        <v>6903</v>
      </c>
    </row>
    <row r="143" spans="8:9" ht="15">
      <c r="H143" t="str">
        <f ca="1"/>
        <v>floresbucaro@floresbucaro.e.telefonica.net</v>
      </c>
      <c r="I143" s="3" t="s">
        <v>6913</v>
      </c>
    </row>
    <row r="144" spans="8:9" ht="15">
      <c r="H144" t="str">
        <f ca="1"/>
        <v>hola@mercadodetrianasevilla.com</v>
      </c>
      <c r="I144" s="3" t="s">
        <v>6972</v>
      </c>
    </row>
    <row r="145" spans="8:9" ht="15">
      <c r="H145" t="str">
        <f ca="1"/>
        <v>floresricardo@floresricardo.com</v>
      </c>
      <c r="I145" s="3" t="s">
        <v>7060</v>
      </c>
    </row>
    <row r="146" spans="8:9" ht="15">
      <c r="H146" t="str">
        <f ca="1"/>
        <v>pedidos@lasfloresdelucia.es</v>
      </c>
      <c r="I146" s="3" t="s">
        <v>7175</v>
      </c>
    </row>
    <row r="147" spans="8:9" ht="15">
      <c r="H147" t="str">
        <f ca="1"/>
        <v>info@floristeriafloresparati.com</v>
      </c>
      <c r="I147" s="3" t="s">
        <v>7180</v>
      </c>
    </row>
    <row r="148" spans="8:9" ht="15">
      <c r="H148" t="str">
        <f ca="1"/>
        <v>clavelse@interflora.es</v>
      </c>
      <c r="I148" s="3" t="s">
        <v>7349</v>
      </c>
    </row>
    <row r="149" spans="8:9" ht="15">
      <c r="H149" t="str">
        <f ca="1"/>
        <v>martaquin@yahoo.es</v>
      </c>
      <c r="I149" s="3" t="s">
        <v>7359</v>
      </c>
    </row>
    <row r="150" spans="8:9" ht="15">
      <c r="H150" t="str">
        <f ca="1"/>
        <v>floristeriajardincaridad@hotmail.com</v>
      </c>
      <c r="I150" s="3" t="s">
        <v>7521</v>
      </c>
    </row>
    <row r="151" spans="8:9" ht="15">
      <c r="H151" t="str">
        <f ca="1"/>
        <v>saflor.sevilla@gmail.com</v>
      </c>
      <c r="I151" s="3" t="s">
        <v>7531</v>
      </c>
    </row>
    <row r="152" spans="8:9" ht="15">
      <c r="H152" t="str">
        <f ca="1"/>
        <v>info@florhada.com</v>
      </c>
      <c r="I152" s="3" t="s">
        <v>7544</v>
      </c>
    </row>
    <row r="153" spans="8:9" ht="15">
      <c r="H153" t="str">
        <f ca="1"/>
        <v>info@defloresalnatural.com</v>
      </c>
      <c r="I153" s="3" t="s">
        <v>7603</v>
      </c>
    </row>
    <row r="154" spans="8:9" ht="15">
      <c r="H154" t="str">
        <f ca="1"/>
        <v>floristeriavirgendelrocio@gmail.com</v>
      </c>
      <c r="I154" s="3" t="s">
        <v>7654</v>
      </c>
    </row>
    <row r="155" spans="8:9" ht="15">
      <c r="H155" t="str">
        <f ca="1"/>
        <v>info@gradofloristeria.com</v>
      </c>
      <c r="I155" s="3" t="s">
        <v>7734</v>
      </c>
    </row>
    <row r="156" spans="8:9" ht="15">
      <c r="H156" t="str">
        <f ca="1"/>
        <v>info@tulipa.es</v>
      </c>
      <c r="I156" s="3" t="s">
        <v>7786</v>
      </c>
    </row>
    <row r="157" spans="8:9" ht="15">
      <c r="H157" t="str">
        <f ca="1"/>
        <v>isaac@verdeolivasevilla.com</v>
      </c>
      <c r="I157" s="3" t="s">
        <v>7791</v>
      </c>
    </row>
    <row r="158" spans="8:9" ht="15">
      <c r="H158" t="str">
        <f ca="1"/>
        <v>info@musgojardinesverticales.com</v>
      </c>
      <c r="I158" s="3" t="s">
        <v>7938</v>
      </c>
    </row>
    <row r="159" spans="8:9" ht="15">
      <c r="H159" t="str">
        <f ca="1"/>
        <v>flores@floristeriamarialuisa.es</v>
      </c>
      <c r="I159" s="3" t="s">
        <v>8012</v>
      </c>
    </row>
    <row r="160" spans="8:9" ht="15">
      <c r="H160" t="str">
        <f ca="1"/>
        <v>info@floristeriasalviflor.com</v>
      </c>
      <c r="I160" s="3" t="s">
        <v>8017</v>
      </c>
    </row>
    <row r="161" spans="8:9" ht="15">
      <c r="H161" t="str">
        <f ca="1"/>
        <v>info@globostriana.es</v>
      </c>
      <c r="I161" s="3" t="s">
        <v>8034</v>
      </c>
    </row>
    <row r="162" spans="8:9" ht="15">
      <c r="H162" t="str">
        <f ca="1"/>
        <v>maryflowersfloristeria@gmail.com</v>
      </c>
      <c r="I162" s="3" t="s">
        <v>8038</v>
      </c>
    </row>
    <row r="163" spans="8:9" ht="15">
      <c r="H163" t="str">
        <f ca="1"/>
        <v>floristeriablumen@gmail.com</v>
      </c>
      <c r="I163" s="3" t="s">
        <v>8062</v>
      </c>
    </row>
    <row r="164" spans="8:9" ht="15">
      <c r="H164" t="str">
        <f ca="1"/>
        <v>info@encaromafloristeria.es</v>
      </c>
      <c r="I164" s="3" t="s">
        <v>8067</v>
      </c>
    </row>
    <row r="165" spans="8:9" ht="15">
      <c r="H165" t="str">
        <f ca="1"/>
        <v>info@dtallo.com</v>
      </c>
      <c r="I165" s="3" t="s">
        <v>8091</v>
      </c>
    </row>
    <row r="166" spans="8:9" ht="15">
      <c r="H166" t="str">
        <f ca="1"/>
        <v>blumenserna@jramonsernafloristas.com</v>
      </c>
      <c r="I166" s="3" t="s">
        <v>8119</v>
      </c>
    </row>
    <row r="167" spans="8:9" ht="15">
      <c r="H167" t="str">
        <f ca="1"/>
        <v>info@secadoderamosdenovia.es</v>
      </c>
      <c r="I167" s="3" t="s">
        <v>8147</v>
      </c>
    </row>
    <row r="168" spans="8:9" ht="15">
      <c r="H168" t="str">
        <f ca="1"/>
        <v>info@tocadosyabalorios.com</v>
      </c>
      <c r="I168" s="3" t="s">
        <v>8196</v>
      </c>
    </row>
    <row r="169" spans="8:9" ht="15">
      <c r="H169" t="str">
        <f ca="1"/>
        <v>info@usonfloristas.com</v>
      </c>
      <c r="I169" s="3" t="s">
        <v>8317</v>
      </c>
    </row>
    <row r="170" spans="8:9" ht="15">
      <c r="H170" t="str">
        <f ca="1"/>
        <v>info@brotalia.com</v>
      </c>
      <c r="I170" s="3" t="s">
        <v>8351</v>
      </c>
    </row>
    <row r="171" spans="8:9" ht="15">
      <c r="H171" t="str">
        <f ca="1"/>
        <v>info@flores-benede.com</v>
      </c>
      <c r="I171" s="3" t="s">
        <v>16991</v>
      </c>
    </row>
    <row r="172" spans="8:9" ht="15">
      <c r="H172" t="str">
        <f ca="1"/>
        <v>floresciutad@gmail.com</v>
      </c>
      <c r="I172" s="3" t="s">
        <v>8399</v>
      </c>
    </row>
    <row r="173" spans="8:9" ht="15">
      <c r="H173" t="str">
        <f ca="1"/>
        <v>hola@mayulaflores.es</v>
      </c>
      <c r="I173" s="3" t="s">
        <v>8416</v>
      </c>
    </row>
    <row r="174" spans="8:9" ht="15">
      <c r="H174" t="str">
        <f ca="1"/>
        <v>floristeriatella@hotmail.es</v>
      </c>
      <c r="I174" s="3" t="s">
        <v>8427</v>
      </c>
    </row>
    <row r="175" spans="8:9" ht="15">
      <c r="H175" t="str">
        <f ca="1"/>
        <v>webmaster@julietaskitten.com</v>
      </c>
      <c r="I175" s="3" t="s">
        <v>8442</v>
      </c>
    </row>
    <row r="176" spans="8:9" ht="15">
      <c r="H176" t="str">
        <f ca="1"/>
        <v>decoflor@cincanet.com</v>
      </c>
      <c r="I176" s="3" t="s">
        <v>8518</v>
      </c>
    </row>
    <row r="177" spans="8:9" ht="15">
      <c r="H177" t="str">
        <f ca="1"/>
        <v>info@floristeriabonsaifraga.com</v>
      </c>
      <c r="I177" s="3" t="s">
        <v>8554</v>
      </c>
    </row>
    <row r="178" spans="8:9" ht="15">
      <c r="H178" t="str">
        <f ca="1"/>
        <v>info@seralfloristas.com</v>
      </c>
      <c r="I178" s="3" t="s">
        <v>8564</v>
      </c>
    </row>
    <row r="179" spans="8:9" ht="15">
      <c r="H179" t="str">
        <f ca="1"/>
        <v>floreselena@floreselena.com</v>
      </c>
      <c r="I179" s="3" t="s">
        <v>8576</v>
      </c>
    </row>
    <row r="180" spans="8:9" ht="15">
      <c r="H180" t="str">
        <f ca="1"/>
        <v>info@floristerialarosaleda.com</v>
      </c>
      <c r="I180" s="3" t="s">
        <v>8642</v>
      </c>
    </row>
    <row r="181" spans="8:9" ht="15">
      <c r="H181" t="str">
        <f ca="1"/>
        <v>info@floristeriacanales.es</v>
      </c>
      <c r="I181" s="3" t="s">
        <v>8668</v>
      </c>
    </row>
    <row r="182" spans="8:9" ht="15">
      <c r="H182" t="str">
        <f ca="1"/>
        <v>info@floresvalencianateruel.com</v>
      </c>
      <c r="I182" s="3" t="s">
        <v>8687</v>
      </c>
    </row>
    <row r="183" spans="8:9" ht="15">
      <c r="H183" t="str">
        <f ca="1"/>
        <v>floreselparque@gmail.com</v>
      </c>
      <c r="I183" s="3" t="s">
        <v>8724</v>
      </c>
    </row>
    <row r="184" spans="8:9" ht="15">
      <c r="H184" t="str">
        <f ca="1"/>
        <v>jardinsanfernando@interflora.es</v>
      </c>
      <c r="I184" s="3" t="s">
        <v>8732</v>
      </c>
    </row>
    <row r="185" spans="8:9" ht="15">
      <c r="H185" t="str">
        <f ca="1"/>
        <v>info@milejardin.com</v>
      </c>
      <c r="I185" s="3" t="s">
        <v>8775</v>
      </c>
    </row>
    <row r="186" spans="8:9" ht="15">
      <c r="H186" t="str">
        <f ca="1"/>
        <v>info@aeternalia.com</v>
      </c>
      <c r="I186" s="3" t="s">
        <v>8827</v>
      </c>
    </row>
    <row r="187" spans="8:9" ht="15">
      <c r="H187" t="str">
        <f ca="1"/>
        <v>info@laboutiquedelasflores.es</v>
      </c>
      <c r="I187" s="3" t="s">
        <v>8857</v>
      </c>
    </row>
    <row r="188" spans="8:9" ht="15">
      <c r="H188" t="str">
        <f ca="1"/>
        <v>ana.llombart@hotmail.com</v>
      </c>
      <c r="I188" s="3" t="s">
        <v>8910</v>
      </c>
    </row>
    <row r="189" spans="8:9" ht="15">
      <c r="H189" t="str">
        <f ca="1"/>
        <v>hola@floresenlata.com</v>
      </c>
      <c r="I189" s="3" t="s">
        <v>8917</v>
      </c>
    </row>
    <row r="190" spans="8:9" ht="15">
      <c r="H190" t="str">
        <f ca="1"/>
        <v>floreslazarobaeta@hotmail.com</v>
      </c>
      <c r="I190" s="3" t="s">
        <v>8926</v>
      </c>
    </row>
    <row r="191" spans="8:9" ht="15">
      <c r="H191" t="str">
        <f ca="1"/>
        <v>info@floristeriasayde.com</v>
      </c>
      <c r="I191" s="3" t="s">
        <v>8949</v>
      </c>
    </row>
    <row r="192" spans="8:9" ht="15">
      <c r="H192" t="str">
        <f ca="1"/>
        <v>comercial@saimasqueflores.es</v>
      </c>
      <c r="I192" s="3" t="s">
        <v>9064</v>
      </c>
    </row>
    <row r="193" spans="8:9" ht="15">
      <c r="H193" t="str">
        <f ca="1"/>
        <v>info@floristeriabeaflor.com</v>
      </c>
      <c r="I193" s="3" t="s">
        <v>9086</v>
      </c>
    </row>
    <row r="194" spans="8:9" ht="15">
      <c r="H194" t="str">
        <f ca="1"/>
        <v>irene@floristerialamoderna.com</v>
      </c>
      <c r="I194" s="3" t="s">
        <v>9121</v>
      </c>
    </row>
    <row r="195" spans="8:9" ht="15">
      <c r="H195" t="str">
        <f ca="1"/>
        <v>eva@sieteflores.es</v>
      </c>
      <c r="I195" s="3" t="s">
        <v>9223</v>
      </c>
    </row>
    <row r="196" spans="8:9" ht="15">
      <c r="H196" t="str">
        <f ca="1"/>
        <v>floresmarbid@interflora.es</v>
      </c>
      <c r="I196" s="3" t="s">
        <v>9285</v>
      </c>
    </row>
    <row r="197" spans="8:9" ht="15">
      <c r="H197" t="str">
        <f ca="1"/>
        <v>floreseljardin.zgz@gmail.com</v>
      </c>
      <c r="I197" s="3" t="s">
        <v>9296</v>
      </c>
    </row>
    <row r="198" spans="8:9" ht="15">
      <c r="H198" t="str">
        <f ca="1"/>
        <v>floristeriarosales@floristeriarosales.es</v>
      </c>
      <c r="I198" s="3" t="s">
        <v>9342</v>
      </c>
    </row>
    <row r="199" spans="8:9" ht="15">
      <c r="H199" t="str">
        <f ca="1"/>
        <v>florestorres@florestorres.es</v>
      </c>
      <c r="I199" s="3" t="s">
        <v>9347</v>
      </c>
    </row>
    <row r="200" spans="8:9" ht="15">
      <c r="H200" t="str">
        <f ca="1"/>
        <v>lunadherreiz@hotmail.com</v>
      </c>
      <c r="I200" s="3" t="s">
        <v>9511</v>
      </c>
    </row>
    <row r="201" spans="8:9" ht="15">
      <c r="H201" t="str">
        <f ca="1"/>
        <v>tienda@eliflowers.es</v>
      </c>
      <c r="I201" s="3" t="s">
        <v>9551</v>
      </c>
    </row>
    <row r="202" spans="8:9" ht="15">
      <c r="H202" t="str">
        <f ca="1"/>
        <v>//info@floresmariapilar.net</v>
      </c>
      <c r="I202" s="3" t="s">
        <v>9630</v>
      </c>
    </row>
    <row r="203" spans="8:9" ht="15">
      <c r="H203" t="str">
        <f ca="1"/>
        <v>floristeriaurban@gmail.com</v>
      </c>
      <c r="I203" s="3" t="s">
        <v>9696</v>
      </c>
    </row>
    <row r="204" spans="8:9" ht="15">
      <c r="H204" t="str">
        <f ca="1"/>
        <v>info@boogaloovegetal.com</v>
      </c>
      <c r="I204" s="3" t="s">
        <v>9771</v>
      </c>
    </row>
    <row r="205" spans="8:9" ht="15">
      <c r="H205" t="str">
        <f ca="1"/>
        <v>floreslinacero@floreslinacero.com</v>
      </c>
      <c r="I205" s="3" t="s">
        <v>9841</v>
      </c>
    </row>
    <row r="206" spans="8:9" ht="15">
      <c r="H206" t="str">
        <f ca="1"/>
        <v>info@floristerialasfuentes.com</v>
      </c>
      <c r="I206" s="3" t="s">
        <v>9859</v>
      </c>
    </row>
    <row r="207" spans="8:9" ht="15">
      <c r="H207" t="str">
        <f ca="1"/>
        <v>info@floristeriamyriamaznar.com</v>
      </c>
      <c r="I207" s="3" t="s">
        <v>9889</v>
      </c>
    </row>
    <row r="208" spans="8:9" ht="15">
      <c r="H208" t="str">
        <f ca="1"/>
        <v>info@laorquideazaragoza.com</v>
      </c>
      <c r="I208" s="3" t="s">
        <v>9905</v>
      </c>
    </row>
    <row r="209" spans="8:9" ht="15">
      <c r="H209" t="str">
        <f ca="1"/>
        <v>bienflor@outlook.com</v>
      </c>
      <c r="I209" s="3" t="s">
        <v>9910</v>
      </c>
    </row>
    <row r="210" spans="8:9" ht="15">
      <c r="H210" t="str">
        <f ca="1"/>
        <v>pedidos@lamandragora.com</v>
      </c>
      <c r="I210" s="3" t="s">
        <v>9919</v>
      </c>
    </row>
    <row r="211" spans="8:9" ht="15">
      <c r="H211" t="str">
        <f ca="1"/>
        <v>info@floresohana.com</v>
      </c>
      <c r="I211" s="3" t="s">
        <v>10004</v>
      </c>
    </row>
    <row r="212" spans="8:9" ht="15">
      <c r="H212" t="str">
        <f ca="1"/>
        <v>info@rocioruiz.es</v>
      </c>
      <c r="I212" s="3" t="s">
        <v>10030</v>
      </c>
    </row>
    <row r="213" spans="8:9" ht="15">
      <c r="H213" t="str">
        <f ca="1"/>
        <v>ayuda@laraflor.com</v>
      </c>
      <c r="I213" s="3" t="s">
        <v>10068</v>
      </c>
    </row>
    <row r="214" spans="8:9" ht="15">
      <c r="H214" t="str">
        <f ca="1"/>
        <v>hogar-y-jardin@hotmail.com</v>
      </c>
      <c r="I214" s="3" t="s">
        <v>10080</v>
      </c>
    </row>
    <row r="215" spans="8:9" ht="15">
      <c r="H215" t="str">
        <f ca="1"/>
        <v>info@caprichomoevic.com</v>
      </c>
      <c r="I215" s="3" t="s">
        <v>10166</v>
      </c>
    </row>
    <row r="216" spans="8:9" ht="15">
      <c r="H216" t="str">
        <f ca="1"/>
        <v>info@calvoimayayo.com</v>
      </c>
      <c r="I216" s="3" t="s">
        <v>10187</v>
      </c>
    </row>
    <row r="217" spans="8:9" ht="15">
      <c r="H217" t="str">
        <f ca="1"/>
        <v>regalosizquierdotello@gmail.com</v>
      </c>
      <c r="I217" s="3" t="s">
        <v>10286</v>
      </c>
    </row>
    <row r="218" spans="8:9" ht="15">
      <c r="H218" t="str">
        <f ca="1"/>
        <v>2013-08-31-163623-1381773025@x512.jpg</v>
      </c>
      <c r="I218" s="3" t="s">
        <v>10296</v>
      </c>
    </row>
    <row r="219" spans="8:9" ht="15">
      <c r="H219" t="str">
        <f ca="1"/>
        <v>info@zaraflor.com</v>
      </c>
      <c r="I219" s="3" t="s">
        <v>10301</v>
      </c>
    </row>
    <row r="220" spans="8:9" ht="15">
      <c r="H220" t="str">
        <f ca="1"/>
        <v>info@floreslapalma.es</v>
      </c>
      <c r="I220" s="3" t="s">
        <v>10316</v>
      </c>
    </row>
    <row r="221" spans="8:9" ht="15">
      <c r="H221" t="str">
        <f ca="1"/>
        <v>elcorreoquequieres@correo.com</v>
      </c>
      <c r="I221" s="3" t="s">
        <v>10474</v>
      </c>
    </row>
    <row r="222" spans="8:9" ht="15">
      <c r="H222" t="str">
        <f ca="1"/>
        <v>info@floresmarycarmen.com</v>
      </c>
      <c r="I222" s="3" t="s">
        <v>10490</v>
      </c>
    </row>
    <row r="223" spans="8:9" ht="15">
      <c r="H223" t="str">
        <f ca="1"/>
        <v>anacristinacm64@hotmail.com</v>
      </c>
      <c r="I223" s="3" t="s">
        <v>10605</v>
      </c>
    </row>
    <row r="224" spans="8:9" ht="15">
      <c r="H224" t="str">
        <f ca="1"/>
        <v>ana@floristeriasana.es</v>
      </c>
      <c r="I224" s="3" t="s">
        <v>10641</v>
      </c>
    </row>
    <row r="225" spans="8:9" ht="15">
      <c r="H225" t="str">
        <f ca="1"/>
        <v>info@floresbegona.es</v>
      </c>
      <c r="I225" s="3" t="s">
        <v>10722</v>
      </c>
    </row>
    <row r="226" spans="8:9" ht="15">
      <c r="H226" t="str">
        <f ca="1"/>
        <v>floresdelnorteoviedo@gmail.com</v>
      </c>
      <c r="I226" s="3" t="s">
        <v>10730</v>
      </c>
    </row>
    <row r="227" spans="8:9" ht="15">
      <c r="H227" t="str">
        <f ca="1"/>
        <v>info@floristeriatrebole.com</v>
      </c>
      <c r="I227" s="3" t="s">
        <v>10779</v>
      </c>
    </row>
    <row r="228" spans="8:9" ht="15">
      <c r="H228" t="str">
        <f ca="1"/>
        <v>floreslupe@telecable.es</v>
      </c>
      <c r="I228" s="3" t="s">
        <v>10841</v>
      </c>
    </row>
    <row r="229" spans="8:9" ht="15">
      <c r="H229" t="str">
        <f ca="1"/>
        <v>info@tufloristeriaengijon.com</v>
      </c>
      <c r="I229" s="3" t="s">
        <v>10852</v>
      </c>
    </row>
    <row r="230" spans="8:9" ht="15">
      <c r="H230" t="str">
        <f ca="1"/>
        <v>info@floreslisy.es</v>
      </c>
      <c r="I230" s="3" t="s">
        <v>10882</v>
      </c>
    </row>
    <row r="231" spans="8:9" ht="15">
      <c r="H231" t="str">
        <f ca="1"/>
        <v>floristeria@aramo.org</v>
      </c>
      <c r="I231" s="3" t="s">
        <v>10906</v>
      </c>
    </row>
    <row r="232" spans="8:9" ht="15">
      <c r="H232" t="str">
        <f ca="1"/>
        <v>info@floristeriasancarlos.com</v>
      </c>
      <c r="I232" s="3" t="s">
        <v>10929</v>
      </c>
    </row>
    <row r="233" spans="8:9" ht="15">
      <c r="H233" t="str">
        <f ca="1"/>
        <v>floresgeny@floresgeny.es</v>
      </c>
      <c r="I233" s="3" t="s">
        <v>10949</v>
      </c>
    </row>
    <row r="234" spans="8:9" ht="15">
      <c r="H234" t="str">
        <f ca="1"/>
        <v>beafloroviedo@hotmail.com</v>
      </c>
      <c r="I234" s="3" t="s">
        <v>10953</v>
      </c>
    </row>
    <row r="235" spans="8:9" ht="15">
      <c r="H235" t="str">
        <f ca="1"/>
        <v>info@floristeriafloryfauna.com</v>
      </c>
      <c r="I235" s="3" t="s">
        <v>10963</v>
      </c>
    </row>
    <row r="236" spans="8:9" ht="15">
      <c r="H236" t="str">
        <f ca="1"/>
        <v>volvoretafloristeria@gmail.com</v>
      </c>
      <c r="I236" s="3" t="s">
        <v>10980</v>
      </c>
    </row>
    <row r="237" spans="8:9" ht="15">
      <c r="H237" t="str">
        <f ca="1"/>
        <v>floreseljardin@hotmail.es</v>
      </c>
      <c r="I237" s="3" t="s">
        <v>10986</v>
      </c>
    </row>
    <row r="238" spans="8:9" ht="15">
      <c r="H238" t="str">
        <f ca="1"/>
        <v>info@elflorero.es</v>
      </c>
      <c r="I238" s="3" t="s">
        <v>10996</v>
      </c>
    </row>
    <row r="239" spans="8:9" ht="15">
      <c r="H239" t="str">
        <f ca="1"/>
        <v>ikebanaflor@yahoo.es</v>
      </c>
      <c r="I239" s="3" t="s">
        <v>11018</v>
      </c>
    </row>
    <row r="240" spans="8:9" ht="15">
      <c r="H240" t="str">
        <f ca="1"/>
        <v>info@floresalisma.es</v>
      </c>
      <c r="I240" s="3" t="s">
        <v>11023</v>
      </c>
    </row>
    <row r="241" spans="8:9" ht="15">
      <c r="H241" t="str">
        <f ca="1"/>
        <v>pandofloristas@pandofloristas.es</v>
      </c>
      <c r="I241" s="3" t="s">
        <v>11154</v>
      </c>
    </row>
    <row r="242" spans="8:9" ht="15">
      <c r="H242" t="str">
        <f ca="1"/>
        <v>FLORISTERIA@ROSAROSAM.ES</v>
      </c>
      <c r="I242" s="3" t="s">
        <v>11217</v>
      </c>
    </row>
    <row r="243" spans="8:9" ht="15">
      <c r="H243" t="str">
        <f ca="1"/>
        <v>nokifloristas@gmail.com</v>
      </c>
      <c r="I243" s="3" t="s">
        <v>11258</v>
      </c>
    </row>
    <row r="244" spans="8:9" ht="15">
      <c r="H244" t="str">
        <f ca="1"/>
        <v>floresxana@hotmail.es</v>
      </c>
      <c r="I244" s="3" t="s">
        <v>11288</v>
      </c>
    </row>
    <row r="245" spans="8:9" ht="15">
      <c r="H245" t="str">
        <f ca="1"/>
        <v>info@floristeriamini.com</v>
      </c>
      <c r="I245" s="3" t="s">
        <v>11471</v>
      </c>
    </row>
    <row r="246" spans="8:9" ht="15">
      <c r="H246" t="str">
        <f ca="1"/>
        <v>info@materiabotanica.es</v>
      </c>
      <c r="I246" s="3" t="s">
        <v>11577</v>
      </c>
    </row>
    <row r="247" spans="8:9" ht="15">
      <c r="H247" t="str">
        <f ca="1"/>
        <v>info@marinaflores.com</v>
      </c>
      <c r="I247" s="3" t="s">
        <v>11595</v>
      </c>
    </row>
    <row r="248" spans="8:9" ht="15">
      <c r="H248" t="str">
        <f ca="1"/>
        <v>floristasjoycar@hotmail.com</v>
      </c>
      <c r="I248" s="3" t="s">
        <v>11685</v>
      </c>
    </row>
    <row r="249" spans="8:9" ht="15">
      <c r="H249" t="str">
        <f ca="1"/>
        <v>info@donacurcuma.com</v>
      </c>
      <c r="I249" s="3" t="s">
        <v>11745</v>
      </c>
    </row>
    <row r="250" spans="8:9" ht="15">
      <c r="H250" t="str">
        <f ca="1"/>
        <v>info@formacionfitosanitaria.com</v>
      </c>
      <c r="I250" s="3" t="s">
        <v>11810</v>
      </c>
    </row>
    <row r="251" spans="8:9" ht="15">
      <c r="H251" t="str">
        <f ca="1"/>
        <v>info@tanatorioaller.com</v>
      </c>
      <c r="I251" s="3" t="s">
        <v>11857</v>
      </c>
    </row>
    <row r="252" spans="8:9" ht="15">
      <c r="H252" t="str">
        <f ca="1"/>
        <v>FCC98D85-6E2F-44D6-AFC8-815BC3442797_80x@2x.png</v>
      </c>
      <c r="I252" s="3" t="s">
        <v>11863</v>
      </c>
    </row>
    <row r="253" spans="8:9" ht="15">
      <c r="H253" t="str">
        <f ca="1"/>
        <v>flmarques@floristeriamarques.com</v>
      </c>
      <c r="I253" s="3" t="s">
        <v>11881</v>
      </c>
    </row>
    <row r="254" spans="8:9" ht="15">
      <c r="H254" t="str">
        <f ca="1"/>
        <v>atencionalcliente@floresalba.com</v>
      </c>
      <c r="I254" s="3" t="s">
        <v>12002</v>
      </c>
    </row>
    <row r="255" spans="8:9" ht="15">
      <c r="H255" t="str">
        <f ca="1"/>
        <v>floresbardon@floresbardon.es</v>
      </c>
      <c r="I255" s="3" t="s">
        <v>12082</v>
      </c>
    </row>
    <row r="256" spans="8:9" ht="15">
      <c r="H256" t="str">
        <f ca="1"/>
        <v>info@rosellesiroses.com</v>
      </c>
      <c r="I256" s="3" t="s">
        <v>12095</v>
      </c>
    </row>
    <row r="257" spans="8:9" ht="15">
      <c r="H257" t="str">
        <f ca="1"/>
        <v>info@floristeria-abolengo.com</v>
      </c>
      <c r="I257" s="3" t="s">
        <v>12118</v>
      </c>
    </row>
    <row r="258" spans="8:9" ht="15">
      <c r="H258" t="str">
        <f ca="1"/>
        <v>floristeriaesromani@gmail.com</v>
      </c>
      <c r="I258" s="3" t="s">
        <v>12127</v>
      </c>
    </row>
    <row r="259" spans="8:9" ht="15">
      <c r="H259" t="str">
        <f ca="1"/>
        <v>info@floristeriafrancia.com</v>
      </c>
      <c r="I259" s="3" t="s">
        <v>12218</v>
      </c>
    </row>
    <row r="260" spans="8:9" ht="15">
      <c r="H260" t="str">
        <f ca="1"/>
        <v>paquita@floristeriaesbrot.com</v>
      </c>
      <c r="I260" s="3" t="s">
        <v>12387</v>
      </c>
    </row>
    <row r="261" spans="8:9" ht="15">
      <c r="H261" t="str">
        <f ca="1"/>
        <v>info@flordeflors.com</v>
      </c>
      <c r="I261" s="3" t="s">
        <v>12452</v>
      </c>
    </row>
    <row r="262" spans="8:9" ht="15">
      <c r="H262" t="str">
        <f ca="1"/>
        <v>floristeria@esbonsais.com</v>
      </c>
      <c r="I262" s="3" t="s">
        <v>12509</v>
      </c>
    </row>
    <row r="263" spans="8:9" ht="15">
      <c r="H263" t="str">
        <f ca="1"/>
        <v>info@softline.es</v>
      </c>
      <c r="I263" s="3" t="s">
        <v>12589</v>
      </c>
    </row>
    <row r="264" spans="8:9" ht="15">
      <c r="H264" t="str">
        <f ca="1"/>
        <v>hola@rosazul.es</v>
      </c>
      <c r="I264" s="3" t="s">
        <v>12610</v>
      </c>
    </row>
    <row r="265" spans="8:9" ht="15">
      <c r="H265" t="str">
        <f ca="1"/>
        <v>info@girasolpalma.es</v>
      </c>
      <c r="I265" s="3" t="s">
        <v>12633</v>
      </c>
    </row>
    <row r="266" spans="8:9" ht="15">
      <c r="H266" t="str">
        <f ca="1"/>
        <v>f-violetamallorca@hotmail.com</v>
      </c>
      <c r="I266" s="3" t="s">
        <v>12739</v>
      </c>
    </row>
    <row r="267" spans="8:9" ht="15">
      <c r="H267" t="str">
        <f ca="1"/>
        <v>info@floristeriaesroseret.es</v>
      </c>
      <c r="I267" s="3" t="s">
        <v>12774</v>
      </c>
    </row>
    <row r="268" spans="8:9" ht="15">
      <c r="H268" t="str">
        <f ca="1"/>
        <v>flowers@joannawalton.com</v>
      </c>
      <c r="I268" s="3" t="s">
        <v>12794</v>
      </c>
    </row>
    <row r="269" spans="8:9" ht="15">
      <c r="H269" t="str">
        <f ca="1"/>
        <v>esjardi@esjardi.es</v>
      </c>
      <c r="I269" s="3" t="s">
        <v>12816</v>
      </c>
    </row>
    <row r="270" spans="8:9" ht="15">
      <c r="H270" t="str">
        <f ca="1"/>
        <v>Jussivolanen.student@ksgyf.se</v>
      </c>
      <c r="I270" s="3" t="s">
        <v>12826</v>
      </c>
    </row>
    <row r="271" spans="8:9" ht="15">
      <c r="H271" t="str">
        <f ca="1"/>
        <v>jramonferragut@yahoo.es</v>
      </c>
      <c r="I271" s="3" t="s">
        <v>12840</v>
      </c>
    </row>
    <row r="272" spans="8:9" ht="15">
      <c r="H272" t="str">
        <f ca="1"/>
        <v>orhibea@icloud.com</v>
      </c>
      <c r="I272" s="3" t="s">
        <v>12869</v>
      </c>
    </row>
    <row r="273" spans="8:9" ht="15">
      <c r="H273" t="str">
        <f ca="1"/>
        <v>info@jardinerosmallorca.com</v>
      </c>
      <c r="I273" s="3" t="s">
        <v>12873</v>
      </c>
    </row>
    <row r="274" spans="8:9" ht="15">
      <c r="H274" t="str">
        <f ca="1"/>
        <v>info@enspiral.es</v>
      </c>
      <c r="I274" s="3" t="s">
        <v>12941</v>
      </c>
    </row>
    <row r="275" spans="8:9" ht="15">
      <c r="H275" t="str">
        <f ca="1"/>
        <v>hola@mercaflores.es</v>
      </c>
      <c r="I275" s="3" t="s">
        <v>12950</v>
      </c>
    </row>
    <row r="276" spans="8:9" ht="15">
      <c r="H276" t="str">
        <f ca="1"/>
        <v>jhenares@decodigit.es</v>
      </c>
      <c r="I276" s="3" t="s">
        <v>13037</v>
      </c>
    </row>
    <row r="277" spans="8:9" ht="15">
      <c r="H277" t="str">
        <f ca="1"/>
        <v>floristerialita@hotmail.es</v>
      </c>
      <c r="I277" s="3" t="s">
        <v>13136</v>
      </c>
    </row>
    <row r="278" spans="8:9" ht="15">
      <c r="H278" t="str">
        <f ca="1"/>
        <v>info@floresymas-mallorca.es</v>
      </c>
      <c r="I278" s="3" t="s">
        <v>13159</v>
      </c>
    </row>
    <row r="279" spans="8:9" ht="15">
      <c r="H279" t="str">
        <f ca="1"/>
        <v>floristeria.ambiental@gmail.com</v>
      </c>
      <c r="I279" s="3" t="s">
        <v>13319</v>
      </c>
    </row>
    <row r="280" spans="8:9" ht="15">
      <c r="H280" t="str">
        <f ca="1"/>
        <v>info@flowersforyachtsmallorca.com</v>
      </c>
      <c r="I280" s="3" t="s">
        <v>13340</v>
      </c>
    </row>
    <row r="281" spans="8:9" ht="15">
      <c r="H281" t="str">
        <f ca="1"/>
        <v>leaflet@1.6.0</v>
      </c>
      <c r="I281" s="3" t="s">
        <v>13345</v>
      </c>
    </row>
    <row r="282" spans="8:9" ht="15">
      <c r="H282" t="str">
        <f ca="1"/>
        <v>info@cliviaevents.com</v>
      </c>
      <c r="I282" s="3" t="s">
        <v>13377</v>
      </c>
    </row>
    <row r="283" spans="8:9" ht="15">
      <c r="H283" t="str">
        <f ca="1"/>
        <v>info@bethfloralartevents.com</v>
      </c>
      <c r="I283" s="3" t="s">
        <v>13382</v>
      </c>
    </row>
    <row r="284" spans="8:9" ht="15">
      <c r="H284" t="str">
        <f ca="1"/>
        <v>f.fullana@telefonica.net</v>
      </c>
      <c r="I284" s="3" t="s">
        <v>13410</v>
      </c>
    </row>
    <row r="285" spans="8:9" ht="15">
      <c r="H285" t="str">
        <f ca="1"/>
        <v>info@larosaledapalmademallorca.com</v>
      </c>
      <c r="I285" s="3" t="s">
        <v>13435</v>
      </c>
    </row>
    <row r="286" spans="8:9" ht="15">
      <c r="H286" t="str">
        <f ca="1"/>
        <v>info@atelierdekentia.com</v>
      </c>
      <c r="I286" s="3" t="s">
        <v>13567</v>
      </c>
    </row>
    <row r="287" spans="8:9" ht="15">
      <c r="H287" t="str">
        <f ca="1"/>
        <v>sapunta@seznam.cz</v>
      </c>
      <c r="I287" s="3" t="s">
        <v>13576</v>
      </c>
    </row>
    <row r="288" spans="8:9" ht="15">
      <c r="H288" t="str">
        <f ca="1"/>
        <v>administracion@pompasfunebresibiza.es</v>
      </c>
      <c r="I288" s="3" t="s">
        <v>13624</v>
      </c>
    </row>
    <row r="289" spans="8:9" ht="15">
      <c r="H289" t="str">
        <f ca="1"/>
        <v>hola@blossyou.com</v>
      </c>
      <c r="I289" s="3" t="s">
        <v>13660</v>
      </c>
    </row>
    <row r="290" spans="8:9" ht="15">
      <c r="H290" t="str">
        <f ca="1"/>
        <v>info@ikebanamenorca.com</v>
      </c>
      <c r="I290" s="3" t="s">
        <v>13684</v>
      </c>
    </row>
    <row r="291" spans="8:9" ht="15">
      <c r="H291" t="str">
        <f ca="1"/>
        <v>info@floristeriaavinguda.com</v>
      </c>
      <c r="I291" s="3" t="s">
        <v>13802</v>
      </c>
    </row>
    <row r="292" spans="8:9" ht="15">
      <c r="H292" t="str">
        <f ca="1"/>
        <v>ribassas@hotmail.com</v>
      </c>
      <c r="I292" s="3" t="s">
        <v>13849</v>
      </c>
    </row>
    <row r="293" spans="8:9" ht="15">
      <c r="H293" t="str">
        <f ca="1"/>
        <v>hola@jardindellucmajor.com</v>
      </c>
      <c r="I293" s="3" t="s">
        <v>13911</v>
      </c>
    </row>
    <row r="294" spans="8:9" ht="15">
      <c r="H294" t="str">
        <f ca="1"/>
        <v>floristeriaanais@gmail.com</v>
      </c>
      <c r="I294" s="3" t="s">
        <v>13919</v>
      </c>
    </row>
    <row r="295" spans="8:9" ht="15">
      <c r="H295" t="str">
        <f ca="1"/>
        <v>info@floristeriamarmolflor.com</v>
      </c>
      <c r="I295" s="3" t="s">
        <v>14040</v>
      </c>
    </row>
    <row r="296" spans="8:9" ht="15">
      <c r="H296" t="str">
        <f ca="1"/>
        <v>kentiaflores@gmail.com</v>
      </c>
      <c r="I296" s="3" t="s">
        <v>14053</v>
      </c>
    </row>
    <row r="297" spans="8:9" ht="15">
      <c r="H297" t="str">
        <f ca="1"/>
        <v>info@kentiafloristeria.com</v>
      </c>
      <c r="I297" s="3" t="s">
        <v>14124</v>
      </c>
    </row>
    <row r="298" spans="8:9" ht="15">
      <c r="H298" t="str">
        <f ca="1"/>
        <v>info@lafloristericanarias.es</v>
      </c>
      <c r="I298" s="3" t="s">
        <v>14151</v>
      </c>
    </row>
    <row r="299" spans="8:9" ht="15">
      <c r="H299" t="str">
        <f ca="1"/>
        <v>pwacompat@2.0.9</v>
      </c>
      <c r="I299" s="3" t="s">
        <v>14170</v>
      </c>
    </row>
    <row r="300" spans="8:9" ht="15">
      <c r="H300" t="str">
        <f ca="1"/>
        <v>pedidos@floristeriayeventosazahar.com</v>
      </c>
      <c r="I300" s="3" t="s">
        <v>14177</v>
      </c>
    </row>
    <row r="301" spans="8:9" ht="15">
      <c r="H301" t="str">
        <f ca="1"/>
        <v>hesperia2@interflora.es</v>
      </c>
      <c r="I301" s="3" t="s">
        <v>14205</v>
      </c>
    </row>
    <row r="302" spans="8:9" ht="15">
      <c r="H302" t="str">
        <f ca="1"/>
        <v>acliente@interflora.es</v>
      </c>
      <c r="I302" s="3" t="s">
        <v>14210</v>
      </c>
    </row>
    <row r="303" spans="8:9" ht="15">
      <c r="H303" t="str">
        <f ca="1"/>
        <v>gladysfloryumbo@gmail.com</v>
      </c>
      <c r="I303" s="3" t="s">
        <v>14218</v>
      </c>
    </row>
    <row r="304" spans="8:9" ht="15">
      <c r="H304" t="str">
        <f ca="1"/>
        <v>info@hariflor.com</v>
      </c>
      <c r="I304" s="3" t="s">
        <v>14228</v>
      </c>
    </row>
    <row r="305" spans="8:9" ht="15">
      <c r="H305" t="str">
        <f ca="1"/>
        <v>a36b86319e6542838a534122c8870e3f@sentry.qdqmedia.com</v>
      </c>
      <c r="I305" s="3" t="s">
        <v>14331</v>
      </c>
    </row>
    <row r="306" spans="8:9" ht="15">
      <c r="H306" t="str">
        <f ca="1"/>
        <v>admin@floristeriajap.com</v>
      </c>
      <c r="I306" s="3" t="s">
        <v>14344</v>
      </c>
    </row>
    <row r="307" spans="8:9" ht="15">
      <c r="H307" t="str">
        <f ca="1"/>
        <v>info@floristerialosnopales.com</v>
      </c>
      <c r="I307" s="3" t="s">
        <v>14375</v>
      </c>
    </row>
    <row r="308" spans="8:9" ht="15">
      <c r="H308" t="str">
        <f ca="1"/>
        <v>floraltamiraverde@hotmail.com</v>
      </c>
      <c r="I308" s="3" t="s">
        <v>14380</v>
      </c>
    </row>
    <row r="309" spans="8:9" ht="15">
      <c r="H309" t="str">
        <f ca="1"/>
        <v>rojo_amapola@yahoo.es</v>
      </c>
      <c r="I309" s="3" t="s">
        <v>14412</v>
      </c>
    </row>
    <row r="310" spans="8:9" ht="15">
      <c r="H310" t="str">
        <f ca="1"/>
        <v>eibeic178@gmail.com</v>
      </c>
      <c r="I310" s="3" t="s">
        <v>14481</v>
      </c>
    </row>
    <row r="311" spans="8:9" ht="15">
      <c r="H311" t="str">
        <f ca="1"/>
        <v>info@tiendasguayrin.com</v>
      </c>
      <c r="I311" s="3" t="s">
        <v>14494</v>
      </c>
    </row>
    <row r="312" spans="8:9" ht="15">
      <c r="H312" t="str">
        <f ca="1"/>
        <v>lacameliaflor@gmail.com</v>
      </c>
      <c r="I312" s="3" t="s">
        <v>14499</v>
      </c>
    </row>
    <row r="313" spans="8:9" ht="15">
      <c r="H313" t="str">
        <f ca="1"/>
        <v>pedidos@floristeriaaloe.es</v>
      </c>
      <c r="I313" s="3" t="s">
        <v>14528</v>
      </c>
    </row>
    <row r="314" spans="8:9" ht="15">
      <c r="H314" t="str">
        <f ca="1"/>
        <v>info@marantafloristeria.es</v>
      </c>
      <c r="I314" s="3" t="s">
        <v>14578</v>
      </c>
    </row>
    <row r="315" spans="8:9" ht="15">
      <c r="H315" t="str">
        <f ca="1"/>
        <v>info@mercibouquet.es</v>
      </c>
      <c r="I315" s="3" t="s">
        <v>14680</v>
      </c>
    </row>
    <row r="316" spans="8:9" ht="15">
      <c r="H316" t="str">
        <f ca="1"/>
        <v>info@zonatranvia.com</v>
      </c>
      <c r="I316" s="3" t="s">
        <v>14697</v>
      </c>
    </row>
    <row r="317" spans="8:9" ht="15">
      <c r="H317" t="str">
        <f ca="1"/>
        <v>info@floristeriatenerife.com</v>
      </c>
      <c r="I317" s="3" t="s">
        <v>14708</v>
      </c>
    </row>
    <row r="318" spans="8:9" ht="15">
      <c r="H318" t="str">
        <f ca="1"/>
        <v>floreselpatio@gmail.com</v>
      </c>
      <c r="I318" s="3" t="s">
        <v>14713</v>
      </c>
    </row>
    <row r="319" spans="8:9" ht="15">
      <c r="H319" t="str">
        <f ca="1"/>
        <v>su-email@ejemplo.com</v>
      </c>
      <c r="I319" s="3" t="s">
        <v>14744</v>
      </c>
    </row>
    <row r="320" spans="8:9" ht="15">
      <c r="H320" t="str">
        <f ca="1"/>
        <v>info@floristeriakiri.es</v>
      </c>
      <c r="I320" s="3" t="s">
        <v>14834</v>
      </c>
    </row>
    <row r="321" spans="8:9" ht="15">
      <c r="H321" t="str">
        <f ca="1"/>
        <v>info@floreslara.com</v>
      </c>
      <c r="I321" s="3" t="s">
        <v>14844</v>
      </c>
    </row>
    <row r="322" spans="8:9" ht="15">
      <c r="H322" t="str">
        <f ca="1"/>
        <v>informacion@bejequeentutejado.com</v>
      </c>
      <c r="I322" s="3" t="s">
        <v>14862</v>
      </c>
    </row>
    <row r="323" spans="8:9" ht="15">
      <c r="H323" t="str">
        <f ca="1"/>
        <v>info@naturart.es</v>
      </c>
      <c r="I323" s="3" t="s">
        <v>14867</v>
      </c>
    </row>
    <row r="324" spans="8:9" ht="15">
      <c r="H324" t="str">
        <f ca="1"/>
        <v>info@canarius.com</v>
      </c>
      <c r="I324" s="3" t="s">
        <v>14962</v>
      </c>
    </row>
    <row r="325" spans="8:9" ht="15">
      <c r="H325" t="str">
        <f ca="1"/>
        <v>info@flordemundo.es</v>
      </c>
      <c r="I325" s="3" t="s">
        <v>15023</v>
      </c>
    </row>
    <row r="326" spans="8:9" ht="15">
      <c r="H326" t="str">
        <f ca="1"/>
        <v>info@rootsmacaronesia.com</v>
      </c>
      <c r="I326" s="3" t="s">
        <v>15098</v>
      </c>
    </row>
    <row r="327" spans="8:9" ht="15">
      <c r="H327" t="str">
        <f ca="1"/>
        <v>info@eldraguito.com</v>
      </c>
      <c r="I327" s="3" t="s">
        <v>15150</v>
      </c>
    </row>
    <row r="328" spans="8:9" ht="15">
      <c r="H328" t="str">
        <f ca="1"/>
        <v>info@joseperezfloresyplantas.es</v>
      </c>
      <c r="I328" s="3" t="s">
        <v>15392</v>
      </c>
    </row>
    <row r="329" spans="8:9" ht="15">
      <c r="H329" t="str">
        <f ca="1"/>
        <v>info@floristeriamora.com</v>
      </c>
      <c r="I329" s="3" t="s">
        <v>15453</v>
      </c>
    </row>
    <row r="330" spans="8:9" ht="15">
      <c r="H330" t="str">
        <f ca="1"/>
        <v>info@calasfloristas.es</v>
      </c>
      <c r="I330" s="3" t="s">
        <v>15472</v>
      </c>
    </row>
    <row r="331" spans="8:9" ht="15">
      <c r="H331" t="str">
        <f ca="1"/>
        <v>info@floresvaldecilla.net</v>
      </c>
      <c r="I331" s="3" t="s">
        <v>15488</v>
      </c>
    </row>
    <row r="332" spans="8:9" ht="15">
      <c r="H332" t="str">
        <f ca="1"/>
        <v>floristeriapaula@hotmail.com</v>
      </c>
      <c r="I332" s="3" t="s">
        <v>15525</v>
      </c>
    </row>
    <row r="333" spans="8:9" ht="15">
      <c r="H333" t="str">
        <f ca="1"/>
        <v>info@floristeriarebolledo.es</v>
      </c>
      <c r="I333" s="3" t="s">
        <v>15531</v>
      </c>
    </row>
    <row r="334" spans="8:9" ht="15">
      <c r="H334" t="str">
        <f ca="1"/>
        <v>info@floristeriaeljardin.com</v>
      </c>
      <c r="I334" s="3" t="s">
        <v>15610</v>
      </c>
    </row>
    <row r="335" spans="8:9" ht="15">
      <c r="H335" t="str">
        <f ca="1"/>
        <v>info@floristeriaaromas.com</v>
      </c>
      <c r="I335" s="3" t="s">
        <v>15639</v>
      </c>
    </row>
    <row r="336" spans="8:9" ht="15">
      <c r="H336" t="str">
        <f ca="1"/>
        <v>info@entreflorescantabria.com</v>
      </c>
      <c r="I336" s="3" t="s">
        <v>15664</v>
      </c>
    </row>
    <row r="337" spans="8:9" ht="15">
      <c r="H337" t="str">
        <f ca="1"/>
        <v>fernandoaltea76@hotmail.com</v>
      </c>
      <c r="I337" s="3" t="s">
        <v>15696</v>
      </c>
    </row>
    <row r="338" spans="8:9" ht="15">
      <c r="H338" t="str">
        <f ca="1"/>
        <v>yedra@yedrafloristeria.es</v>
      </c>
      <c r="I338" s="3" t="s">
        <v>15787</v>
      </c>
    </row>
    <row r="339" spans="8:9" ht="15">
      <c r="H339" t="str">
        <f ca="1"/>
        <v>hola@lafuentefloristas.es</v>
      </c>
      <c r="I339" s="3" t="s">
        <v>15811</v>
      </c>
    </row>
    <row r="340" spans="8:9" ht="15">
      <c r="H340" t="str">
        <f ca="1"/>
        <v>simple-line-icons@2.4.1</v>
      </c>
      <c r="I340" s="3" t="s">
        <v>15817</v>
      </c>
    </row>
    <row r="341" spans="8:9" ht="15">
      <c r="H341" t="str">
        <f ca="1"/>
        <v>ignacio@viveroslabarrera.com</v>
      </c>
      <c r="I341" s="3" t="s">
        <v>16992</v>
      </c>
    </row>
    <row r="342" spans="8:9" ht="15">
      <c r="H342" t="str">
        <f ca="1"/>
        <v>nanifolki@gmail.com</v>
      </c>
      <c r="I342" s="3" t="s">
        <v>15900</v>
      </c>
    </row>
    <row r="343" spans="8:9" ht="15">
      <c r="H343" t="str">
        <f ca="1"/>
        <v>ciriaco@ciriacofloristeria.com</v>
      </c>
      <c r="I343" s="3" t="s">
        <v>15924</v>
      </c>
    </row>
    <row r="344" spans="8:9" ht="15">
      <c r="H344" t="str">
        <f ca="1"/>
        <v>micorreo@gmail.com</v>
      </c>
      <c r="I344" s="3" t="s">
        <v>15948</v>
      </c>
    </row>
    <row r="345" spans="8:9" ht="15">
      <c r="H345" t="str">
        <f ca="1"/>
        <v>junglasantander@gmail.com</v>
      </c>
      <c r="I345" s="3" t="s">
        <v>16051</v>
      </c>
    </row>
    <row r="346" spans="8:9" ht="15">
      <c r="H346" t="str">
        <f ca="1"/>
        <v>eufloria.santander@gmail.com</v>
      </c>
      <c r="I346" s="3" t="s">
        <v>16171</v>
      </c>
    </row>
    <row r="347" spans="8:9" ht="15">
      <c r="H347" t="str">
        <f ca="1"/>
        <v>hortelanna@hotmail.com</v>
      </c>
      <c r="I347" s="3" t="s">
        <v>16191</v>
      </c>
    </row>
    <row r="348" spans="8:9" ht="15">
      <c r="H348" t="str">
        <f ca="1"/>
        <v>appstore@2x.png</v>
      </c>
      <c r="I348" s="3" t="s">
        <v>16302</v>
      </c>
    </row>
    <row r="349" spans="8:9" ht="15">
      <c r="H349" t="str">
        <f ca="1"/>
        <v>info@centrojardineriaostende.es</v>
      </c>
      <c r="I349" s="3" t="s">
        <v>16326</v>
      </c>
    </row>
    <row r="350" spans="8:9" ht="15">
      <c r="H350" t="str">
        <f ca="1"/>
        <v>info@gvevents.es</v>
      </c>
      <c r="I350" s="3" t="s">
        <v>16374</v>
      </c>
    </row>
    <row r="351" spans="8:9" ht="15">
      <c r="H351" t="str">
        <f ca="1"/>
        <v>loreaninar@gmail.com</v>
      </c>
      <c r="I351" s="3" t="s">
        <v>16383</v>
      </c>
    </row>
    <row r="352" spans="8:9" ht="15">
      <c r="H352" t="str">
        <f ca="1"/>
        <v>info@floresalba.es</v>
      </c>
      <c r="I352" s="3" t="s">
        <v>16413</v>
      </c>
    </row>
    <row r="353" spans="8:9" ht="15">
      <c r="H353" t="str">
        <f ca="1"/>
        <v>hola@harvestwoodandflowers.com</v>
      </c>
      <c r="I353" s="3" t="s">
        <v>16436</v>
      </c>
    </row>
    <row r="354" spans="8:9" ht="15">
      <c r="H354" t="str">
        <f ca="1"/>
        <v>begoniafloristeria@gmail.com</v>
      </c>
      <c r="I354" s="3" t="s">
        <v>16468</v>
      </c>
    </row>
    <row r="355" spans="8:9" ht="15">
      <c r="H355" t="str">
        <f ca="1"/>
        <v>info@floristeriaferia25.com</v>
      </c>
      <c r="I355" s="3" t="s">
        <v>16487</v>
      </c>
    </row>
    <row r="356" spans="8:9" ht="15">
      <c r="H356" t="str">
        <f ca="1"/>
        <v>reche@floristeriasreche.com</v>
      </c>
      <c r="I356" s="3" t="s">
        <v>16515</v>
      </c>
    </row>
    <row r="357" spans="8:9" ht="15">
      <c r="H357" t="str">
        <f ca="1"/>
        <v>cortes2@interflora.es</v>
      </c>
      <c r="I357" s="3" t="s">
        <v>16720</v>
      </c>
    </row>
    <row r="358" spans="8:9" ht="15">
      <c r="H358" t="str">
        <f ca="1"/>
        <v>info@martinezfloristas.com</v>
      </c>
      <c r="I358" s="3" t="s">
        <v>16725</v>
      </c>
    </row>
    <row r="359" spans="8:9" ht="15">
      <c r="H359" t="str">
        <f ca="1"/>
        <v>info@amibolakokedamas.es</v>
      </c>
      <c r="I359" s="3" t="s">
        <v>16732</v>
      </c>
    </row>
    <row r="360" spans="8:9" ht="15">
      <c r="H360" t="str">
        <f ca="1"/>
        <v>j.rodenas@hotmail.com</v>
      </c>
      <c r="I360" s="3" t="s">
        <v>16769</v>
      </c>
    </row>
    <row r="361" spans="8:9" ht="15">
      <c r="H361" t="str">
        <f ca="1"/>
        <v>elpaisajefloral@gmail.com</v>
      </c>
      <c r="I361" s="3" t="s">
        <v>16785</v>
      </c>
    </row>
    <row r="362" spans="8:9" ht="15">
      <c r="H362" t="str">
        <f ca="1"/>
        <v>info@innovaflor.es</v>
      </c>
      <c r="I362" s="3" t="s">
        <v>16803</v>
      </c>
    </row>
    <row r="363" spans="8:9" ht="15">
      <c r="H363" t="str">
        <f ca="1"/>
        <v>info@damafloristeria.com</v>
      </c>
      <c r="I363" s="3" t="s">
        <v>16811</v>
      </c>
    </row>
    <row r="364" spans="8:9" ht="15">
      <c r="H364" t="str">
        <f ca="1"/>
        <v>correo@salvaflor.com</v>
      </c>
      <c r="I364" s="3" t="s">
        <v>16827</v>
      </c>
    </row>
    <row r="365" spans="8:9" ht="15">
      <c r="H365" t="str">
        <f ca="1"/>
        <v>info@ruralzona.es</v>
      </c>
      <c r="I365" s="3" t="s">
        <v>16831</v>
      </c>
    </row>
    <row r="366" spans="8:9" ht="15">
      <c r="H366" t="str">
        <f ca="1"/>
        <v>reservas@patiodelasflores.es</v>
      </c>
      <c r="I366" s="3" t="s">
        <v>16910</v>
      </c>
    </row>
    <row r="367" spans="8:9">
      <c r="H367" t="str">
        <f ca="1"/>
        <v>alicia@edenartefloral.com</v>
      </c>
    </row>
    <row r="368" spans="8:9">
      <c r="H368" t="str">
        <f ca="1"/>
        <v>info@floristeria-fina.es</v>
      </c>
    </row>
    <row r="369" spans="8:8">
      <c r="H369" t="str">
        <f ca="1"/>
        <v>floristeriaelpasaje@hotmail.es</v>
      </c>
    </row>
    <row r="370" spans="8:8">
      <c r="H370" t="str">
        <f ca="1"/>
        <v>info@viverossanti.com</v>
      </c>
    </row>
    <row r="371" spans="8:8">
      <c r="H371" t="str">
        <f ca="1"/>
        <v>floristerialoli.cr@gmail.com</v>
      </c>
    </row>
    <row r="372" spans="8:8">
      <c r="H372" t="str">
        <f ca="1"/>
        <v>floristeriatujardin@gmail.com</v>
      </c>
    </row>
    <row r="373" spans="8:8">
      <c r="H373" t="str">
        <f ca="1"/>
        <v>info@floristeriamusgo.com</v>
      </c>
    </row>
    <row r="374" spans="8:8">
      <c r="H374" t="str">
        <f ca="1"/>
        <v>scazonlopez@hotmail.com</v>
      </c>
    </row>
    <row r="375" spans="8:8">
      <c r="H375" t="str">
        <f ca="1"/>
        <v>diazfloristasestrella@gmail.com</v>
      </c>
    </row>
    <row r="376" spans="8:8">
      <c r="H376" t="str">
        <f ca="1"/>
        <v>jesusmerlo@jardin-flor.net</v>
      </c>
    </row>
    <row r="377" spans="8:8">
      <c r="H377" t="str">
        <f ca="1"/>
        <v>info@floristeriairisvaldepenas.es</v>
      </c>
    </row>
    <row r="378" spans="8:8">
      <c r="H378" t="str">
        <f ca="1"/>
        <v>info@floristeriaabelmar.es</v>
      </c>
    </row>
    <row r="379" spans="8:8">
      <c r="H379" t="str">
        <f ca="1"/>
        <v>floristeria.jazmin@hotmail.com</v>
      </c>
    </row>
    <row r="380" spans="8:8">
      <c r="H380" t="str">
        <f ca="1"/>
        <v>tecnico@lasjaras.es</v>
      </c>
    </row>
    <row r="381" spans="8:8">
      <c r="H381" t="str">
        <f ca="1"/>
        <v>info@joanafloristeria.com</v>
      </c>
    </row>
    <row r="382" spans="8:8">
      <c r="H382" t="str">
        <f ca="1"/>
        <v>info@flordenacar.es</v>
      </c>
    </row>
    <row r="383" spans="8:8">
      <c r="H383" t="str">
        <f ca="1"/>
        <v>info@viveroslamezquita.com</v>
      </c>
    </row>
    <row r="384" spans="8:8">
      <c r="H384" t="str">
        <f ca="1"/>
        <v>hola@tribool.es</v>
      </c>
    </row>
    <row r="385" spans="8:8">
      <c r="H385" t="str">
        <f ca="1"/>
        <v>press@ueni.com</v>
      </c>
    </row>
    <row r="386" spans="8:8">
      <c r="H386" t="str">
        <f ca="1"/>
        <v>floresiristarancon@gmail.com</v>
      </c>
    </row>
    <row r="387" spans="8:8">
      <c r="H387" t="str">
        <f ca="1"/>
        <v>floromantic@gmail.com</v>
      </c>
    </row>
    <row r="388" spans="8:8">
      <c r="H388" t="str">
        <f ca="1"/>
        <v>info@jimdo.com</v>
      </c>
    </row>
    <row r="389" spans="8:8">
      <c r="H389" t="str">
        <f ca="1"/>
        <v>contacto@azaleajardineria.com</v>
      </c>
    </row>
    <row r="390" spans="8:8">
      <c r="H390" t="str">
        <f ca="1"/>
        <v>atencioncliente@elmercadodelasflores.com</v>
      </c>
    </row>
    <row r="391" spans="8:8">
      <c r="H391" t="str">
        <f ca="1"/>
        <v>bodas@rosifybox.com</v>
      </c>
    </row>
    <row r="392" spans="8:8">
      <c r="H392" t="str">
        <f ca="1"/>
        <v>info@elobradordelasflores.com</v>
      </c>
    </row>
    <row r="393" spans="8:8">
      <c r="H393" t="str">
        <f ca="1"/>
        <v>neilla_neilla@yahoo.com</v>
      </c>
    </row>
    <row r="394" spans="8:8">
      <c r="H394" t="str">
        <f ca="1"/>
        <v>info@fernandoespadas.com</v>
      </c>
    </row>
    <row r="395" spans="8:8">
      <c r="H395" t="str">
        <f ca="1"/>
        <v>info@florestiare.com</v>
      </c>
    </row>
    <row r="396" spans="8:8">
      <c r="H396" t="str">
        <f ca="1"/>
        <v>floristeria@espaicol.com</v>
      </c>
    </row>
    <row r="397" spans="8:8">
      <c r="H397" t="str">
        <f ca="1"/>
        <v>envios@bondaiflowers.com</v>
      </c>
    </row>
    <row r="398" spans="8:8">
      <c r="H398" t="str">
        <f ca="1"/>
        <v>Polen_typo_BLACK_75x@2x.png</v>
      </c>
    </row>
    <row r="399" spans="8:8">
      <c r="H399" t="str">
        <f ca="1"/>
        <v>ang1968leo@hotmail.com</v>
      </c>
    </row>
    <row r="400" spans="8:8">
      <c r="H400" t="str">
        <f ca="1"/>
        <v>ontse@interflora.es</v>
      </c>
    </row>
    <row r="401" spans="8:8">
      <c r="H401" t="str">
        <f ca="1"/>
        <v>chrismel@interflora.es</v>
      </c>
    </row>
    <row r="402" spans="8:8">
      <c r="H402" t="str">
        <f ca="1"/>
        <v>info@hierbadenacar.com</v>
      </c>
    </row>
    <row r="403" spans="8:8">
      <c r="H403" t="str">
        <f ca="1"/>
        <v>info@viveroelcasar.com</v>
      </c>
    </row>
    <row r="404" spans="8:8">
      <c r="H404" t="str">
        <f ca="1"/>
        <v>info@floristeriadetomas.es</v>
      </c>
    </row>
    <row r="405" spans="8:8">
      <c r="H405" t="str">
        <f ca="1"/>
        <v>info@floristeriasantosalcala.com</v>
      </c>
    </row>
    <row r="406" spans="8:8">
      <c r="H406" t="str">
        <f ca="1"/>
        <v>pedidos@losababoles.com</v>
      </c>
    </row>
    <row r="407" spans="8:8">
      <c r="H407" t="str">
        <f ca="1"/>
        <v>info@floristeriapetalosalcala.com</v>
      </c>
    </row>
    <row r="408" spans="8:8">
      <c r="H408" t="str">
        <f ca="1"/>
        <v>info@hortensiartefloral.com</v>
      </c>
    </row>
    <row r="409" spans="8:8">
      <c r="H409" t="str">
        <f ca="1"/>
        <v>Logo@0.5x-e1536489261497.png</v>
      </c>
    </row>
    <row r="410" spans="8:8">
      <c r="H410" t="str">
        <f ca="1"/>
        <v>floresmaravilla@hotmail.com</v>
      </c>
    </row>
    <row r="411" spans="8:8">
      <c r="H411" t="str">
        <f ca="1"/>
        <v>deflorenflortoledo@gmail.com</v>
      </c>
    </row>
    <row r="412" spans="8:8">
      <c r="H412" t="str">
        <f ca="1"/>
        <v>eljardindeali@hotmail.com</v>
      </c>
    </row>
    <row r="413" spans="8:8">
      <c r="H413" t="str">
        <f ca="1"/>
        <v>info@adolfofloristas.com</v>
      </c>
    </row>
    <row r="414" spans="8:8">
      <c r="H414" t="str">
        <f ca="1"/>
        <v>floristeriasalandalus@gmail.com</v>
      </c>
    </row>
    <row r="415" spans="8:8">
      <c r="H415" t="str">
        <f ca="1"/>
        <v>floresaralia@yahoo.es</v>
      </c>
    </row>
    <row r="416" spans="8:8">
      <c r="H416" t="str">
        <f ca="1"/>
        <v>clientes@floristeriamaranta.es</v>
      </c>
    </row>
    <row r="417" spans="8:8">
      <c r="H417" t="str">
        <f ca="1"/>
        <v>info@latiendadeinverflor.com</v>
      </c>
    </row>
    <row r="418" spans="8:8">
      <c r="H418" t="str">
        <f ca="1"/>
        <v>correo@guiatietar.com</v>
      </c>
    </row>
    <row r="419" spans="8:8">
      <c r="H419" t="str">
        <f ca="1"/>
        <v>info@floresconencanto.com</v>
      </c>
    </row>
    <row r="420" spans="8:8">
      <c r="H420" t="str">
        <f ca="1"/>
        <v>info@floresmariajesus.com</v>
      </c>
    </row>
    <row r="421" spans="8:8">
      <c r="H421" t="str">
        <f ca="1"/>
        <v>floristeriagoyiguellar@gmail.com</v>
      </c>
    </row>
    <row r="422" spans="8:8">
      <c r="H422" t="str">
        <f ca="1"/>
        <v>pedidos@floristeriapetalos.com</v>
      </c>
    </row>
    <row r="423" spans="8:8">
      <c r="H423" t="str">
        <f ca="1"/>
        <v>hola@mariaangelesalvarez.es</v>
      </c>
    </row>
    <row r="424" spans="8:8">
      <c r="H424" t="str">
        <f ca="1"/>
        <v>info@floristerianomeolvides.com</v>
      </c>
    </row>
    <row r="425" spans="8:8">
      <c r="H425" t="str">
        <f ca="1"/>
        <v>informacion@monceau-fleurs.es</v>
      </c>
    </row>
    <row r="426" spans="8:8">
      <c r="H426" t="str">
        <f ca="1"/>
        <v>pedidos@floristeriacastilla.com</v>
      </c>
    </row>
    <row r="427" spans="8:8">
      <c r="H427" t="str">
        <f ca="1"/>
        <v>flores@coquelicotflores.com</v>
      </c>
    </row>
    <row r="428" spans="8:8">
      <c r="H428" t="str">
        <f ca="1"/>
        <v>atencionalcliente@musaflor.com</v>
      </c>
    </row>
    <row r="429" spans="8:8">
      <c r="H429" t="str">
        <f ca="1"/>
        <v>flosisi@yahoo.es</v>
      </c>
    </row>
    <row r="430" spans="8:8">
      <c r="H430" t="str">
        <f ca="1"/>
        <v>info@espacios-verdes.es</v>
      </c>
    </row>
    <row r="431" spans="8:8">
      <c r="H431" t="str">
        <f ca="1"/>
        <v>floristeriakentya@gmail.com</v>
      </c>
    </row>
    <row r="432" spans="8:8">
      <c r="H432" t="str">
        <f ca="1"/>
        <v>info@delirouse.com</v>
      </c>
    </row>
    <row r="433" spans="8:8">
      <c r="H433" t="str">
        <f ca="1"/>
        <v>info@tutiendavecina.com</v>
      </c>
    </row>
    <row r="434" spans="8:8">
      <c r="H434" t="str">
        <f ca="1"/>
        <v>email@domain.com</v>
      </c>
    </row>
    <row r="435" spans="8:8">
      <c r="H435" t="str">
        <f ca="1"/>
        <v>online@lospenotes.com</v>
      </c>
    </row>
    <row r="436" spans="8:8">
      <c r="H436" t="str">
        <f ca="1"/>
        <v>viverosrecio@hotmail.es</v>
      </c>
    </row>
    <row r="437" spans="8:8">
      <c r="H437" t="str">
        <f ca="1"/>
        <v>elpinar@floreselpinar.com</v>
      </c>
    </row>
    <row r="438" spans="8:8">
      <c r="H438" t="str">
        <f ca="1"/>
        <v>info@bloomingdayflowers.com</v>
      </c>
    </row>
    <row r="439" spans="8:8">
      <c r="H439" t="str">
        <f ca="1"/>
        <v>para@verdepimienta.es</v>
      </c>
    </row>
    <row r="440" spans="8:8">
      <c r="H440" t="str">
        <f ca="1"/>
        <v>teleregalo@gmail.com</v>
      </c>
    </row>
    <row r="441" spans="8:8">
      <c r="H441" t="str">
        <f ca="1"/>
        <v>atencionalcliente@fronda.com</v>
      </c>
    </row>
    <row r="442" spans="8:8">
      <c r="H442" t="str">
        <f ca="1"/>
        <v>floristerialeonesa@gmail.com</v>
      </c>
    </row>
    <row r="443" spans="8:8">
      <c r="H443" t="str">
        <f ca="1"/>
        <v>leonflorleon@hotmail.com</v>
      </c>
    </row>
    <row r="444" spans="8:8">
      <c r="H444" t="str">
        <f ca="1"/>
        <v>correo@floressela.es</v>
      </c>
    </row>
    <row r="445" spans="8:8">
      <c r="H445" t="str">
        <f ca="1"/>
        <v>ijarleon@ijarleon.com</v>
      </c>
    </row>
    <row r="446" spans="8:8">
      <c r="H446" t="str">
        <f ca="1"/>
        <v>info@floressabadell.es</v>
      </c>
    </row>
    <row r="447" spans="8:8">
      <c r="H447" t="str">
        <f ca="1"/>
        <v>logo-musgo@3x.png</v>
      </c>
    </row>
    <row r="448" spans="8:8">
      <c r="H448" t="str">
        <f ca="1"/>
        <v>floristerialacala@gmail.com</v>
      </c>
    </row>
    <row r="449" spans="8:8">
      <c r="H449" t="str">
        <f ca="1"/>
        <v>floristeria@espacioverdeleon.com</v>
      </c>
    </row>
    <row r="450" spans="8:8">
      <c r="H450" t="str">
        <f ca="1"/>
        <v>hola@bylolindo.com</v>
      </c>
    </row>
    <row r="451" spans="8:8">
      <c r="H451" t="str">
        <f ca="1"/>
        <v>magal@jardineriamagal.com</v>
      </c>
    </row>
    <row r="452" spans="8:8">
      <c r="H452" t="str">
        <f ca="1"/>
        <v>info@netical24.com</v>
      </c>
    </row>
    <row r="453" spans="8:8">
      <c r="H453" t="str">
        <f ca="1"/>
        <v>info@turinconchic.com</v>
      </c>
    </row>
    <row r="454" spans="8:8">
      <c r="H454" t="str">
        <f ca="1"/>
        <v>jardindelcipres@hotmail.com</v>
      </c>
    </row>
    <row r="455" spans="8:8">
      <c r="H455" t="str">
        <f ca="1"/>
        <v>info@floresnefertiti.com</v>
      </c>
    </row>
    <row r="456" spans="8:8">
      <c r="H456" t="str">
        <f ca="1"/>
        <v>floresmoiras@gmail.com</v>
      </c>
    </row>
    <row r="457" spans="8:8">
      <c r="H457" t="str">
        <f ca="1"/>
        <v>Captura_de_pantalla_2020-09-15_a_las_14.06.41_260x@2x.png</v>
      </c>
    </row>
    <row r="458" spans="8:8">
      <c r="H458" t="str">
        <f ca="1"/>
        <v>info@floresteo.es</v>
      </c>
    </row>
    <row r="459" spans="8:8">
      <c r="H459" t="str">
        <f ca="1"/>
        <v>Roberto@sanchezartefloral.es</v>
      </c>
    </row>
    <row r="460" spans="8:8">
      <c r="H460" t="str">
        <f ca="1"/>
        <v>jardinflor@hotmail.com</v>
      </c>
    </row>
    <row r="461" spans="8:8">
      <c r="H461" t="str">
        <f ca="1"/>
        <v>sabatini699@gmail.com</v>
      </c>
    </row>
    <row r="462" spans="8:8">
      <c r="H462" t="str">
        <f ca="1"/>
        <v>asabadell@gmail.com</v>
      </c>
    </row>
    <row r="463" spans="8:8">
      <c r="H463" t="str">
        <f ca="1"/>
        <v>floristeriaquirce@gmail.com</v>
      </c>
    </row>
    <row r="464" spans="8:8">
      <c r="H464" t="str">
        <f ca="1"/>
        <v>info@campogrande.es</v>
      </c>
    </row>
    <row r="465" spans="8:8">
      <c r="H465" t="str">
        <f ca="1"/>
        <v>floresespana@wanadoo.es</v>
      </c>
    </row>
    <row r="466" spans="8:8">
      <c r="H466" t="str">
        <f ca="1"/>
        <v>info@bedunia.com</v>
      </c>
    </row>
    <row r="467" spans="8:8">
      <c r="H467" t="str">
        <f ca="1"/>
        <v>info@mil-hojas.com</v>
      </c>
    </row>
    <row r="468" spans="8:8">
      <c r="H468" t="str">
        <f ca="1"/>
        <v>alexander.leokadio@gmail.com</v>
      </c>
    </row>
    <row r="469" spans="8:8">
      <c r="H469" t="str">
        <f ca="1"/>
        <v>info@diflosal.com</v>
      </c>
    </row>
    <row r="470" spans="8:8">
      <c r="H470" t="str">
        <f ca="1"/>
        <v>mariajeflor@hotmail.com</v>
      </c>
    </row>
    <row r="471" spans="8:8">
      <c r="H471" t="str">
        <f ca="1"/>
        <v>germanagropet@gmail.com</v>
      </c>
    </row>
    <row r="472" spans="8:8">
      <c r="H472" t="str">
        <f ca="1"/>
        <v>info@floristeriatanatoriosalamanca.com</v>
      </c>
    </row>
    <row r="473" spans="8:8">
      <c r="H473" t="str">
        <f ca="1"/>
        <v>logo@2x.png</v>
      </c>
    </row>
    <row r="474" spans="8:8">
      <c r="H474" t="str">
        <f ca="1"/>
        <v>info@floristeriapenaranda.com</v>
      </c>
    </row>
    <row r="475" spans="8:8">
      <c r="H475" t="str">
        <f ca="1"/>
        <v>floryhuerta@gmail.com</v>
      </c>
    </row>
    <row r="476" spans="8:8">
      <c r="H476" t="str">
        <f ca="1"/>
        <v>florestoni@interflora.es</v>
      </c>
    </row>
    <row r="477" spans="8:8">
      <c r="H477" t="str">
        <f ca="1"/>
        <v>info@provocateurroses.com</v>
      </c>
    </row>
    <row r="478" spans="8:8">
      <c r="H478" t="str">
        <f ca="1"/>
        <v>info@mossfloristas.com</v>
      </c>
    </row>
    <row r="479" spans="8:8">
      <c r="H479" t="str">
        <f ca="1"/>
        <v>daguerre@interflora.es</v>
      </c>
    </row>
    <row r="480" spans="8:8">
      <c r="H480" t="str">
        <f ca="1"/>
        <v>pedidos@floresfreesia.es</v>
      </c>
    </row>
    <row r="481" spans="8:8">
      <c r="H481" t="str">
        <f ca="1"/>
        <v>info@muscariflores.com</v>
      </c>
    </row>
    <row r="482" spans="8:8">
      <c r="H482" t="str">
        <f ca="1"/>
        <v>info@florloto.es</v>
      </c>
    </row>
    <row r="483" spans="8:8">
      <c r="H483" t="str">
        <f ca="1"/>
        <v>contacto@blumenaria.com</v>
      </c>
    </row>
    <row r="484" spans="8:8">
      <c r="H484" t="str">
        <f ca="1"/>
        <v>liliumflor@yahoo.es</v>
      </c>
    </row>
    <row r="485" spans="8:8">
      <c r="H485" t="str">
        <f ca="1"/>
        <v>floreseleden@hotmail.com</v>
      </c>
    </row>
    <row r="486" spans="8:8">
      <c r="H486" t="str">
        <f ca="1"/>
        <v>mrosscano@gmail.com</v>
      </c>
    </row>
    <row r="487" spans="8:8">
      <c r="H487" t="str">
        <f ca="1"/>
        <v>info@lovinglavanda.com</v>
      </c>
    </row>
    <row r="488" spans="8:8">
      <c r="H488" t="str">
        <f ca="1"/>
        <v>info@floresta.es</v>
      </c>
    </row>
    <row r="489" spans="8:8">
      <c r="H489" t="str">
        <f ca="1"/>
        <v>mariaflorarustica@gmail.com</v>
      </c>
    </row>
    <row r="490" spans="8:8">
      <c r="H490" t="str">
        <f ca="1"/>
        <v>info@elespinoflores.com</v>
      </c>
    </row>
    <row r="491" spans="8:8">
      <c r="H491" t="str">
        <f ca="1"/>
        <v>comercial@floraila.com</v>
      </c>
    </row>
    <row r="492" spans="8:8">
      <c r="H492" t="str">
        <f ca="1"/>
        <v>info@portaldetuciudad.com</v>
      </c>
    </row>
    <row r="493" spans="8:8">
      <c r="H493" t="str">
        <f ca="1"/>
        <v>bonsai@bonsaifloristas.com</v>
      </c>
    </row>
    <row r="494" spans="8:8">
      <c r="H494" t="str">
        <f ca="1"/>
        <v>info@balconesyflores.es</v>
      </c>
    </row>
    <row r="495" spans="8:8">
      <c r="H495" t="str">
        <f ca="1"/>
        <v>info@floristerialasdalias.com</v>
      </c>
    </row>
    <row r="496" spans="8:8">
      <c r="H496" t="str">
        <f ca="1"/>
        <v>elfloristafloristeria@gmail.com</v>
      </c>
    </row>
    <row r="497" spans="8:8">
      <c r="H497" t="str">
        <f ca="1"/>
        <v>info@florestere.es</v>
      </c>
    </row>
    <row r="498" spans="8:8">
      <c r="H498" t="str">
        <f ca="1"/>
        <v>LOGO_MIMOSAS_200x@2x.jpg</v>
      </c>
    </row>
    <row r="499" spans="8:8">
      <c r="H499" t="str">
        <f ca="1"/>
        <v>info@ulilove.es</v>
      </c>
    </row>
    <row r="500" spans="8:8">
      <c r="H500" t="str">
        <f ca="1"/>
        <v>info@salondesfleurs.es</v>
      </c>
    </row>
    <row r="501" spans="8:8">
      <c r="H501" t="str">
        <f ca="1"/>
        <v>misflores@misflores.net</v>
      </c>
    </row>
    <row r="502" spans="8:8">
      <c r="H502" t="str">
        <f ca="1"/>
        <v>monteycanela@outlook.es</v>
      </c>
    </row>
    <row r="503" spans="8:8">
      <c r="H503" t="str">
        <f ca="1"/>
        <v>artefloral.lavilla@gmail.com</v>
      </c>
    </row>
    <row r="504" spans="8:8">
      <c r="H504" t="str">
        <f ca="1"/>
        <v>ohfloremio@gmail.com</v>
      </c>
    </row>
    <row r="505" spans="8:8">
      <c r="H505" t="str">
        <f ca="1"/>
        <v>info@lamodernaruralshop.com</v>
      </c>
    </row>
    <row r="506" spans="8:8">
      <c r="H506" t="str">
        <f ca="1"/>
        <v>info@elisabetartefloral.com</v>
      </c>
    </row>
    <row r="507" spans="8:8">
      <c r="H507" t="str">
        <f ca="1"/>
        <v>clientes@flordeholanda.com</v>
      </c>
    </row>
    <row r="508" spans="8:8">
      <c r="H508" t="str">
        <f ca="1"/>
        <v>info@bergamotaflores.com</v>
      </c>
    </row>
    <row r="509" spans="8:8">
      <c r="H509" t="str">
        <f ca="1"/>
        <v>info@chitiflores.es</v>
      </c>
    </row>
    <row r="510" spans="8:8">
      <c r="H510" t="str">
        <f ca="1"/>
        <v>info@floristeriamedinaazahara.com</v>
      </c>
    </row>
    <row r="511" spans="8:8">
      <c r="H511" t="str">
        <f ca="1"/>
        <v>info@carmengimeno.com</v>
      </c>
    </row>
    <row r="512" spans="8:8">
      <c r="H512" t="str">
        <f ca="1"/>
        <v>linecontact@example.com</v>
      </c>
    </row>
    <row r="513" spans="8:8">
      <c r="H513" t="str">
        <f ca="1"/>
        <v>syldavia@syldaviafloristas.es</v>
      </c>
    </row>
    <row r="514" spans="8:8">
      <c r="H514" t="str">
        <f ca="1"/>
        <v>info@povedaplantas.es</v>
      </c>
    </row>
    <row r="515" spans="8:8">
      <c r="H515" t="str">
        <f ca="1"/>
        <v>tu.floristeriavida@gmail.com</v>
      </c>
    </row>
    <row r="516" spans="8:8">
      <c r="H516" t="str">
        <f ca="1"/>
        <v>contacto@laventananatural.com</v>
      </c>
    </row>
    <row r="517" spans="8:8">
      <c r="H517" t="str">
        <f ca="1"/>
        <v>info@juncofloristas.com</v>
      </c>
    </row>
    <row r="518" spans="8:8">
      <c r="H518" t="str">
        <f ca="1"/>
        <v>bioshivagrow@gmail.com</v>
      </c>
    </row>
    <row r="519" spans="8:8">
      <c r="H519" t="str">
        <f ca="1"/>
        <v>INFO@FLORISTERIAELLAGAR.COM</v>
      </c>
    </row>
    <row r="520" spans="8:8">
      <c r="H520" t="str">
        <f ca="1"/>
        <v>info@floristeriayviveroscarmen.com</v>
      </c>
    </row>
    <row r="521" spans="8:8">
      <c r="H521" t="str">
        <f ca="1"/>
        <v>info@jeucar.com</v>
      </c>
    </row>
    <row r="522" spans="8:8">
      <c r="H522" t="str">
        <f ca="1"/>
        <v>montsemartinf@hotmail.com</v>
      </c>
    </row>
    <row r="523" spans="8:8">
      <c r="H523" t="str">
        <f ca="1"/>
        <v>milaminiplant@gmail.com</v>
      </c>
    </row>
    <row r="524" spans="8:8">
      <c r="H524" t="str">
        <f ca="1"/>
        <v>info@agrocentroturiel.com</v>
      </c>
    </row>
    <row r="525" spans="8:8">
      <c r="H525" t="str">
        <f ca="1"/>
        <v>info@floristeriadracena.es</v>
      </c>
    </row>
    <row r="526" spans="8:8">
      <c r="H526" t="str">
        <f ca="1"/>
        <v>lasfloresdearturo@gmail.com</v>
      </c>
    </row>
    <row r="527" spans="8:8">
      <c r="H527" t="str">
        <f ca="1"/>
        <v>acaciainterflora@hotmail.com</v>
      </c>
    </row>
    <row r="528" spans="8:8">
      <c r="H528" t="str">
        <f ca="1"/>
        <v>info@ladyflor.com</v>
      </c>
    </row>
    <row r="529" spans="8:8">
      <c r="H529" t="str">
        <f ca="1"/>
        <v>pedidos@florster.com</v>
      </c>
    </row>
    <row r="530" spans="8:8">
      <c r="H530" t="str">
        <f ca="1"/>
        <v>info@herbs.es</v>
      </c>
    </row>
    <row r="531" spans="8:8">
      <c r="H531" t="str">
        <f ca="1"/>
        <v>barcelonagranados@aunomdelarose.com</v>
      </c>
    </row>
    <row r="532" spans="8:8">
      <c r="H532" t="str">
        <f ca="1"/>
        <v>info@floristeriaemi.com</v>
      </c>
    </row>
    <row r="533" spans="8:8">
      <c r="H533" t="str">
        <f ca="1"/>
        <v>jorperis@hotmail.com</v>
      </c>
    </row>
    <row r="534" spans="8:8">
      <c r="H534" t="str">
        <f ca="1"/>
        <v>olimpia@floristeriaolimpia.com</v>
      </c>
    </row>
    <row r="535" spans="8:8">
      <c r="H535" t="str">
        <f ca="1"/>
        <v>info@flowerstobarcelona.com</v>
      </c>
    </row>
    <row r="536" spans="8:8">
      <c r="H536" t="str">
        <f ca="1"/>
        <v>sylvia.navarro@flores-navarro.com</v>
      </c>
    </row>
    <row r="537" spans="8:8">
      <c r="H537" t="str">
        <f ca="1"/>
        <v>fiori@floristeriafioribcn.com</v>
      </c>
    </row>
    <row r="538" spans="8:8">
      <c r="H538" t="str">
        <f ca="1"/>
        <v>info@floresinternet.es</v>
      </c>
    </row>
    <row r="539" spans="8:8">
      <c r="H539" t="str">
        <f ca="1"/>
        <v>info@florslloveras.com</v>
      </c>
    </row>
    <row r="540" spans="8:8">
      <c r="H540" t="str">
        <f ca="1"/>
        <v>hola@lasabadell.com</v>
      </c>
    </row>
    <row r="541" spans="8:8">
      <c r="H541" t="str">
        <f ca="1"/>
        <v>hola@floristeriacattleyabcn.es</v>
      </c>
    </row>
    <row r="542" spans="8:8">
      <c r="H542" t="str">
        <f ca="1"/>
        <v>admin@lauraflors.com</v>
      </c>
    </row>
    <row r="543" spans="8:8">
      <c r="H543" t="str">
        <f ca="1"/>
        <v>floristeria@tamarindo.cat</v>
      </c>
    </row>
    <row r="544" spans="8:8">
      <c r="H544" t="str">
        <f ca="1"/>
        <v>info@nuneflor.com</v>
      </c>
    </row>
    <row r="545" spans="8:8">
      <c r="H545" t="str">
        <f ca="1"/>
        <v>shop@tundraflors.com</v>
      </c>
    </row>
    <row r="546" spans="8:8">
      <c r="H546" t="str">
        <f ca="1"/>
        <v>info@bouquetsandco.com</v>
      </c>
    </row>
    <row r="547" spans="8:8">
      <c r="H547" t="str">
        <f ca="1"/>
        <v>info@gobonbee.com</v>
      </c>
    </row>
    <row r="548" spans="8:8">
      <c r="H548" t="str">
        <f ca="1"/>
        <v>floristeria-sants-logo_100x@2x.jpg</v>
      </c>
    </row>
    <row r="549" spans="8:8">
      <c r="H549" t="str">
        <f ca="1"/>
        <v>info@magdaflor.com</v>
      </c>
    </row>
    <row r="550" spans="8:8">
      <c r="H550" t="str">
        <f ca="1"/>
        <v>contacte@petitjardi.com</v>
      </c>
    </row>
    <row r="551" spans="8:8">
      <c r="H551" t="str">
        <f ca="1"/>
        <v>info@florsandgo.com</v>
      </c>
    </row>
    <row r="552" spans="8:8">
      <c r="H552" t="str">
        <f ca="1"/>
        <v>info@fflors.com</v>
      </c>
    </row>
    <row r="553" spans="8:8">
      <c r="H553" t="str">
        <f ca="1"/>
        <v>florestfortuno@gmail.com</v>
      </c>
    </row>
    <row r="554" spans="8:8">
      <c r="H554" t="str">
        <f ca="1"/>
        <v>info@regalabien.com</v>
      </c>
    </row>
    <row r="555" spans="8:8">
      <c r="H555" t="str">
        <f ca="1"/>
        <v>info@florspasanau.cat</v>
      </c>
    </row>
    <row r="556" spans="8:8">
      <c r="H556" t="str">
        <f ca="1"/>
        <v>info@lafloreria.net</v>
      </c>
    </row>
    <row r="557" spans="8:8">
      <c r="H557" t="str">
        <f ca="1"/>
        <v>info@estudiosauvage.com</v>
      </c>
    </row>
    <row r="558" spans="8:8">
      <c r="H558" t="str">
        <f ca="1"/>
        <v>info@floristeriamartinez.com</v>
      </c>
    </row>
    <row r="559" spans="8:8">
      <c r="H559" t="str">
        <f ca="1"/>
        <v>info@floresacanto.com</v>
      </c>
    </row>
    <row r="560" spans="8:8">
      <c r="H560" t="str">
        <f ca="1"/>
        <v>florsbertran@tresipunt.com</v>
      </c>
    </row>
    <row r="561" spans="8:8">
      <c r="H561" t="str">
        <f ca="1"/>
        <v>info@mayflower.cat</v>
      </c>
    </row>
    <row r="562" spans="8:8">
      <c r="H562" t="str">
        <f ca="1"/>
        <v>info@jardiflors.com</v>
      </c>
    </row>
    <row r="563" spans="8:8">
      <c r="H563" t="str">
        <f ca="1"/>
        <v>zinnia@zinniaflors.com</v>
      </c>
    </row>
    <row r="564" spans="8:8">
      <c r="H564" t="str">
        <f ca="1"/>
        <v>info@cottage.cat</v>
      </c>
    </row>
    <row r="565" spans="8:8">
      <c r="H565" t="str">
        <f ca="1"/>
        <v>info@eljardinetdelclot.com</v>
      </c>
    </row>
    <row r="566" spans="8:8">
      <c r="H566" t="str">
        <f ca="1"/>
        <v>cycas@interflora.es</v>
      </c>
    </row>
    <row r="567" spans="8:8">
      <c r="H567" t="str">
        <f ca="1"/>
        <v>info@floristeriayuca.com</v>
      </c>
    </row>
    <row r="568" spans="8:8">
      <c r="H568" t="str">
        <f ca="1"/>
        <v>info@bornay.ws</v>
      </c>
    </row>
    <row r="569" spans="8:8">
      <c r="H569" t="str">
        <f ca="1"/>
        <v>centro@globalflor.es</v>
      </c>
    </row>
    <row r="570" spans="8:8">
      <c r="H570" t="str">
        <f ca="1"/>
        <v>info@laconcepcio.cat</v>
      </c>
    </row>
    <row r="571" spans="8:8">
      <c r="H571" t="str">
        <f ca="1"/>
        <v>pedidos@rosbarcelona.com</v>
      </c>
    </row>
    <row r="572" spans="8:8">
      <c r="H572" t="str">
        <f ca="1"/>
        <v>esperanza@floristeriaartejapones.com</v>
      </c>
    </row>
    <row r="573" spans="8:8">
      <c r="H573" t="str">
        <f ca="1"/>
        <v>INFO@MITREMANDRIFLORS.COM</v>
      </c>
    </row>
    <row r="574" spans="8:8">
      <c r="H574" t="str">
        <f ca="1"/>
        <v>giselaflors@telefonica.net</v>
      </c>
    </row>
    <row r="575" spans="8:8">
      <c r="H575" t="str">
        <f ca="1"/>
        <v>flowersfloristeriabcn@gmail.com</v>
      </c>
    </row>
    <row r="576" spans="8:8">
      <c r="H576" t="str">
        <f ca="1"/>
        <v>hola@alblancatelier.com</v>
      </c>
    </row>
    <row r="577" spans="8:8">
      <c r="H577" t="str">
        <f ca="1"/>
        <v>delivery@flowerswill.com</v>
      </c>
    </row>
    <row r="578" spans="8:8">
      <c r="H578" t="str">
        <f ca="1"/>
        <v>info@singularenvit.shop</v>
      </c>
    </row>
    <row r="579" spans="8:8">
      <c r="H579" t="str">
        <f ca="1"/>
        <v>contact@ohflor.com</v>
      </c>
    </row>
    <row r="580" spans="8:8">
      <c r="H580" t="str">
        <f ca="1"/>
        <v>zelinda.milano@gmail.com</v>
      </c>
    </row>
    <row r="581" spans="8:8">
      <c r="H581" t="str">
        <f ca="1"/>
        <v>recepcion@floresparaelrecuerdo.com</v>
      </c>
    </row>
    <row r="582" spans="8:8">
      <c r="H582" t="str">
        <f ca="1"/>
        <v>bausaflors@hotmail.com</v>
      </c>
    </row>
    <row r="583" spans="8:8">
      <c r="H583" t="str">
        <f ca="1"/>
        <v>tavola@tavola.es</v>
      </c>
    </row>
    <row r="584" spans="8:8">
      <c r="H584" t="str">
        <f ca="1"/>
        <v>atmosfera@atmosferabarcelona.com</v>
      </c>
    </row>
    <row r="585" spans="8:8">
      <c r="H585" t="str">
        <f ca="1"/>
        <v>info@elgorg.com</v>
      </c>
    </row>
    <row r="586" spans="8:8">
      <c r="H586" t="str">
        <f ca="1"/>
        <v>info@trencadissa.com</v>
      </c>
    </row>
    <row r="587" spans="8:8">
      <c r="H587" t="str">
        <f ca="1"/>
        <v>info@floristeriamorera.net</v>
      </c>
    </row>
    <row r="588" spans="8:8">
      <c r="H588" t="str">
        <f ca="1"/>
        <v>948info@martamajoflors.com</v>
      </c>
    </row>
    <row r="589" spans="8:8">
      <c r="H589" t="str">
        <f ca="1"/>
        <v>moshi@moshi-floristeria.com</v>
      </c>
    </row>
    <row r="590" spans="8:8">
      <c r="H590" t="str">
        <f ca="1"/>
        <v>bouquet@bouquetbcn.com</v>
      </c>
    </row>
    <row r="591" spans="8:8">
      <c r="H591" t="str">
        <f ca="1"/>
        <v>vallsflors@vallsflors.com</v>
      </c>
    </row>
    <row r="592" spans="8:8">
      <c r="H592" t="str">
        <f ca="1"/>
        <v>info@floristeriasensanboidellobregat.com</v>
      </c>
    </row>
    <row r="593" spans="8:8">
      <c r="H593" t="str">
        <f ca="1"/>
        <v>comandes@florsjoan.com</v>
      </c>
    </row>
    <row r="594" spans="8:8">
      <c r="H594" t="str">
        <f ca="1"/>
        <v>floristeriacari@floristeriacari.com</v>
      </c>
    </row>
    <row r="595" spans="8:8">
      <c r="H595" t="str">
        <f ca="1"/>
        <v>info@florestore.com</v>
      </c>
    </row>
    <row r="596" spans="8:8">
      <c r="H596" t="str">
        <f ca="1"/>
        <v>info@floristalia.com</v>
      </c>
    </row>
    <row r="597" spans="8:8">
      <c r="H597" t="str">
        <f ca="1"/>
        <v>info@lidexgroup.com</v>
      </c>
    </row>
    <row r="598" spans="8:8">
      <c r="H598" t="str">
        <f ca="1"/>
        <v>florsperatu@florsperatu.com</v>
      </c>
    </row>
    <row r="599" spans="8:8">
      <c r="H599" t="str">
        <f ca="1"/>
        <v>info@floralbi.com</v>
      </c>
    </row>
    <row r="600" spans="8:8">
      <c r="H600" t="str">
        <f ca="1"/>
        <v>info@valentinanero.es</v>
      </c>
    </row>
    <row r="601" spans="8:8">
      <c r="H601" t="str">
        <f ca="1"/>
        <v>Info@rocflors.com</v>
      </c>
    </row>
    <row r="602" spans="8:8">
      <c r="H602" t="str">
        <f ca="1"/>
        <v>info@bonartfloristeria.com</v>
      </c>
    </row>
    <row r="603" spans="8:8">
      <c r="H603" t="str">
        <f ca="1"/>
        <v>info@originalflor.es</v>
      </c>
    </row>
    <row r="604" spans="8:8">
      <c r="H604" t="str">
        <f ca="1"/>
        <v>web@oliverasfloristes.es</v>
      </c>
    </row>
    <row r="605" spans="8:8">
      <c r="H605" t="str">
        <f ca="1"/>
        <v>botiga@floristeriakentia.com</v>
      </c>
    </row>
    <row r="606" spans="8:8">
      <c r="H606" t="str">
        <f ca="1"/>
        <v>contact@site.com</v>
      </c>
    </row>
    <row r="607" spans="8:8">
      <c r="H607" t="str">
        <f ca="1"/>
        <v>mariona@floristeriadeflors.com</v>
      </c>
    </row>
    <row r="608" spans="8:8">
      <c r="H608" t="str">
        <f ca="1"/>
        <v>info@tocdeflor.com</v>
      </c>
    </row>
    <row r="609" spans="8:8">
      <c r="H609" t="str">
        <f ca="1"/>
        <v>info@florsdegirona.com</v>
      </c>
    </row>
    <row r="610" spans="8:8">
      <c r="H610" t="str">
        <f ca="1"/>
        <v>info@mercatlleo.cat</v>
      </c>
    </row>
    <row r="611" spans="8:8">
      <c r="H611" t="str">
        <f ca="1"/>
        <v>arnaucreacions@gmail.c</v>
      </c>
    </row>
    <row r="612" spans="8:8">
      <c r="H612" t="str">
        <f ca="1"/>
        <v>info@florsromani.com</v>
      </c>
    </row>
    <row r="613" spans="8:8">
      <c r="H613" t="str">
        <f ca="1"/>
        <v>info@elsitjar.com</v>
      </c>
    </row>
    <row r="614" spans="8:8">
      <c r="H614" t="str">
        <f ca="1"/>
        <v>hola@mangatatocados.com</v>
      </c>
    </row>
    <row r="615" spans="8:8">
      <c r="H615" t="str">
        <f ca="1"/>
        <v>info@artfloralmd.com</v>
      </c>
    </row>
    <row r="616" spans="8:8">
      <c r="H616" t="str">
        <f ca="1"/>
        <v>artflorallleida@gmail.com</v>
      </c>
    </row>
    <row r="617" spans="8:8">
      <c r="H617" t="str">
        <f ca="1"/>
        <v>enrechlogo_225x@2x.png</v>
      </c>
    </row>
    <row r="618" spans="8:8">
      <c r="H618" t="str">
        <f ca="1"/>
        <v>florluxe@gmail.com</v>
      </c>
    </row>
    <row r="619" spans="8:8">
      <c r="H619" t="str">
        <f ca="1"/>
        <v>cliviaflor@gmail.com</v>
      </c>
    </row>
    <row r="620" spans="8:8">
      <c r="H620" t="str">
        <f ca="1"/>
        <v>carme@flairesiflors.es</v>
      </c>
    </row>
    <row r="621" spans="8:8">
      <c r="H621" t="str">
        <f ca="1"/>
        <v>info@floristerianaturviva.com</v>
      </c>
    </row>
    <row r="622" spans="8:8">
      <c r="H622" t="str">
        <f ca="1"/>
        <v>info@agrocenter.cat</v>
      </c>
    </row>
    <row r="623" spans="8:8">
      <c r="H623" t="str">
        <f ca="1"/>
        <v>jardineriaterrall@jardineriaterrall.cat</v>
      </c>
    </row>
    <row r="624" spans="8:8">
      <c r="H624" t="str">
        <f ca="1"/>
        <v>rapiplantfloristes@gmail.com</v>
      </c>
    </row>
    <row r="625" spans="8:8">
      <c r="H625" t="str">
        <f ca="1"/>
        <v>info@floristeriacastell.es</v>
      </c>
    </row>
    <row r="626" spans="8:8">
      <c r="H626" t="str">
        <f ca="1"/>
        <v>flors_ginesta@hotmail.com</v>
      </c>
    </row>
    <row r="627" spans="8:8">
      <c r="H627" t="str">
        <f ca="1"/>
        <v>imma@planetflor.com</v>
      </c>
    </row>
    <row r="628" spans="8:8">
      <c r="H628" t="str">
        <f ca="1"/>
        <v>comercial@ilerflor.com</v>
      </c>
    </row>
    <row r="629" spans="8:8">
      <c r="H629" t="str">
        <f ca="1"/>
        <v>info@aquileajardin.es</v>
      </c>
    </row>
    <row r="630" spans="8:8">
      <c r="H630" t="str">
        <f ca="1"/>
        <v>raquel@floristeriaelram.com</v>
      </c>
    </row>
    <row r="631" spans="8:8">
      <c r="H631" t="str">
        <f ca="1"/>
        <v>info@productosflower.com</v>
      </c>
    </row>
    <row r="632" spans="8:8">
      <c r="H632" t="str">
        <f ca="1"/>
        <v>floristeriaflorstil@gmail.com</v>
      </c>
    </row>
    <row r="633" spans="8:8">
      <c r="H633" t="str">
        <f ca="1"/>
        <v>elseuemail@exemple.com</v>
      </c>
    </row>
    <row r="634" spans="8:8">
      <c r="H634" t="str">
        <f ca="1"/>
        <v>info@floristeriapetals.cat</v>
      </c>
    </row>
    <row r="635" spans="8:8">
      <c r="H635" t="str">
        <f ca="1"/>
        <v>hortcalvis@gmail.com</v>
      </c>
    </row>
    <row r="636" spans="8:8">
      <c r="H636" t="str">
        <f ca="1"/>
        <v>info@floristeriabalbina.es</v>
      </c>
    </row>
    <row r="637" spans="8:8">
      <c r="H637" t="str">
        <f ca="1"/>
        <v>georgia@7deflors.com</v>
      </c>
    </row>
    <row r="638" spans="8:8">
      <c r="H638" t="str">
        <f ca="1"/>
        <v>info@sitges-flowers.com</v>
      </c>
    </row>
    <row r="639" spans="8:8">
      <c r="H639" t="str">
        <f ca="1"/>
        <v>info@terrabit.cat</v>
      </c>
    </row>
    <row r="640" spans="8:8">
      <c r="H640" t="str">
        <f ca="1"/>
        <v>hola@mybouquet.es</v>
      </c>
    </row>
    <row r="641" spans="8:8">
      <c r="H641" t="str">
        <f ca="1"/>
        <v>info@floralium.es</v>
      </c>
    </row>
    <row r="642" spans="8:8">
      <c r="H642" t="str">
        <f ca="1"/>
        <v>info@florspros.com</v>
      </c>
    </row>
    <row r="643" spans="8:8">
      <c r="H643" t="str">
        <f ca="1"/>
        <v>florscarrio@gmail.com</v>
      </c>
    </row>
    <row r="644" spans="8:8">
      <c r="H644" t="str">
        <f ca="1"/>
        <v>carmen.florscarrio@gmail.com</v>
      </c>
    </row>
    <row r="645" spans="8:8">
      <c r="H645" t="str">
        <f ca="1"/>
        <v>info@floristeriaromeu.com</v>
      </c>
    </row>
    <row r="646" spans="8:8">
      <c r="H646" t="str">
        <f ca="1"/>
        <v>jukka@artesaniaflorae.com</v>
      </c>
    </row>
    <row r="647" spans="8:8">
      <c r="H647" t="str">
        <f ca="1"/>
        <v>hola@estrellalainez.com</v>
      </c>
    </row>
    <row r="648" spans="8:8">
      <c r="H648" t="str">
        <f ca="1"/>
        <v>monika@floresreus.com</v>
      </c>
    </row>
    <row r="649" spans="8:8">
      <c r="H649" t="str">
        <f ca="1"/>
        <v>logo-interflora@2x-e1537283039452.png</v>
      </c>
    </row>
    <row r="650" spans="8:8">
      <c r="H650" t="str">
        <f ca="1"/>
        <v>info@romy.es</v>
      </c>
    </row>
    <row r="651" spans="8:8">
      <c r="H651" t="str">
        <f ca="1"/>
        <v>floresit@slave.com</v>
      </c>
    </row>
    <row r="652" spans="8:8">
      <c r="H652" t="str">
        <f ca="1"/>
        <v>florspertureus@gmail.com</v>
      </c>
    </row>
    <row r="653" spans="8:8">
      <c r="H653" t="str">
        <f ca="1"/>
        <v>andreeasroses@gmail.com</v>
      </c>
    </row>
    <row r="654" spans="8:8">
      <c r="H654" t="str">
        <f ca="1"/>
        <v>info@floristeriatrevol.com</v>
      </c>
    </row>
    <row r="655" spans="8:8">
      <c r="H655" t="str">
        <f ca="1"/>
        <v>artfloralmyosotis@hotmail.com</v>
      </c>
    </row>
    <row r="656" spans="8:8">
      <c r="H656" t="str">
        <f ca="1"/>
        <v>gavaldapf@gmail.com</v>
      </c>
    </row>
    <row r="657" spans="8:8">
      <c r="H657" t="str">
        <f ca="1"/>
        <v>info@floristeriavalls.com</v>
      </c>
    </row>
    <row r="658" spans="8:8">
      <c r="H658" t="str">
        <f ca="1"/>
        <v>floristerianino@gmail.com</v>
      </c>
    </row>
    <row r="659" spans="8:8">
      <c r="H659" t="str">
        <f ca="1"/>
        <v>ubc@ubcambrils.com</v>
      </c>
    </row>
    <row r="660" spans="8:8">
      <c r="H660" t="str">
        <f ca="1"/>
        <v>jardineria@silvagarden.com</v>
      </c>
    </row>
    <row r="661" spans="8:8">
      <c r="H661" t="str">
        <f ca="1"/>
        <v>floristeriasanroma@gmail.com</v>
      </c>
    </row>
    <row r="662" spans="8:8">
      <c r="H662" t="str">
        <f ca="1"/>
        <v>atelier@florauria.com</v>
      </c>
    </row>
    <row r="663" spans="8:8">
      <c r="H663" t="str">
        <f ca="1"/>
        <v>soniasaezdeguinoa@gmail.com</v>
      </c>
    </row>
    <row r="664" spans="8:8">
      <c r="H664" t="str">
        <f ca="1"/>
        <v>kursaalfloristeria@gmail.com</v>
      </c>
    </row>
    <row r="665" spans="8:8">
      <c r="H665" t="str">
        <f ca="1"/>
        <v>agroquimicarecasens@gmail.com</v>
      </c>
    </row>
    <row r="666" spans="8:8">
      <c r="H666" t="str">
        <f ca="1"/>
        <v>agroconca@agroconca.com</v>
      </c>
    </row>
    <row r="667" spans="8:8">
      <c r="H667" t="str">
        <f ca="1"/>
        <v>pagesfloristesbymarina@gmail.com</v>
      </c>
    </row>
    <row r="668" spans="8:8">
      <c r="H668" t="str">
        <f ca="1"/>
        <v>garden@gardenmasiavallense.com</v>
      </c>
    </row>
    <row r="669" spans="8:8">
      <c r="H669" t="str">
        <f ca="1"/>
        <v>soldebre@soldebre.es</v>
      </c>
    </row>
    <row r="670" spans="8:8">
      <c r="H670" t="str">
        <f ca="1"/>
        <v>johndoe@domain.com</v>
      </c>
    </row>
    <row r="671" spans="8:8">
      <c r="H671" t="str">
        <f ca="1"/>
        <v>javilaraceuta@hotmail.es</v>
      </c>
    </row>
    <row r="672" spans="8:8">
      <c r="H672" t="str">
        <f ca="1"/>
        <v>hola@buccaroalicante.es</v>
      </c>
    </row>
    <row r="673" spans="8:8">
      <c r="H673" t="str">
        <f ca="1"/>
        <v>info.flores@floristerialosclaveles.com</v>
      </c>
    </row>
    <row r="674" spans="8:8">
      <c r="H674" t="str">
        <f ca="1"/>
        <v>info@artiflors.com</v>
      </c>
    </row>
    <row r="675" spans="8:8">
      <c r="H675" t="str">
        <f ca="1"/>
        <v>info@latrastiendafloristeria.com</v>
      </c>
    </row>
    <row r="676" spans="8:8">
      <c r="H676" t="str">
        <f ca="1"/>
        <v>info@florymas.com</v>
      </c>
    </row>
    <row r="677" spans="8:8">
      <c r="H677" t="str">
        <f ca="1"/>
        <v>comercial@florarte.es</v>
      </c>
    </row>
    <row r="678" spans="8:8">
      <c r="H678" t="str">
        <f ca="1"/>
        <v>ayuda@flormoments.com</v>
      </c>
    </row>
    <row r="679" spans="8:8">
      <c r="H679" t="str">
        <f ca="1"/>
        <v>info@eljardindelcabo.es</v>
      </c>
    </row>
    <row r="680" spans="8:8">
      <c r="H680" t="str">
        <f ca="1"/>
        <v>info@misefloristeria.com</v>
      </c>
    </row>
    <row r="681" spans="8:8">
      <c r="H681" t="str">
        <f ca="1"/>
        <v>pablolluch05@yahoo.es</v>
      </c>
    </row>
    <row r="682" spans="8:8">
      <c r="H682" t="str">
        <f ca="1"/>
        <v>tienda@floresgloria.es</v>
      </c>
    </row>
    <row r="683" spans="8:8">
      <c r="H683" t="str">
        <f ca="1"/>
        <v>adela@floresade.es</v>
      </c>
    </row>
    <row r="684" spans="8:8">
      <c r="H684" t="str">
        <f ca="1"/>
        <v>floristeria@orquideahaus.es</v>
      </c>
    </row>
    <row r="685" spans="8:8">
      <c r="H685" t="str">
        <f ca="1"/>
        <v>info@floristeriasentiments.com</v>
      </c>
    </row>
    <row r="686" spans="8:8">
      <c r="H686" t="str">
        <f ca="1"/>
        <v>floristeria@latardor.es</v>
      </c>
    </row>
    <row r="687" spans="8:8">
      <c r="H687" t="str">
        <f ca="1"/>
        <v>informacion@floresvalles.com</v>
      </c>
    </row>
    <row r="688" spans="8:8">
      <c r="H688" t="str">
        <f ca="1"/>
        <v>hola@lafederica.info</v>
      </c>
    </row>
    <row r="689" spans="8:8">
      <c r="H689" t="str">
        <f ca="1"/>
        <v>infosuhe@yahoo.com</v>
      </c>
    </row>
    <row r="690" spans="8:8">
      <c r="H690" t="str">
        <f ca="1"/>
        <v>info@puraterreta.es</v>
      </c>
    </row>
    <row r="691" spans="8:8">
      <c r="H691" t="str">
        <f ca="1"/>
        <v>info@floristerialeo.com</v>
      </c>
    </row>
    <row r="692" spans="8:8">
      <c r="H692" t="str">
        <f ca="1"/>
        <v>ejemplo@tripianafloristas.com</v>
      </c>
    </row>
    <row r="693" spans="8:8">
      <c r="H693" t="str">
        <f ca="1"/>
        <v>info@angelaflorista.com</v>
      </c>
    </row>
    <row r="694" spans="8:8">
      <c r="H694" t="str">
        <f ca="1"/>
        <v>hola@liliumfloristeriaelche.com</v>
      </c>
    </row>
    <row r="695" spans="8:8">
      <c r="H695" t="str">
        <f ca="1"/>
        <v>info@floristeriapaco.com</v>
      </c>
    </row>
    <row r="696" spans="8:8">
      <c r="H696" t="str">
        <f ca="1"/>
        <v>jrgmarco@hotmail.com</v>
      </c>
    </row>
    <row r="697" spans="8:8">
      <c r="H697" t="str">
        <f ca="1"/>
        <v>contacto@floristerialosmadriles.com</v>
      </c>
    </row>
    <row r="698" spans="8:8">
      <c r="H698" t="str">
        <f ca="1"/>
        <v>info@floresyrosasadomicilio.com</v>
      </c>
    </row>
    <row r="699" spans="8:8">
      <c r="H699" t="str">
        <f ca="1"/>
        <v>info@larosaalcoi.com</v>
      </c>
    </row>
    <row r="700" spans="8:8">
      <c r="H700" t="str">
        <f ca="1"/>
        <v>roserfloristeria@gmail.com</v>
      </c>
    </row>
    <row r="701" spans="8:8">
      <c r="H701" t="str">
        <f ca="1"/>
        <v>correo@floristeriarosamary.com</v>
      </c>
    </row>
    <row r="702" spans="8:8">
      <c r="H702" t="str">
        <f ca="1"/>
        <v>marijose.villar@hotmail.com</v>
      </c>
    </row>
    <row r="703" spans="8:8">
      <c r="H703" t="str">
        <f ca="1"/>
        <v>info@antoniovicent.es</v>
      </c>
    </row>
    <row r="704" spans="8:8">
      <c r="H704" t="str">
        <f ca="1"/>
        <v>info@la-pergola.es</v>
      </c>
    </row>
    <row r="705" spans="8:8">
      <c r="H705" t="str">
        <f ca="1"/>
        <v>diamondflores1@yahoo.co.uk</v>
      </c>
    </row>
    <row r="706" spans="8:8">
      <c r="H706" t="str">
        <f ca="1"/>
        <v>info@floristeriaalicia.com</v>
      </c>
    </row>
    <row r="707" spans="8:8">
      <c r="H707" t="str">
        <f ca="1"/>
        <v>contact@website.com</v>
      </c>
    </row>
    <row r="708" spans="8:8">
      <c r="H708" t="str">
        <f ca="1"/>
        <v>ayuntamiento@elda.es</v>
      </c>
    </row>
    <row r="709" spans="8:8">
      <c r="H709" t="str">
        <f ca="1"/>
        <v>floristeriatagua@gmail.com</v>
      </c>
    </row>
    <row r="710" spans="8:8">
      <c r="H710" t="str">
        <f ca="1"/>
        <v>info@floristeriapetunia.es</v>
      </c>
    </row>
    <row r="711" spans="8:8">
      <c r="H711" t="str">
        <f ca="1"/>
        <v>info@labotigadelaflor.com</v>
      </c>
    </row>
    <row r="712" spans="8:8">
      <c r="H712" t="str">
        <f ca="1"/>
        <v>info@laorquideacastellon.es</v>
      </c>
    </row>
    <row r="713" spans="8:8">
      <c r="H713" t="str">
        <f ca="1"/>
        <v>info@floristeriachabrera.es</v>
      </c>
    </row>
    <row r="714" spans="8:8">
      <c r="H714" t="str">
        <f ca="1"/>
        <v>info@espaivegetal.com</v>
      </c>
    </row>
    <row r="715" spans="8:8">
      <c r="H715" t="str">
        <f ca="1"/>
        <v>elenafabregat@hotmail.com</v>
      </c>
    </row>
    <row r="716" spans="8:8">
      <c r="H716" t="str">
        <f ca="1"/>
        <v>info@floristeriaelnardo.com</v>
      </c>
    </row>
    <row r="717" spans="8:8">
      <c r="H717" t="str">
        <f ca="1"/>
        <v>E-MAIL.madamelefleur@hotmail.com</v>
      </c>
    </row>
    <row r="718" spans="8:8">
      <c r="H718" t="str">
        <f ca="1"/>
        <v>florsomblanc@gmail.com</v>
      </c>
    </row>
    <row r="719" spans="8:8">
      <c r="H719" t="str">
        <f ca="1"/>
        <v>info@florsfloristeria.com</v>
      </c>
    </row>
    <row r="720" spans="8:8">
      <c r="H720" t="str">
        <f ca="1"/>
        <v>oroagro@gmail.com</v>
      </c>
    </row>
    <row r="721" spans="8:8">
      <c r="H721" t="str">
        <f ca="1"/>
        <v>sonia@lafloris.com</v>
      </c>
    </row>
    <row r="722" spans="8:8">
      <c r="H722" t="str">
        <f ca="1"/>
        <v>info@floristeriamiliarosa.com</v>
      </c>
    </row>
    <row r="723" spans="8:8">
      <c r="H723" t="str">
        <f ca="1"/>
        <v>floristeria@ondaflor.es</v>
      </c>
    </row>
    <row r="724" spans="8:8">
      <c r="H724" t="str">
        <f ca="1"/>
        <v>alba.apc@icloud.com</v>
      </c>
    </row>
    <row r="725" spans="8:8">
      <c r="H725" t="str">
        <f ca="1"/>
        <v>B1a@39.5037093</v>
      </c>
    </row>
    <row r="726" spans="8:8">
      <c r="H726" t="str">
        <f ca="1"/>
        <v>support@support.com</v>
      </c>
    </row>
    <row r="727" spans="8:8">
      <c r="H727" t="str">
        <f ca="1"/>
        <v>eltulipanmaribel@gmail.com</v>
      </c>
    </row>
    <row r="728" spans="8:8">
      <c r="H728" t="str">
        <f ca="1"/>
        <v>info@funerariasantmateu.com</v>
      </c>
    </row>
    <row r="729" spans="8:8">
      <c r="H729" t="str">
        <f ca="1"/>
        <v>info@viverosalcossebre.es</v>
      </c>
    </row>
    <row r="730" spans="8:8">
      <c r="H730" t="str">
        <f ca="1"/>
        <v>info@floristeriafeliu.com</v>
      </c>
    </row>
    <row r="731" spans="8:8">
      <c r="H731" t="str">
        <f ca="1"/>
        <v>lorca@floresfelalliso.com</v>
      </c>
    </row>
    <row r="732" spans="8:8">
      <c r="H732" t="str">
        <f ca="1"/>
        <v>info@flores-valencia.com</v>
      </c>
    </row>
    <row r="733" spans="8:8">
      <c r="H733" t="str">
        <f ca="1"/>
        <v>tienda@floresdejacqueline.es</v>
      </c>
    </row>
    <row r="734" spans="8:8">
      <c r="H734" t="str">
        <f ca="1"/>
        <v>flores@benitoherrera.es</v>
      </c>
    </row>
    <row r="735" spans="8:8">
      <c r="H735" t="str">
        <f ca="1"/>
        <v>vitalflora2020@gmail.com</v>
      </c>
    </row>
    <row r="736" spans="8:8">
      <c r="H736" t="str">
        <f ca="1"/>
        <v>info@floresdesandy.com</v>
      </c>
    </row>
    <row r="737" spans="8:8">
      <c r="H737" t="str">
        <f ca="1"/>
        <v>floressueca13@gmail.com</v>
      </c>
    </row>
    <row r="738" spans="8:8">
      <c r="H738" t="str">
        <f ca="1"/>
        <v>info@azaharyflores.com</v>
      </c>
    </row>
    <row r="739" spans="8:8">
      <c r="H739" t="str">
        <f ca="1"/>
        <v>floreslantana@floreslantana.com</v>
      </c>
    </row>
    <row r="740" spans="8:8">
      <c r="H740" t="str">
        <f ca="1"/>
        <v>floresmebe@gmail.com</v>
      </c>
    </row>
    <row r="741" spans="8:8">
      <c r="H741" t="str">
        <f ca="1"/>
        <v>%20info@valenfloristas.com</v>
      </c>
    </row>
    <row r="742" spans="8:8">
      <c r="H742" t="str">
        <f ca="1"/>
        <v>info@floristerialasirena.com</v>
      </c>
    </row>
    <row r="743" spans="8:8">
      <c r="H743" t="str">
        <f ca="1"/>
        <v>info@silvanifloristeria.es</v>
      </c>
    </row>
    <row r="744" spans="8:8">
      <c r="H744" t="str">
        <f ca="1"/>
        <v>comercial@floramanda.com</v>
      </c>
    </row>
    <row r="745" spans="8:8">
      <c r="H745" t="str">
        <f ca="1"/>
        <v>info@labellaelisa.es</v>
      </c>
    </row>
    <row r="746" spans="8:8">
      <c r="H746" t="str">
        <f ca="1"/>
        <v>info@floresvendrell.com</v>
      </c>
    </row>
    <row r="747" spans="8:8">
      <c r="H747" t="str">
        <f ca="1"/>
        <v>info@enviarfloresdomicilio.net</v>
      </c>
    </row>
    <row r="748" spans="8:8">
      <c r="H748" t="str">
        <f ca="1"/>
        <v>flores@valenciaverda.com</v>
      </c>
    </row>
    <row r="749" spans="8:8">
      <c r="H749" t="str">
        <f ca="1"/>
        <v>minabofill@yahoo.es</v>
      </c>
    </row>
    <row r="750" spans="8:8">
      <c r="H750" t="str">
        <f ca="1"/>
        <v>2@4x.png</v>
      </c>
    </row>
    <row r="751" spans="8:8">
      <c r="H751" t="str">
        <f ca="1"/>
        <v>info@floristeriaamparojorda.es</v>
      </c>
    </row>
    <row r="752" spans="8:8">
      <c r="H752" t="str">
        <f ca="1"/>
        <v>reloj@2x.png</v>
      </c>
    </row>
    <row r="753" spans="8:8">
      <c r="H753" t="str">
        <f ca="1"/>
        <v>info@floresmontanana.es</v>
      </c>
    </row>
    <row r="754" spans="8:8">
      <c r="H754" t="str">
        <f ca="1"/>
        <v>hola@adelaandco.com</v>
      </c>
    </row>
    <row r="755" spans="8:8">
      <c r="H755" t="str">
        <f ca="1"/>
        <v>info@absolutaflora.com</v>
      </c>
    </row>
    <row r="756" spans="8:8">
      <c r="H756" t="str">
        <f ca="1"/>
        <v>las4estaciones@las4estaciones.es</v>
      </c>
    </row>
    <row r="757" spans="8:8">
      <c r="H757" t="str">
        <f ca="1"/>
        <v>hello@floreslatartana.com</v>
      </c>
    </row>
    <row r="758" spans="8:8">
      <c r="H758" t="str">
        <f ca="1"/>
        <v>abellapsicologia@icloud.com</v>
      </c>
    </row>
    <row r="759" spans="8:8">
      <c r="H759" t="str">
        <f ca="1"/>
        <v>info@floristeriaquicomoret.com</v>
      </c>
    </row>
    <row r="760" spans="8:8">
      <c r="H760" t="str">
        <f ca="1"/>
        <v>datos@turiaflor.es</v>
      </c>
    </row>
    <row r="761" spans="8:8">
      <c r="H761" t="str">
        <f ca="1"/>
        <v>info@varapiquer.net</v>
      </c>
    </row>
    <row r="762" spans="8:8">
      <c r="H762" t="str">
        <f ca="1"/>
        <v>floristeria@lafulla.com</v>
      </c>
    </row>
    <row r="763" spans="8:8">
      <c r="H763" t="str">
        <f ca="1"/>
        <v>info@taronginafloristeria.com</v>
      </c>
    </row>
    <row r="764" spans="8:8">
      <c r="H764" t="str">
        <f ca="1"/>
        <v>HelmerHamza@gmail.com</v>
      </c>
    </row>
    <row r="765" spans="8:8">
      <c r="H765" t="str">
        <f ca="1"/>
        <v>emran.bd.08@gmail.com</v>
      </c>
    </row>
    <row r="766" spans="8:8">
      <c r="H766" t="str">
        <f ca="1"/>
        <v>Recurso-13@2x.png</v>
      </c>
    </row>
    <row r="767" spans="8:8">
      <c r="H767" t="str">
        <f ca="1"/>
        <v>info@floristeriavalencia.com</v>
      </c>
    </row>
    <row r="768" spans="8:8">
      <c r="H768" t="str">
        <f ca="1"/>
        <v>info@floristeriatalens.com</v>
      </c>
    </row>
    <row r="769" spans="8:8">
      <c r="H769" t="str">
        <f ca="1"/>
        <v>david@floristeriasanti.com</v>
      </c>
    </row>
    <row r="770" spans="8:8">
      <c r="H770" t="str">
        <f ca="1"/>
        <v>info@brotesverdesonline.com</v>
      </c>
    </row>
    <row r="771" spans="8:8">
      <c r="H771" t="str">
        <f ca="1"/>
        <v>flores@florescomos.com</v>
      </c>
    </row>
    <row r="772" spans="8:8">
      <c r="H772" t="str">
        <f ca="1"/>
        <v>info@floreselcale.es</v>
      </c>
    </row>
    <row r="773" spans="8:8">
      <c r="H773" t="str">
        <f ca="1"/>
        <v>pons@floristeriapons.com</v>
      </c>
    </row>
    <row r="774" spans="8:8">
      <c r="H774" t="str">
        <f ca="1"/>
        <v>support@riiwards.com</v>
      </c>
    </row>
    <row r="775" spans="8:8">
      <c r="H775" t="str">
        <f ca="1"/>
        <v>florsalos@gmail.com</v>
      </c>
    </row>
    <row r="776" spans="8:8">
      <c r="H776" t="str">
        <f ca="1"/>
        <v>decoflorpuzol@yahoo.es</v>
      </c>
    </row>
    <row r="777" spans="8:8">
      <c r="H777" t="str">
        <f ca="1"/>
        <v>ventas@mercajardin.es</v>
      </c>
    </row>
    <row r="778" spans="8:8">
      <c r="H778" t="str">
        <f ca="1"/>
        <v>ajuntament@corbera.es</v>
      </c>
    </row>
    <row r="779" spans="8:8">
      <c r="H779" t="str">
        <f ca="1"/>
        <v>info@florclick.com</v>
      </c>
    </row>
    <row r="780" spans="8:8">
      <c r="H780" t="str">
        <f ca="1"/>
        <v>salesusa@verdissimo.com</v>
      </c>
    </row>
    <row r="781" spans="8:8">
      <c r="H781" t="str">
        <f ca="1"/>
        <v>info@andromedafloristeriacreativa.es</v>
      </c>
    </row>
    <row r="782" spans="8:8">
      <c r="H782" t="str">
        <f ca="1"/>
        <v>atelierflordeco@gmail.com</v>
      </c>
    </row>
    <row r="783" spans="8:8">
      <c r="H783" t="str">
        <f ca="1"/>
        <v>info@eljardidesther.es</v>
      </c>
    </row>
    <row r="784" spans="8:8">
      <c r="H784" t="str">
        <f ca="1"/>
        <v>info@juanlluesma.com</v>
      </c>
    </row>
    <row r="785" spans="8:8">
      <c r="H785" t="str">
        <f ca="1"/>
        <v>floresadelaxativa@gmail.com</v>
      </c>
    </row>
    <row r="786" spans="8:8">
      <c r="H786" t="str">
        <f ca="1"/>
        <v>soledadsalgadomontero@gmail.com</v>
      </c>
    </row>
    <row r="787" spans="8:8">
      <c r="H787" t="str">
        <f ca="1"/>
        <v>floristeriaolivia@floristeriaolivia.com</v>
      </c>
    </row>
    <row r="788" spans="8:8">
      <c r="H788" t="str">
        <f ca="1"/>
        <v>floristeriaarteflor@gmail.com</v>
      </c>
    </row>
    <row r="789" spans="8:8">
      <c r="H789" t="str">
        <f ca="1"/>
        <v>floristeria@quintaverde.com</v>
      </c>
    </row>
    <row r="790" spans="8:8">
      <c r="H790" t="str">
        <f ca="1"/>
        <v>labohemiabadajoz@gmail.com</v>
      </c>
    </row>
    <row r="791" spans="8:8">
      <c r="H791" t="str">
        <f ca="1"/>
        <v>casioweb722@gmail.com</v>
      </c>
    </row>
    <row r="792" spans="8:8">
      <c r="H792" t="str">
        <f ca="1"/>
        <v>nuria@floristeriamarta.es</v>
      </c>
    </row>
    <row r="793" spans="8:8">
      <c r="H793" t="str">
        <f ca="1"/>
        <v>floristeria9rosas@gmail.com</v>
      </c>
    </row>
    <row r="794" spans="8:8">
      <c r="H794" t="str">
        <f ca="1"/>
        <v>donate@opencart.com</v>
      </c>
    </row>
    <row r="795" spans="8:8">
      <c r="H795" t="str">
        <f ca="1"/>
        <v>floristerialasoledad@hotmail.com</v>
      </c>
    </row>
    <row r="796" spans="8:8">
      <c r="H796" t="str">
        <f ca="1"/>
        <v>info@lagardeniafloristeria.es</v>
      </c>
    </row>
    <row r="797" spans="8:8">
      <c r="H797" t="str">
        <f ca="1"/>
        <v>info@floresyregalosbelen.com</v>
      </c>
    </row>
    <row r="798" spans="8:8">
      <c r="H798" t="str">
        <f ca="1"/>
        <v>hola@floristeriavanessa.es</v>
      </c>
    </row>
    <row r="799" spans="8:8">
      <c r="H799" t="str">
        <f ca="1"/>
        <v>info@herboflor.com</v>
      </c>
    </row>
    <row r="800" spans="8:8">
      <c r="H800" t="str">
        <f ca="1"/>
        <v>almendralejo@mundoflordyd.es</v>
      </c>
    </row>
    <row r="801" spans="8:8">
      <c r="H801" t="str">
        <f ca="1"/>
        <v>administracion@florescortes.es</v>
      </c>
    </row>
    <row r="802" spans="8:8">
      <c r="H802" t="str">
        <f ca="1"/>
        <v>info@floresbouquet.com</v>
      </c>
    </row>
    <row r="803" spans="8:8">
      <c r="H803" t="str">
        <f ca="1"/>
        <v>aaronpulido87vp@gmail.com</v>
      </c>
    </row>
    <row r="804" spans="8:8">
      <c r="H804" t="str">
        <f ca="1"/>
        <v>info@amarylis.es</v>
      </c>
    </row>
    <row r="805" spans="8:8">
      <c r="H805" t="str">
        <f ca="1"/>
        <v>contacto@floristeriamagnolia.es</v>
      </c>
    </row>
    <row r="806" spans="8:8">
      <c r="H806" t="str">
        <f ca="1"/>
        <v>info@kristianflor.com</v>
      </c>
    </row>
    <row r="807" spans="8:8">
      <c r="H807" t="str">
        <f ca="1"/>
        <v>hola@artefloralfresia.com</v>
      </c>
    </row>
    <row r="808" spans="8:8">
      <c r="H808" t="str">
        <f ca="1"/>
        <v>tienda@floristeriasoriales.com</v>
      </c>
    </row>
    <row r="809" spans="8:8">
      <c r="H809" t="str">
        <f ca="1"/>
        <v>contacto@janeiroflor.com</v>
      </c>
    </row>
    <row r="810" spans="8:8">
      <c r="H810" t="str">
        <f ca="1"/>
        <v>floristeriapenelopelugo@gmail.com</v>
      </c>
    </row>
    <row r="811" spans="8:8">
      <c r="H811" t="str">
        <f ca="1"/>
        <v>ascameliaslugo@gmail.com</v>
      </c>
    </row>
    <row r="812" spans="8:8">
      <c r="H812" t="str">
        <f ca="1"/>
        <v>guitirizflor@grupoteixido.es</v>
      </c>
    </row>
    <row r="813" spans="8:8">
      <c r="H813" t="str">
        <f ca="1"/>
        <v>finafreirelenza@gmail.com</v>
      </c>
    </row>
    <row r="814" spans="8:8">
      <c r="H814" t="str">
        <f ca="1"/>
        <v>basiliofento@hotmail.com</v>
      </c>
    </row>
    <row r="815" spans="8:8">
      <c r="H815" t="str">
        <f ca="1"/>
        <v>jardines@verdilugo.es</v>
      </c>
    </row>
    <row r="816" spans="8:8">
      <c r="H816" t="str">
        <f ca="1"/>
        <v>gli@grupoluisiglesias.com</v>
      </c>
    </row>
    <row r="817" spans="8:8">
      <c r="H817" t="str">
        <f ca="1"/>
        <v>catefloristas@catefloristas.com</v>
      </c>
    </row>
    <row r="818" spans="8:8">
      <c r="H818" t="str">
        <f ca="1"/>
        <v>info@floryfaunamonforte.com</v>
      </c>
    </row>
    <row r="819" spans="8:8">
      <c r="H819" t="str">
        <f ca="1"/>
        <v>info@floristeriaazu.com</v>
      </c>
    </row>
    <row r="820" spans="8:8">
      <c r="H820" t="str">
        <f ca="1"/>
        <v>info@floristerialoli.es</v>
      </c>
    </row>
    <row r="821" spans="8:8">
      <c r="H821" t="str">
        <f ca="1"/>
        <v>encarna@floristeriarosavel.es</v>
      </c>
    </row>
    <row r="822" spans="8:8">
      <c r="H822" t="str">
        <f ca="1"/>
        <v>floristeriaanamonforte@gmail.com</v>
      </c>
    </row>
    <row r="823" spans="8:8">
      <c r="H823" t="str">
        <f ca="1"/>
        <v>info@floristeriamaribel.es</v>
      </c>
    </row>
    <row r="824" spans="8:8">
      <c r="H824" t="str">
        <f ca="1"/>
        <v>info@floristeriamaru.es</v>
      </c>
    </row>
    <row r="825" spans="8:8">
      <c r="H825" t="str">
        <f ca="1"/>
        <v>info@floraandco.es</v>
      </c>
    </row>
    <row r="826" spans="8:8">
      <c r="H826" t="str">
        <f ca="1"/>
        <v>floresobdulia@gmail.com</v>
      </c>
    </row>
    <row r="827" spans="8:8">
      <c r="H827" t="str">
        <f ca="1"/>
        <v>info@floristeriacalo.com</v>
      </c>
    </row>
    <row r="828" spans="8:8">
      <c r="H828" t="str">
        <f ca="1"/>
        <v>floresalbitos@yahoo.es</v>
      </c>
    </row>
    <row r="829" spans="8:8">
      <c r="H829" t="str">
        <f ca="1"/>
        <v>floristerialiliumcoruna@gmail.com</v>
      </c>
    </row>
    <row r="830" spans="8:8">
      <c r="H830" t="str">
        <f ca="1"/>
        <v>maricruzdapnefloristeria@gmail.com</v>
      </c>
    </row>
    <row r="831" spans="8:8">
      <c r="H831" t="str">
        <f ca="1"/>
        <v>info@brioenflor.com</v>
      </c>
    </row>
    <row r="832" spans="8:8">
      <c r="H832" t="str">
        <f ca="1"/>
        <v>contacto@floristeriajomacos.es</v>
      </c>
    </row>
    <row r="833" spans="8:8">
      <c r="H833" t="str">
        <f ca="1"/>
        <v>floristeria@eljardindejuanxxiii.com</v>
      </c>
    </row>
    <row r="834" spans="8:8">
      <c r="H834" t="str">
        <f ca="1"/>
        <v>info@floristeriaxeitosa.es</v>
      </c>
    </row>
    <row r="835" spans="8:8">
      <c r="H835" t="str">
        <f ca="1"/>
        <v>admon@cidgavilanes.com</v>
      </c>
    </row>
    <row r="836" spans="8:8">
      <c r="H836" t="str">
        <f ca="1"/>
        <v>info@floristeriachabel.com</v>
      </c>
    </row>
    <row r="837" spans="8:8">
      <c r="H837" t="str">
        <f ca="1"/>
        <v>info@ficusfloristas.es</v>
      </c>
    </row>
    <row r="838" spans="8:8">
      <c r="H838" t="str">
        <f ca="1"/>
        <v>info@florylipa.com</v>
      </c>
    </row>
    <row r="839" spans="8:8">
      <c r="H839" t="str">
        <f ca="1"/>
        <v>abramar@floristeriaabramar.com</v>
      </c>
    </row>
    <row r="840" spans="8:8">
      <c r="H840" t="str">
        <f ca="1"/>
        <v>info@floresalexandra.es</v>
      </c>
    </row>
    <row r="841" spans="8:8">
      <c r="H841" t="str">
        <f ca="1"/>
        <v>lagardeniapontevedra@gmail.com</v>
      </c>
    </row>
    <row r="842" spans="8:8">
      <c r="H842" t="str">
        <f ca="1"/>
        <v>info@sembrandogirasoles.es</v>
      </c>
    </row>
    <row r="843" spans="8:8">
      <c r="H843" t="str">
        <f ca="1"/>
        <v>info@indigobygm.com</v>
      </c>
    </row>
    <row r="844" spans="8:8">
      <c r="H844" t="str">
        <f ca="1"/>
        <v>inbloom@inbloom.es</v>
      </c>
    </row>
    <row r="845" spans="8:8">
      <c r="H845" t="str">
        <f ca="1"/>
        <v>florcar@hotmail.es</v>
      </c>
    </row>
    <row r="846" spans="8:8">
      <c r="H846" t="str">
        <f ca="1"/>
        <v>riojajardin@riojajardin.com</v>
      </c>
    </row>
    <row r="847" spans="8:8">
      <c r="H847" t="str">
        <f ca="1"/>
        <v>ikebana@floristeriaslogrono.es</v>
      </c>
    </row>
    <row r="848" spans="8:8">
      <c r="H848" t="str">
        <f ca="1"/>
        <v>info@felinaran.com</v>
      </c>
    </row>
    <row r="849" spans="8:8">
      <c r="H849" t="str">
        <f ca="1"/>
        <v>chris@nardos.com</v>
      </c>
    </row>
    <row r="850" spans="8:8">
      <c r="H850" t="str">
        <f ca="1"/>
        <v>ikebana@florikebana.com</v>
      </c>
    </row>
    <row r="851" spans="8:8">
      <c r="H851" t="str">
        <f ca="1"/>
        <v>conchita_campa@hotmail.com</v>
      </c>
    </row>
    <row r="852" spans="8:8">
      <c r="H852" t="str">
        <f ca="1"/>
        <v>info@formulaclick.com</v>
      </c>
    </row>
    <row r="853" spans="8:8">
      <c r="H853" t="str">
        <f ca="1"/>
        <v>irisfloristeria@interflora.es</v>
      </c>
    </row>
    <row r="854" spans="8:8">
      <c r="H854" t="str">
        <f ca="1"/>
        <v>info@viverosvivaria.es</v>
      </c>
    </row>
    <row r="855" spans="8:8">
      <c r="H855" t="str">
        <f ca="1"/>
        <v>contacto@margaritasellamamiamor.com</v>
      </c>
    </row>
    <row r="856" spans="8:8">
      <c r="H856" t="str">
        <f ca="1"/>
        <v>pvergara@bourguignonfloristas.es</v>
      </c>
    </row>
    <row r="857" spans="8:8">
      <c r="H857" t="str">
        <f ca="1"/>
        <v>agavanzal1@orange.es</v>
      </c>
    </row>
    <row r="858" spans="8:8">
      <c r="H858" t="str">
        <f ca="1"/>
        <v>info@adhoctienda.com</v>
      </c>
    </row>
    <row r="859" spans="8:8">
      <c r="H859" t="str">
        <f ca="1"/>
        <v>contact@fransenetlafite.com</v>
      </c>
    </row>
    <row r="860" spans="8:8">
      <c r="H860" t="str">
        <f ca="1"/>
        <v>lilium_mad@hotmail.com</v>
      </c>
    </row>
    <row r="861" spans="8:8">
      <c r="H861" t="str">
        <f ca="1"/>
        <v>info@floristeriadocrys.com</v>
      </c>
    </row>
    <row r="862" spans="8:8">
      <c r="H862" t="str">
        <f ca="1"/>
        <v>jardineriahayuco@gmail.com</v>
      </c>
    </row>
    <row r="863" spans="8:8">
      <c r="H863" t="str">
        <f ca="1"/>
        <v>pedidos@floreselolivar.es</v>
      </c>
    </row>
    <row r="864" spans="8:8">
      <c r="H864" t="str">
        <f ca="1"/>
        <v>info@pinkflower.es</v>
      </c>
    </row>
    <row r="865" spans="8:8">
      <c r="H865" t="str">
        <f ca="1"/>
        <v>info@ainarafloristas.com</v>
      </c>
    </row>
    <row r="866" spans="8:8">
      <c r="H866" t="str">
        <f ca="1"/>
        <v>info@floresallium.com</v>
      </c>
    </row>
    <row r="867" spans="8:8">
      <c r="H867" t="str">
        <f ca="1"/>
        <v>comercial@bucaroflores.com</v>
      </c>
    </row>
    <row r="868" spans="8:8">
      <c r="H868" t="str">
        <f ca="1"/>
        <v>yanira@amborella.es</v>
      </c>
    </row>
    <row r="869" spans="8:8">
      <c r="H869" t="str">
        <f ca="1"/>
        <v>molores31@hotmail.com</v>
      </c>
    </row>
    <row r="870" spans="8:8">
      <c r="H870" t="str">
        <f ca="1"/>
        <v>brumalis@brumalis.es</v>
      </c>
    </row>
    <row r="871" spans="8:8">
      <c r="H871" t="str">
        <f ca="1"/>
        <v>info@jicarafloristeria.com</v>
      </c>
    </row>
    <row r="872" spans="8:8">
      <c r="H872" t="str">
        <f ca="1"/>
        <v>floristeria.azahara@gmail.com</v>
      </c>
    </row>
    <row r="873" spans="8:8">
      <c r="H873" t="str">
        <f ca="1"/>
        <v>tienda@ababoles.es</v>
      </c>
    </row>
    <row r="874" spans="8:8">
      <c r="H874" t="str">
        <f ca="1"/>
        <v>info@floreate.com</v>
      </c>
    </row>
    <row r="875" spans="8:8">
      <c r="H875" t="str">
        <f ca="1"/>
        <v>info@floristeriakalatea.es</v>
      </c>
    </row>
    <row r="876" spans="8:8">
      <c r="H876" t="str">
        <f ca="1"/>
        <v>info@semillasalvaje.com</v>
      </c>
    </row>
    <row r="877" spans="8:8">
      <c r="H877" t="str">
        <f ca="1"/>
        <v>taller@saviabruta.com</v>
      </c>
    </row>
    <row r="878" spans="8:8">
      <c r="H878" t="str">
        <f ca="1"/>
        <v>flores@muguetfloristeria.es</v>
      </c>
    </row>
    <row r="879" spans="8:8">
      <c r="H879" t="str">
        <f ca="1"/>
        <v>miki@radioactivity.es</v>
      </c>
    </row>
    <row r="880" spans="8:8">
      <c r="H880" t="str">
        <f ca="1"/>
        <v>info@floresmarymadrid.es</v>
      </c>
    </row>
    <row r="881" spans="8:8">
      <c r="H881" t="str">
        <f ca="1"/>
        <v>contacto@cacto-cacto.com</v>
      </c>
    </row>
    <row r="882" spans="8:8">
      <c r="H882" t="str">
        <f ca="1"/>
        <v>correo@floristeriadelafuente.com</v>
      </c>
    </row>
    <row r="883" spans="8:8">
      <c r="H883" t="str">
        <f ca="1"/>
        <v>tienda@floresparatodosmadrid.com</v>
      </c>
    </row>
    <row r="884" spans="8:8">
      <c r="H884" t="str">
        <f ca="1"/>
        <v>tienda@floreale.es</v>
      </c>
    </row>
    <row r="885" spans="8:8">
      <c r="H885" t="str">
        <f ca="1"/>
        <v>info@floristeriadiazmadrid.com</v>
      </c>
    </row>
    <row r="886" spans="8:8">
      <c r="H886" t="str">
        <f ca="1"/>
        <v>bernabeu@florespili.es</v>
      </c>
    </row>
    <row r="887" spans="8:8">
      <c r="H887" t="str">
        <f ca="1"/>
        <v>laponsetia@laponsetia.com</v>
      </c>
    </row>
    <row r="888" spans="8:8">
      <c r="H888" t="str">
        <f ca="1"/>
        <v>gmorato@interflora.es</v>
      </c>
    </row>
    <row r="889" spans="8:8">
      <c r="H889" t="str">
        <f ca="1"/>
        <v>floristeria@nuevavenecia.es</v>
      </c>
    </row>
    <row r="890" spans="8:8">
      <c r="H890" t="str">
        <f ca="1"/>
        <v>arteflormadrid@hotmail.com</v>
      </c>
    </row>
    <row r="891" spans="8:8">
      <c r="H891" t="str">
        <f ca="1"/>
        <v>2@150x-100.jpg</v>
      </c>
    </row>
    <row r="892" spans="8:8">
      <c r="H892" t="str">
        <f ca="1"/>
        <v>ana.rey@marisierra.es</v>
      </c>
    </row>
    <row r="893" spans="8:8">
      <c r="H893" t="str">
        <f ca="1"/>
        <v>pedidos@floristeriamirasierra.com</v>
      </c>
    </row>
    <row r="894" spans="8:8">
      <c r="H894" t="str">
        <f ca="1"/>
        <v>tonieta@hotmail.com</v>
      </c>
    </row>
    <row r="895" spans="8:8">
      <c r="H895" t="str">
        <f ca="1"/>
        <v>info@floresedelvais.es</v>
      </c>
    </row>
    <row r="896" spans="8:8">
      <c r="H896" t="str">
        <f ca="1"/>
        <v>info@floristeriasoledad.es</v>
      </c>
    </row>
    <row r="897" spans="8:8">
      <c r="H897" t="str">
        <f ca="1"/>
        <v>juanlutroya@gmail.com</v>
      </c>
    </row>
    <row r="898" spans="8:8">
      <c r="H898" t="str">
        <f ca="1"/>
        <v>info@floresmelinda.es</v>
      </c>
    </row>
    <row r="899" spans="8:8">
      <c r="H899" t="str">
        <f ca="1"/>
        <v>info@floristeriacano.com</v>
      </c>
    </row>
    <row r="900" spans="8:8">
      <c r="H900" t="str">
        <f ca="1"/>
        <v>info@floristeriageorges.com</v>
      </c>
    </row>
    <row r="901" spans="8:8">
      <c r="H901" t="str">
        <f ca="1"/>
        <v>info@castanerflores.es</v>
      </c>
    </row>
    <row r="902" spans="8:8">
      <c r="H902" t="str">
        <f ca="1"/>
        <v>pedidos@tufloristeriaencasa.com</v>
      </c>
    </row>
    <row r="903" spans="8:8">
      <c r="H903" t="str">
        <f ca="1"/>
        <v>info@mybohio.es</v>
      </c>
    </row>
    <row r="904" spans="8:8">
      <c r="H904" t="str">
        <f ca="1"/>
        <v>tienda@floristeriaslart.es</v>
      </c>
    </row>
    <row r="905" spans="8:8">
      <c r="H905" t="str">
        <f ca="1"/>
        <v>info@floristeriamarijuli.es</v>
      </c>
    </row>
    <row r="906" spans="8:8">
      <c r="H906" t="str">
        <f ca="1"/>
        <v>info@floristeriajacaranda.com</v>
      </c>
    </row>
    <row r="907" spans="8:8">
      <c r="H907" t="str">
        <f ca="1"/>
        <v>info@floresmariola.es</v>
      </c>
    </row>
    <row r="908" spans="8:8">
      <c r="H908" t="str">
        <f ca="1"/>
        <v>floresinoma@gmail.com</v>
      </c>
    </row>
    <row r="909" spans="8:8">
      <c r="H909" t="str">
        <f ca="1"/>
        <v>info@floresyplantasiris.es</v>
      </c>
    </row>
    <row r="910" spans="8:8">
      <c r="H910" t="str">
        <f ca="1"/>
        <v>contacto@cambria.es</v>
      </c>
    </row>
    <row r="911" spans="8:8">
      <c r="H911" t="str">
        <f ca="1"/>
        <v>sauces@floristerialossauces.com</v>
      </c>
    </row>
    <row r="912" spans="8:8">
      <c r="H912" t="str">
        <f ca="1"/>
        <v>silvosa@silvosahermanos.es</v>
      </c>
    </row>
    <row r="913" spans="8:8">
      <c r="H913" t="str">
        <f ca="1"/>
        <v>piracantaflores@gmail.com</v>
      </c>
    </row>
    <row r="914" spans="8:8">
      <c r="H914" t="str">
        <f ca="1"/>
        <v>fescabiosa@gmail.com</v>
      </c>
    </row>
    <row r="915" spans="8:8">
      <c r="H915" t="str">
        <f ca="1"/>
        <v>info@milrosas.com</v>
      </c>
    </row>
    <row r="916" spans="8:8">
      <c r="H916" t="str">
        <f ca="1"/>
        <v>marimar@ericaflores.es</v>
      </c>
    </row>
    <row r="917" spans="8:8">
      <c r="H917" t="str">
        <f ca="1"/>
        <v>info@columelas.com</v>
      </c>
    </row>
    <row r="918" spans="8:8">
      <c r="H918" t="str">
        <f ca="1"/>
        <v>support@mikado-themes.com</v>
      </c>
    </row>
    <row r="919" spans="8:8">
      <c r="H919" t="str">
        <f ca="1"/>
        <v>info@floristeriagoldenroses.com</v>
      </c>
    </row>
    <row r="920" spans="8:8">
      <c r="H920" t="str">
        <f ca="1"/>
        <v>info@lascameliasartefloral.com</v>
      </c>
    </row>
    <row r="921" spans="8:8">
      <c r="H921" t="str">
        <f ca="1"/>
        <v>floralblanca@gmail.com</v>
      </c>
    </row>
    <row r="922" spans="8:8">
      <c r="H922" t="str">
        <f ca="1"/>
        <v>jardinyflores@floristeriasantamonica.es</v>
      </c>
    </row>
    <row r="923" spans="8:8">
      <c r="H923" t="str">
        <f ca="1"/>
        <v>contacto@sanseflor.es</v>
      </c>
    </row>
    <row r="924" spans="8:8">
      <c r="H924" t="str">
        <f ca="1"/>
        <v>info@floristeriaines.es</v>
      </c>
    </row>
    <row r="925" spans="8:8">
      <c r="H925" t="str">
        <f ca="1"/>
        <v>floristeria@cipitria.com</v>
      </c>
    </row>
    <row r="926" spans="8:8">
      <c r="H926" t="str">
        <f ca="1"/>
        <v>floristeriaclaveles@gmail.com</v>
      </c>
    </row>
    <row r="927" spans="8:8">
      <c r="H927" t="str">
        <f ca="1"/>
        <v>info@alyflor.com</v>
      </c>
    </row>
    <row r="928" spans="8:8">
      <c r="H928" t="str">
        <f ca="1"/>
        <v>ajax-loader@2x.gif</v>
      </c>
    </row>
    <row r="929" spans="8:8">
      <c r="H929" t="str">
        <f ca="1"/>
        <v>logo@x384.jpg</v>
      </c>
    </row>
    <row r="930" spans="8:8">
      <c r="H930" t="str">
        <f ca="1"/>
        <v>info@floristeriasverde.com</v>
      </c>
    </row>
    <row r="931" spans="8:8">
      <c r="H931" t="str">
        <f ca="1"/>
        <v>pilar@acebalfloresyplantas.com</v>
      </c>
    </row>
    <row r="932" spans="8:8">
      <c r="H932" t="str">
        <f ca="1"/>
        <v>tienda@ramosacasa.es</v>
      </c>
    </row>
    <row r="933" spans="8:8">
      <c r="H933" t="str">
        <f ca="1"/>
        <v>floristeriaangelamelilla@gmail.com</v>
      </c>
    </row>
    <row r="934" spans="8:8">
      <c r="H934" t="str">
        <f ca="1"/>
        <v>info@floristeriasanlorenzo.com</v>
      </c>
    </row>
    <row r="935" spans="8:8">
      <c r="H935" t="str">
        <f ca="1"/>
        <v>info@floristeriafernando.com</v>
      </c>
    </row>
    <row r="936" spans="8:8">
      <c r="H936" t="str">
        <f ca="1"/>
        <v>info@verzonalaguia.es</v>
      </c>
    </row>
    <row r="937" spans="8:8">
      <c r="H937" t="str">
        <f ca="1"/>
        <v>info@cycafloristeria.com</v>
      </c>
    </row>
    <row r="938" spans="8:8">
      <c r="H938" t="str">
        <f ca="1"/>
        <v>arte.floral@hotmail.com</v>
      </c>
    </row>
    <row r="939" spans="8:8">
      <c r="H939" t="str">
        <f ca="1"/>
        <v>fh@fernandohijo.com</v>
      </c>
    </row>
    <row r="940" spans="8:8">
      <c r="H940" t="str">
        <f ca="1"/>
        <v>187info@puertasautomaticasinnovatec.com</v>
      </c>
    </row>
    <row r="941" spans="8:8">
      <c r="H941" t="str">
        <f ca="1"/>
        <v>sensacionfm@gmail.com</v>
      </c>
    </row>
    <row r="942" spans="8:8">
      <c r="H942" t="str">
        <f ca="1"/>
        <v>lamataflor@gmail.com</v>
      </c>
    </row>
    <row r="943" spans="8:8">
      <c r="H943" t="str">
        <f ca="1"/>
        <v>info@floresarume.com</v>
      </c>
    </row>
    <row r="944" spans="8:8">
      <c r="H944" t="str">
        <f ca="1"/>
        <v>ig-badge-view-sprite-24@2x.png</v>
      </c>
    </row>
    <row r="945" spans="8:8">
      <c r="H945" t="str">
        <f ca="1"/>
        <v>comercial@vegetalis-floral.com</v>
      </c>
    </row>
    <row r="946" spans="8:8">
      <c r="H946" t="str">
        <f ca="1"/>
        <v>info@muflor.com</v>
      </c>
    </row>
    <row r="947" spans="8:8">
      <c r="H947" t="str">
        <f ca="1"/>
        <v>info@mundoeterno.es</v>
      </c>
    </row>
    <row r="948" spans="8:8">
      <c r="H948" t="str">
        <f ca="1"/>
        <v>info@hilariofloristas.com</v>
      </c>
    </row>
    <row r="949" spans="8:8">
      <c r="H949" t="str">
        <f ca="1"/>
        <v>sfrancisco@interflora.es</v>
      </c>
    </row>
    <row r="950" spans="8:8">
      <c r="H950" t="str">
        <f ca="1"/>
        <v>info@floristeriamatas.com</v>
      </c>
    </row>
    <row r="951" spans="8:8">
      <c r="H951" t="str">
        <f ca="1"/>
        <v>maricarlegaz@hotmail.com</v>
      </c>
    </row>
    <row r="952" spans="8:8">
      <c r="H952" t="str">
        <f ca="1"/>
        <v>info@taigafloristas.com</v>
      </c>
    </row>
    <row r="953" spans="8:8">
      <c r="H953" t="str">
        <f ca="1"/>
        <v>floristeria@casadelasflores.es</v>
      </c>
    </row>
    <row r="954" spans="8:8">
      <c r="H954" t="str">
        <f ca="1"/>
        <v>tienda@floristeriatorrens.com</v>
      </c>
    </row>
    <row r="955" spans="8:8">
      <c r="H955" t="str">
        <f ca="1"/>
        <v>correo@floristeriaelarbol.es</v>
      </c>
    </row>
    <row r="956" spans="8:8">
      <c r="H956" t="str">
        <f ca="1"/>
        <v>info@floristerianekane.com</v>
      </c>
    </row>
    <row r="957" spans="8:8">
      <c r="H957" t="str">
        <f ca="1"/>
        <v>info@floristeriajesusguillen.com</v>
      </c>
    </row>
    <row r="958" spans="8:8">
      <c r="H958" t="str">
        <f ca="1"/>
        <v>info@floristerialahuerta.com</v>
      </c>
    </row>
    <row r="959" spans="8:8">
      <c r="H959" t="str">
        <f ca="1"/>
        <v>jorgenenufar@hotmail.com</v>
      </c>
    </row>
    <row r="960" spans="8:8">
      <c r="H960" t="str">
        <f ca="1"/>
        <v>ncodeart.newsletter@gmail.com</v>
      </c>
    </row>
    <row r="961" spans="8:8">
      <c r="H961" t="str">
        <f ca="1"/>
        <v>info@florestherabejeras.com</v>
      </c>
    </row>
    <row r="962" spans="8:8">
      <c r="H962" t="str">
        <f ca="1"/>
        <v>info@floristeriailaga.com</v>
      </c>
    </row>
    <row r="963" spans="8:8">
      <c r="H963" t="str">
        <f ca="1"/>
        <v>info@floristerialorea.net</v>
      </c>
    </row>
    <row r="964" spans="8:8">
      <c r="H964" t="str">
        <f ca="1"/>
        <v>luis.informatico@yahoo.es</v>
      </c>
    </row>
    <row r="965" spans="8:8">
      <c r="H965" t="str">
        <f ca="1"/>
        <v>nati@plantaslorea.com</v>
      </c>
    </row>
    <row r="966" spans="8:8">
      <c r="H966" t="str">
        <f ca="1"/>
        <v>info@gardenesther.com</v>
      </c>
    </row>
    <row r="967" spans="8:8">
      <c r="H967" t="str">
        <f ca="1"/>
        <v>info@floristeriamaite.com</v>
      </c>
    </row>
    <row r="968" spans="8:8">
      <c r="H968" t="str">
        <f ca="1"/>
        <v>pagotxa.villava@gmail.com</v>
      </c>
    </row>
    <row r="969" spans="8:8">
      <c r="H969" t="str">
        <f ca="1"/>
        <v>bilbao@comercialmaro.biz</v>
      </c>
    </row>
    <row r="970" spans="8:8">
      <c r="H970" t="str">
        <f ca="1"/>
        <v>info@floristeriaacacia.es</v>
      </c>
    </row>
    <row r="971" spans="8:8">
      <c r="H971" t="str">
        <f ca="1"/>
        <v>info@floristeriaestella.com</v>
      </c>
    </row>
    <row r="972" spans="8:8">
      <c r="H972" t="str">
        <f ca="1"/>
        <v>info@artefloralbiarritz.com</v>
      </c>
    </row>
    <row r="973" spans="8:8">
      <c r="H973" t="str">
        <f ca="1"/>
        <v>floristeriaguillermoguillen@gmail.com</v>
      </c>
    </row>
    <row r="974" spans="8:8">
      <c r="H974" t="str">
        <f ca="1"/>
        <v>info@floristerialandare.es</v>
      </c>
    </row>
    <row r="975" spans="8:8">
      <c r="H975" t="str">
        <f ca="1"/>
        <v>tocadosmariana@gmail.com</v>
      </c>
    </row>
    <row r="976" spans="8:8">
      <c r="H976" t="str">
        <f ca="1"/>
        <v>logo-dark@2x.png</v>
      </c>
    </row>
    <row r="977" spans="8:8">
      <c r="H977" t="str">
        <f ca="1"/>
        <v>floristeriarementeria@gmail.com</v>
      </c>
    </row>
    <row r="978" spans="8:8">
      <c r="H978" t="str">
        <f ca="1"/>
        <v>nekaneloraketa@gmail.com</v>
      </c>
    </row>
    <row r="979" spans="8:8">
      <c r="H979" t="str">
        <f ca="1"/>
        <v>info@floristeriaimabel.es</v>
      </c>
    </row>
    <row r="980" spans="8:8">
      <c r="H980" t="str">
        <f ca="1"/>
        <v>Puri@floristeriahiedra.com</v>
      </c>
    </row>
    <row r="981" spans="8:8">
      <c r="H981" t="str">
        <f ca="1"/>
        <v>info@loreakerifloristeria.es</v>
      </c>
    </row>
    <row r="982" spans="8:8">
      <c r="H982" t="str">
        <f ca="1"/>
        <v>info@lekandafloristas.com</v>
      </c>
    </row>
    <row r="983" spans="8:8">
      <c r="H983" t="str">
        <f ca="1"/>
        <v>info@floristeriasantutxu.com</v>
      </c>
    </row>
    <row r="984" spans="8:8">
      <c r="H984" t="str">
        <f ca="1"/>
        <v>rementeria@floresrementeria.com</v>
      </c>
    </row>
    <row r="985" spans="8:8">
      <c r="H985" t="str">
        <f ca="1"/>
        <v>retamaflores@telefonica.net</v>
      </c>
    </row>
    <row r="986" spans="8:8">
      <c r="H986" t="str">
        <f ca="1"/>
        <v>info@floristeriaarriluze.com</v>
      </c>
    </row>
    <row r="987" spans="8:8">
      <c r="H987" t="str">
        <f ca="1"/>
        <v>milrosas@milrosasbilbao.com</v>
      </c>
    </row>
    <row r="988" spans="8:8">
      <c r="H988" t="str">
        <f ca="1"/>
        <v>lur@lurbilbao.com</v>
      </c>
    </row>
    <row r="989" spans="8:8">
      <c r="H989" t="str">
        <f ca="1"/>
        <v>hola@floresarantza.com</v>
      </c>
    </row>
    <row r="990" spans="8:8">
      <c r="H990" t="str">
        <f ca="1"/>
        <v>info@floristeria-amazonia.com</v>
      </c>
    </row>
    <row r="991" spans="8:8">
      <c r="H991" t="str">
        <f ca="1"/>
        <v>mjflorkanela@gmail.com</v>
      </c>
    </row>
    <row r="992" spans="8:8">
      <c r="H992" t="str">
        <f ca="1"/>
        <v>info@florfruitseventos.es</v>
      </c>
    </row>
    <row r="993" spans="8:8">
      <c r="H993" t="str">
        <f ca="1"/>
        <v>floralikebana@yahoo.es</v>
      </c>
    </row>
    <row r="994" spans="8:8">
      <c r="H994" t="str">
        <f ca="1"/>
        <v>info@mikelzuazua.com</v>
      </c>
    </row>
    <row r="995" spans="8:8">
      <c r="H995" t="str">
        <f ca="1"/>
        <v>info@loraleku.com</v>
      </c>
    </row>
    <row r="996" spans="8:8">
      <c r="H996" t="str">
        <f ca="1"/>
        <v>info2@castroflor.com</v>
      </c>
    </row>
    <row r="997" spans="8:8">
      <c r="H997" t="str">
        <f ca="1"/>
        <v>ikema@bizkaia.eu</v>
      </c>
    </row>
    <row r="998" spans="8:8">
      <c r="H998" t="str">
        <f ca="1"/>
        <v>ibonandkrais@ibonandkrais.com</v>
      </c>
    </row>
    <row r="999" spans="8:8">
      <c r="H999" t="str">
        <f ca="1"/>
        <v>katukan@yahoo.es</v>
      </c>
    </row>
    <row r="1000" spans="8:8">
      <c r="H1000" t="str">
        <f ca="1"/>
        <v>info@mvgarden.com</v>
      </c>
    </row>
    <row r="1001" spans="8:8">
      <c r="H1001" t="str">
        <f ca="1"/>
        <v>info@gorosti.es</v>
      </c>
    </row>
    <row r="1002" spans="8:8">
      <c r="H1002" t="str">
        <f ca="1"/>
        <v>info@floristeriaarantza.com</v>
      </c>
    </row>
    <row r="1003" spans="8:8">
      <c r="H1003" t="str">
        <f ca="1"/>
        <v>info@floresenred.com</v>
      </c>
    </row>
    <row r="1004" spans="8:8">
      <c r="H1004" t="str">
        <f ca="1"/>
        <v>floristeriasantaisabel@gmail.com</v>
      </c>
    </row>
    <row r="1005" spans="8:8">
      <c r="H1005" t="str">
        <f ca="1"/>
        <v>info@bitxilorefloristas.com</v>
      </c>
    </row>
    <row r="1006" spans="8:8">
      <c r="H1006" t="str">
        <f ca="1"/>
        <v>margaritamellaman@gmail.com</v>
      </c>
    </row>
    <row r="1007" spans="8:8">
      <c r="H1007" t="str">
        <f ca="1"/>
        <v>Info@AzaleaFlores.com</v>
      </c>
    </row>
    <row r="1008" spans="8:8">
      <c r="H1008" t="str">
        <f ca="1"/>
        <v>info@bediflor.com</v>
      </c>
    </row>
    <row r="1009" spans="8:8">
      <c r="H1009" t="str">
        <f ca="1"/>
        <v>info@floristeriacristiaran.com</v>
      </c>
    </row>
    <row r="1010" spans="8:8">
      <c r="H1010" t="str">
        <f ca="1"/>
        <v>correo@kimuagasteiz.com</v>
      </c>
    </row>
    <row r="1011" spans="8:8">
      <c r="H1011" t="str">
        <f ca="1"/>
        <v>ochoa@agroquimicosochoa.com</v>
      </c>
    </row>
    <row r="1012" spans="8:8">
      <c r="H1012" t="str">
        <f ca="1"/>
        <v>icono_color_-_copia_70d8d954-a68f-4882-95a2-565e6bb07468_100x@2x.png</v>
      </c>
    </row>
    <row r="1013" spans="8:8">
      <c r="H1013" t="str">
        <f ca="1"/>
        <v>info@arantzaloradenda.com</v>
      </c>
    </row>
    <row r="1014" spans="8:8">
      <c r="H1014" t="str">
        <f ca="1"/>
        <v>buenetxea@buenetxea.es</v>
      </c>
    </row>
    <row r="1015" spans="8:8">
      <c r="H1015" t="str">
        <f ca="1"/>
        <v>info@pagoaloradenda.com</v>
      </c>
    </row>
    <row r="1016" spans="8:8">
      <c r="H1016" t="str">
        <f ca="1"/>
        <v>info@casa-arregui.com</v>
      </c>
    </row>
    <row r="1017" spans="8:8">
      <c r="H1017" t="str">
        <f ca="1"/>
        <v>josu@flowersevents.es</v>
      </c>
    </row>
    <row r="1018" spans="8:8">
      <c r="H1018" t="str">
        <f ca="1"/>
        <v>huntz@floristeria-huntz.es</v>
      </c>
    </row>
    <row r="1019" spans="8:8">
      <c r="H1019" t="str">
        <f ca="1"/>
        <v>info@decovillaflores.com</v>
      </c>
    </row>
    <row r="1020" spans="8:8">
      <c r="H1020" t="str">
        <f ca="1"/>
        <v>info@mendilore.eu</v>
      </c>
    </row>
    <row r="1021" spans="8:8">
      <c r="H1021" t="str">
        <f ca="1"/>
        <v>info@villamarialuisa.com</v>
      </c>
    </row>
    <row r="1022" spans="8:8">
      <c r="H1022" t="str">
        <f ca="1"/>
        <v>loradendaurnieta@gmail.com</v>
      </c>
    </row>
    <row r="1023" spans="8:8">
      <c r="H1023" t="str">
        <f ca="1"/>
        <v>olatz@floristeriabaigorri.com</v>
      </c>
    </row>
    <row r="1024" spans="8:8">
      <c r="H1024" t="str">
        <f ca="1"/>
        <v>hirubelar@gmail.com</v>
      </c>
    </row>
    <row r="1025" spans="8:8">
      <c r="H1025" t="str">
        <f ca="1"/>
        <v>info@floristeriakaiz.com</v>
      </c>
    </row>
    <row r="1026" spans="8:8">
      <c r="H1026" t="str">
        <f ca="1"/>
        <v>info@floristeriabasusta.com</v>
      </c>
    </row>
    <row r="1027" spans="8:8">
      <c r="H1027" t="str">
        <f ca="1"/>
        <v>info@floristeriamaricarmen.es</v>
      </c>
    </row>
    <row r="1028" spans="8:8">
      <c r="H1028" t="str">
        <f ca="1"/>
        <v>webmaster@lorategiak.arretxe.com</v>
      </c>
    </row>
    <row r="1029" spans="8:8">
      <c r="H1029" t="str">
        <f ca="1"/>
        <v>info@flowersandco.es</v>
      </c>
    </row>
    <row r="1030" spans="8:8">
      <c r="H1030" t="str">
        <f ca="1"/>
        <v>info@endanea.com</v>
      </c>
    </row>
    <row r="1031" spans="8:8">
      <c r="H1031" t="str">
        <f ca="1"/>
        <v>info@alkubi.es</v>
      </c>
    </row>
    <row r="1032" spans="8:8">
      <c r="H1032" t="str">
        <f ca="1"/>
        <v>nacional@enriquemontalban.com</v>
      </c>
    </row>
    <row r="1033" spans="8:8">
      <c r="H1033" t="str">
        <f ca="1"/>
        <v>elveaflor@gmail.com</v>
      </c>
    </row>
    <row r="1034" spans="8:8">
      <c r="H1034" t="str">
        <f ca="1"/>
        <v>lolaflor.com@gmail.com</v>
      </c>
    </row>
    <row r="1035" spans="8:8">
      <c r="H1035" t="str">
        <f ca="1"/>
        <v>jesus@jemaflor.com</v>
      </c>
    </row>
    <row r="1036" spans="8:8">
      <c r="H1036" t="str">
        <f ca="1"/>
        <v>info@motaflorchipiona.com</v>
      </c>
    </row>
    <row r="1037" spans="8:8">
      <c r="H1037" t="str">
        <f ca="1"/>
        <v>garden@expojardingranada.com</v>
      </c>
    </row>
    <row r="1038" spans="8:8">
      <c r="H1038" t="str">
        <f ca="1"/>
        <v>viverosalcazar@hotmail.com</v>
      </c>
    </row>
    <row r="1039" spans="8:8">
      <c r="H1039" t="str">
        <f ca="1"/>
        <v>pedidos@deacantopremiumroses.com</v>
      </c>
    </row>
    <row r="1040" spans="8:8">
      <c r="H1040" t="str">
        <f ca="1"/>
        <v>info@rosasdesevilla.com</v>
      </c>
    </row>
    <row r="1041" spans="8:8">
      <c r="H1041" t="str">
        <f ca="1"/>
        <v>info@viverosibanez.es</v>
      </c>
    </row>
    <row r="1042" spans="8:8">
      <c r="H1042" t="str">
        <f ca="1"/>
        <v>flors@fornesgroup.com</v>
      </c>
    </row>
    <row r="1043" spans="8:8">
      <c r="H1043" t="str">
        <f ca="1"/>
        <v>hbalear@infotelecom.es</v>
      </c>
    </row>
    <row r="1044" spans="8:8">
      <c r="H1044" t="str">
        <f ca="1"/>
        <v>palmaflor@palmaflor.com</v>
      </c>
    </row>
    <row r="1045" spans="8:8">
      <c r="H1045" t="str">
        <f ca="1"/>
        <v>floristeriapife@hotmail.com</v>
      </c>
    </row>
    <row r="1046" spans="8:8">
      <c r="H1046" t="str">
        <f ca="1"/>
        <v>info@viverosmadrona.com</v>
      </c>
    </row>
    <row r="1047" spans="8:8">
      <c r="H1047" t="str">
        <f ca="1"/>
        <v>sales@aleiaroses.com</v>
      </c>
    </row>
    <row r="1048" spans="8:8">
      <c r="H1048" t="str">
        <f ca="1"/>
        <v>info@centralgarden.cat</v>
      </c>
    </row>
    <row r="1049" spans="8:8">
      <c r="H1049" t="str">
        <f ca="1"/>
        <v>viverosdalia@gmail.com</v>
      </c>
    </row>
    <row r="1050" spans="8:8">
      <c r="H1050" t="str">
        <f ca="1"/>
        <v>casablanca3@interflora.es</v>
      </c>
    </row>
    <row r="1051" spans="8:8">
      <c r="H1051" t="str">
        <f ca="1"/>
        <v>info@florestoxal.es</v>
      </c>
    </row>
    <row r="1052" spans="8:8">
      <c r="H1052" t="str">
        <f ca="1"/>
        <v>//viverosflorama.es/contacto/info@viverosflorama.es</v>
      </c>
    </row>
    <row r="1053" spans="8:8">
      <c r="H1053" t="str">
        <f ca="1"/>
        <v>santalucia@huertolacampana.es</v>
      </c>
    </row>
    <row r="1054" spans="8:8">
      <c r="H1054">
        <f ca="1"/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60A6C-9255-48AF-9B37-13537E56CCEA}">
  <dimension ref="A1"/>
  <sheetViews>
    <sheetView workbookViewId="0">
      <selection activeCell="A13" sqref="A13"/>
    </sheetView>
  </sheetViews>
  <sheetFormatPr defaultColWidth="11.42578125" defaultRowHeight="14.45"/>
  <cols>
    <col min="1" max="1" width="76.5703125" customWidth="1"/>
  </cols>
  <sheetData>
    <row r="1" spans="1:1" ht="87">
      <c r="A1" s="1" t="s">
        <v>16993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B77F6-8ED5-4C94-9146-154D33E80CF1}">
  <dimension ref="A1:I366"/>
  <sheetViews>
    <sheetView workbookViewId="0">
      <selection activeCell="I2" sqref="I2"/>
    </sheetView>
  </sheetViews>
  <sheetFormatPr defaultRowHeight="15"/>
  <cols>
    <col min="1" max="1" width="68.7109375" customWidth="1"/>
    <col min="8" max="8" width="37.140625" bestFit="1" customWidth="1"/>
    <col min="9" max="9" width="15.1406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163</v>
      </c>
      <c r="B2" t="s">
        <v>10</v>
      </c>
      <c r="C2" t="s">
        <v>164</v>
      </c>
      <c r="D2" t="s">
        <v>148</v>
      </c>
      <c r="E2" t="s">
        <v>12</v>
      </c>
      <c r="F2" t="s">
        <v>165</v>
      </c>
      <c r="G2" t="s">
        <v>150</v>
      </c>
      <c r="H2" t="s">
        <v>166</v>
      </c>
      <c r="I2" t="b">
        <v>1</v>
      </c>
    </row>
    <row r="3" spans="1:9">
      <c r="A3" t="s">
        <v>245</v>
      </c>
      <c r="B3" t="s">
        <v>10</v>
      </c>
      <c r="C3" t="s">
        <v>246</v>
      </c>
      <c r="D3" t="s">
        <v>247</v>
      </c>
      <c r="E3" t="s">
        <v>12</v>
      </c>
      <c r="F3" t="s">
        <v>248</v>
      </c>
      <c r="G3" t="s">
        <v>249</v>
      </c>
      <c r="H3" t="s">
        <v>250</v>
      </c>
      <c r="I3" t="b">
        <v>1</v>
      </c>
    </row>
    <row r="4" spans="1:9">
      <c r="A4" t="s">
        <v>260</v>
      </c>
      <c r="B4" t="s">
        <v>10</v>
      </c>
      <c r="C4" t="s">
        <v>261</v>
      </c>
      <c r="D4" t="s">
        <v>262</v>
      </c>
      <c r="E4" t="s">
        <v>12</v>
      </c>
      <c r="F4" t="s">
        <v>263</v>
      </c>
      <c r="G4" t="s">
        <v>264</v>
      </c>
      <c r="H4" t="s">
        <v>265</v>
      </c>
      <c r="I4" t="b">
        <v>1</v>
      </c>
    </row>
    <row r="5" spans="1:9">
      <c r="A5" t="s">
        <v>269</v>
      </c>
      <c r="B5" t="s">
        <v>10</v>
      </c>
      <c r="C5" t="s">
        <v>270</v>
      </c>
      <c r="D5" t="s">
        <v>262</v>
      </c>
      <c r="E5" t="s">
        <v>12</v>
      </c>
      <c r="F5" t="s">
        <v>271</v>
      </c>
      <c r="G5" t="s">
        <v>272</v>
      </c>
      <c r="H5" t="s">
        <v>273</v>
      </c>
      <c r="I5" t="b">
        <v>1</v>
      </c>
    </row>
    <row r="6" spans="1:9">
      <c r="A6" t="s">
        <v>302</v>
      </c>
      <c r="B6" t="s">
        <v>10</v>
      </c>
      <c r="C6" t="s">
        <v>303</v>
      </c>
      <c r="D6" t="s">
        <v>228</v>
      </c>
      <c r="E6" t="s">
        <v>12</v>
      </c>
      <c r="F6" t="s">
        <v>304</v>
      </c>
      <c r="G6" t="s">
        <v>305</v>
      </c>
      <c r="H6" t="s">
        <v>306</v>
      </c>
      <c r="I6" t="b">
        <v>1</v>
      </c>
    </row>
    <row r="7" spans="1:9">
      <c r="A7" t="s">
        <v>311</v>
      </c>
      <c r="B7" t="s">
        <v>10</v>
      </c>
      <c r="C7" t="s">
        <v>312</v>
      </c>
      <c r="D7" t="s">
        <v>313</v>
      </c>
      <c r="E7" t="s">
        <v>12</v>
      </c>
      <c r="F7" t="s">
        <v>314</v>
      </c>
      <c r="G7" t="s">
        <v>315</v>
      </c>
      <c r="H7" t="s">
        <v>316</v>
      </c>
      <c r="I7" t="b">
        <v>1</v>
      </c>
    </row>
    <row r="8" spans="1:9">
      <c r="A8" t="s">
        <v>364</v>
      </c>
      <c r="B8" t="s">
        <v>10</v>
      </c>
      <c r="C8" t="s">
        <v>365</v>
      </c>
      <c r="D8" t="s">
        <v>366</v>
      </c>
      <c r="E8" t="s">
        <v>12</v>
      </c>
      <c r="F8" t="s">
        <v>367</v>
      </c>
      <c r="G8" t="s">
        <v>368</v>
      </c>
      <c r="H8" t="s">
        <v>369</v>
      </c>
      <c r="I8" t="b">
        <v>1</v>
      </c>
    </row>
    <row r="9" spans="1:9">
      <c r="A9" t="s">
        <v>370</v>
      </c>
      <c r="B9" t="s">
        <v>10</v>
      </c>
      <c r="C9" t="s">
        <v>371</v>
      </c>
      <c r="D9" t="s">
        <v>372</v>
      </c>
      <c r="E9" t="s">
        <v>373</v>
      </c>
      <c r="F9" t="s">
        <v>374</v>
      </c>
      <c r="G9" t="s">
        <v>375</v>
      </c>
      <c r="H9" t="s">
        <v>376</v>
      </c>
      <c r="I9" t="b">
        <v>1</v>
      </c>
    </row>
    <row r="10" spans="1:9">
      <c r="A10" t="s">
        <v>509</v>
      </c>
      <c r="B10" t="s">
        <v>10</v>
      </c>
      <c r="C10" t="s">
        <v>510</v>
      </c>
      <c r="D10" t="s">
        <v>431</v>
      </c>
      <c r="E10" t="s">
        <v>379</v>
      </c>
      <c r="F10" t="s">
        <v>511</v>
      </c>
      <c r="G10" t="s">
        <v>512</v>
      </c>
      <c r="H10" t="s">
        <v>513</v>
      </c>
      <c r="I10" t="b">
        <v>1</v>
      </c>
    </row>
    <row r="11" spans="1:9">
      <c r="A11" t="s">
        <v>583</v>
      </c>
      <c r="B11" t="s">
        <v>10</v>
      </c>
      <c r="C11" t="s">
        <v>584</v>
      </c>
      <c r="D11" t="s">
        <v>585</v>
      </c>
      <c r="E11" t="s">
        <v>379</v>
      </c>
      <c r="F11" t="s">
        <v>586</v>
      </c>
      <c r="G11" t="s">
        <v>587</v>
      </c>
      <c r="H11" t="s">
        <v>588</v>
      </c>
      <c r="I11" t="b">
        <v>1</v>
      </c>
    </row>
    <row r="12" spans="1:9">
      <c r="A12" t="s">
        <v>620</v>
      </c>
      <c r="B12" t="s">
        <v>10</v>
      </c>
      <c r="C12" t="s">
        <v>28</v>
      </c>
      <c r="D12" t="s">
        <v>520</v>
      </c>
      <c r="E12" t="s">
        <v>28</v>
      </c>
      <c r="F12" t="s">
        <v>621</v>
      </c>
      <c r="G12" t="s">
        <v>28</v>
      </c>
      <c r="H12" t="s">
        <v>622</v>
      </c>
      <c r="I12" t="b">
        <v>1</v>
      </c>
    </row>
    <row r="13" spans="1:9">
      <c r="A13" t="s">
        <v>627</v>
      </c>
      <c r="B13" t="s">
        <v>10</v>
      </c>
      <c r="C13" t="s">
        <v>628</v>
      </c>
      <c r="D13" t="s">
        <v>528</v>
      </c>
      <c r="E13" t="s">
        <v>379</v>
      </c>
      <c r="F13" t="s">
        <v>629</v>
      </c>
      <c r="G13" t="s">
        <v>630</v>
      </c>
      <c r="H13" t="s">
        <v>631</v>
      </c>
      <c r="I13" t="b">
        <v>1</v>
      </c>
    </row>
    <row r="14" spans="1:9">
      <c r="A14" t="s">
        <v>722</v>
      </c>
      <c r="B14" t="s">
        <v>10</v>
      </c>
      <c r="C14" t="s">
        <v>723</v>
      </c>
      <c r="D14" t="s">
        <v>683</v>
      </c>
      <c r="E14" t="s">
        <v>379</v>
      </c>
      <c r="F14" t="s">
        <v>724</v>
      </c>
      <c r="G14" t="s">
        <v>725</v>
      </c>
      <c r="H14" t="s">
        <v>726</v>
      </c>
      <c r="I14" t="b">
        <v>1</v>
      </c>
    </row>
    <row r="15" spans="1:9">
      <c r="A15" t="s">
        <v>760</v>
      </c>
      <c r="B15" t="s">
        <v>10</v>
      </c>
      <c r="C15" t="s">
        <v>761</v>
      </c>
      <c r="D15" t="s">
        <v>762</v>
      </c>
      <c r="E15" t="s">
        <v>732</v>
      </c>
      <c r="F15" t="s">
        <v>763</v>
      </c>
      <c r="G15" t="s">
        <v>764</v>
      </c>
      <c r="H15" t="s">
        <v>765</v>
      </c>
      <c r="I15" t="b">
        <v>1</v>
      </c>
    </row>
    <row r="16" spans="1:9">
      <c r="A16" t="s">
        <v>778</v>
      </c>
      <c r="B16" t="s">
        <v>10</v>
      </c>
      <c r="C16" t="s">
        <v>779</v>
      </c>
      <c r="D16" t="s">
        <v>780</v>
      </c>
      <c r="E16" t="s">
        <v>780</v>
      </c>
      <c r="F16" t="s">
        <v>781</v>
      </c>
      <c r="G16" t="s">
        <v>782</v>
      </c>
      <c r="H16" t="s">
        <v>783</v>
      </c>
      <c r="I16" t="b">
        <v>1</v>
      </c>
    </row>
    <row r="17" spans="1:9">
      <c r="A17" t="s">
        <v>800</v>
      </c>
      <c r="B17" t="s">
        <v>10</v>
      </c>
      <c r="C17" t="s">
        <v>801</v>
      </c>
      <c r="D17" t="s">
        <v>796</v>
      </c>
      <c r="E17" t="s">
        <v>796</v>
      </c>
      <c r="F17" t="s">
        <v>802</v>
      </c>
      <c r="G17" t="s">
        <v>803</v>
      </c>
      <c r="H17" t="s">
        <v>804</v>
      </c>
      <c r="I17" t="b">
        <v>1</v>
      </c>
    </row>
    <row r="18" spans="1:9">
      <c r="A18" t="s">
        <v>814</v>
      </c>
      <c r="B18" t="s">
        <v>10</v>
      </c>
      <c r="C18" t="s">
        <v>815</v>
      </c>
      <c r="D18" t="s">
        <v>796</v>
      </c>
      <c r="E18" t="s">
        <v>796</v>
      </c>
      <c r="F18" t="s">
        <v>816</v>
      </c>
      <c r="G18" t="s">
        <v>817</v>
      </c>
      <c r="H18" t="s">
        <v>818</v>
      </c>
      <c r="I18" t="b">
        <v>1</v>
      </c>
    </row>
    <row r="19" spans="1:9">
      <c r="A19" t="s">
        <v>833</v>
      </c>
      <c r="B19" t="s">
        <v>10</v>
      </c>
      <c r="C19" t="s">
        <v>834</v>
      </c>
      <c r="D19" t="s">
        <v>796</v>
      </c>
      <c r="E19" t="s">
        <v>796</v>
      </c>
      <c r="F19" t="s">
        <v>835</v>
      </c>
      <c r="G19" t="s">
        <v>836</v>
      </c>
      <c r="H19" t="s">
        <v>837</v>
      </c>
      <c r="I19" t="b">
        <v>1</v>
      </c>
    </row>
    <row r="20" spans="1:9">
      <c r="A20" t="s">
        <v>919</v>
      </c>
      <c r="B20" t="s">
        <v>10</v>
      </c>
      <c r="C20" t="s">
        <v>920</v>
      </c>
      <c r="D20" t="s">
        <v>796</v>
      </c>
      <c r="E20" t="s">
        <v>796</v>
      </c>
      <c r="F20" t="s">
        <v>921</v>
      </c>
      <c r="G20" t="s">
        <v>922</v>
      </c>
      <c r="H20" t="s">
        <v>923</v>
      </c>
      <c r="I20" t="b">
        <v>1</v>
      </c>
    </row>
    <row r="21" spans="1:9">
      <c r="A21" t="s">
        <v>962</v>
      </c>
      <c r="B21" t="s">
        <v>10</v>
      </c>
      <c r="C21" t="s">
        <v>963</v>
      </c>
      <c r="D21" t="s">
        <v>796</v>
      </c>
      <c r="E21" t="s">
        <v>796</v>
      </c>
      <c r="F21" t="s">
        <v>964</v>
      </c>
      <c r="G21" t="s">
        <v>965</v>
      </c>
      <c r="H21" t="s">
        <v>966</v>
      </c>
      <c r="I21" t="b">
        <v>1</v>
      </c>
    </row>
    <row r="22" spans="1:9">
      <c r="A22" t="s">
        <v>1107</v>
      </c>
      <c r="B22" t="s">
        <v>10</v>
      </c>
      <c r="C22" t="s">
        <v>1108</v>
      </c>
      <c r="D22" t="s">
        <v>1109</v>
      </c>
      <c r="E22" t="s">
        <v>796</v>
      </c>
      <c r="F22" t="s">
        <v>1110</v>
      </c>
      <c r="G22" t="s">
        <v>1111</v>
      </c>
      <c r="H22" t="s">
        <v>1112</v>
      </c>
      <c r="I22" t="b">
        <v>1</v>
      </c>
    </row>
    <row r="23" spans="1:9">
      <c r="A23" t="s">
        <v>1123</v>
      </c>
      <c r="B23" t="s">
        <v>10</v>
      </c>
      <c r="C23" t="s">
        <v>1124</v>
      </c>
      <c r="D23" t="s">
        <v>1125</v>
      </c>
      <c r="E23" t="s">
        <v>796</v>
      </c>
      <c r="F23" t="s">
        <v>1126</v>
      </c>
      <c r="G23" t="s">
        <v>1127</v>
      </c>
      <c r="H23" t="s">
        <v>1128</v>
      </c>
      <c r="I23" t="b">
        <v>1</v>
      </c>
    </row>
    <row r="24" spans="1:9">
      <c r="A24" t="s">
        <v>1145</v>
      </c>
      <c r="B24" t="s">
        <v>10</v>
      </c>
      <c r="C24" t="s">
        <v>1146</v>
      </c>
      <c r="D24" t="s">
        <v>1131</v>
      </c>
      <c r="E24" t="s">
        <v>796</v>
      </c>
      <c r="F24" t="s">
        <v>1147</v>
      </c>
      <c r="G24" t="s">
        <v>1148</v>
      </c>
      <c r="H24" t="s">
        <v>1149</v>
      </c>
      <c r="I24" t="b">
        <v>1</v>
      </c>
    </row>
    <row r="25" spans="1:9">
      <c r="A25" t="s">
        <v>1164</v>
      </c>
      <c r="B25" t="s">
        <v>10</v>
      </c>
      <c r="C25" t="s">
        <v>1165</v>
      </c>
      <c r="D25" t="s">
        <v>1166</v>
      </c>
      <c r="E25" t="s">
        <v>796</v>
      </c>
      <c r="F25" t="s">
        <v>1167</v>
      </c>
      <c r="G25" t="s">
        <v>1168</v>
      </c>
      <c r="H25" t="s">
        <v>1169</v>
      </c>
      <c r="I25" t="b">
        <v>1</v>
      </c>
    </row>
    <row r="26" spans="1:9">
      <c r="A26" t="s">
        <v>1225</v>
      </c>
      <c r="B26" t="s">
        <v>10</v>
      </c>
      <c r="C26" t="s">
        <v>1226</v>
      </c>
      <c r="D26" t="s">
        <v>373</v>
      </c>
      <c r="E26" t="s">
        <v>373</v>
      </c>
      <c r="F26" t="s">
        <v>1227</v>
      </c>
      <c r="G26" t="s">
        <v>1228</v>
      </c>
      <c r="H26" t="s">
        <v>1229</v>
      </c>
      <c r="I26" t="b">
        <v>1</v>
      </c>
    </row>
    <row r="27" spans="1:9">
      <c r="A27" t="s">
        <v>1264</v>
      </c>
      <c r="B27" t="s">
        <v>10</v>
      </c>
      <c r="C27" t="s">
        <v>1265</v>
      </c>
      <c r="D27" t="s">
        <v>373</v>
      </c>
      <c r="E27" t="s">
        <v>373</v>
      </c>
      <c r="F27" t="s">
        <v>1266</v>
      </c>
      <c r="G27" t="s">
        <v>1267</v>
      </c>
      <c r="H27" t="s">
        <v>1268</v>
      </c>
      <c r="I27" t="b">
        <v>1</v>
      </c>
    </row>
    <row r="28" spans="1:9">
      <c r="A28" t="s">
        <v>1278</v>
      </c>
      <c r="B28" t="s">
        <v>10</v>
      </c>
      <c r="C28" t="s">
        <v>1279</v>
      </c>
      <c r="D28" t="s">
        <v>373</v>
      </c>
      <c r="E28" t="s">
        <v>373</v>
      </c>
      <c r="F28" t="s">
        <v>1280</v>
      </c>
      <c r="G28" t="s">
        <v>1281</v>
      </c>
      <c r="H28" t="s">
        <v>1282</v>
      </c>
      <c r="I28" t="b">
        <v>1</v>
      </c>
    </row>
    <row r="29" spans="1:9">
      <c r="A29" t="s">
        <v>1397</v>
      </c>
      <c r="B29" t="s">
        <v>10</v>
      </c>
      <c r="C29" t="s">
        <v>1398</v>
      </c>
      <c r="D29" t="s">
        <v>373</v>
      </c>
      <c r="E29" t="s">
        <v>373</v>
      </c>
      <c r="F29" t="s">
        <v>1219</v>
      </c>
      <c r="G29" t="s">
        <v>1399</v>
      </c>
      <c r="H29" t="s">
        <v>1400</v>
      </c>
      <c r="I29" t="b">
        <v>1</v>
      </c>
    </row>
    <row r="30" spans="1:9">
      <c r="A30" t="s">
        <v>1444</v>
      </c>
      <c r="B30" t="s">
        <v>10</v>
      </c>
      <c r="C30" t="s">
        <v>1445</v>
      </c>
      <c r="D30" t="s">
        <v>1446</v>
      </c>
      <c r="E30" t="s">
        <v>373</v>
      </c>
      <c r="F30" t="s">
        <v>1447</v>
      </c>
      <c r="G30" t="s">
        <v>1448</v>
      </c>
      <c r="H30" t="s">
        <v>1449</v>
      </c>
      <c r="I30" t="b">
        <v>1</v>
      </c>
    </row>
    <row r="31" spans="1:9">
      <c r="A31" t="s">
        <v>1582</v>
      </c>
      <c r="B31" t="s">
        <v>10</v>
      </c>
      <c r="C31" t="s">
        <v>1583</v>
      </c>
      <c r="D31" t="s">
        <v>1505</v>
      </c>
      <c r="E31" t="s">
        <v>373</v>
      </c>
      <c r="F31" t="s">
        <v>1584</v>
      </c>
      <c r="G31" t="s">
        <v>1585</v>
      </c>
      <c r="H31" t="s">
        <v>1586</v>
      </c>
      <c r="I31" t="b">
        <v>1</v>
      </c>
    </row>
    <row r="32" spans="1:9">
      <c r="A32" t="s">
        <v>1635</v>
      </c>
      <c r="B32" t="s">
        <v>10</v>
      </c>
      <c r="C32" t="s">
        <v>1636</v>
      </c>
      <c r="D32" t="s">
        <v>1609</v>
      </c>
      <c r="E32" t="s">
        <v>1609</v>
      </c>
      <c r="F32" t="s">
        <v>1637</v>
      </c>
      <c r="G32" t="s">
        <v>1638</v>
      </c>
      <c r="H32" t="s">
        <v>1639</v>
      </c>
      <c r="I32" t="b">
        <v>1</v>
      </c>
    </row>
    <row r="33" spans="1:9">
      <c r="A33" t="s">
        <v>1901</v>
      </c>
      <c r="B33" t="s">
        <v>10</v>
      </c>
      <c r="C33" t="s">
        <v>1902</v>
      </c>
      <c r="D33" t="s">
        <v>1884</v>
      </c>
      <c r="E33" t="s">
        <v>1884</v>
      </c>
      <c r="F33" t="s">
        <v>1903</v>
      </c>
      <c r="G33" t="s">
        <v>1904</v>
      </c>
      <c r="H33" t="s">
        <v>1905</v>
      </c>
      <c r="I33" t="b">
        <v>1</v>
      </c>
    </row>
    <row r="34" spans="1:9">
      <c r="A34" t="s">
        <v>1927</v>
      </c>
      <c r="B34" t="s">
        <v>10</v>
      </c>
      <c r="C34" t="s">
        <v>1928</v>
      </c>
      <c r="D34" t="s">
        <v>1884</v>
      </c>
      <c r="E34" t="s">
        <v>1884</v>
      </c>
      <c r="F34" t="s">
        <v>1929</v>
      </c>
      <c r="G34" t="s">
        <v>28</v>
      </c>
      <c r="H34" t="s">
        <v>1930</v>
      </c>
      <c r="I34" t="b">
        <v>1</v>
      </c>
    </row>
    <row r="35" spans="1:9">
      <c r="A35" t="s">
        <v>1960</v>
      </c>
      <c r="B35" t="s">
        <v>10</v>
      </c>
      <c r="C35" t="s">
        <v>1961</v>
      </c>
      <c r="D35" t="s">
        <v>1962</v>
      </c>
      <c r="E35" t="s">
        <v>1884</v>
      </c>
      <c r="F35" t="s">
        <v>1963</v>
      </c>
      <c r="G35" t="s">
        <v>1964</v>
      </c>
      <c r="H35" t="s">
        <v>1965</v>
      </c>
      <c r="I35" t="b">
        <v>1</v>
      </c>
    </row>
    <row r="36" spans="1:9">
      <c r="A36" t="s">
        <v>2000</v>
      </c>
      <c r="B36" t="s">
        <v>10</v>
      </c>
      <c r="C36" t="s">
        <v>2001</v>
      </c>
      <c r="D36" t="s">
        <v>2002</v>
      </c>
      <c r="E36" t="s">
        <v>1884</v>
      </c>
      <c r="F36" t="s">
        <v>2003</v>
      </c>
      <c r="G36" t="s">
        <v>2004</v>
      </c>
      <c r="H36" t="s">
        <v>2005</v>
      </c>
      <c r="I36" t="b">
        <v>1</v>
      </c>
    </row>
    <row r="37" spans="1:9">
      <c r="A37" t="s">
        <v>2049</v>
      </c>
      <c r="B37" t="s">
        <v>10</v>
      </c>
      <c r="C37" t="s">
        <v>2050</v>
      </c>
      <c r="D37" t="s">
        <v>2042</v>
      </c>
      <c r="E37" t="s">
        <v>1884</v>
      </c>
      <c r="F37" t="s">
        <v>2051</v>
      </c>
      <c r="G37" t="s">
        <v>2052</v>
      </c>
      <c r="H37" t="s">
        <v>2053</v>
      </c>
      <c r="I37" t="b">
        <v>1</v>
      </c>
    </row>
    <row r="38" spans="1:9">
      <c r="A38" t="s">
        <v>2082</v>
      </c>
      <c r="B38" t="s">
        <v>10</v>
      </c>
      <c r="C38" t="s">
        <v>2083</v>
      </c>
      <c r="D38" t="s">
        <v>2084</v>
      </c>
      <c r="E38" t="s">
        <v>1884</v>
      </c>
      <c r="F38" t="s">
        <v>2085</v>
      </c>
      <c r="G38" t="s">
        <v>2086</v>
      </c>
      <c r="H38" t="s">
        <v>2087</v>
      </c>
      <c r="I38" t="b">
        <v>1</v>
      </c>
    </row>
    <row r="39" spans="1:9">
      <c r="A39" t="s">
        <v>2103</v>
      </c>
      <c r="B39" t="s">
        <v>10</v>
      </c>
      <c r="C39" t="s">
        <v>2104</v>
      </c>
      <c r="D39" t="s">
        <v>2094</v>
      </c>
      <c r="E39" t="s">
        <v>1884</v>
      </c>
      <c r="F39" t="s">
        <v>2105</v>
      </c>
      <c r="G39" t="s">
        <v>2106</v>
      </c>
      <c r="H39" t="s">
        <v>2107</v>
      </c>
      <c r="I39" t="b">
        <v>1</v>
      </c>
    </row>
    <row r="40" spans="1:9">
      <c r="A40" t="s">
        <v>2141</v>
      </c>
      <c r="B40" t="s">
        <v>10</v>
      </c>
      <c r="C40" t="s">
        <v>2142</v>
      </c>
      <c r="D40" t="s">
        <v>2143</v>
      </c>
      <c r="E40" t="s">
        <v>1884</v>
      </c>
      <c r="F40" t="s">
        <v>2144</v>
      </c>
      <c r="G40" t="s">
        <v>2145</v>
      </c>
      <c r="H40" t="s">
        <v>2146</v>
      </c>
      <c r="I40" t="b">
        <v>1</v>
      </c>
    </row>
    <row r="41" spans="1:9">
      <c r="A41" t="s">
        <v>2147</v>
      </c>
      <c r="B41" t="s">
        <v>10</v>
      </c>
      <c r="C41" t="s">
        <v>2148</v>
      </c>
      <c r="D41" t="s">
        <v>2149</v>
      </c>
      <c r="E41" t="s">
        <v>1884</v>
      </c>
      <c r="F41" t="s">
        <v>2150</v>
      </c>
      <c r="G41" t="s">
        <v>2151</v>
      </c>
      <c r="H41" t="s">
        <v>2152</v>
      </c>
      <c r="I41" t="b">
        <v>1</v>
      </c>
    </row>
    <row r="42" spans="1:9">
      <c r="A42" t="s">
        <v>2338</v>
      </c>
      <c r="B42" t="s">
        <v>10</v>
      </c>
      <c r="C42" t="s">
        <v>2339</v>
      </c>
      <c r="D42" t="s">
        <v>780</v>
      </c>
      <c r="E42" t="s">
        <v>780</v>
      </c>
      <c r="F42" t="s">
        <v>2340</v>
      </c>
      <c r="G42" t="s">
        <v>2341</v>
      </c>
      <c r="H42" t="s">
        <v>2342</v>
      </c>
      <c r="I42" t="b">
        <v>1</v>
      </c>
    </row>
    <row r="43" spans="1:9">
      <c r="A43" t="s">
        <v>2372</v>
      </c>
      <c r="B43" t="s">
        <v>10</v>
      </c>
      <c r="C43" t="s">
        <v>2373</v>
      </c>
      <c r="D43" t="s">
        <v>780</v>
      </c>
      <c r="E43" t="s">
        <v>780</v>
      </c>
      <c r="F43" t="s">
        <v>2374</v>
      </c>
      <c r="G43" t="s">
        <v>2375</v>
      </c>
      <c r="H43" t="s">
        <v>2376</v>
      </c>
      <c r="I43" t="b">
        <v>1</v>
      </c>
    </row>
    <row r="44" spans="1:9">
      <c r="A44" t="s">
        <v>2400</v>
      </c>
      <c r="B44" t="s">
        <v>10</v>
      </c>
      <c r="C44" t="s">
        <v>2401</v>
      </c>
      <c r="D44" t="s">
        <v>780</v>
      </c>
      <c r="E44" t="s">
        <v>780</v>
      </c>
      <c r="F44" t="s">
        <v>2402</v>
      </c>
      <c r="G44" t="s">
        <v>2403</v>
      </c>
      <c r="H44" t="s">
        <v>2404</v>
      </c>
      <c r="I44" t="b">
        <v>1</v>
      </c>
    </row>
    <row r="45" spans="1:9">
      <c r="A45" t="s">
        <v>2405</v>
      </c>
      <c r="B45" t="s">
        <v>10</v>
      </c>
      <c r="C45" t="s">
        <v>2406</v>
      </c>
      <c r="D45" t="s">
        <v>780</v>
      </c>
      <c r="E45" t="s">
        <v>780</v>
      </c>
      <c r="F45" t="s">
        <v>2407</v>
      </c>
      <c r="G45" t="s">
        <v>2408</v>
      </c>
      <c r="H45" t="s">
        <v>2409</v>
      </c>
      <c r="I45" t="b">
        <v>1</v>
      </c>
    </row>
    <row r="46" spans="1:9">
      <c r="A46" t="s">
        <v>2450</v>
      </c>
      <c r="B46" t="s">
        <v>10</v>
      </c>
      <c r="C46" t="s">
        <v>2451</v>
      </c>
      <c r="D46" t="s">
        <v>2424</v>
      </c>
      <c r="E46" t="s">
        <v>780</v>
      </c>
      <c r="F46" t="s">
        <v>2452</v>
      </c>
      <c r="G46" t="s">
        <v>2453</v>
      </c>
      <c r="H46" t="s">
        <v>2454</v>
      </c>
      <c r="I46" t="b">
        <v>1</v>
      </c>
    </row>
    <row r="47" spans="1:9">
      <c r="A47" t="s">
        <v>2466</v>
      </c>
      <c r="B47" t="s">
        <v>10</v>
      </c>
      <c r="C47" t="s">
        <v>2467</v>
      </c>
      <c r="D47" t="s">
        <v>2468</v>
      </c>
      <c r="E47" t="s">
        <v>780</v>
      </c>
      <c r="F47" t="s">
        <v>2469</v>
      </c>
      <c r="G47" t="s">
        <v>2470</v>
      </c>
      <c r="H47" t="s">
        <v>2471</v>
      </c>
      <c r="I47" t="b">
        <v>1</v>
      </c>
    </row>
    <row r="48" spans="1:9">
      <c r="A48" t="s">
        <v>2499</v>
      </c>
      <c r="B48" t="s">
        <v>10</v>
      </c>
      <c r="C48" t="s">
        <v>2500</v>
      </c>
      <c r="D48" t="s">
        <v>2501</v>
      </c>
      <c r="E48" t="s">
        <v>780</v>
      </c>
      <c r="F48" t="s">
        <v>2502</v>
      </c>
      <c r="G48" t="s">
        <v>2503</v>
      </c>
      <c r="H48" t="s">
        <v>2504</v>
      </c>
      <c r="I48" t="b">
        <v>1</v>
      </c>
    </row>
    <row r="49" spans="1:9">
      <c r="A49" t="s">
        <v>2508</v>
      </c>
      <c r="B49" t="s">
        <v>10</v>
      </c>
      <c r="C49" t="s">
        <v>2509</v>
      </c>
      <c r="D49" t="s">
        <v>780</v>
      </c>
      <c r="E49" t="s">
        <v>780</v>
      </c>
      <c r="F49" t="s">
        <v>2510</v>
      </c>
      <c r="G49" t="s">
        <v>2511</v>
      </c>
      <c r="H49" t="s">
        <v>2512</v>
      </c>
      <c r="I49" t="b">
        <v>1</v>
      </c>
    </row>
    <row r="50" spans="1:9">
      <c r="A50" t="s">
        <v>2521</v>
      </c>
      <c r="B50" t="s">
        <v>10</v>
      </c>
      <c r="C50" t="s">
        <v>2522</v>
      </c>
      <c r="D50" t="s">
        <v>2523</v>
      </c>
      <c r="E50" t="s">
        <v>780</v>
      </c>
      <c r="F50" t="s">
        <v>2524</v>
      </c>
      <c r="G50" t="s">
        <v>2525</v>
      </c>
      <c r="H50" t="s">
        <v>2526</v>
      </c>
      <c r="I50" t="b">
        <v>1</v>
      </c>
    </row>
    <row r="51" spans="1:9">
      <c r="A51" t="s">
        <v>2527</v>
      </c>
      <c r="B51" t="s">
        <v>10</v>
      </c>
      <c r="C51" t="s">
        <v>2528</v>
      </c>
      <c r="D51" t="s">
        <v>2501</v>
      </c>
      <c r="E51" t="s">
        <v>780</v>
      </c>
      <c r="F51" t="s">
        <v>2529</v>
      </c>
      <c r="G51" t="s">
        <v>2530</v>
      </c>
      <c r="H51" t="s">
        <v>2531</v>
      </c>
      <c r="I51" t="b">
        <v>1</v>
      </c>
    </row>
    <row r="52" spans="1:9">
      <c r="A52" t="s">
        <v>2551</v>
      </c>
      <c r="B52" t="s">
        <v>10</v>
      </c>
      <c r="C52" t="s">
        <v>2552</v>
      </c>
      <c r="D52" t="s">
        <v>780</v>
      </c>
      <c r="E52" t="s">
        <v>780</v>
      </c>
      <c r="F52" t="s">
        <v>2553</v>
      </c>
      <c r="G52" t="s">
        <v>2554</v>
      </c>
      <c r="H52" t="s">
        <v>2555</v>
      </c>
      <c r="I52" t="b">
        <v>1</v>
      </c>
    </row>
    <row r="53" spans="1:9">
      <c r="A53" t="s">
        <v>436</v>
      </c>
      <c r="B53" t="s">
        <v>10</v>
      </c>
      <c r="C53" t="s">
        <v>2621</v>
      </c>
      <c r="D53" t="s">
        <v>2622</v>
      </c>
      <c r="E53" t="s">
        <v>780</v>
      </c>
      <c r="F53" t="s">
        <v>2623</v>
      </c>
      <c r="G53" t="s">
        <v>2624</v>
      </c>
      <c r="H53" t="s">
        <v>2625</v>
      </c>
      <c r="I53" t="b">
        <v>1</v>
      </c>
    </row>
    <row r="54" spans="1:9">
      <c r="A54" t="s">
        <v>2626</v>
      </c>
      <c r="B54" t="s">
        <v>10</v>
      </c>
      <c r="C54" t="s">
        <v>2627</v>
      </c>
      <c r="D54" t="s">
        <v>2618</v>
      </c>
      <c r="E54" t="s">
        <v>780</v>
      </c>
      <c r="F54" t="s">
        <v>2628</v>
      </c>
      <c r="G54" t="s">
        <v>2629</v>
      </c>
      <c r="H54" t="s">
        <v>2630</v>
      </c>
      <c r="I54" t="b">
        <v>1</v>
      </c>
    </row>
    <row r="55" spans="1:9">
      <c r="A55" t="s">
        <v>2648</v>
      </c>
      <c r="B55" t="s">
        <v>10</v>
      </c>
      <c r="C55" t="s">
        <v>2649</v>
      </c>
      <c r="D55" t="s">
        <v>2622</v>
      </c>
      <c r="E55" t="s">
        <v>780</v>
      </c>
      <c r="F55" t="s">
        <v>2650</v>
      </c>
      <c r="G55" t="s">
        <v>2651</v>
      </c>
      <c r="H55" t="s">
        <v>2652</v>
      </c>
      <c r="I55" t="b">
        <v>1</v>
      </c>
    </row>
    <row r="56" spans="1:9">
      <c r="A56" t="s">
        <v>2684</v>
      </c>
      <c r="B56" t="s">
        <v>10</v>
      </c>
      <c r="C56" t="s">
        <v>2685</v>
      </c>
      <c r="D56" t="s">
        <v>2622</v>
      </c>
      <c r="E56" t="s">
        <v>780</v>
      </c>
      <c r="F56" t="s">
        <v>2686</v>
      </c>
      <c r="G56" t="s">
        <v>2687</v>
      </c>
      <c r="H56" t="s">
        <v>2688</v>
      </c>
      <c r="I56" t="b">
        <v>1</v>
      </c>
    </row>
    <row r="57" spans="1:9">
      <c r="A57" t="s">
        <v>2725</v>
      </c>
      <c r="B57" t="s">
        <v>10</v>
      </c>
      <c r="C57" t="s">
        <v>28</v>
      </c>
      <c r="D57" t="s">
        <v>2395</v>
      </c>
      <c r="E57" t="s">
        <v>28</v>
      </c>
      <c r="F57" t="s">
        <v>2726</v>
      </c>
      <c r="G57" t="s">
        <v>2727</v>
      </c>
      <c r="H57" t="s">
        <v>2728</v>
      </c>
      <c r="I57" t="b">
        <v>1</v>
      </c>
    </row>
    <row r="58" spans="1:9">
      <c r="A58" t="s">
        <v>2830</v>
      </c>
      <c r="B58" t="s">
        <v>10</v>
      </c>
      <c r="C58" t="s">
        <v>2831</v>
      </c>
      <c r="D58" t="s">
        <v>732</v>
      </c>
      <c r="E58" t="s">
        <v>732</v>
      </c>
      <c r="F58" t="s">
        <v>2832</v>
      </c>
      <c r="G58" t="s">
        <v>2833</v>
      </c>
      <c r="H58" t="s">
        <v>2834</v>
      </c>
      <c r="I58" t="b">
        <v>1</v>
      </c>
    </row>
    <row r="59" spans="1:9">
      <c r="A59" t="s">
        <v>2839</v>
      </c>
      <c r="B59" t="s">
        <v>10</v>
      </c>
      <c r="C59" t="s">
        <v>2840</v>
      </c>
      <c r="D59" t="s">
        <v>732</v>
      </c>
      <c r="E59" t="s">
        <v>732</v>
      </c>
      <c r="F59" t="s">
        <v>2841</v>
      </c>
      <c r="G59" t="s">
        <v>2842</v>
      </c>
      <c r="H59" t="s">
        <v>2843</v>
      </c>
      <c r="I59" t="b">
        <v>1</v>
      </c>
    </row>
    <row r="60" spans="1:9">
      <c r="A60" t="s">
        <v>2848</v>
      </c>
      <c r="B60" t="s">
        <v>10</v>
      </c>
      <c r="C60" t="s">
        <v>2849</v>
      </c>
      <c r="D60" t="s">
        <v>732</v>
      </c>
      <c r="E60" t="s">
        <v>732</v>
      </c>
      <c r="F60" t="s">
        <v>2850</v>
      </c>
      <c r="G60" t="s">
        <v>2851</v>
      </c>
      <c r="H60" t="s">
        <v>2852</v>
      </c>
      <c r="I60" t="b">
        <v>1</v>
      </c>
    </row>
    <row r="61" spans="1:9">
      <c r="A61" t="s">
        <v>2910</v>
      </c>
      <c r="B61" t="s">
        <v>10</v>
      </c>
      <c r="C61" t="s">
        <v>2911</v>
      </c>
      <c r="D61" t="s">
        <v>732</v>
      </c>
      <c r="E61" t="s">
        <v>732</v>
      </c>
      <c r="F61" t="s">
        <v>2912</v>
      </c>
      <c r="G61" t="s">
        <v>2913</v>
      </c>
      <c r="H61" t="s">
        <v>2914</v>
      </c>
      <c r="I61" t="b">
        <v>1</v>
      </c>
    </row>
    <row r="62" spans="1:9">
      <c r="A62" t="s">
        <v>2929</v>
      </c>
      <c r="B62" t="s">
        <v>10</v>
      </c>
      <c r="C62" t="s">
        <v>2930</v>
      </c>
      <c r="D62" t="s">
        <v>732</v>
      </c>
      <c r="E62" t="s">
        <v>732</v>
      </c>
      <c r="F62" t="s">
        <v>2931</v>
      </c>
      <c r="G62" t="s">
        <v>2932</v>
      </c>
      <c r="H62" t="s">
        <v>2933</v>
      </c>
      <c r="I62" t="b">
        <v>1</v>
      </c>
    </row>
    <row r="63" spans="1:9">
      <c r="A63" t="s">
        <v>2959</v>
      </c>
      <c r="B63" t="s">
        <v>10</v>
      </c>
      <c r="C63" t="s">
        <v>2960</v>
      </c>
      <c r="D63" t="s">
        <v>732</v>
      </c>
      <c r="E63" t="s">
        <v>732</v>
      </c>
      <c r="F63" t="s">
        <v>2961</v>
      </c>
      <c r="G63" t="s">
        <v>2962</v>
      </c>
      <c r="H63" t="s">
        <v>2963</v>
      </c>
      <c r="I63" t="b">
        <v>1</v>
      </c>
    </row>
    <row r="64" spans="1:9">
      <c r="A64" t="s">
        <v>2991</v>
      </c>
      <c r="B64" t="s">
        <v>10</v>
      </c>
      <c r="C64" t="s">
        <v>2992</v>
      </c>
      <c r="D64" t="s">
        <v>732</v>
      </c>
      <c r="E64" t="s">
        <v>732</v>
      </c>
      <c r="F64" t="s">
        <v>2993</v>
      </c>
      <c r="G64" t="s">
        <v>2994</v>
      </c>
      <c r="H64" t="s">
        <v>2995</v>
      </c>
      <c r="I64" t="b">
        <v>1</v>
      </c>
    </row>
    <row r="65" spans="1:9">
      <c r="A65" t="s">
        <v>3034</v>
      </c>
      <c r="B65" t="s">
        <v>10</v>
      </c>
      <c r="C65" t="s">
        <v>3035</v>
      </c>
      <c r="D65" t="s">
        <v>732</v>
      </c>
      <c r="E65" t="s">
        <v>732</v>
      </c>
      <c r="F65" t="s">
        <v>3036</v>
      </c>
      <c r="G65" t="s">
        <v>3037</v>
      </c>
      <c r="H65" t="s">
        <v>3038</v>
      </c>
      <c r="I65" t="b">
        <v>1</v>
      </c>
    </row>
    <row r="66" spans="1:9">
      <c r="A66" t="s">
        <v>3117</v>
      </c>
      <c r="B66" t="s">
        <v>10</v>
      </c>
      <c r="C66" t="s">
        <v>3118</v>
      </c>
      <c r="D66" t="s">
        <v>732</v>
      </c>
      <c r="E66" t="s">
        <v>732</v>
      </c>
      <c r="F66" t="s">
        <v>3119</v>
      </c>
      <c r="G66" t="s">
        <v>3120</v>
      </c>
      <c r="H66" t="s">
        <v>3121</v>
      </c>
      <c r="I66" t="b">
        <v>1</v>
      </c>
    </row>
    <row r="67" spans="1:9">
      <c r="A67" t="s">
        <v>3158</v>
      </c>
      <c r="B67" t="s">
        <v>10</v>
      </c>
      <c r="C67" t="s">
        <v>3159</v>
      </c>
      <c r="D67" t="s">
        <v>3160</v>
      </c>
      <c r="E67" t="s">
        <v>732</v>
      </c>
      <c r="F67" t="s">
        <v>3161</v>
      </c>
      <c r="G67" t="s">
        <v>3162</v>
      </c>
      <c r="H67" t="s">
        <v>3163</v>
      </c>
      <c r="I67" t="b">
        <v>1</v>
      </c>
    </row>
    <row r="68" spans="1:9">
      <c r="A68" t="s">
        <v>3174</v>
      </c>
      <c r="B68" t="s">
        <v>10</v>
      </c>
      <c r="C68" t="s">
        <v>3175</v>
      </c>
      <c r="D68" t="s">
        <v>3176</v>
      </c>
      <c r="E68" t="s">
        <v>732</v>
      </c>
      <c r="F68" t="s">
        <v>3177</v>
      </c>
      <c r="G68" t="s">
        <v>3178</v>
      </c>
      <c r="H68" t="s">
        <v>3179</v>
      </c>
      <c r="I68" t="b">
        <v>1</v>
      </c>
    </row>
    <row r="69" spans="1:9">
      <c r="A69" t="s">
        <v>3199</v>
      </c>
      <c r="B69" t="s">
        <v>10</v>
      </c>
      <c r="C69" t="s">
        <v>3200</v>
      </c>
      <c r="D69" t="s">
        <v>3176</v>
      </c>
      <c r="E69" t="s">
        <v>732</v>
      </c>
      <c r="F69" t="s">
        <v>3201</v>
      </c>
      <c r="G69" t="s">
        <v>3202</v>
      </c>
      <c r="H69" t="s">
        <v>3203</v>
      </c>
      <c r="I69" t="b">
        <v>1</v>
      </c>
    </row>
    <row r="70" spans="1:9">
      <c r="A70" t="s">
        <v>3454</v>
      </c>
      <c r="B70" t="s">
        <v>10</v>
      </c>
      <c r="C70" t="s">
        <v>3455</v>
      </c>
      <c r="D70" t="s">
        <v>3442</v>
      </c>
      <c r="E70" t="s">
        <v>3385</v>
      </c>
      <c r="F70" t="s">
        <v>3456</v>
      </c>
      <c r="G70" t="s">
        <v>3457</v>
      </c>
      <c r="H70" t="s">
        <v>3458</v>
      </c>
      <c r="I70" t="b">
        <v>1</v>
      </c>
    </row>
    <row r="71" spans="1:9">
      <c r="A71" t="s">
        <v>3486</v>
      </c>
      <c r="B71" t="s">
        <v>10</v>
      </c>
      <c r="C71" t="s">
        <v>3487</v>
      </c>
      <c r="D71" t="s">
        <v>3442</v>
      </c>
      <c r="E71" t="s">
        <v>3385</v>
      </c>
      <c r="F71" t="s">
        <v>3488</v>
      </c>
      <c r="G71" t="s">
        <v>3489</v>
      </c>
      <c r="H71" t="s">
        <v>3490</v>
      </c>
      <c r="I71" t="b">
        <v>1</v>
      </c>
    </row>
    <row r="72" spans="1:9">
      <c r="A72" t="s">
        <v>3546</v>
      </c>
      <c r="B72" t="s">
        <v>10</v>
      </c>
      <c r="C72" t="s">
        <v>3547</v>
      </c>
      <c r="D72" t="s">
        <v>3480</v>
      </c>
      <c r="E72" t="s">
        <v>3480</v>
      </c>
      <c r="F72" t="s">
        <v>3548</v>
      </c>
      <c r="G72" t="s">
        <v>3549</v>
      </c>
      <c r="H72" t="s">
        <v>3550</v>
      </c>
      <c r="I72" t="b">
        <v>1</v>
      </c>
    </row>
    <row r="73" spans="1:9">
      <c r="A73" t="s">
        <v>3598</v>
      </c>
      <c r="B73" t="s">
        <v>10</v>
      </c>
      <c r="C73" t="s">
        <v>3599</v>
      </c>
      <c r="D73" t="s">
        <v>3587</v>
      </c>
      <c r="E73" t="s">
        <v>3587</v>
      </c>
      <c r="F73" t="s">
        <v>3600</v>
      </c>
      <c r="G73" t="s">
        <v>3601</v>
      </c>
      <c r="H73" t="s">
        <v>3602</v>
      </c>
      <c r="I73" t="b">
        <v>1</v>
      </c>
    </row>
    <row r="74" spans="1:9">
      <c r="A74" t="s">
        <v>3650</v>
      </c>
      <c r="B74" t="s">
        <v>10</v>
      </c>
      <c r="C74" t="s">
        <v>3651</v>
      </c>
      <c r="D74" t="s">
        <v>3631</v>
      </c>
      <c r="E74" t="s">
        <v>3587</v>
      </c>
      <c r="F74" t="s">
        <v>3652</v>
      </c>
      <c r="G74" t="s">
        <v>3653</v>
      </c>
      <c r="H74" t="s">
        <v>3654</v>
      </c>
      <c r="I74" t="b">
        <v>1</v>
      </c>
    </row>
    <row r="75" spans="1:9">
      <c r="A75" t="s">
        <v>10</v>
      </c>
      <c r="B75" t="s">
        <v>10</v>
      </c>
      <c r="C75" t="s">
        <v>3664</v>
      </c>
      <c r="D75" t="s">
        <v>3480</v>
      </c>
      <c r="E75" t="s">
        <v>3480</v>
      </c>
      <c r="F75" t="s">
        <v>3665</v>
      </c>
      <c r="G75" t="s">
        <v>28</v>
      </c>
      <c r="H75" t="s">
        <v>3666</v>
      </c>
      <c r="I75" t="b">
        <v>1</v>
      </c>
    </row>
    <row r="76" spans="1:9">
      <c r="A76" t="s">
        <v>3708</v>
      </c>
      <c r="B76" t="s">
        <v>10</v>
      </c>
      <c r="C76" t="s">
        <v>3709</v>
      </c>
      <c r="D76" t="s">
        <v>3480</v>
      </c>
      <c r="E76" t="s">
        <v>3480</v>
      </c>
      <c r="F76" t="s">
        <v>3710</v>
      </c>
      <c r="G76" t="s">
        <v>3711</v>
      </c>
      <c r="H76" t="s">
        <v>3712</v>
      </c>
      <c r="I76" t="b">
        <v>1</v>
      </c>
    </row>
    <row r="77" spans="1:9">
      <c r="A77" t="s">
        <v>3720</v>
      </c>
      <c r="B77" t="s">
        <v>10</v>
      </c>
      <c r="C77" t="s">
        <v>3721</v>
      </c>
      <c r="D77" t="s">
        <v>3480</v>
      </c>
      <c r="E77" t="s">
        <v>3480</v>
      </c>
      <c r="F77" t="s">
        <v>3722</v>
      </c>
      <c r="G77" t="s">
        <v>3723</v>
      </c>
      <c r="H77" t="s">
        <v>3724</v>
      </c>
      <c r="I77" t="b">
        <v>1</v>
      </c>
    </row>
    <row r="78" spans="1:9">
      <c r="A78" t="s">
        <v>3728</v>
      </c>
      <c r="B78" t="s">
        <v>10</v>
      </c>
      <c r="C78" t="s">
        <v>3729</v>
      </c>
      <c r="D78" t="s">
        <v>3480</v>
      </c>
      <c r="E78" t="s">
        <v>3480</v>
      </c>
      <c r="F78" t="s">
        <v>3730</v>
      </c>
      <c r="G78" t="s">
        <v>3731</v>
      </c>
      <c r="H78" t="s">
        <v>3732</v>
      </c>
      <c r="I78" t="b">
        <v>1</v>
      </c>
    </row>
    <row r="79" spans="1:9">
      <c r="A79" t="s">
        <v>3733</v>
      </c>
      <c r="B79" t="s">
        <v>10</v>
      </c>
      <c r="C79" t="s">
        <v>3734</v>
      </c>
      <c r="D79" t="s">
        <v>3480</v>
      </c>
      <c r="E79" t="s">
        <v>3480</v>
      </c>
      <c r="F79" t="s">
        <v>3735</v>
      </c>
      <c r="G79" t="s">
        <v>3736</v>
      </c>
      <c r="H79" t="s">
        <v>3737</v>
      </c>
      <c r="I79" t="b">
        <v>1</v>
      </c>
    </row>
    <row r="80" spans="1:9">
      <c r="A80" t="s">
        <v>3738</v>
      </c>
      <c r="B80" t="s">
        <v>10</v>
      </c>
      <c r="C80" t="s">
        <v>3739</v>
      </c>
      <c r="D80" t="s">
        <v>3480</v>
      </c>
      <c r="E80" t="s">
        <v>3480</v>
      </c>
      <c r="F80" t="s">
        <v>3740</v>
      </c>
      <c r="G80" t="s">
        <v>3741</v>
      </c>
      <c r="H80" t="s">
        <v>3742</v>
      </c>
      <c r="I80" t="b">
        <v>1</v>
      </c>
    </row>
    <row r="81" spans="1:9">
      <c r="A81" t="s">
        <v>3748</v>
      </c>
      <c r="B81" t="s">
        <v>10</v>
      </c>
      <c r="C81" t="s">
        <v>3749</v>
      </c>
      <c r="D81" t="s">
        <v>3480</v>
      </c>
      <c r="E81" t="s">
        <v>3480</v>
      </c>
      <c r="F81" t="s">
        <v>3750</v>
      </c>
      <c r="G81" t="s">
        <v>3751</v>
      </c>
      <c r="H81" t="s">
        <v>3752</v>
      </c>
      <c r="I81" t="b">
        <v>1</v>
      </c>
    </row>
    <row r="82" spans="1:9">
      <c r="A82" t="s">
        <v>3768</v>
      </c>
      <c r="B82" t="s">
        <v>10</v>
      </c>
      <c r="C82" t="s">
        <v>3769</v>
      </c>
      <c r="D82" t="s">
        <v>3480</v>
      </c>
      <c r="E82" t="s">
        <v>3480</v>
      </c>
      <c r="F82" t="s">
        <v>3770</v>
      </c>
      <c r="G82" t="s">
        <v>3771</v>
      </c>
      <c r="H82" t="s">
        <v>3772</v>
      </c>
      <c r="I82" t="b">
        <v>1</v>
      </c>
    </row>
    <row r="83" spans="1:9">
      <c r="A83" t="s">
        <v>3817</v>
      </c>
      <c r="B83" t="s">
        <v>10</v>
      </c>
      <c r="C83" t="s">
        <v>3818</v>
      </c>
      <c r="D83" t="s">
        <v>3480</v>
      </c>
      <c r="E83" t="s">
        <v>3480</v>
      </c>
      <c r="F83" t="s">
        <v>3819</v>
      </c>
      <c r="G83" t="s">
        <v>3820</v>
      </c>
      <c r="H83" t="s">
        <v>3821</v>
      </c>
      <c r="I83" t="b">
        <v>1</v>
      </c>
    </row>
    <row r="84" spans="1:9">
      <c r="A84" t="s">
        <v>3835</v>
      </c>
      <c r="B84" t="s">
        <v>10</v>
      </c>
      <c r="C84" t="s">
        <v>3836</v>
      </c>
      <c r="D84" t="s">
        <v>3480</v>
      </c>
      <c r="E84" t="s">
        <v>3480</v>
      </c>
      <c r="F84" t="s">
        <v>3837</v>
      </c>
      <c r="G84" t="s">
        <v>3838</v>
      </c>
      <c r="H84" t="s">
        <v>3839</v>
      </c>
      <c r="I84" t="b">
        <v>1</v>
      </c>
    </row>
    <row r="85" spans="1:9">
      <c r="A85" t="s">
        <v>3903</v>
      </c>
      <c r="B85" t="s">
        <v>10</v>
      </c>
      <c r="C85" t="s">
        <v>3904</v>
      </c>
      <c r="D85" t="s">
        <v>3480</v>
      </c>
      <c r="E85" t="s">
        <v>3480</v>
      </c>
      <c r="F85" t="s">
        <v>3905</v>
      </c>
      <c r="G85" t="s">
        <v>3906</v>
      </c>
      <c r="H85" t="s">
        <v>3907</v>
      </c>
      <c r="I85" t="b">
        <v>1</v>
      </c>
    </row>
    <row r="86" spans="1:9">
      <c r="A86" t="s">
        <v>3961</v>
      </c>
      <c r="B86" t="s">
        <v>10</v>
      </c>
      <c r="C86" t="s">
        <v>3962</v>
      </c>
      <c r="D86" t="s">
        <v>3480</v>
      </c>
      <c r="E86" t="s">
        <v>3480</v>
      </c>
      <c r="F86" t="s">
        <v>3963</v>
      </c>
      <c r="G86" t="s">
        <v>3964</v>
      </c>
      <c r="H86" t="s">
        <v>3965</v>
      </c>
      <c r="I86" t="b">
        <v>1</v>
      </c>
    </row>
    <row r="87" spans="1:9">
      <c r="A87" t="s">
        <v>3981</v>
      </c>
      <c r="B87" t="s">
        <v>10</v>
      </c>
      <c r="C87" t="s">
        <v>3982</v>
      </c>
      <c r="D87" t="s">
        <v>3480</v>
      </c>
      <c r="E87" t="s">
        <v>3480</v>
      </c>
      <c r="F87" t="s">
        <v>3983</v>
      </c>
      <c r="G87" t="s">
        <v>3984</v>
      </c>
      <c r="H87" t="s">
        <v>3985</v>
      </c>
      <c r="I87" t="b">
        <v>1</v>
      </c>
    </row>
    <row r="88" spans="1:9">
      <c r="A88" t="s">
        <v>4011</v>
      </c>
      <c r="B88" t="s">
        <v>10</v>
      </c>
      <c r="C88" t="s">
        <v>4012</v>
      </c>
      <c r="D88" t="s">
        <v>3480</v>
      </c>
      <c r="E88" t="s">
        <v>3480</v>
      </c>
      <c r="F88" t="s">
        <v>4013</v>
      </c>
      <c r="G88" t="s">
        <v>4014</v>
      </c>
      <c r="H88" t="s">
        <v>4015</v>
      </c>
      <c r="I88" t="b">
        <v>1</v>
      </c>
    </row>
    <row r="89" spans="1:9">
      <c r="A89" t="s">
        <v>4105</v>
      </c>
      <c r="B89" t="s">
        <v>10</v>
      </c>
      <c r="C89" t="s">
        <v>4106</v>
      </c>
      <c r="D89" t="s">
        <v>4107</v>
      </c>
      <c r="E89" t="s">
        <v>4102</v>
      </c>
      <c r="F89" t="s">
        <v>4108</v>
      </c>
      <c r="G89" t="s">
        <v>4109</v>
      </c>
      <c r="H89" t="s">
        <v>4110</v>
      </c>
      <c r="I89" t="b">
        <v>1</v>
      </c>
    </row>
    <row r="90" spans="1:9">
      <c r="A90" t="s">
        <v>4111</v>
      </c>
      <c r="B90" t="s">
        <v>10</v>
      </c>
      <c r="C90" t="s">
        <v>4112</v>
      </c>
      <c r="D90" t="s">
        <v>4107</v>
      </c>
      <c r="E90" t="s">
        <v>4102</v>
      </c>
      <c r="F90" t="s">
        <v>4113</v>
      </c>
      <c r="G90" t="s">
        <v>4114</v>
      </c>
      <c r="H90" t="s">
        <v>4115</v>
      </c>
      <c r="I90" t="b">
        <v>1</v>
      </c>
    </row>
    <row r="91" spans="1:9">
      <c r="A91" t="s">
        <v>4131</v>
      </c>
      <c r="B91" t="s">
        <v>10</v>
      </c>
      <c r="C91" t="s">
        <v>4132</v>
      </c>
      <c r="D91" t="s">
        <v>4107</v>
      </c>
      <c r="E91" t="s">
        <v>4102</v>
      </c>
      <c r="F91" t="s">
        <v>4133</v>
      </c>
      <c r="G91" t="s">
        <v>4134</v>
      </c>
      <c r="H91" t="s">
        <v>4135</v>
      </c>
      <c r="I91" t="b">
        <v>1</v>
      </c>
    </row>
    <row r="92" spans="1:9">
      <c r="A92" t="s">
        <v>4167</v>
      </c>
      <c r="B92" t="s">
        <v>10</v>
      </c>
      <c r="C92" t="s">
        <v>4168</v>
      </c>
      <c r="D92" t="s">
        <v>4128</v>
      </c>
      <c r="E92" t="s">
        <v>4102</v>
      </c>
      <c r="F92" t="s">
        <v>4169</v>
      </c>
      <c r="G92" t="s">
        <v>4170</v>
      </c>
      <c r="H92" t="s">
        <v>4171</v>
      </c>
      <c r="I92" t="b">
        <v>1</v>
      </c>
    </row>
    <row r="93" spans="1:9">
      <c r="A93" t="s">
        <v>4183</v>
      </c>
      <c r="B93" t="s">
        <v>10</v>
      </c>
      <c r="C93" t="s">
        <v>4184</v>
      </c>
      <c r="D93" t="s">
        <v>4185</v>
      </c>
      <c r="E93" t="s">
        <v>4102</v>
      </c>
      <c r="F93" t="s">
        <v>4186</v>
      </c>
      <c r="G93" t="s">
        <v>4187</v>
      </c>
      <c r="H93" t="s">
        <v>4188</v>
      </c>
      <c r="I93" t="b">
        <v>1</v>
      </c>
    </row>
    <row r="94" spans="1:9">
      <c r="A94" t="s">
        <v>4202</v>
      </c>
      <c r="B94" t="s">
        <v>10</v>
      </c>
      <c r="C94" t="s">
        <v>4203</v>
      </c>
      <c r="D94" t="s">
        <v>4107</v>
      </c>
      <c r="E94" t="s">
        <v>4102</v>
      </c>
      <c r="F94" t="s">
        <v>4204</v>
      </c>
      <c r="G94" t="s">
        <v>4205</v>
      </c>
      <c r="H94" t="s">
        <v>4206</v>
      </c>
      <c r="I94" t="b">
        <v>1</v>
      </c>
    </row>
    <row r="95" spans="1:9">
      <c r="A95" t="s">
        <v>4215</v>
      </c>
      <c r="B95" t="s">
        <v>10</v>
      </c>
      <c r="C95" t="s">
        <v>4216</v>
      </c>
      <c r="D95" t="s">
        <v>4107</v>
      </c>
      <c r="E95" t="s">
        <v>4102</v>
      </c>
      <c r="F95" t="s">
        <v>4217</v>
      </c>
      <c r="G95" t="s">
        <v>4218</v>
      </c>
      <c r="H95" t="s">
        <v>4219</v>
      </c>
      <c r="I95" t="b">
        <v>1</v>
      </c>
    </row>
    <row r="96" spans="1:9">
      <c r="A96" t="s">
        <v>4242</v>
      </c>
      <c r="B96" t="s">
        <v>10</v>
      </c>
      <c r="C96" t="s">
        <v>4243</v>
      </c>
      <c r="D96" t="s">
        <v>4128</v>
      </c>
      <c r="E96" t="s">
        <v>4102</v>
      </c>
      <c r="F96" t="s">
        <v>4244</v>
      </c>
      <c r="G96" t="s">
        <v>4245</v>
      </c>
      <c r="H96" t="s">
        <v>4246</v>
      </c>
      <c r="I96" t="b">
        <v>1</v>
      </c>
    </row>
    <row r="97" spans="1:9">
      <c r="A97" t="s">
        <v>4260</v>
      </c>
      <c r="B97" t="s">
        <v>10</v>
      </c>
      <c r="C97" t="s">
        <v>4261</v>
      </c>
      <c r="D97" t="s">
        <v>4238</v>
      </c>
      <c r="E97" t="s">
        <v>4102</v>
      </c>
      <c r="F97" t="s">
        <v>4262</v>
      </c>
      <c r="G97" t="s">
        <v>4263</v>
      </c>
      <c r="H97" t="s">
        <v>4264</v>
      </c>
      <c r="I97" t="b">
        <v>1</v>
      </c>
    </row>
    <row r="98" spans="1:9">
      <c r="A98" t="s">
        <v>4291</v>
      </c>
      <c r="B98" t="s">
        <v>10</v>
      </c>
      <c r="C98" t="s">
        <v>4292</v>
      </c>
      <c r="D98" t="s">
        <v>4293</v>
      </c>
      <c r="E98" t="s">
        <v>4102</v>
      </c>
      <c r="F98" t="s">
        <v>4294</v>
      </c>
      <c r="G98" t="s">
        <v>4295</v>
      </c>
      <c r="H98" t="s">
        <v>4296</v>
      </c>
      <c r="I98" t="b">
        <v>1</v>
      </c>
    </row>
    <row r="99" spans="1:9">
      <c r="A99" t="s">
        <v>4305</v>
      </c>
      <c r="B99" t="s">
        <v>10</v>
      </c>
      <c r="C99" t="s">
        <v>4306</v>
      </c>
      <c r="D99" t="s">
        <v>4287</v>
      </c>
      <c r="E99" t="s">
        <v>4102</v>
      </c>
      <c r="F99" t="s">
        <v>4307</v>
      </c>
      <c r="G99" t="s">
        <v>4308</v>
      </c>
      <c r="H99" t="s">
        <v>4309</v>
      </c>
      <c r="I99" t="b">
        <v>1</v>
      </c>
    </row>
    <row r="100" spans="1:9">
      <c r="A100" t="s">
        <v>4350</v>
      </c>
      <c r="B100" t="s">
        <v>10</v>
      </c>
      <c r="C100" t="s">
        <v>4351</v>
      </c>
      <c r="D100" t="s">
        <v>4128</v>
      </c>
      <c r="E100" t="s">
        <v>4102</v>
      </c>
      <c r="F100" t="s">
        <v>4352</v>
      </c>
      <c r="G100" t="s">
        <v>4353</v>
      </c>
      <c r="H100" t="s">
        <v>4354</v>
      </c>
      <c r="I100" t="b">
        <v>1</v>
      </c>
    </row>
    <row r="101" spans="1:9">
      <c r="A101" t="s">
        <v>4415</v>
      </c>
      <c r="B101" t="s">
        <v>10</v>
      </c>
      <c r="C101" t="s">
        <v>4416</v>
      </c>
      <c r="D101" t="s">
        <v>4417</v>
      </c>
      <c r="E101" t="s">
        <v>4102</v>
      </c>
      <c r="F101" t="s">
        <v>4418</v>
      </c>
      <c r="G101" t="s">
        <v>4419</v>
      </c>
      <c r="H101" t="s">
        <v>4420</v>
      </c>
      <c r="I101" t="b">
        <v>1</v>
      </c>
    </row>
    <row r="102" spans="1:9">
      <c r="A102" t="s">
        <v>4545</v>
      </c>
      <c r="B102" t="s">
        <v>10</v>
      </c>
      <c r="C102" t="s">
        <v>4546</v>
      </c>
      <c r="D102" t="s">
        <v>4198</v>
      </c>
      <c r="E102" t="s">
        <v>4102</v>
      </c>
      <c r="F102" t="s">
        <v>4547</v>
      </c>
      <c r="G102" t="s">
        <v>4326</v>
      </c>
      <c r="H102" t="s">
        <v>4548</v>
      </c>
      <c r="I102" t="b">
        <v>1</v>
      </c>
    </row>
    <row r="103" spans="1:9">
      <c r="A103" t="s">
        <v>4790</v>
      </c>
      <c r="B103" t="s">
        <v>10</v>
      </c>
      <c r="C103" t="s">
        <v>4791</v>
      </c>
      <c r="D103" t="s">
        <v>4792</v>
      </c>
      <c r="E103" t="s">
        <v>4736</v>
      </c>
      <c r="F103" t="s">
        <v>4793</v>
      </c>
      <c r="G103" t="s">
        <v>4794</v>
      </c>
      <c r="H103" t="s">
        <v>4795</v>
      </c>
      <c r="I103" t="b">
        <v>1</v>
      </c>
    </row>
    <row r="104" spans="1:9">
      <c r="A104" t="s">
        <v>4801</v>
      </c>
      <c r="B104" t="s">
        <v>10</v>
      </c>
      <c r="C104" t="s">
        <v>4802</v>
      </c>
      <c r="D104" t="s">
        <v>4803</v>
      </c>
      <c r="E104" t="s">
        <v>4736</v>
      </c>
      <c r="F104" t="s">
        <v>4804</v>
      </c>
      <c r="G104" t="s">
        <v>4805</v>
      </c>
      <c r="H104" t="s">
        <v>4806</v>
      </c>
      <c r="I104" t="b">
        <v>1</v>
      </c>
    </row>
    <row r="105" spans="1:9">
      <c r="A105" t="s">
        <v>4834</v>
      </c>
      <c r="B105" t="s">
        <v>10</v>
      </c>
      <c r="C105" t="s">
        <v>4835</v>
      </c>
      <c r="D105" t="s">
        <v>4836</v>
      </c>
      <c r="E105" t="s">
        <v>4736</v>
      </c>
      <c r="F105" t="s">
        <v>4837</v>
      </c>
      <c r="G105" t="s">
        <v>4838</v>
      </c>
      <c r="H105" t="s">
        <v>4839</v>
      </c>
      <c r="I105" t="b">
        <v>1</v>
      </c>
    </row>
    <row r="106" spans="1:9">
      <c r="A106" t="s">
        <v>4875</v>
      </c>
      <c r="B106" t="s">
        <v>10</v>
      </c>
      <c r="C106" t="s">
        <v>4876</v>
      </c>
      <c r="D106" t="s">
        <v>4735</v>
      </c>
      <c r="E106" t="s">
        <v>4736</v>
      </c>
      <c r="F106" t="s">
        <v>4877</v>
      </c>
      <c r="G106" t="s">
        <v>4878</v>
      </c>
      <c r="H106" t="s">
        <v>4879</v>
      </c>
      <c r="I106" t="b">
        <v>1</v>
      </c>
    </row>
    <row r="107" spans="1:9">
      <c r="A107" t="s">
        <v>4923</v>
      </c>
      <c r="B107" t="s">
        <v>10</v>
      </c>
      <c r="C107" t="s">
        <v>4924</v>
      </c>
      <c r="D107" t="s">
        <v>4912</v>
      </c>
      <c r="E107" t="s">
        <v>4736</v>
      </c>
      <c r="F107" t="s">
        <v>4925</v>
      </c>
      <c r="G107" t="s">
        <v>4926</v>
      </c>
      <c r="H107" t="s">
        <v>4927</v>
      </c>
      <c r="I107" t="b">
        <v>1</v>
      </c>
    </row>
    <row r="108" spans="1:9">
      <c r="A108" t="s">
        <v>4970</v>
      </c>
      <c r="B108" t="s">
        <v>10</v>
      </c>
      <c r="C108" t="s">
        <v>4971</v>
      </c>
      <c r="D108" t="s">
        <v>4972</v>
      </c>
      <c r="E108" t="s">
        <v>4736</v>
      </c>
      <c r="F108" t="s">
        <v>4973</v>
      </c>
      <c r="G108" t="s">
        <v>4974</v>
      </c>
      <c r="H108" t="s">
        <v>4975</v>
      </c>
      <c r="I108" t="b">
        <v>1</v>
      </c>
    </row>
    <row r="109" spans="1:9">
      <c r="A109" t="s">
        <v>5051</v>
      </c>
      <c r="B109" t="s">
        <v>10</v>
      </c>
      <c r="C109" t="s">
        <v>5052</v>
      </c>
      <c r="D109" t="s">
        <v>4938</v>
      </c>
      <c r="E109" t="s">
        <v>4736</v>
      </c>
      <c r="F109" t="s">
        <v>5053</v>
      </c>
      <c r="G109" t="s">
        <v>5054</v>
      </c>
      <c r="H109" t="s">
        <v>5055</v>
      </c>
      <c r="I109" t="b">
        <v>1</v>
      </c>
    </row>
    <row r="110" spans="1:9">
      <c r="A110" t="s">
        <v>5081</v>
      </c>
      <c r="B110" t="s">
        <v>10</v>
      </c>
      <c r="C110" t="s">
        <v>5082</v>
      </c>
      <c r="D110" t="s">
        <v>4792</v>
      </c>
      <c r="E110" t="s">
        <v>4736</v>
      </c>
      <c r="F110" t="s">
        <v>5083</v>
      </c>
      <c r="G110" t="s">
        <v>5084</v>
      </c>
      <c r="H110" t="s">
        <v>5085</v>
      </c>
      <c r="I110" t="b">
        <v>1</v>
      </c>
    </row>
    <row r="111" spans="1:9">
      <c r="A111" t="s">
        <v>5138</v>
      </c>
      <c r="B111" t="s">
        <v>10</v>
      </c>
      <c r="C111" t="s">
        <v>5139</v>
      </c>
      <c r="D111" t="s">
        <v>5140</v>
      </c>
      <c r="E111" t="s">
        <v>4736</v>
      </c>
      <c r="F111" t="s">
        <v>5141</v>
      </c>
      <c r="G111" t="s">
        <v>5142</v>
      </c>
      <c r="H111" t="s">
        <v>5143</v>
      </c>
      <c r="I111" t="b">
        <v>1</v>
      </c>
    </row>
    <row r="112" spans="1:9">
      <c r="A112" t="s">
        <v>5222</v>
      </c>
      <c r="B112" t="s">
        <v>10</v>
      </c>
      <c r="C112" t="s">
        <v>5223</v>
      </c>
      <c r="D112" t="s">
        <v>5224</v>
      </c>
      <c r="E112" t="s">
        <v>4736</v>
      </c>
      <c r="F112" t="s">
        <v>5225</v>
      </c>
      <c r="G112" t="s">
        <v>5226</v>
      </c>
      <c r="H112" t="s">
        <v>5227</v>
      </c>
      <c r="I112" t="b">
        <v>1</v>
      </c>
    </row>
    <row r="113" spans="1:9">
      <c r="A113" t="s">
        <v>5307</v>
      </c>
      <c r="B113" t="s">
        <v>10</v>
      </c>
      <c r="C113" t="s">
        <v>5308</v>
      </c>
      <c r="D113" t="s">
        <v>5309</v>
      </c>
      <c r="E113" t="s">
        <v>4817</v>
      </c>
      <c r="F113" t="s">
        <v>5310</v>
      </c>
      <c r="G113" t="s">
        <v>5311</v>
      </c>
      <c r="H113" t="s">
        <v>5312</v>
      </c>
      <c r="I113" t="b">
        <v>1</v>
      </c>
    </row>
    <row r="114" spans="1:9">
      <c r="A114" t="s">
        <v>5328</v>
      </c>
      <c r="B114" t="s">
        <v>10</v>
      </c>
      <c r="C114" t="s">
        <v>5329</v>
      </c>
      <c r="D114" t="s">
        <v>5330</v>
      </c>
      <c r="E114" t="s">
        <v>5331</v>
      </c>
      <c r="F114" t="s">
        <v>5332</v>
      </c>
      <c r="G114" t="s">
        <v>5333</v>
      </c>
      <c r="H114" t="s">
        <v>5334</v>
      </c>
      <c r="I114" t="b">
        <v>1</v>
      </c>
    </row>
    <row r="115" spans="1:9">
      <c r="A115" t="s">
        <v>5352</v>
      </c>
      <c r="B115" t="s">
        <v>10</v>
      </c>
      <c r="C115" t="s">
        <v>5353</v>
      </c>
      <c r="D115" t="s">
        <v>5330</v>
      </c>
      <c r="E115" t="s">
        <v>5331</v>
      </c>
      <c r="F115" t="s">
        <v>5354</v>
      </c>
      <c r="G115" t="s">
        <v>5355</v>
      </c>
      <c r="H115" t="s">
        <v>5356</v>
      </c>
      <c r="I115" t="b">
        <v>1</v>
      </c>
    </row>
    <row r="116" spans="1:9">
      <c r="A116" t="s">
        <v>5405</v>
      </c>
      <c r="B116" t="s">
        <v>10</v>
      </c>
      <c r="C116" t="s">
        <v>5406</v>
      </c>
      <c r="D116" t="s">
        <v>5407</v>
      </c>
      <c r="E116" t="s">
        <v>5331</v>
      </c>
      <c r="F116" t="s">
        <v>5408</v>
      </c>
      <c r="G116" t="s">
        <v>5409</v>
      </c>
      <c r="H116" t="s">
        <v>5410</v>
      </c>
      <c r="I116" t="b">
        <v>1</v>
      </c>
    </row>
    <row r="117" spans="1:9">
      <c r="A117" t="s">
        <v>5415</v>
      </c>
      <c r="B117" t="s">
        <v>10</v>
      </c>
      <c r="C117" t="s">
        <v>5416</v>
      </c>
      <c r="D117" t="s">
        <v>5330</v>
      </c>
      <c r="E117" t="s">
        <v>5331</v>
      </c>
      <c r="F117" t="s">
        <v>5417</v>
      </c>
      <c r="G117" t="s">
        <v>5418</v>
      </c>
      <c r="H117" t="s">
        <v>5419</v>
      </c>
      <c r="I117" t="b">
        <v>1</v>
      </c>
    </row>
    <row r="118" spans="1:9">
      <c r="A118" t="s">
        <v>5490</v>
      </c>
      <c r="B118" t="s">
        <v>10</v>
      </c>
      <c r="C118" t="s">
        <v>5491</v>
      </c>
      <c r="D118" t="s">
        <v>5484</v>
      </c>
      <c r="E118" t="s">
        <v>5331</v>
      </c>
      <c r="F118" t="s">
        <v>5492</v>
      </c>
      <c r="G118" t="s">
        <v>5493</v>
      </c>
      <c r="H118" t="s">
        <v>5494</v>
      </c>
      <c r="I118" t="b">
        <v>1</v>
      </c>
    </row>
    <row r="119" spans="1:9">
      <c r="A119" t="s">
        <v>5533</v>
      </c>
      <c r="B119" t="s">
        <v>10</v>
      </c>
      <c r="C119" t="s">
        <v>5534</v>
      </c>
      <c r="D119" t="s">
        <v>5535</v>
      </c>
      <c r="E119" t="s">
        <v>5331</v>
      </c>
      <c r="F119" t="s">
        <v>5536</v>
      </c>
      <c r="G119" t="s">
        <v>5537</v>
      </c>
      <c r="H119" t="s">
        <v>5538</v>
      </c>
      <c r="I119" t="b">
        <v>1</v>
      </c>
    </row>
    <row r="120" spans="1:9">
      <c r="A120" t="s">
        <v>5617</v>
      </c>
      <c r="B120" t="s">
        <v>10</v>
      </c>
      <c r="C120" t="s">
        <v>5618</v>
      </c>
      <c r="D120" t="s">
        <v>5619</v>
      </c>
      <c r="E120" t="s">
        <v>5331</v>
      </c>
      <c r="F120" t="s">
        <v>5620</v>
      </c>
      <c r="G120" t="s">
        <v>5621</v>
      </c>
      <c r="H120" t="s">
        <v>5622</v>
      </c>
      <c r="I120" t="b">
        <v>1</v>
      </c>
    </row>
    <row r="121" spans="1:9">
      <c r="A121" t="s">
        <v>5663</v>
      </c>
      <c r="B121" t="s">
        <v>10</v>
      </c>
      <c r="C121" t="s">
        <v>28</v>
      </c>
      <c r="D121" t="s">
        <v>5664</v>
      </c>
      <c r="E121" t="s">
        <v>28</v>
      </c>
      <c r="F121" t="s">
        <v>5665</v>
      </c>
      <c r="G121" t="s">
        <v>5666</v>
      </c>
      <c r="H121" t="s">
        <v>5667</v>
      </c>
      <c r="I121" t="b">
        <v>1</v>
      </c>
    </row>
    <row r="122" spans="1:9">
      <c r="A122" t="s">
        <v>5731</v>
      </c>
      <c r="B122" t="s">
        <v>10</v>
      </c>
      <c r="C122" t="s">
        <v>5732</v>
      </c>
      <c r="D122" t="s">
        <v>5688</v>
      </c>
      <c r="E122" t="s">
        <v>5688</v>
      </c>
      <c r="F122" t="s">
        <v>5733</v>
      </c>
      <c r="G122" t="s">
        <v>5734</v>
      </c>
      <c r="H122" t="s">
        <v>5735</v>
      </c>
      <c r="I122" t="b">
        <v>1</v>
      </c>
    </row>
    <row r="123" spans="1:9">
      <c r="A123" t="s">
        <v>5739</v>
      </c>
      <c r="B123" t="s">
        <v>10</v>
      </c>
      <c r="C123" t="s">
        <v>5740</v>
      </c>
      <c r="D123" t="s">
        <v>5688</v>
      </c>
      <c r="E123" t="s">
        <v>5688</v>
      </c>
      <c r="F123" t="s">
        <v>5741</v>
      </c>
      <c r="G123" t="s">
        <v>5742</v>
      </c>
      <c r="H123" t="s">
        <v>5743</v>
      </c>
      <c r="I123" t="b">
        <v>1</v>
      </c>
    </row>
    <row r="124" spans="1:9">
      <c r="A124" t="s">
        <v>5785</v>
      </c>
      <c r="B124" t="s">
        <v>10</v>
      </c>
      <c r="C124" t="s">
        <v>5786</v>
      </c>
      <c r="D124" t="s">
        <v>5688</v>
      </c>
      <c r="E124" t="s">
        <v>5688</v>
      </c>
      <c r="F124" t="s">
        <v>5787</v>
      </c>
      <c r="G124" t="s">
        <v>5788</v>
      </c>
      <c r="H124" t="s">
        <v>5789</v>
      </c>
      <c r="I124" t="b">
        <v>1</v>
      </c>
    </row>
    <row r="125" spans="1:9">
      <c r="A125" t="s">
        <v>6173</v>
      </c>
      <c r="B125" t="s">
        <v>10</v>
      </c>
      <c r="C125" t="s">
        <v>6174</v>
      </c>
      <c r="D125" t="s">
        <v>6140</v>
      </c>
      <c r="E125" t="s">
        <v>6132</v>
      </c>
      <c r="F125" t="s">
        <v>6175</v>
      </c>
      <c r="G125" t="s">
        <v>6176</v>
      </c>
      <c r="H125" t="s">
        <v>6177</v>
      </c>
      <c r="I125" t="b">
        <v>1</v>
      </c>
    </row>
    <row r="126" spans="1:9">
      <c r="A126" t="s">
        <v>6262</v>
      </c>
      <c r="B126" t="s">
        <v>10</v>
      </c>
      <c r="C126" t="s">
        <v>6263</v>
      </c>
      <c r="D126" t="s">
        <v>6170</v>
      </c>
      <c r="E126" t="s">
        <v>6132</v>
      </c>
      <c r="F126" t="s">
        <v>6264</v>
      </c>
      <c r="G126" t="s">
        <v>6265</v>
      </c>
      <c r="H126" t="s">
        <v>6266</v>
      </c>
      <c r="I126" t="b">
        <v>1</v>
      </c>
    </row>
    <row r="127" spans="1:9">
      <c r="A127" t="s">
        <v>6270</v>
      </c>
      <c r="B127" t="s">
        <v>10</v>
      </c>
      <c r="C127" t="s">
        <v>6271</v>
      </c>
      <c r="D127" t="s">
        <v>6140</v>
      </c>
      <c r="E127" t="s">
        <v>6132</v>
      </c>
      <c r="F127" t="s">
        <v>6272</v>
      </c>
      <c r="G127" t="s">
        <v>6273</v>
      </c>
      <c r="H127" t="s">
        <v>6274</v>
      </c>
      <c r="I127" t="b">
        <v>1</v>
      </c>
    </row>
    <row r="128" spans="1:9">
      <c r="A128" t="s">
        <v>6329</v>
      </c>
      <c r="B128" t="s">
        <v>10</v>
      </c>
      <c r="C128" t="s">
        <v>6330</v>
      </c>
      <c r="D128" t="s">
        <v>6331</v>
      </c>
      <c r="E128" t="s">
        <v>6132</v>
      </c>
      <c r="F128" t="s">
        <v>6332</v>
      </c>
      <c r="G128" t="s">
        <v>6333</v>
      </c>
      <c r="H128" t="s">
        <v>6334</v>
      </c>
      <c r="I128" t="b">
        <v>1</v>
      </c>
    </row>
    <row r="129" spans="1:9">
      <c r="A129" t="s">
        <v>6341</v>
      </c>
      <c r="B129" t="s">
        <v>10</v>
      </c>
      <c r="C129" t="s">
        <v>6342</v>
      </c>
      <c r="D129" t="s">
        <v>6140</v>
      </c>
      <c r="E129" t="s">
        <v>6132</v>
      </c>
      <c r="F129" t="s">
        <v>6343</v>
      </c>
      <c r="G129" t="s">
        <v>6344</v>
      </c>
      <c r="H129" t="s">
        <v>6345</v>
      </c>
      <c r="I129" t="b">
        <v>1</v>
      </c>
    </row>
    <row r="130" spans="1:9">
      <c r="A130" t="s">
        <v>6410</v>
      </c>
      <c r="B130" t="s">
        <v>10</v>
      </c>
      <c r="C130" t="s">
        <v>6411</v>
      </c>
      <c r="D130" t="s">
        <v>6140</v>
      </c>
      <c r="E130" t="s">
        <v>6132</v>
      </c>
      <c r="F130" t="s">
        <v>6412</v>
      </c>
      <c r="G130" t="s">
        <v>6413</v>
      </c>
      <c r="H130" t="s">
        <v>6414</v>
      </c>
      <c r="I130" t="b">
        <v>1</v>
      </c>
    </row>
    <row r="131" spans="1:9">
      <c r="A131" t="s">
        <v>6418</v>
      </c>
      <c r="B131" t="s">
        <v>10</v>
      </c>
      <c r="C131" t="s">
        <v>6419</v>
      </c>
      <c r="D131" t="s">
        <v>6140</v>
      </c>
      <c r="E131" t="s">
        <v>6132</v>
      </c>
      <c r="F131" t="s">
        <v>6420</v>
      </c>
      <c r="G131" t="s">
        <v>6421</v>
      </c>
      <c r="H131" t="s">
        <v>6422</v>
      </c>
      <c r="I131" t="b">
        <v>1</v>
      </c>
    </row>
    <row r="132" spans="1:9">
      <c r="A132" t="s">
        <v>6430</v>
      </c>
      <c r="B132" t="s">
        <v>10</v>
      </c>
      <c r="C132" t="s">
        <v>6431</v>
      </c>
      <c r="D132" t="s">
        <v>6432</v>
      </c>
      <c r="E132" t="s">
        <v>6132</v>
      </c>
      <c r="F132" t="s">
        <v>6433</v>
      </c>
      <c r="G132" t="s">
        <v>6434</v>
      </c>
      <c r="H132" t="s">
        <v>6435</v>
      </c>
      <c r="I132" t="b">
        <v>1</v>
      </c>
    </row>
    <row r="133" spans="1:9">
      <c r="A133" t="s">
        <v>6491</v>
      </c>
      <c r="B133" t="s">
        <v>10</v>
      </c>
      <c r="C133" t="s">
        <v>6492</v>
      </c>
      <c r="D133" t="s">
        <v>6493</v>
      </c>
      <c r="E133" t="s">
        <v>4730</v>
      </c>
      <c r="F133" t="s">
        <v>6494</v>
      </c>
      <c r="G133" t="s">
        <v>6495</v>
      </c>
      <c r="H133" t="s">
        <v>6496</v>
      </c>
      <c r="I133" t="b">
        <v>1</v>
      </c>
    </row>
    <row r="134" spans="1:9">
      <c r="A134" t="s">
        <v>6509</v>
      </c>
      <c r="B134" t="s">
        <v>10</v>
      </c>
      <c r="C134" t="s">
        <v>6510</v>
      </c>
      <c r="D134" t="s">
        <v>6511</v>
      </c>
      <c r="E134" t="s">
        <v>6489</v>
      </c>
      <c r="F134" t="s">
        <v>6512</v>
      </c>
      <c r="G134" t="s">
        <v>6513</v>
      </c>
      <c r="H134" t="s">
        <v>6514</v>
      </c>
      <c r="I134" t="b">
        <v>1</v>
      </c>
    </row>
    <row r="135" spans="1:9">
      <c r="A135" t="s">
        <v>6564</v>
      </c>
      <c r="B135" t="s">
        <v>10</v>
      </c>
      <c r="C135" t="s">
        <v>6565</v>
      </c>
      <c r="D135" t="s">
        <v>6533</v>
      </c>
      <c r="E135" t="s">
        <v>6533</v>
      </c>
      <c r="F135" t="s">
        <v>6566</v>
      </c>
      <c r="G135" t="s">
        <v>6567</v>
      </c>
      <c r="H135" t="s">
        <v>6568</v>
      </c>
      <c r="I135" t="b">
        <v>1</v>
      </c>
    </row>
    <row r="136" spans="1:9">
      <c r="A136" t="s">
        <v>6627</v>
      </c>
      <c r="B136" t="s">
        <v>10</v>
      </c>
      <c r="C136" t="s">
        <v>6628</v>
      </c>
      <c r="D136" t="s">
        <v>6629</v>
      </c>
      <c r="E136" t="s">
        <v>6533</v>
      </c>
      <c r="F136" t="s">
        <v>6630</v>
      </c>
      <c r="G136" t="s">
        <v>28</v>
      </c>
      <c r="H136" t="s">
        <v>6631</v>
      </c>
      <c r="I136" t="b">
        <v>1</v>
      </c>
    </row>
    <row r="137" spans="1:9">
      <c r="A137" t="s">
        <v>6661</v>
      </c>
      <c r="B137" t="s">
        <v>10</v>
      </c>
      <c r="C137" t="s">
        <v>6662</v>
      </c>
      <c r="D137" t="s">
        <v>6657</v>
      </c>
      <c r="E137" t="s">
        <v>6533</v>
      </c>
      <c r="F137" t="s">
        <v>6663</v>
      </c>
      <c r="G137" t="s">
        <v>6664</v>
      </c>
      <c r="H137" t="s">
        <v>6665</v>
      </c>
      <c r="I137" t="b">
        <v>1</v>
      </c>
    </row>
    <row r="138" spans="1:9">
      <c r="A138" t="s">
        <v>6768</v>
      </c>
      <c r="B138" t="s">
        <v>10</v>
      </c>
      <c r="C138" t="s">
        <v>6769</v>
      </c>
      <c r="D138" t="s">
        <v>6770</v>
      </c>
      <c r="E138" t="s">
        <v>6771</v>
      </c>
      <c r="F138" t="s">
        <v>6772</v>
      </c>
      <c r="G138" t="s">
        <v>6773</v>
      </c>
      <c r="H138" t="s">
        <v>6774</v>
      </c>
      <c r="I138" t="b">
        <v>1</v>
      </c>
    </row>
    <row r="139" spans="1:9">
      <c r="A139" t="s">
        <v>6812</v>
      </c>
      <c r="B139" t="s">
        <v>10</v>
      </c>
      <c r="C139" t="s">
        <v>6813</v>
      </c>
      <c r="D139" t="s">
        <v>6807</v>
      </c>
      <c r="E139" t="s">
        <v>6771</v>
      </c>
      <c r="F139" t="s">
        <v>6814</v>
      </c>
      <c r="G139" t="s">
        <v>6815</v>
      </c>
      <c r="H139" t="s">
        <v>6816</v>
      </c>
      <c r="I139" t="b">
        <v>1</v>
      </c>
    </row>
    <row r="140" spans="1:9">
      <c r="A140" t="s">
        <v>1278</v>
      </c>
      <c r="B140" t="s">
        <v>10</v>
      </c>
      <c r="C140" t="s">
        <v>6818</v>
      </c>
      <c r="D140" t="s">
        <v>6807</v>
      </c>
      <c r="E140" t="s">
        <v>6771</v>
      </c>
      <c r="F140" t="s">
        <v>6830</v>
      </c>
      <c r="G140" t="s">
        <v>6831</v>
      </c>
      <c r="H140" t="s">
        <v>6832</v>
      </c>
      <c r="I140" t="b">
        <v>1</v>
      </c>
    </row>
    <row r="141" spans="1:9">
      <c r="A141" t="s">
        <v>6846</v>
      </c>
      <c r="B141" t="s">
        <v>10</v>
      </c>
      <c r="C141" t="s">
        <v>6847</v>
      </c>
      <c r="D141" t="s">
        <v>6848</v>
      </c>
      <c r="E141" t="s">
        <v>6771</v>
      </c>
      <c r="F141" t="s">
        <v>6849</v>
      </c>
      <c r="G141" t="s">
        <v>6850</v>
      </c>
      <c r="H141" t="s">
        <v>6851</v>
      </c>
      <c r="I141" t="b">
        <v>1</v>
      </c>
    </row>
    <row r="142" spans="1:9">
      <c r="A142" t="s">
        <v>6899</v>
      </c>
      <c r="B142" t="s">
        <v>10</v>
      </c>
      <c r="C142" t="s">
        <v>6900</v>
      </c>
      <c r="D142" t="s">
        <v>6886</v>
      </c>
      <c r="E142" t="s">
        <v>6771</v>
      </c>
      <c r="F142" t="s">
        <v>6901</v>
      </c>
      <c r="G142" t="s">
        <v>6902</v>
      </c>
      <c r="H142" t="s">
        <v>6903</v>
      </c>
      <c r="I142" t="b">
        <v>1</v>
      </c>
    </row>
    <row r="143" spans="1:9">
      <c r="A143" t="s">
        <v>6909</v>
      </c>
      <c r="B143" t="s">
        <v>10</v>
      </c>
      <c r="C143" t="s">
        <v>6910</v>
      </c>
      <c r="D143" t="s">
        <v>6906</v>
      </c>
      <c r="E143" t="s">
        <v>6771</v>
      </c>
      <c r="F143" t="s">
        <v>6911</v>
      </c>
      <c r="G143" t="s">
        <v>6912</v>
      </c>
      <c r="H143" t="s">
        <v>6913</v>
      </c>
      <c r="I143" t="b">
        <v>1</v>
      </c>
    </row>
    <row r="144" spans="1:9">
      <c r="A144" t="s">
        <v>6967</v>
      </c>
      <c r="B144" t="s">
        <v>10</v>
      </c>
      <c r="C144" t="s">
        <v>6968</v>
      </c>
      <c r="D144" t="s">
        <v>6969</v>
      </c>
      <c r="E144" t="s">
        <v>6771</v>
      </c>
      <c r="F144" t="s">
        <v>6970</v>
      </c>
      <c r="G144" t="s">
        <v>6971</v>
      </c>
      <c r="H144" t="s">
        <v>6972</v>
      </c>
      <c r="I144" t="b">
        <v>1</v>
      </c>
    </row>
    <row r="145" spans="1:9">
      <c r="A145" t="s">
        <v>2141</v>
      </c>
      <c r="B145" t="s">
        <v>10</v>
      </c>
      <c r="C145" t="s">
        <v>7055</v>
      </c>
      <c r="D145" t="s">
        <v>7056</v>
      </c>
      <c r="E145" t="s">
        <v>7057</v>
      </c>
      <c r="F145" t="s">
        <v>7058</v>
      </c>
      <c r="G145" t="s">
        <v>7059</v>
      </c>
      <c r="H145" t="s">
        <v>7060</v>
      </c>
      <c r="I145" t="b">
        <v>1</v>
      </c>
    </row>
    <row r="146" spans="1:9">
      <c r="A146" t="s">
        <v>7171</v>
      </c>
      <c r="B146" t="s">
        <v>10</v>
      </c>
      <c r="C146" t="s">
        <v>7172</v>
      </c>
      <c r="D146" t="s">
        <v>7161</v>
      </c>
      <c r="E146" t="s">
        <v>6680</v>
      </c>
      <c r="F146" t="s">
        <v>7173</v>
      </c>
      <c r="G146" t="s">
        <v>7174</v>
      </c>
      <c r="H146" t="s">
        <v>7175</v>
      </c>
      <c r="I146" t="b">
        <v>1</v>
      </c>
    </row>
    <row r="147" spans="1:9">
      <c r="A147" t="s">
        <v>7176</v>
      </c>
      <c r="B147" t="s">
        <v>10</v>
      </c>
      <c r="C147" t="s">
        <v>7177</v>
      </c>
      <c r="D147" t="s">
        <v>7161</v>
      </c>
      <c r="E147" t="s">
        <v>6680</v>
      </c>
      <c r="F147" t="s">
        <v>7178</v>
      </c>
      <c r="G147" t="s">
        <v>7179</v>
      </c>
      <c r="H147" t="s">
        <v>7180</v>
      </c>
      <c r="I147" t="b">
        <v>1</v>
      </c>
    </row>
    <row r="148" spans="1:9">
      <c r="A148" t="s">
        <v>7344</v>
      </c>
      <c r="B148" t="s">
        <v>10</v>
      </c>
      <c r="C148" t="s">
        <v>7345</v>
      </c>
      <c r="D148" t="s">
        <v>7346</v>
      </c>
      <c r="E148" t="s">
        <v>6771</v>
      </c>
      <c r="F148" t="s">
        <v>7347</v>
      </c>
      <c r="G148" t="s">
        <v>7348</v>
      </c>
      <c r="H148" t="s">
        <v>7349</v>
      </c>
      <c r="I148" t="b">
        <v>1</v>
      </c>
    </row>
    <row r="149" spans="1:9">
      <c r="A149" t="s">
        <v>7355</v>
      </c>
      <c r="B149" t="s">
        <v>10</v>
      </c>
      <c r="C149" t="s">
        <v>7356</v>
      </c>
      <c r="D149" t="s">
        <v>1879</v>
      </c>
      <c r="E149" t="s">
        <v>1879</v>
      </c>
      <c r="F149" t="s">
        <v>7357</v>
      </c>
      <c r="G149" t="s">
        <v>7358</v>
      </c>
      <c r="H149" t="s">
        <v>7359</v>
      </c>
      <c r="I149" t="b">
        <v>1</v>
      </c>
    </row>
    <row r="150" spans="1:9">
      <c r="A150" t="s">
        <v>7517</v>
      </c>
      <c r="B150" t="s">
        <v>10</v>
      </c>
      <c r="C150" t="s">
        <v>7518</v>
      </c>
      <c r="D150" t="s">
        <v>7057</v>
      </c>
      <c r="E150" t="s">
        <v>7057</v>
      </c>
      <c r="F150" t="s">
        <v>7519</v>
      </c>
      <c r="G150" t="s">
        <v>7520</v>
      </c>
      <c r="H150" t="s">
        <v>7521</v>
      </c>
      <c r="I150" t="b">
        <v>1</v>
      </c>
    </row>
    <row r="151" spans="1:9">
      <c r="A151" t="s">
        <v>7527</v>
      </c>
      <c r="B151" t="s">
        <v>10</v>
      </c>
      <c r="C151" t="s">
        <v>7528</v>
      </c>
      <c r="D151" t="s">
        <v>7057</v>
      </c>
      <c r="E151" t="s">
        <v>7057</v>
      </c>
      <c r="F151" t="s">
        <v>7529</v>
      </c>
      <c r="G151" t="s">
        <v>7530</v>
      </c>
      <c r="H151" t="s">
        <v>7531</v>
      </c>
      <c r="I151" t="b">
        <v>1</v>
      </c>
    </row>
    <row r="152" spans="1:9">
      <c r="A152" t="s">
        <v>7540</v>
      </c>
      <c r="B152" t="s">
        <v>10</v>
      </c>
      <c r="C152" t="s">
        <v>7541</v>
      </c>
      <c r="D152" t="s">
        <v>7057</v>
      </c>
      <c r="E152" t="s">
        <v>7057</v>
      </c>
      <c r="F152" t="s">
        <v>7542</v>
      </c>
      <c r="G152" t="s">
        <v>7543</v>
      </c>
      <c r="H152" t="s">
        <v>7544</v>
      </c>
      <c r="I152" t="b">
        <v>1</v>
      </c>
    </row>
    <row r="153" spans="1:9">
      <c r="A153" t="s">
        <v>7599</v>
      </c>
      <c r="B153" t="s">
        <v>10</v>
      </c>
      <c r="C153" t="s">
        <v>7600</v>
      </c>
      <c r="D153" t="s">
        <v>7596</v>
      </c>
      <c r="E153" t="s">
        <v>7596</v>
      </c>
      <c r="F153" t="s">
        <v>7601</v>
      </c>
      <c r="G153" t="s">
        <v>7602</v>
      </c>
      <c r="H153" t="s">
        <v>7603</v>
      </c>
      <c r="I153" t="b">
        <v>1</v>
      </c>
    </row>
    <row r="154" spans="1:9">
      <c r="A154" t="s">
        <v>1925</v>
      </c>
      <c r="B154" t="s">
        <v>10</v>
      </c>
      <c r="C154" t="s">
        <v>7650</v>
      </c>
      <c r="D154" t="s">
        <v>7651</v>
      </c>
      <c r="E154" t="s">
        <v>7596</v>
      </c>
      <c r="F154" t="s">
        <v>7652</v>
      </c>
      <c r="G154" t="s">
        <v>7653</v>
      </c>
      <c r="H154" t="s">
        <v>7654</v>
      </c>
      <c r="I154" t="b">
        <v>1</v>
      </c>
    </row>
    <row r="155" spans="1:9">
      <c r="A155" t="s">
        <v>4587</v>
      </c>
      <c r="B155" t="s">
        <v>10</v>
      </c>
      <c r="C155" t="s">
        <v>7729</v>
      </c>
      <c r="D155" t="s">
        <v>7730</v>
      </c>
      <c r="E155" t="s">
        <v>7731</v>
      </c>
      <c r="F155" t="s">
        <v>7732</v>
      </c>
      <c r="G155" t="s">
        <v>7733</v>
      </c>
      <c r="H155" t="s">
        <v>7734</v>
      </c>
      <c r="I155" t="b">
        <v>1</v>
      </c>
    </row>
    <row r="156" spans="1:9">
      <c r="A156" t="s">
        <v>7781</v>
      </c>
      <c r="B156" t="s">
        <v>10</v>
      </c>
      <c r="C156" t="s">
        <v>7782</v>
      </c>
      <c r="D156" t="s">
        <v>7783</v>
      </c>
      <c r="E156" t="s">
        <v>7783</v>
      </c>
      <c r="F156" t="s">
        <v>7784</v>
      </c>
      <c r="G156" t="s">
        <v>7785</v>
      </c>
      <c r="H156" t="s">
        <v>7786</v>
      </c>
      <c r="I156" t="b">
        <v>1</v>
      </c>
    </row>
    <row r="157" spans="1:9">
      <c r="A157" t="s">
        <v>7787</v>
      </c>
      <c r="B157" t="s">
        <v>10</v>
      </c>
      <c r="C157" t="s">
        <v>7788</v>
      </c>
      <c r="D157" t="s">
        <v>7783</v>
      </c>
      <c r="E157" t="s">
        <v>7783</v>
      </c>
      <c r="F157" t="s">
        <v>7789</v>
      </c>
      <c r="G157" t="s">
        <v>7790</v>
      </c>
      <c r="H157" t="s">
        <v>7791</v>
      </c>
      <c r="I157" t="b">
        <v>1</v>
      </c>
    </row>
    <row r="158" spans="1:9">
      <c r="A158" t="s">
        <v>7933</v>
      </c>
      <c r="B158" t="s">
        <v>10</v>
      </c>
      <c r="C158" t="s">
        <v>7934</v>
      </c>
      <c r="D158" t="s">
        <v>7935</v>
      </c>
      <c r="E158" t="s">
        <v>7783</v>
      </c>
      <c r="F158" t="s">
        <v>7936</v>
      </c>
      <c r="G158" t="s">
        <v>7937</v>
      </c>
      <c r="H158" t="s">
        <v>7938</v>
      </c>
      <c r="I158" t="b">
        <v>1</v>
      </c>
    </row>
    <row r="159" spans="1:9">
      <c r="A159" t="s">
        <v>8007</v>
      </c>
      <c r="B159" t="s">
        <v>10</v>
      </c>
      <c r="C159" t="s">
        <v>8008</v>
      </c>
      <c r="D159" t="s">
        <v>8009</v>
      </c>
      <c r="E159" t="s">
        <v>1868</v>
      </c>
      <c r="F159" t="s">
        <v>8010</v>
      </c>
      <c r="G159" t="s">
        <v>8011</v>
      </c>
      <c r="H159" t="s">
        <v>8012</v>
      </c>
      <c r="I159" t="b">
        <v>1</v>
      </c>
    </row>
    <row r="160" spans="1:9">
      <c r="A160" t="s">
        <v>8013</v>
      </c>
      <c r="B160" t="s">
        <v>10</v>
      </c>
      <c r="C160" t="s">
        <v>8014</v>
      </c>
      <c r="D160" t="s">
        <v>1868</v>
      </c>
      <c r="E160" t="s">
        <v>1868</v>
      </c>
      <c r="F160" t="s">
        <v>8015</v>
      </c>
      <c r="G160" t="s">
        <v>8016</v>
      </c>
      <c r="H160" t="s">
        <v>8017</v>
      </c>
      <c r="I160" t="b">
        <v>1</v>
      </c>
    </row>
    <row r="161" spans="1:9">
      <c r="A161" t="s">
        <v>8029</v>
      </c>
      <c r="B161" t="s">
        <v>10</v>
      </c>
      <c r="C161" t="s">
        <v>8030</v>
      </c>
      <c r="D161" t="s">
        <v>8031</v>
      </c>
      <c r="E161" t="s">
        <v>1868</v>
      </c>
      <c r="F161" t="s">
        <v>8032</v>
      </c>
      <c r="G161" t="s">
        <v>8033</v>
      </c>
      <c r="H161" t="s">
        <v>8034</v>
      </c>
      <c r="I161" t="b">
        <v>1</v>
      </c>
    </row>
    <row r="162" spans="1:9">
      <c r="A162" t="s">
        <v>8035</v>
      </c>
      <c r="B162" t="s">
        <v>10</v>
      </c>
      <c r="C162" t="s">
        <v>28</v>
      </c>
      <c r="D162" t="s">
        <v>7959</v>
      </c>
      <c r="E162" t="s">
        <v>28</v>
      </c>
      <c r="F162" t="s">
        <v>8036</v>
      </c>
      <c r="G162" t="s">
        <v>8037</v>
      </c>
      <c r="H162" t="s">
        <v>8038</v>
      </c>
      <c r="I162" t="b">
        <v>1</v>
      </c>
    </row>
    <row r="163" spans="1:9">
      <c r="A163" t="s">
        <v>8058</v>
      </c>
      <c r="B163" t="s">
        <v>10</v>
      </c>
      <c r="C163" t="s">
        <v>8059</v>
      </c>
      <c r="D163" t="s">
        <v>4692</v>
      </c>
      <c r="E163" t="s">
        <v>4692</v>
      </c>
      <c r="F163" t="s">
        <v>8060</v>
      </c>
      <c r="G163" t="s">
        <v>8061</v>
      </c>
      <c r="H163" t="s">
        <v>8062</v>
      </c>
      <c r="I163" t="b">
        <v>1</v>
      </c>
    </row>
    <row r="164" spans="1:9">
      <c r="A164" t="s">
        <v>8063</v>
      </c>
      <c r="B164" t="s">
        <v>10</v>
      </c>
      <c r="C164" t="s">
        <v>8064</v>
      </c>
      <c r="D164" t="s">
        <v>4692</v>
      </c>
      <c r="E164" t="s">
        <v>4692</v>
      </c>
      <c r="F164" t="s">
        <v>8065</v>
      </c>
      <c r="G164" t="s">
        <v>8066</v>
      </c>
      <c r="H164" t="s">
        <v>8067</v>
      </c>
      <c r="I164" t="b">
        <v>1</v>
      </c>
    </row>
    <row r="165" spans="1:9">
      <c r="A165" t="s">
        <v>8087</v>
      </c>
      <c r="B165" t="s">
        <v>10</v>
      </c>
      <c r="C165" t="s">
        <v>8088</v>
      </c>
      <c r="D165" t="s">
        <v>4692</v>
      </c>
      <c r="E165" t="s">
        <v>4692</v>
      </c>
      <c r="F165" t="s">
        <v>8089</v>
      </c>
      <c r="G165" t="s">
        <v>8090</v>
      </c>
      <c r="H165" t="s">
        <v>8091</v>
      </c>
      <c r="I165" t="b">
        <v>1</v>
      </c>
    </row>
    <row r="166" spans="1:9">
      <c r="A166" t="s">
        <v>8115</v>
      </c>
      <c r="B166" t="s">
        <v>10</v>
      </c>
      <c r="C166" t="s">
        <v>8116</v>
      </c>
      <c r="D166" t="s">
        <v>4692</v>
      </c>
      <c r="E166" t="s">
        <v>4692</v>
      </c>
      <c r="F166" t="s">
        <v>8117</v>
      </c>
      <c r="G166" t="s">
        <v>8118</v>
      </c>
      <c r="H166" t="s">
        <v>8119</v>
      </c>
      <c r="I166" t="b">
        <v>1</v>
      </c>
    </row>
    <row r="167" spans="1:9">
      <c r="A167" t="s">
        <v>8143</v>
      </c>
      <c r="B167" t="s">
        <v>10</v>
      </c>
      <c r="C167" t="s">
        <v>8144</v>
      </c>
      <c r="D167" t="s">
        <v>4692</v>
      </c>
      <c r="E167" t="s">
        <v>4692</v>
      </c>
      <c r="F167" t="s">
        <v>8145</v>
      </c>
      <c r="G167" t="s">
        <v>8146</v>
      </c>
      <c r="H167" t="s">
        <v>8147</v>
      </c>
      <c r="I167" t="b">
        <v>1</v>
      </c>
    </row>
    <row r="168" spans="1:9">
      <c r="A168" t="s">
        <v>8191</v>
      </c>
      <c r="B168" t="s">
        <v>10</v>
      </c>
      <c r="C168" t="s">
        <v>8192</v>
      </c>
      <c r="D168" t="s">
        <v>8193</v>
      </c>
      <c r="E168" t="s">
        <v>4692</v>
      </c>
      <c r="F168" t="s">
        <v>8194</v>
      </c>
      <c r="G168" t="s">
        <v>8195</v>
      </c>
      <c r="H168" t="s">
        <v>8196</v>
      </c>
      <c r="I168" t="b">
        <v>1</v>
      </c>
    </row>
    <row r="169" spans="1:9">
      <c r="A169" t="s">
        <v>8313</v>
      </c>
      <c r="B169" t="s">
        <v>10</v>
      </c>
      <c r="C169" t="s">
        <v>8314</v>
      </c>
      <c r="D169" t="s">
        <v>4700</v>
      </c>
      <c r="E169" t="s">
        <v>4692</v>
      </c>
      <c r="F169" t="s">
        <v>8315</v>
      </c>
      <c r="G169" t="s">
        <v>8316</v>
      </c>
      <c r="H169" t="s">
        <v>8317</v>
      </c>
      <c r="I169" t="b">
        <v>1</v>
      </c>
    </row>
    <row r="170" spans="1:9">
      <c r="A170" t="s">
        <v>8347</v>
      </c>
      <c r="B170" t="s">
        <v>10</v>
      </c>
      <c r="C170" t="s">
        <v>8348</v>
      </c>
      <c r="D170" t="s">
        <v>8338</v>
      </c>
      <c r="E170" t="s">
        <v>4692</v>
      </c>
      <c r="F170" t="s">
        <v>8349</v>
      </c>
      <c r="G170" t="s">
        <v>8350</v>
      </c>
      <c r="H170" t="s">
        <v>8351</v>
      </c>
      <c r="I170" t="b">
        <v>1</v>
      </c>
    </row>
    <row r="171" spans="1:9">
      <c r="A171" t="s">
        <v>8390</v>
      </c>
      <c r="B171" t="s">
        <v>10</v>
      </c>
      <c r="C171" t="s">
        <v>8391</v>
      </c>
      <c r="D171" t="s">
        <v>4730</v>
      </c>
      <c r="E171" t="s">
        <v>4730</v>
      </c>
      <c r="F171" t="s">
        <v>8392</v>
      </c>
      <c r="G171" t="s">
        <v>8393</v>
      </c>
      <c r="H171" t="s">
        <v>8394</v>
      </c>
      <c r="I171" t="b">
        <v>1</v>
      </c>
    </row>
    <row r="172" spans="1:9">
      <c r="A172" t="s">
        <v>8395</v>
      </c>
      <c r="B172" t="s">
        <v>10</v>
      </c>
      <c r="C172" t="s">
        <v>8396</v>
      </c>
      <c r="D172" t="s">
        <v>4730</v>
      </c>
      <c r="E172" t="s">
        <v>4730</v>
      </c>
      <c r="F172" t="s">
        <v>8397</v>
      </c>
      <c r="G172" t="s">
        <v>8398</v>
      </c>
      <c r="H172" t="s">
        <v>8399</v>
      </c>
      <c r="I172" t="b">
        <v>1</v>
      </c>
    </row>
    <row r="173" spans="1:9">
      <c r="A173" t="s">
        <v>8412</v>
      </c>
      <c r="B173" t="s">
        <v>10</v>
      </c>
      <c r="C173" t="s">
        <v>8413</v>
      </c>
      <c r="D173" t="s">
        <v>4730</v>
      </c>
      <c r="E173" t="s">
        <v>4730</v>
      </c>
      <c r="F173" t="s">
        <v>8414</v>
      </c>
      <c r="G173" t="s">
        <v>8415</v>
      </c>
      <c r="H173" t="s">
        <v>8416</v>
      </c>
      <c r="I173" t="b">
        <v>1</v>
      </c>
    </row>
    <row r="174" spans="1:9">
      <c r="A174" t="s">
        <v>8423</v>
      </c>
      <c r="B174" t="s">
        <v>10</v>
      </c>
      <c r="C174" t="s">
        <v>8424</v>
      </c>
      <c r="D174" t="s">
        <v>4730</v>
      </c>
      <c r="E174" t="s">
        <v>4730</v>
      </c>
      <c r="F174" t="s">
        <v>8425</v>
      </c>
      <c r="G174" t="s">
        <v>8426</v>
      </c>
      <c r="H174" t="s">
        <v>8427</v>
      </c>
      <c r="I174" t="b">
        <v>1</v>
      </c>
    </row>
    <row r="175" spans="1:9">
      <c r="A175" t="s">
        <v>8437</v>
      </c>
      <c r="B175" t="s">
        <v>10</v>
      </c>
      <c r="C175" t="s">
        <v>8438</v>
      </c>
      <c r="D175" t="s">
        <v>8439</v>
      </c>
      <c r="E175" t="s">
        <v>4730</v>
      </c>
      <c r="F175" t="s">
        <v>8440</v>
      </c>
      <c r="G175" t="s">
        <v>8441</v>
      </c>
      <c r="H175" t="s">
        <v>8442</v>
      </c>
      <c r="I175" t="b">
        <v>1</v>
      </c>
    </row>
    <row r="176" spans="1:9">
      <c r="A176" t="s">
        <v>8514</v>
      </c>
      <c r="B176" t="s">
        <v>10</v>
      </c>
      <c r="C176" t="s">
        <v>8515</v>
      </c>
      <c r="D176" t="s">
        <v>7731</v>
      </c>
      <c r="E176" t="s">
        <v>7731</v>
      </c>
      <c r="F176" t="s">
        <v>8516</v>
      </c>
      <c r="G176" t="s">
        <v>8517</v>
      </c>
      <c r="H176" t="s">
        <v>8518</v>
      </c>
      <c r="I176" t="b">
        <v>1</v>
      </c>
    </row>
    <row r="177" spans="1:9">
      <c r="A177" t="s">
        <v>5112</v>
      </c>
      <c r="B177" t="s">
        <v>10</v>
      </c>
      <c r="C177" t="s">
        <v>8551</v>
      </c>
      <c r="D177" t="s">
        <v>7731</v>
      </c>
      <c r="E177" t="s">
        <v>7731</v>
      </c>
      <c r="F177" t="s">
        <v>8552</v>
      </c>
      <c r="G177" t="s">
        <v>8553</v>
      </c>
      <c r="H177" t="s">
        <v>8554</v>
      </c>
      <c r="I177" t="b">
        <v>1</v>
      </c>
    </row>
    <row r="178" spans="1:9">
      <c r="A178" t="s">
        <v>8560</v>
      </c>
      <c r="B178" t="s">
        <v>10</v>
      </c>
      <c r="C178" t="s">
        <v>8561</v>
      </c>
      <c r="D178" t="s">
        <v>7731</v>
      </c>
      <c r="E178" t="s">
        <v>7731</v>
      </c>
      <c r="F178" t="s">
        <v>8562</v>
      </c>
      <c r="G178" t="s">
        <v>8563</v>
      </c>
      <c r="H178" t="s">
        <v>8564</v>
      </c>
      <c r="I178" t="b">
        <v>1</v>
      </c>
    </row>
    <row r="179" spans="1:9">
      <c r="A179" t="s">
        <v>8572</v>
      </c>
      <c r="B179" t="s">
        <v>10</v>
      </c>
      <c r="C179" t="s">
        <v>8573</v>
      </c>
      <c r="D179" t="s">
        <v>7731</v>
      </c>
      <c r="E179" t="s">
        <v>7731</v>
      </c>
      <c r="F179" t="s">
        <v>8574</v>
      </c>
      <c r="G179" t="s">
        <v>8575</v>
      </c>
      <c r="H179" t="s">
        <v>8576</v>
      </c>
      <c r="I179" t="b">
        <v>1</v>
      </c>
    </row>
    <row r="180" spans="1:9">
      <c r="A180" t="s">
        <v>8637</v>
      </c>
      <c r="B180" t="s">
        <v>10</v>
      </c>
      <c r="C180" t="s">
        <v>8638</v>
      </c>
      <c r="D180" t="s">
        <v>8639</v>
      </c>
      <c r="E180" t="s">
        <v>7731</v>
      </c>
      <c r="F180" t="s">
        <v>8640</v>
      </c>
      <c r="G180" t="s">
        <v>8641</v>
      </c>
      <c r="H180" t="s">
        <v>8642</v>
      </c>
      <c r="I180" t="b">
        <v>1</v>
      </c>
    </row>
    <row r="181" spans="1:9">
      <c r="A181" t="s">
        <v>8664</v>
      </c>
      <c r="B181" t="s">
        <v>10</v>
      </c>
      <c r="C181" t="s">
        <v>8665</v>
      </c>
      <c r="D181" t="s">
        <v>8661</v>
      </c>
      <c r="E181" t="s">
        <v>7731</v>
      </c>
      <c r="F181" t="s">
        <v>8666</v>
      </c>
      <c r="G181" t="s">
        <v>8667</v>
      </c>
      <c r="H181" t="s">
        <v>8668</v>
      </c>
      <c r="I181" t="b">
        <v>1</v>
      </c>
    </row>
    <row r="182" spans="1:9">
      <c r="A182" t="s">
        <v>8683</v>
      </c>
      <c r="B182" t="s">
        <v>10</v>
      </c>
      <c r="C182" t="s">
        <v>8684</v>
      </c>
      <c r="D182" t="s">
        <v>1868</v>
      </c>
      <c r="E182" t="s">
        <v>1868</v>
      </c>
      <c r="F182" t="s">
        <v>8685</v>
      </c>
      <c r="G182" t="s">
        <v>8686</v>
      </c>
      <c r="H182" t="s">
        <v>8687</v>
      </c>
      <c r="I182" t="b">
        <v>1</v>
      </c>
    </row>
    <row r="183" spans="1:9">
      <c r="A183" t="s">
        <v>8720</v>
      </c>
      <c r="B183" t="s">
        <v>10</v>
      </c>
      <c r="C183" t="s">
        <v>8721</v>
      </c>
      <c r="D183" t="s">
        <v>7721</v>
      </c>
      <c r="E183" t="s">
        <v>7721</v>
      </c>
      <c r="F183" t="s">
        <v>8722</v>
      </c>
      <c r="G183" t="s">
        <v>8723</v>
      </c>
      <c r="H183" t="s">
        <v>8724</v>
      </c>
      <c r="I183" t="b">
        <v>1</v>
      </c>
    </row>
    <row r="184" spans="1:9">
      <c r="A184" t="s">
        <v>8728</v>
      </c>
      <c r="B184" t="s">
        <v>10</v>
      </c>
      <c r="C184" t="s">
        <v>8729</v>
      </c>
      <c r="D184" t="s">
        <v>7721</v>
      </c>
      <c r="E184" t="s">
        <v>7721</v>
      </c>
      <c r="F184" t="s">
        <v>8730</v>
      </c>
      <c r="G184" t="s">
        <v>8731</v>
      </c>
      <c r="H184" t="s">
        <v>8732</v>
      </c>
      <c r="I184" t="b">
        <v>1</v>
      </c>
    </row>
    <row r="185" spans="1:9">
      <c r="A185" t="s">
        <v>8770</v>
      </c>
      <c r="B185" t="s">
        <v>10</v>
      </c>
      <c r="C185" t="s">
        <v>8771</v>
      </c>
      <c r="D185" t="s">
        <v>8772</v>
      </c>
      <c r="E185" t="s">
        <v>7721</v>
      </c>
      <c r="F185" t="s">
        <v>8773</v>
      </c>
      <c r="G185" t="s">
        <v>8774</v>
      </c>
      <c r="H185" t="s">
        <v>8775</v>
      </c>
      <c r="I185" t="b">
        <v>1</v>
      </c>
    </row>
    <row r="186" spans="1:9">
      <c r="A186" t="s">
        <v>8822</v>
      </c>
      <c r="B186" t="s">
        <v>10</v>
      </c>
      <c r="C186" t="s">
        <v>8823</v>
      </c>
      <c r="D186" t="s">
        <v>8824</v>
      </c>
      <c r="E186" t="s">
        <v>1868</v>
      </c>
      <c r="F186" t="s">
        <v>8825</v>
      </c>
      <c r="G186" t="s">
        <v>8826</v>
      </c>
      <c r="H186" t="s">
        <v>8827</v>
      </c>
      <c r="I186" t="b">
        <v>1</v>
      </c>
    </row>
    <row r="187" spans="1:9">
      <c r="A187" t="s">
        <v>8853</v>
      </c>
      <c r="B187" t="s">
        <v>10</v>
      </c>
      <c r="C187" t="s">
        <v>8854</v>
      </c>
      <c r="D187" t="s">
        <v>1868</v>
      </c>
      <c r="E187" t="s">
        <v>1868</v>
      </c>
      <c r="F187" t="s">
        <v>8855</v>
      </c>
      <c r="G187" t="s">
        <v>8856</v>
      </c>
      <c r="H187" t="s">
        <v>8857</v>
      </c>
      <c r="I187" t="b">
        <v>1</v>
      </c>
    </row>
    <row r="188" spans="1:9">
      <c r="A188" t="s">
        <v>8906</v>
      </c>
      <c r="B188" t="s">
        <v>10</v>
      </c>
      <c r="C188" t="s">
        <v>8907</v>
      </c>
      <c r="D188" t="s">
        <v>7364</v>
      </c>
      <c r="E188" t="s">
        <v>7364</v>
      </c>
      <c r="F188" t="s">
        <v>8908</v>
      </c>
      <c r="G188" t="s">
        <v>8909</v>
      </c>
      <c r="H188" t="s">
        <v>8910</v>
      </c>
      <c r="I188" t="b">
        <v>1</v>
      </c>
    </row>
    <row r="189" spans="1:9">
      <c r="A189" t="s">
        <v>8913</v>
      </c>
      <c r="B189" t="s">
        <v>10</v>
      </c>
      <c r="C189" t="s">
        <v>8914</v>
      </c>
      <c r="D189" t="s">
        <v>7364</v>
      </c>
      <c r="E189" t="s">
        <v>7364</v>
      </c>
      <c r="F189" t="s">
        <v>8915</v>
      </c>
      <c r="G189" t="s">
        <v>8916</v>
      </c>
      <c r="H189" t="s">
        <v>8917</v>
      </c>
      <c r="I189" t="b">
        <v>1</v>
      </c>
    </row>
    <row r="190" spans="1:9">
      <c r="A190" t="s">
        <v>8921</v>
      </c>
      <c r="B190" t="s">
        <v>10</v>
      </c>
      <c r="C190" t="s">
        <v>8922</v>
      </c>
      <c r="D190" t="s">
        <v>8923</v>
      </c>
      <c r="E190" t="s">
        <v>7364</v>
      </c>
      <c r="F190" t="s">
        <v>8924</v>
      </c>
      <c r="G190" t="s">
        <v>8925</v>
      </c>
      <c r="H190" t="s">
        <v>8926</v>
      </c>
      <c r="I190" t="b">
        <v>1</v>
      </c>
    </row>
    <row r="191" spans="1:9">
      <c r="A191" t="s">
        <v>8944</v>
      </c>
      <c r="B191" t="s">
        <v>10</v>
      </c>
      <c r="C191" t="s">
        <v>8945</v>
      </c>
      <c r="D191" t="s">
        <v>8946</v>
      </c>
      <c r="E191" t="s">
        <v>7364</v>
      </c>
      <c r="F191" t="s">
        <v>8947</v>
      </c>
      <c r="G191" t="s">
        <v>8948</v>
      </c>
      <c r="H191" t="s">
        <v>8949</v>
      </c>
      <c r="I191" t="b">
        <v>1</v>
      </c>
    </row>
    <row r="192" spans="1:9">
      <c r="A192" t="s">
        <v>9060</v>
      </c>
      <c r="B192" t="s">
        <v>10</v>
      </c>
      <c r="C192" t="s">
        <v>9061</v>
      </c>
      <c r="D192" t="s">
        <v>7968</v>
      </c>
      <c r="E192" t="s">
        <v>7968</v>
      </c>
      <c r="F192" t="s">
        <v>9062</v>
      </c>
      <c r="G192" t="s">
        <v>9063</v>
      </c>
      <c r="H192" t="s">
        <v>9064</v>
      </c>
      <c r="I192" t="b">
        <v>1</v>
      </c>
    </row>
    <row r="193" spans="1:9">
      <c r="A193" t="s">
        <v>9082</v>
      </c>
      <c r="B193" t="s">
        <v>10</v>
      </c>
      <c r="C193" t="s">
        <v>9083</v>
      </c>
      <c r="D193" t="s">
        <v>7968</v>
      </c>
      <c r="E193" t="s">
        <v>7968</v>
      </c>
      <c r="F193" t="s">
        <v>9084</v>
      </c>
      <c r="G193" t="s">
        <v>9085</v>
      </c>
      <c r="H193" t="s">
        <v>9086</v>
      </c>
      <c r="I193" t="b">
        <v>1</v>
      </c>
    </row>
    <row r="194" spans="1:9">
      <c r="A194" t="s">
        <v>9117</v>
      </c>
      <c r="B194" t="s">
        <v>10</v>
      </c>
      <c r="C194" t="s">
        <v>9118</v>
      </c>
      <c r="D194" t="s">
        <v>7968</v>
      </c>
      <c r="E194" t="s">
        <v>7968</v>
      </c>
      <c r="F194" t="s">
        <v>9119</v>
      </c>
      <c r="G194" t="s">
        <v>9120</v>
      </c>
      <c r="H194" t="s">
        <v>9121</v>
      </c>
      <c r="I194" t="b">
        <v>1</v>
      </c>
    </row>
    <row r="195" spans="1:9">
      <c r="A195" t="s">
        <v>9219</v>
      </c>
      <c r="B195" t="s">
        <v>10</v>
      </c>
      <c r="C195" t="s">
        <v>9220</v>
      </c>
      <c r="D195" t="s">
        <v>7763</v>
      </c>
      <c r="E195" t="s">
        <v>7763</v>
      </c>
      <c r="F195" t="s">
        <v>9221</v>
      </c>
      <c r="G195" t="s">
        <v>9222</v>
      </c>
      <c r="H195" t="s">
        <v>9223</v>
      </c>
      <c r="I195" t="b">
        <v>1</v>
      </c>
    </row>
    <row r="196" spans="1:9">
      <c r="A196" t="s">
        <v>9281</v>
      </c>
      <c r="B196" t="s">
        <v>10</v>
      </c>
      <c r="C196" t="s">
        <v>9282</v>
      </c>
      <c r="D196" t="s">
        <v>1868</v>
      </c>
      <c r="E196" t="s">
        <v>1868</v>
      </c>
      <c r="F196" t="s">
        <v>9283</v>
      </c>
      <c r="G196" t="s">
        <v>9284</v>
      </c>
      <c r="H196" t="s">
        <v>9285</v>
      </c>
      <c r="I196" t="b">
        <v>1</v>
      </c>
    </row>
    <row r="197" spans="1:9">
      <c r="A197" t="s">
        <v>9291</v>
      </c>
      <c r="B197" t="s">
        <v>10</v>
      </c>
      <c r="C197" t="s">
        <v>9292</v>
      </c>
      <c r="D197" t="s">
        <v>9293</v>
      </c>
      <c r="E197" t="s">
        <v>1861</v>
      </c>
      <c r="F197" t="s">
        <v>9294</v>
      </c>
      <c r="G197" t="s">
        <v>9295</v>
      </c>
      <c r="H197" t="s">
        <v>9296</v>
      </c>
      <c r="I197" t="b">
        <v>1</v>
      </c>
    </row>
    <row r="198" spans="1:9">
      <c r="A198" t="s">
        <v>9338</v>
      </c>
      <c r="B198" t="s">
        <v>10</v>
      </c>
      <c r="C198" t="s">
        <v>9339</v>
      </c>
      <c r="D198" t="s">
        <v>8057</v>
      </c>
      <c r="E198" t="s">
        <v>8057</v>
      </c>
      <c r="F198" t="s">
        <v>9340</v>
      </c>
      <c r="G198" t="s">
        <v>9341</v>
      </c>
      <c r="H198" t="s">
        <v>9342</v>
      </c>
      <c r="I198" t="b">
        <v>1</v>
      </c>
    </row>
    <row r="199" spans="1:9">
      <c r="A199" t="s">
        <v>9343</v>
      </c>
      <c r="B199" t="s">
        <v>10</v>
      </c>
      <c r="C199" t="s">
        <v>9344</v>
      </c>
      <c r="D199" t="s">
        <v>8057</v>
      </c>
      <c r="E199" t="s">
        <v>8057</v>
      </c>
      <c r="F199" t="s">
        <v>9345</v>
      </c>
      <c r="G199" t="s">
        <v>9346</v>
      </c>
      <c r="H199" t="s">
        <v>9347</v>
      </c>
      <c r="I199" t="b">
        <v>1</v>
      </c>
    </row>
    <row r="200" spans="1:9">
      <c r="A200" t="s">
        <v>9507</v>
      </c>
      <c r="B200" t="s">
        <v>10</v>
      </c>
      <c r="C200" t="s">
        <v>9508</v>
      </c>
      <c r="D200" t="s">
        <v>8057</v>
      </c>
      <c r="E200" t="s">
        <v>8057</v>
      </c>
      <c r="F200" t="s">
        <v>9509</v>
      </c>
      <c r="G200" t="s">
        <v>9510</v>
      </c>
      <c r="H200" t="s">
        <v>9511</v>
      </c>
      <c r="I200" t="b">
        <v>1</v>
      </c>
    </row>
    <row r="201" spans="1:9">
      <c r="A201" t="s">
        <v>9547</v>
      </c>
      <c r="B201" t="s">
        <v>10</v>
      </c>
      <c r="C201" t="s">
        <v>9548</v>
      </c>
      <c r="D201" t="s">
        <v>8057</v>
      </c>
      <c r="E201" t="s">
        <v>8057</v>
      </c>
      <c r="F201" t="s">
        <v>9549</v>
      </c>
      <c r="G201" t="s">
        <v>9550</v>
      </c>
      <c r="H201" t="s">
        <v>9551</v>
      </c>
      <c r="I201" t="b">
        <v>1</v>
      </c>
    </row>
    <row r="202" spans="1:9">
      <c r="A202" t="s">
        <v>9626</v>
      </c>
      <c r="B202" t="s">
        <v>10</v>
      </c>
      <c r="C202" t="s">
        <v>9627</v>
      </c>
      <c r="D202" t="s">
        <v>8057</v>
      </c>
      <c r="E202" t="s">
        <v>8057</v>
      </c>
      <c r="F202" t="s">
        <v>9628</v>
      </c>
      <c r="G202" t="s">
        <v>9629</v>
      </c>
      <c r="H202" t="s">
        <v>9630</v>
      </c>
      <c r="I202" t="b">
        <v>1</v>
      </c>
    </row>
    <row r="203" spans="1:9">
      <c r="A203" t="s">
        <v>9691</v>
      </c>
      <c r="B203" t="s">
        <v>10</v>
      </c>
      <c r="C203" t="s">
        <v>9692</v>
      </c>
      <c r="D203" t="s">
        <v>9693</v>
      </c>
      <c r="E203" t="s">
        <v>8057</v>
      </c>
      <c r="F203" t="s">
        <v>9694</v>
      </c>
      <c r="G203" t="s">
        <v>9695</v>
      </c>
      <c r="H203" t="s">
        <v>9696</v>
      </c>
      <c r="I203" t="b">
        <v>1</v>
      </c>
    </row>
    <row r="204" spans="1:9">
      <c r="A204" t="s">
        <v>9767</v>
      </c>
      <c r="B204" t="s">
        <v>10</v>
      </c>
      <c r="C204" t="s">
        <v>9768</v>
      </c>
      <c r="D204" t="s">
        <v>8057</v>
      </c>
      <c r="E204" t="s">
        <v>8057</v>
      </c>
      <c r="F204" t="s">
        <v>9769</v>
      </c>
      <c r="G204" t="s">
        <v>9770</v>
      </c>
      <c r="H204" t="s">
        <v>9771</v>
      </c>
      <c r="I204" t="b">
        <v>1</v>
      </c>
    </row>
    <row r="205" spans="1:9">
      <c r="A205" t="s">
        <v>9837</v>
      </c>
      <c r="B205" t="s">
        <v>10</v>
      </c>
      <c r="C205" t="s">
        <v>9838</v>
      </c>
      <c r="D205" t="s">
        <v>8057</v>
      </c>
      <c r="E205" t="s">
        <v>8057</v>
      </c>
      <c r="F205" t="s">
        <v>9839</v>
      </c>
      <c r="G205" t="s">
        <v>9840</v>
      </c>
      <c r="H205" t="s">
        <v>9841</v>
      </c>
      <c r="I205" t="b">
        <v>1</v>
      </c>
    </row>
    <row r="206" spans="1:9">
      <c r="A206" t="s">
        <v>9855</v>
      </c>
      <c r="B206" t="s">
        <v>10</v>
      </c>
      <c r="C206" t="s">
        <v>9856</v>
      </c>
      <c r="D206" t="s">
        <v>8057</v>
      </c>
      <c r="E206" t="s">
        <v>8057</v>
      </c>
      <c r="F206" t="s">
        <v>9857</v>
      </c>
      <c r="G206" t="s">
        <v>9858</v>
      </c>
      <c r="H206" t="s">
        <v>9859</v>
      </c>
      <c r="I206" t="b">
        <v>1</v>
      </c>
    </row>
    <row r="207" spans="1:9">
      <c r="A207" t="s">
        <v>9885</v>
      </c>
      <c r="B207" t="s">
        <v>10</v>
      </c>
      <c r="C207" t="s">
        <v>9886</v>
      </c>
      <c r="D207" t="s">
        <v>8057</v>
      </c>
      <c r="E207" t="s">
        <v>8057</v>
      </c>
      <c r="F207" t="s">
        <v>9887</v>
      </c>
      <c r="G207" t="s">
        <v>9888</v>
      </c>
      <c r="H207" t="s">
        <v>9889</v>
      </c>
      <c r="I207" t="b">
        <v>1</v>
      </c>
    </row>
    <row r="208" spans="1:9">
      <c r="A208" t="s">
        <v>9903</v>
      </c>
      <c r="B208" t="s">
        <v>10</v>
      </c>
      <c r="C208" t="s">
        <v>9454</v>
      </c>
      <c r="D208" t="s">
        <v>8057</v>
      </c>
      <c r="E208" t="s">
        <v>8057</v>
      </c>
      <c r="F208" t="s">
        <v>9904</v>
      </c>
      <c r="G208" t="s">
        <v>9455</v>
      </c>
      <c r="H208" t="s">
        <v>9905</v>
      </c>
      <c r="I208" t="b">
        <v>1</v>
      </c>
    </row>
    <row r="209" spans="1:9">
      <c r="A209" t="s">
        <v>9906</v>
      </c>
      <c r="B209" t="s">
        <v>10</v>
      </c>
      <c r="C209" t="s">
        <v>9907</v>
      </c>
      <c r="D209" t="s">
        <v>8057</v>
      </c>
      <c r="E209" t="s">
        <v>8057</v>
      </c>
      <c r="F209" t="s">
        <v>9908</v>
      </c>
      <c r="G209" t="s">
        <v>9909</v>
      </c>
      <c r="H209" t="s">
        <v>9910</v>
      </c>
      <c r="I209" t="b">
        <v>1</v>
      </c>
    </row>
    <row r="210" spans="1:9">
      <c r="A210" t="s">
        <v>9915</v>
      </c>
      <c r="B210" t="s">
        <v>10</v>
      </c>
      <c r="C210" t="s">
        <v>9916</v>
      </c>
      <c r="D210" t="s">
        <v>8057</v>
      </c>
      <c r="E210" t="s">
        <v>8057</v>
      </c>
      <c r="F210" t="s">
        <v>9917</v>
      </c>
      <c r="G210" t="s">
        <v>9918</v>
      </c>
      <c r="H210" t="s">
        <v>9919</v>
      </c>
      <c r="I210" t="b">
        <v>1</v>
      </c>
    </row>
    <row r="211" spans="1:9">
      <c r="A211" t="s">
        <v>10000</v>
      </c>
      <c r="B211" t="s">
        <v>10</v>
      </c>
      <c r="C211" t="s">
        <v>10001</v>
      </c>
      <c r="D211" t="s">
        <v>9991</v>
      </c>
      <c r="E211" t="s">
        <v>8057</v>
      </c>
      <c r="F211" t="s">
        <v>10002</v>
      </c>
      <c r="G211" t="s">
        <v>10003</v>
      </c>
      <c r="H211" t="s">
        <v>10004</v>
      </c>
      <c r="I211" t="b">
        <v>1</v>
      </c>
    </row>
    <row r="212" spans="1:9">
      <c r="A212" t="s">
        <v>10026</v>
      </c>
      <c r="B212" t="s">
        <v>10</v>
      </c>
      <c r="C212" t="s">
        <v>10027</v>
      </c>
      <c r="D212" t="s">
        <v>10020</v>
      </c>
      <c r="E212" t="s">
        <v>8057</v>
      </c>
      <c r="F212" t="s">
        <v>10028</v>
      </c>
      <c r="G212" t="s">
        <v>10029</v>
      </c>
      <c r="H212" t="s">
        <v>10030</v>
      </c>
      <c r="I212" t="b">
        <v>1</v>
      </c>
    </row>
    <row r="213" spans="1:9">
      <c r="A213" t="s">
        <v>10063</v>
      </c>
      <c r="B213" t="s">
        <v>10</v>
      </c>
      <c r="C213" t="s">
        <v>10064</v>
      </c>
      <c r="D213" t="s">
        <v>10065</v>
      </c>
      <c r="E213" t="s">
        <v>8057</v>
      </c>
      <c r="F213" t="s">
        <v>10066</v>
      </c>
      <c r="G213" t="s">
        <v>10067</v>
      </c>
      <c r="H213" t="s">
        <v>10068</v>
      </c>
      <c r="I213" t="b">
        <v>1</v>
      </c>
    </row>
    <row r="214" spans="1:9">
      <c r="A214" t="s">
        <v>10075</v>
      </c>
      <c r="B214" t="s">
        <v>10</v>
      </c>
      <c r="C214" t="s">
        <v>10076</v>
      </c>
      <c r="D214" t="s">
        <v>10077</v>
      </c>
      <c r="E214" t="s">
        <v>8057</v>
      </c>
      <c r="F214" t="s">
        <v>10078</v>
      </c>
      <c r="G214" t="s">
        <v>10079</v>
      </c>
      <c r="H214" t="s">
        <v>10080</v>
      </c>
      <c r="I214" t="b">
        <v>1</v>
      </c>
    </row>
    <row r="215" spans="1:9">
      <c r="A215" t="s">
        <v>10160</v>
      </c>
      <c r="B215" t="s">
        <v>10</v>
      </c>
      <c r="C215" t="s">
        <v>10161</v>
      </c>
      <c r="D215" t="s">
        <v>10162</v>
      </c>
      <c r="E215" t="s">
        <v>10163</v>
      </c>
      <c r="F215" t="s">
        <v>10164</v>
      </c>
      <c r="G215" t="s">
        <v>10165</v>
      </c>
      <c r="H215" t="s">
        <v>10166</v>
      </c>
      <c r="I215" t="b">
        <v>1</v>
      </c>
    </row>
    <row r="216" spans="1:9">
      <c r="A216" t="s">
        <v>10183</v>
      </c>
      <c r="B216" t="s">
        <v>10</v>
      </c>
      <c r="C216" t="s">
        <v>10184</v>
      </c>
      <c r="D216" t="s">
        <v>10162</v>
      </c>
      <c r="E216" t="s">
        <v>10163</v>
      </c>
      <c r="F216" t="s">
        <v>10185</v>
      </c>
      <c r="G216" t="s">
        <v>10186</v>
      </c>
      <c r="H216" t="s">
        <v>10187</v>
      </c>
      <c r="I216" t="b">
        <v>1</v>
      </c>
    </row>
    <row r="217" spans="1:9">
      <c r="A217" t="s">
        <v>10282</v>
      </c>
      <c r="B217" t="s">
        <v>10</v>
      </c>
      <c r="C217" t="s">
        <v>10283</v>
      </c>
      <c r="D217" t="s">
        <v>3569</v>
      </c>
      <c r="E217" t="s">
        <v>3570</v>
      </c>
      <c r="F217" t="s">
        <v>10284</v>
      </c>
      <c r="G217" t="s">
        <v>10285</v>
      </c>
      <c r="H217" t="s">
        <v>10286</v>
      </c>
      <c r="I217" t="b">
        <v>1</v>
      </c>
    </row>
    <row r="218" spans="1:9">
      <c r="A218" t="s">
        <v>10292</v>
      </c>
      <c r="B218" t="s">
        <v>10</v>
      </c>
      <c r="C218" t="s">
        <v>10293</v>
      </c>
      <c r="D218" t="s">
        <v>3569</v>
      </c>
      <c r="E218" t="s">
        <v>3570</v>
      </c>
      <c r="F218" t="s">
        <v>10294</v>
      </c>
      <c r="G218" t="s">
        <v>10295</v>
      </c>
      <c r="H218" t="s">
        <v>10296</v>
      </c>
      <c r="I218" t="b">
        <v>1</v>
      </c>
    </row>
    <row r="219" spans="1:9">
      <c r="A219" t="s">
        <v>10297</v>
      </c>
      <c r="B219" t="s">
        <v>10</v>
      </c>
      <c r="C219" t="s">
        <v>10298</v>
      </c>
      <c r="D219" t="s">
        <v>3569</v>
      </c>
      <c r="E219" t="s">
        <v>3570</v>
      </c>
      <c r="F219" t="s">
        <v>10299</v>
      </c>
      <c r="G219" t="s">
        <v>10300</v>
      </c>
      <c r="H219" t="s">
        <v>10301</v>
      </c>
      <c r="I219" t="b">
        <v>1</v>
      </c>
    </row>
    <row r="220" spans="1:9">
      <c r="A220" t="s">
        <v>10312</v>
      </c>
      <c r="B220" t="s">
        <v>10</v>
      </c>
      <c r="C220" t="s">
        <v>10313</v>
      </c>
      <c r="D220" t="s">
        <v>3569</v>
      </c>
      <c r="E220" t="s">
        <v>3570</v>
      </c>
      <c r="F220" t="s">
        <v>10314</v>
      </c>
      <c r="G220" t="s">
        <v>10315</v>
      </c>
      <c r="H220" t="s">
        <v>10316</v>
      </c>
      <c r="I220" t="b">
        <v>1</v>
      </c>
    </row>
    <row r="221" spans="1:9">
      <c r="A221" t="s">
        <v>10469</v>
      </c>
      <c r="B221" t="s">
        <v>10</v>
      </c>
      <c r="C221" t="s">
        <v>10470</v>
      </c>
      <c r="D221" t="s">
        <v>10471</v>
      </c>
      <c r="E221" t="s">
        <v>3570</v>
      </c>
      <c r="F221" t="s">
        <v>10472</v>
      </c>
      <c r="G221" t="s">
        <v>10473</v>
      </c>
      <c r="H221" t="s">
        <v>10474</v>
      </c>
      <c r="I221" t="b">
        <v>1</v>
      </c>
    </row>
    <row r="222" spans="1:9">
      <c r="A222" t="s">
        <v>10486</v>
      </c>
      <c r="B222" t="s">
        <v>10</v>
      </c>
      <c r="C222" t="s">
        <v>10487</v>
      </c>
      <c r="D222" t="s">
        <v>10471</v>
      </c>
      <c r="E222" t="s">
        <v>3570</v>
      </c>
      <c r="F222" t="s">
        <v>10488</v>
      </c>
      <c r="G222" t="s">
        <v>10489</v>
      </c>
      <c r="H222" t="s">
        <v>10490</v>
      </c>
      <c r="I222" t="b">
        <v>1</v>
      </c>
    </row>
    <row r="223" spans="1:9">
      <c r="A223" t="s">
        <v>10600</v>
      </c>
      <c r="B223" t="s">
        <v>10</v>
      </c>
      <c r="C223" t="s">
        <v>10601</v>
      </c>
      <c r="D223" t="s">
        <v>10602</v>
      </c>
      <c r="E223" t="s">
        <v>3570</v>
      </c>
      <c r="F223" t="s">
        <v>10603</v>
      </c>
      <c r="G223" t="s">
        <v>10604</v>
      </c>
      <c r="H223" t="s">
        <v>10605</v>
      </c>
      <c r="I223" t="b">
        <v>1</v>
      </c>
    </row>
    <row r="224" spans="1:9">
      <c r="A224" t="s">
        <v>10636</v>
      </c>
      <c r="B224" t="s">
        <v>10</v>
      </c>
      <c r="C224" t="s">
        <v>10637</v>
      </c>
      <c r="D224" t="s">
        <v>10638</v>
      </c>
      <c r="E224" t="s">
        <v>10592</v>
      </c>
      <c r="F224" t="s">
        <v>10639</v>
      </c>
      <c r="G224" t="s">
        <v>10640</v>
      </c>
      <c r="H224" t="s">
        <v>10641</v>
      </c>
      <c r="I224" t="b">
        <v>1</v>
      </c>
    </row>
    <row r="225" spans="1:9">
      <c r="A225" t="s">
        <v>10718</v>
      </c>
      <c r="B225" t="s">
        <v>10</v>
      </c>
      <c r="C225" t="s">
        <v>10719</v>
      </c>
      <c r="D225" t="s">
        <v>10592</v>
      </c>
      <c r="E225" t="s">
        <v>10592</v>
      </c>
      <c r="F225" t="s">
        <v>10720</v>
      </c>
      <c r="G225" t="s">
        <v>10721</v>
      </c>
      <c r="H225" t="s">
        <v>10722</v>
      </c>
      <c r="I225" t="b">
        <v>1</v>
      </c>
    </row>
    <row r="226" spans="1:9">
      <c r="A226" t="s">
        <v>10726</v>
      </c>
      <c r="B226" t="s">
        <v>10</v>
      </c>
      <c r="C226" t="s">
        <v>10727</v>
      </c>
      <c r="D226" t="s">
        <v>10592</v>
      </c>
      <c r="E226" t="s">
        <v>10592</v>
      </c>
      <c r="F226" t="s">
        <v>10728</v>
      </c>
      <c r="G226" t="s">
        <v>10729</v>
      </c>
      <c r="H226" t="s">
        <v>10730</v>
      </c>
      <c r="I226" t="b">
        <v>1</v>
      </c>
    </row>
    <row r="227" spans="1:9">
      <c r="A227" t="s">
        <v>10774</v>
      </c>
      <c r="B227" t="s">
        <v>10</v>
      </c>
      <c r="C227" t="s">
        <v>10775</v>
      </c>
      <c r="D227" t="s">
        <v>10776</v>
      </c>
      <c r="E227" t="s">
        <v>10592</v>
      </c>
      <c r="F227" t="s">
        <v>10777</v>
      </c>
      <c r="G227" t="s">
        <v>10778</v>
      </c>
      <c r="H227" t="s">
        <v>10779</v>
      </c>
      <c r="I227" t="b">
        <v>1</v>
      </c>
    </row>
    <row r="228" spans="1:9">
      <c r="A228" t="s">
        <v>10837</v>
      </c>
      <c r="B228" t="s">
        <v>10</v>
      </c>
      <c r="C228" t="s">
        <v>10838</v>
      </c>
      <c r="D228" t="s">
        <v>10638</v>
      </c>
      <c r="E228" t="s">
        <v>10592</v>
      </c>
      <c r="F228" t="s">
        <v>10839</v>
      </c>
      <c r="G228" t="s">
        <v>10840</v>
      </c>
      <c r="H228" t="s">
        <v>10841</v>
      </c>
      <c r="I228" t="b">
        <v>1</v>
      </c>
    </row>
    <row r="229" spans="1:9">
      <c r="A229" t="s">
        <v>10848</v>
      </c>
      <c r="B229" t="s">
        <v>10</v>
      </c>
      <c r="C229" t="s">
        <v>10849</v>
      </c>
      <c r="D229" t="s">
        <v>10638</v>
      </c>
      <c r="E229" t="s">
        <v>10592</v>
      </c>
      <c r="F229" t="s">
        <v>10850</v>
      </c>
      <c r="G229" t="s">
        <v>10851</v>
      </c>
      <c r="H229" t="s">
        <v>10852</v>
      </c>
      <c r="I229" t="b">
        <v>1</v>
      </c>
    </row>
    <row r="230" spans="1:9">
      <c r="A230" t="s">
        <v>10878</v>
      </c>
      <c r="B230" t="s">
        <v>10</v>
      </c>
      <c r="C230" t="s">
        <v>10879</v>
      </c>
      <c r="D230" t="s">
        <v>10638</v>
      </c>
      <c r="E230" t="s">
        <v>10592</v>
      </c>
      <c r="F230" t="s">
        <v>10880</v>
      </c>
      <c r="G230" t="s">
        <v>10881</v>
      </c>
      <c r="H230" t="s">
        <v>10882</v>
      </c>
      <c r="I230" t="b">
        <v>1</v>
      </c>
    </row>
    <row r="231" spans="1:9">
      <c r="A231" t="s">
        <v>10902</v>
      </c>
      <c r="B231" t="s">
        <v>10</v>
      </c>
      <c r="C231" t="s">
        <v>10903</v>
      </c>
      <c r="D231" t="s">
        <v>10892</v>
      </c>
      <c r="E231" t="s">
        <v>10592</v>
      </c>
      <c r="F231" t="s">
        <v>10904</v>
      </c>
      <c r="G231" t="s">
        <v>10905</v>
      </c>
      <c r="H231" t="s">
        <v>10906</v>
      </c>
      <c r="I231" t="b">
        <v>1</v>
      </c>
    </row>
    <row r="232" spans="1:9">
      <c r="A232" t="s">
        <v>10925</v>
      </c>
      <c r="B232" t="s">
        <v>10</v>
      </c>
      <c r="C232" t="s">
        <v>10926</v>
      </c>
      <c r="D232" t="s">
        <v>10652</v>
      </c>
      <c r="E232" t="s">
        <v>10592</v>
      </c>
      <c r="F232" t="s">
        <v>10927</v>
      </c>
      <c r="G232" t="s">
        <v>10928</v>
      </c>
      <c r="H232" t="s">
        <v>10929</v>
      </c>
      <c r="I232" t="b">
        <v>1</v>
      </c>
    </row>
    <row r="233" spans="1:9">
      <c r="A233" t="s">
        <v>10945</v>
      </c>
      <c r="B233" t="s">
        <v>10</v>
      </c>
      <c r="C233" t="s">
        <v>10946</v>
      </c>
      <c r="D233" t="s">
        <v>10912</v>
      </c>
      <c r="E233" t="s">
        <v>10592</v>
      </c>
      <c r="F233" t="s">
        <v>10947</v>
      </c>
      <c r="G233" t="s">
        <v>10948</v>
      </c>
      <c r="H233" t="s">
        <v>10949</v>
      </c>
      <c r="I233" t="b">
        <v>1</v>
      </c>
    </row>
    <row r="234" spans="1:9">
      <c r="A234" t="s">
        <v>10950</v>
      </c>
      <c r="B234" t="s">
        <v>10</v>
      </c>
      <c r="C234" t="s">
        <v>10854</v>
      </c>
      <c r="D234" t="s">
        <v>10638</v>
      </c>
      <c r="E234" t="s">
        <v>10592</v>
      </c>
      <c r="F234" t="s">
        <v>10951</v>
      </c>
      <c r="G234" t="s">
        <v>10952</v>
      </c>
      <c r="H234" t="s">
        <v>10953</v>
      </c>
      <c r="I234" t="b">
        <v>1</v>
      </c>
    </row>
    <row r="235" spans="1:9">
      <c r="A235" t="s">
        <v>10958</v>
      </c>
      <c r="B235" t="s">
        <v>10</v>
      </c>
      <c r="C235" t="s">
        <v>10959</v>
      </c>
      <c r="D235" t="s">
        <v>10960</v>
      </c>
      <c r="E235" t="s">
        <v>10592</v>
      </c>
      <c r="F235" t="s">
        <v>10961</v>
      </c>
      <c r="G235" t="s">
        <v>10962</v>
      </c>
      <c r="H235" t="s">
        <v>10963</v>
      </c>
      <c r="I235" t="b">
        <v>1</v>
      </c>
    </row>
    <row r="236" spans="1:9">
      <c r="A236" t="s">
        <v>10975</v>
      </c>
      <c r="B236" t="s">
        <v>10</v>
      </c>
      <c r="C236" t="s">
        <v>10976</v>
      </c>
      <c r="D236" t="s">
        <v>10977</v>
      </c>
      <c r="E236" t="s">
        <v>10592</v>
      </c>
      <c r="F236" t="s">
        <v>10978</v>
      </c>
      <c r="G236" t="s">
        <v>10979</v>
      </c>
      <c r="H236" t="s">
        <v>10980</v>
      </c>
      <c r="I236" t="b">
        <v>1</v>
      </c>
    </row>
    <row r="237" spans="1:9">
      <c r="A237" t="s">
        <v>10981</v>
      </c>
      <c r="B237" t="s">
        <v>10</v>
      </c>
      <c r="C237" t="s">
        <v>10982</v>
      </c>
      <c r="D237" t="s">
        <v>10983</v>
      </c>
      <c r="E237" t="s">
        <v>10592</v>
      </c>
      <c r="F237" t="s">
        <v>10984</v>
      </c>
      <c r="G237" t="s">
        <v>10985</v>
      </c>
      <c r="H237" t="s">
        <v>10986</v>
      </c>
      <c r="I237" t="b">
        <v>1</v>
      </c>
    </row>
    <row r="238" spans="1:9">
      <c r="A238" t="s">
        <v>10992</v>
      </c>
      <c r="B238" t="s">
        <v>10</v>
      </c>
      <c r="C238" t="s">
        <v>10993</v>
      </c>
      <c r="D238" t="s">
        <v>10652</v>
      </c>
      <c r="E238" t="s">
        <v>10592</v>
      </c>
      <c r="F238" t="s">
        <v>10994</v>
      </c>
      <c r="G238" t="s">
        <v>10995</v>
      </c>
      <c r="H238" t="s">
        <v>10996</v>
      </c>
      <c r="I238" t="b">
        <v>1</v>
      </c>
    </row>
    <row r="239" spans="1:9">
      <c r="A239" t="s">
        <v>11014</v>
      </c>
      <c r="B239" t="s">
        <v>10</v>
      </c>
      <c r="C239" t="s">
        <v>11015</v>
      </c>
      <c r="D239" t="s">
        <v>10960</v>
      </c>
      <c r="E239" t="s">
        <v>10592</v>
      </c>
      <c r="F239" t="s">
        <v>11016</v>
      </c>
      <c r="G239" t="s">
        <v>11017</v>
      </c>
      <c r="H239" t="s">
        <v>11018</v>
      </c>
      <c r="I239" t="b">
        <v>1</v>
      </c>
    </row>
    <row r="240" spans="1:9">
      <c r="A240" t="s">
        <v>11019</v>
      </c>
      <c r="B240" t="s">
        <v>10</v>
      </c>
      <c r="C240" t="s">
        <v>11020</v>
      </c>
      <c r="D240" t="s">
        <v>10652</v>
      </c>
      <c r="E240" t="s">
        <v>10592</v>
      </c>
      <c r="F240" t="s">
        <v>11021</v>
      </c>
      <c r="G240" t="s">
        <v>11022</v>
      </c>
      <c r="H240" t="s">
        <v>11023</v>
      </c>
      <c r="I240" t="b">
        <v>1</v>
      </c>
    </row>
    <row r="241" spans="1:9">
      <c r="A241" t="s">
        <v>7977</v>
      </c>
      <c r="B241" t="s">
        <v>10</v>
      </c>
      <c r="C241" t="s">
        <v>11151</v>
      </c>
      <c r="D241" t="s">
        <v>11146</v>
      </c>
      <c r="E241" t="s">
        <v>11146</v>
      </c>
      <c r="F241" t="s">
        <v>11152</v>
      </c>
      <c r="G241" t="s">
        <v>11153</v>
      </c>
      <c r="H241" t="s">
        <v>11154</v>
      </c>
      <c r="I241" t="b">
        <v>1</v>
      </c>
    </row>
    <row r="242" spans="1:9">
      <c r="A242" t="s">
        <v>11212</v>
      </c>
      <c r="B242" t="s">
        <v>10</v>
      </c>
      <c r="C242" t="s">
        <v>11213</v>
      </c>
      <c r="D242" t="s">
        <v>11214</v>
      </c>
      <c r="E242" t="s">
        <v>6786</v>
      </c>
      <c r="F242" t="s">
        <v>11215</v>
      </c>
      <c r="G242" t="s">
        <v>11216</v>
      </c>
      <c r="H242" t="s">
        <v>11217</v>
      </c>
      <c r="I242" t="b">
        <v>1</v>
      </c>
    </row>
    <row r="243" spans="1:9">
      <c r="A243" t="s">
        <v>11255</v>
      </c>
      <c r="B243" t="s">
        <v>10</v>
      </c>
      <c r="C243" t="s">
        <v>11213</v>
      </c>
      <c r="D243" t="s">
        <v>11214</v>
      </c>
      <c r="E243" t="s">
        <v>6786</v>
      </c>
      <c r="F243" t="s">
        <v>11256</v>
      </c>
      <c r="G243" t="s">
        <v>11257</v>
      </c>
      <c r="H243" t="s">
        <v>11258</v>
      </c>
      <c r="I243" t="b">
        <v>1</v>
      </c>
    </row>
    <row r="244" spans="1:9">
      <c r="A244" t="s">
        <v>11284</v>
      </c>
      <c r="B244" t="s">
        <v>10</v>
      </c>
      <c r="C244" t="s">
        <v>11285</v>
      </c>
      <c r="D244" t="s">
        <v>11214</v>
      </c>
      <c r="E244" t="s">
        <v>6786</v>
      </c>
      <c r="F244" t="s">
        <v>11286</v>
      </c>
      <c r="G244" t="s">
        <v>11287</v>
      </c>
      <c r="H244" t="s">
        <v>11288</v>
      </c>
      <c r="I244" t="b">
        <v>1</v>
      </c>
    </row>
    <row r="245" spans="1:9">
      <c r="A245" t="s">
        <v>11466</v>
      </c>
      <c r="B245" t="s">
        <v>10</v>
      </c>
      <c r="C245" t="s">
        <v>11467</v>
      </c>
      <c r="D245" t="s">
        <v>11468</v>
      </c>
      <c r="E245" t="s">
        <v>6786</v>
      </c>
      <c r="F245" t="s">
        <v>11469</v>
      </c>
      <c r="G245" t="s">
        <v>11470</v>
      </c>
      <c r="H245" t="s">
        <v>11471</v>
      </c>
      <c r="I245" t="b">
        <v>1</v>
      </c>
    </row>
    <row r="246" spans="1:9">
      <c r="A246" t="s">
        <v>11572</v>
      </c>
      <c r="B246" t="s">
        <v>10</v>
      </c>
      <c r="C246" t="s">
        <v>11573</v>
      </c>
      <c r="D246" t="s">
        <v>11574</v>
      </c>
      <c r="E246" t="s">
        <v>6786</v>
      </c>
      <c r="F246" t="s">
        <v>11575</v>
      </c>
      <c r="G246" t="s">
        <v>11576</v>
      </c>
      <c r="H246" t="s">
        <v>11577</v>
      </c>
      <c r="I246" t="b">
        <v>1</v>
      </c>
    </row>
    <row r="247" spans="1:9">
      <c r="A247" t="s">
        <v>11591</v>
      </c>
      <c r="B247" t="s">
        <v>10</v>
      </c>
      <c r="C247" t="s">
        <v>11592</v>
      </c>
      <c r="D247" t="s">
        <v>11574</v>
      </c>
      <c r="E247" t="s">
        <v>6786</v>
      </c>
      <c r="F247" t="s">
        <v>11593</v>
      </c>
      <c r="G247" t="s">
        <v>11594</v>
      </c>
      <c r="H247" t="s">
        <v>11595</v>
      </c>
      <c r="I247" t="b">
        <v>1</v>
      </c>
    </row>
    <row r="248" spans="1:9">
      <c r="A248" t="s">
        <v>11680</v>
      </c>
      <c r="B248" t="s">
        <v>10</v>
      </c>
      <c r="C248" t="s">
        <v>11681</v>
      </c>
      <c r="D248" t="s">
        <v>11682</v>
      </c>
      <c r="E248" t="s">
        <v>6786</v>
      </c>
      <c r="F248" t="s">
        <v>11683</v>
      </c>
      <c r="G248" t="s">
        <v>11684</v>
      </c>
      <c r="H248" t="s">
        <v>11685</v>
      </c>
      <c r="I248" t="b">
        <v>1</v>
      </c>
    </row>
    <row r="249" spans="1:9">
      <c r="A249" t="s">
        <v>4372</v>
      </c>
      <c r="B249" t="s">
        <v>10</v>
      </c>
      <c r="C249" t="s">
        <v>11742</v>
      </c>
      <c r="D249" t="s">
        <v>11715</v>
      </c>
      <c r="E249" t="s">
        <v>11706</v>
      </c>
      <c r="F249" t="s">
        <v>11743</v>
      </c>
      <c r="G249" t="s">
        <v>11744</v>
      </c>
      <c r="H249" t="s">
        <v>11745</v>
      </c>
      <c r="I249" t="b">
        <v>1</v>
      </c>
    </row>
    <row r="250" spans="1:9">
      <c r="A250" t="s">
        <v>11806</v>
      </c>
      <c r="B250" t="s">
        <v>10</v>
      </c>
      <c r="C250" t="s">
        <v>11807</v>
      </c>
      <c r="D250" t="s">
        <v>11789</v>
      </c>
      <c r="E250" t="s">
        <v>11706</v>
      </c>
      <c r="F250" t="s">
        <v>11808</v>
      </c>
      <c r="G250" t="s">
        <v>11809</v>
      </c>
      <c r="H250" t="s">
        <v>11810</v>
      </c>
      <c r="I250" t="b">
        <v>1</v>
      </c>
    </row>
    <row r="251" spans="1:9">
      <c r="A251" t="s">
        <v>11852</v>
      </c>
      <c r="B251" t="s">
        <v>10</v>
      </c>
      <c r="C251" t="s">
        <v>11853</v>
      </c>
      <c r="D251" t="s">
        <v>11854</v>
      </c>
      <c r="E251" t="s">
        <v>11706</v>
      </c>
      <c r="F251" t="s">
        <v>11855</v>
      </c>
      <c r="G251" t="s">
        <v>11856</v>
      </c>
      <c r="H251" t="s">
        <v>11857</v>
      </c>
      <c r="I251" t="b">
        <v>1</v>
      </c>
    </row>
    <row r="252" spans="1:9">
      <c r="A252" t="s">
        <v>11858</v>
      </c>
      <c r="B252" t="s">
        <v>10</v>
      </c>
      <c r="C252" t="s">
        <v>11859</v>
      </c>
      <c r="D252" t="s">
        <v>11860</v>
      </c>
      <c r="E252" t="s">
        <v>11752</v>
      </c>
      <c r="F252" t="s">
        <v>11861</v>
      </c>
      <c r="G252" t="s">
        <v>11862</v>
      </c>
      <c r="H252" t="s">
        <v>11863</v>
      </c>
      <c r="I252" t="b">
        <v>1</v>
      </c>
    </row>
    <row r="253" spans="1:9">
      <c r="A253" t="s">
        <v>11876</v>
      </c>
      <c r="B253" t="s">
        <v>10</v>
      </c>
      <c r="C253" t="s">
        <v>11877</v>
      </c>
      <c r="D253" t="s">
        <v>11878</v>
      </c>
      <c r="E253" t="s">
        <v>11752</v>
      </c>
      <c r="F253" t="s">
        <v>11879</v>
      </c>
      <c r="G253" t="s">
        <v>11880</v>
      </c>
      <c r="H253" t="s">
        <v>11881</v>
      </c>
      <c r="I253" t="b">
        <v>1</v>
      </c>
    </row>
    <row r="254" spans="1:9">
      <c r="A254" t="s">
        <v>11998</v>
      </c>
      <c r="B254" t="s">
        <v>10</v>
      </c>
      <c r="C254" t="s">
        <v>11999</v>
      </c>
      <c r="D254" t="s">
        <v>1879</v>
      </c>
      <c r="E254" t="s">
        <v>1879</v>
      </c>
      <c r="F254" t="s">
        <v>12000</v>
      </c>
      <c r="G254" t="s">
        <v>12001</v>
      </c>
      <c r="H254" t="s">
        <v>12002</v>
      </c>
      <c r="I254" t="b">
        <v>1</v>
      </c>
    </row>
    <row r="255" spans="1:9">
      <c r="A255" t="s">
        <v>12078</v>
      </c>
      <c r="B255" t="s">
        <v>10</v>
      </c>
      <c r="C255" t="s">
        <v>12079</v>
      </c>
      <c r="D255" t="s">
        <v>1879</v>
      </c>
      <c r="E255" t="s">
        <v>1879</v>
      </c>
      <c r="F255" t="s">
        <v>12080</v>
      </c>
      <c r="G255" t="s">
        <v>12081</v>
      </c>
      <c r="H255" t="s">
        <v>12082</v>
      </c>
      <c r="I255" t="b">
        <v>1</v>
      </c>
    </row>
    <row r="256" spans="1:9">
      <c r="A256" t="s">
        <v>12091</v>
      </c>
      <c r="B256" t="s">
        <v>10</v>
      </c>
      <c r="C256" t="s">
        <v>12092</v>
      </c>
      <c r="D256" t="s">
        <v>1879</v>
      </c>
      <c r="E256" t="s">
        <v>1879</v>
      </c>
      <c r="F256" t="s">
        <v>12093</v>
      </c>
      <c r="G256" t="s">
        <v>12094</v>
      </c>
      <c r="H256" t="s">
        <v>12095</v>
      </c>
      <c r="I256" t="b">
        <v>1</v>
      </c>
    </row>
    <row r="257" spans="1:9">
      <c r="A257" t="s">
        <v>12114</v>
      </c>
      <c r="B257" t="s">
        <v>10</v>
      </c>
      <c r="C257" t="s">
        <v>12115</v>
      </c>
      <c r="D257" t="s">
        <v>1879</v>
      </c>
      <c r="E257" t="s">
        <v>1879</v>
      </c>
      <c r="F257" t="s">
        <v>12116</v>
      </c>
      <c r="G257" t="s">
        <v>12117</v>
      </c>
      <c r="H257" t="s">
        <v>12118</v>
      </c>
      <c r="I257" t="b">
        <v>1</v>
      </c>
    </row>
    <row r="258" spans="1:9">
      <c r="A258" t="s">
        <v>12123</v>
      </c>
      <c r="B258" t="s">
        <v>10</v>
      </c>
      <c r="C258" t="s">
        <v>12124</v>
      </c>
      <c r="D258" t="s">
        <v>1879</v>
      </c>
      <c r="E258" t="s">
        <v>1879</v>
      </c>
      <c r="F258" t="s">
        <v>12125</v>
      </c>
      <c r="G258" t="s">
        <v>12126</v>
      </c>
      <c r="H258" t="s">
        <v>12127</v>
      </c>
      <c r="I258" t="b">
        <v>1</v>
      </c>
    </row>
    <row r="259" spans="1:9">
      <c r="A259" t="s">
        <v>12213</v>
      </c>
      <c r="B259" t="s">
        <v>10</v>
      </c>
      <c r="C259" t="s">
        <v>12214</v>
      </c>
      <c r="D259" t="s">
        <v>12215</v>
      </c>
      <c r="E259" t="s">
        <v>1879</v>
      </c>
      <c r="F259" t="s">
        <v>12216</v>
      </c>
      <c r="G259" t="s">
        <v>12217</v>
      </c>
      <c r="H259" t="s">
        <v>12218</v>
      </c>
      <c r="I259" t="b">
        <v>1</v>
      </c>
    </row>
    <row r="260" spans="1:9">
      <c r="A260" t="s">
        <v>12384</v>
      </c>
      <c r="B260" t="s">
        <v>10</v>
      </c>
      <c r="C260" t="s">
        <v>28</v>
      </c>
      <c r="D260" t="s">
        <v>12033</v>
      </c>
      <c r="E260" t="s">
        <v>28</v>
      </c>
      <c r="F260" t="s">
        <v>12385</v>
      </c>
      <c r="G260" t="s">
        <v>12386</v>
      </c>
      <c r="H260" t="s">
        <v>12387</v>
      </c>
      <c r="I260" t="b">
        <v>1</v>
      </c>
    </row>
    <row r="261" spans="1:9">
      <c r="A261" t="s">
        <v>12448</v>
      </c>
      <c r="B261" t="s">
        <v>10</v>
      </c>
      <c r="C261" t="s">
        <v>12449</v>
      </c>
      <c r="D261" t="s">
        <v>1879</v>
      </c>
      <c r="E261" t="s">
        <v>1879</v>
      </c>
      <c r="F261" t="s">
        <v>12450</v>
      </c>
      <c r="G261" t="s">
        <v>12451</v>
      </c>
      <c r="H261" t="s">
        <v>12452</v>
      </c>
      <c r="I261" t="b">
        <v>1</v>
      </c>
    </row>
    <row r="262" spans="1:9">
      <c r="A262" t="s">
        <v>12504</v>
      </c>
      <c r="B262" t="s">
        <v>10</v>
      </c>
      <c r="C262" t="s">
        <v>12505</v>
      </c>
      <c r="D262" t="s">
        <v>12506</v>
      </c>
      <c r="E262" t="s">
        <v>1879</v>
      </c>
      <c r="F262" t="s">
        <v>12507</v>
      </c>
      <c r="G262" t="s">
        <v>12508</v>
      </c>
      <c r="H262" t="s">
        <v>12509</v>
      </c>
      <c r="I262" t="b">
        <v>1</v>
      </c>
    </row>
    <row r="263" spans="1:9">
      <c r="A263" t="s">
        <v>12584</v>
      </c>
      <c r="B263" t="s">
        <v>10</v>
      </c>
      <c r="C263" t="s">
        <v>12585</v>
      </c>
      <c r="D263" t="s">
        <v>12586</v>
      </c>
      <c r="E263" t="s">
        <v>1879</v>
      </c>
      <c r="F263" t="s">
        <v>12587</v>
      </c>
      <c r="G263" t="s">
        <v>12588</v>
      </c>
      <c r="H263" t="s">
        <v>12589</v>
      </c>
      <c r="I263" t="b">
        <v>1</v>
      </c>
    </row>
    <row r="264" spans="1:9">
      <c r="A264" t="s">
        <v>12605</v>
      </c>
      <c r="B264" t="s">
        <v>10</v>
      </c>
      <c r="C264" t="s">
        <v>12606</v>
      </c>
      <c r="D264" t="s">
        <v>12607</v>
      </c>
      <c r="E264" t="s">
        <v>1879</v>
      </c>
      <c r="F264" t="s">
        <v>12608</v>
      </c>
      <c r="G264" t="s">
        <v>12609</v>
      </c>
      <c r="H264" t="s">
        <v>12610</v>
      </c>
      <c r="I264" t="b">
        <v>1</v>
      </c>
    </row>
    <row r="265" spans="1:9">
      <c r="A265" t="s">
        <v>12628</v>
      </c>
      <c r="B265" t="s">
        <v>10</v>
      </c>
      <c r="C265" t="s">
        <v>12629</v>
      </c>
      <c r="D265" t="s">
        <v>12630</v>
      </c>
      <c r="E265" t="s">
        <v>1879</v>
      </c>
      <c r="F265" t="s">
        <v>12631</v>
      </c>
      <c r="G265" t="s">
        <v>12632</v>
      </c>
      <c r="H265" t="s">
        <v>12633</v>
      </c>
      <c r="I265" t="b">
        <v>1</v>
      </c>
    </row>
    <row r="266" spans="1:9">
      <c r="A266" t="s">
        <v>12734</v>
      </c>
      <c r="B266" t="s">
        <v>10</v>
      </c>
      <c r="C266" t="s">
        <v>12735</v>
      </c>
      <c r="D266" t="s">
        <v>12736</v>
      </c>
      <c r="E266" t="s">
        <v>1879</v>
      </c>
      <c r="F266" t="s">
        <v>12737</v>
      </c>
      <c r="G266" t="s">
        <v>12738</v>
      </c>
      <c r="H266" t="s">
        <v>12739</v>
      </c>
      <c r="I266" t="b">
        <v>1</v>
      </c>
    </row>
    <row r="267" spans="1:9">
      <c r="A267" t="s">
        <v>12770</v>
      </c>
      <c r="B267" t="s">
        <v>10</v>
      </c>
      <c r="C267" t="s">
        <v>12771</v>
      </c>
      <c r="D267" t="s">
        <v>12742</v>
      </c>
      <c r="E267" t="s">
        <v>1879</v>
      </c>
      <c r="F267" t="s">
        <v>12772</v>
      </c>
      <c r="G267" t="s">
        <v>12773</v>
      </c>
      <c r="H267" t="s">
        <v>12774</v>
      </c>
      <c r="I267" t="b">
        <v>1</v>
      </c>
    </row>
    <row r="268" spans="1:9">
      <c r="A268" t="s">
        <v>12790</v>
      </c>
      <c r="B268" t="s">
        <v>10</v>
      </c>
      <c r="C268" t="s">
        <v>12791</v>
      </c>
      <c r="D268" t="s">
        <v>1861</v>
      </c>
      <c r="E268" t="s">
        <v>1861</v>
      </c>
      <c r="F268" t="s">
        <v>12792</v>
      </c>
      <c r="G268" t="s">
        <v>12793</v>
      </c>
      <c r="H268" t="s">
        <v>12794</v>
      </c>
      <c r="I268" t="b">
        <v>1</v>
      </c>
    </row>
    <row r="269" spans="1:9">
      <c r="A269" t="s">
        <v>12812</v>
      </c>
      <c r="B269" t="s">
        <v>10</v>
      </c>
      <c r="C269" t="s">
        <v>12813</v>
      </c>
      <c r="D269" t="s">
        <v>1861</v>
      </c>
      <c r="E269" t="s">
        <v>1861</v>
      </c>
      <c r="F269" t="s">
        <v>12814</v>
      </c>
      <c r="G269" t="s">
        <v>12815</v>
      </c>
      <c r="H269" t="s">
        <v>12816</v>
      </c>
      <c r="I269" t="b">
        <v>1</v>
      </c>
    </row>
    <row r="270" spans="1:9">
      <c r="A270" t="s">
        <v>12822</v>
      </c>
      <c r="B270" t="s">
        <v>10</v>
      </c>
      <c r="C270" t="s">
        <v>12823</v>
      </c>
      <c r="D270" t="s">
        <v>1861</v>
      </c>
      <c r="E270" t="s">
        <v>1861</v>
      </c>
      <c r="F270" t="s">
        <v>12824</v>
      </c>
      <c r="G270" t="s">
        <v>12825</v>
      </c>
      <c r="H270" t="s">
        <v>12826</v>
      </c>
      <c r="I270" t="b">
        <v>1</v>
      </c>
    </row>
    <row r="271" spans="1:9">
      <c r="A271" t="s">
        <v>12836</v>
      </c>
      <c r="B271" t="s">
        <v>10</v>
      </c>
      <c r="C271" t="s">
        <v>12837</v>
      </c>
      <c r="D271" t="s">
        <v>1861</v>
      </c>
      <c r="E271" t="s">
        <v>1861</v>
      </c>
      <c r="F271" t="s">
        <v>12838</v>
      </c>
      <c r="G271" t="s">
        <v>12839</v>
      </c>
      <c r="H271" t="s">
        <v>12840</v>
      </c>
      <c r="I271" t="b">
        <v>1</v>
      </c>
    </row>
    <row r="272" spans="1:9">
      <c r="A272" t="s">
        <v>12865</v>
      </c>
      <c r="B272" t="s">
        <v>10</v>
      </c>
      <c r="C272" t="s">
        <v>12866</v>
      </c>
      <c r="D272" t="s">
        <v>1861</v>
      </c>
      <c r="E272" t="s">
        <v>1861</v>
      </c>
      <c r="F272" t="s">
        <v>12867</v>
      </c>
      <c r="G272" t="s">
        <v>12868</v>
      </c>
      <c r="H272" t="s">
        <v>12869</v>
      </c>
      <c r="I272" t="b">
        <v>1</v>
      </c>
    </row>
    <row r="273" spans="1:9">
      <c r="A273" t="s">
        <v>1123</v>
      </c>
      <c r="B273" t="s">
        <v>10</v>
      </c>
      <c r="C273" t="s">
        <v>12871</v>
      </c>
      <c r="D273" t="s">
        <v>1861</v>
      </c>
      <c r="E273" t="s">
        <v>1861</v>
      </c>
      <c r="F273" t="s">
        <v>12872</v>
      </c>
      <c r="G273" t="s">
        <v>28</v>
      </c>
      <c r="H273" t="s">
        <v>12873</v>
      </c>
      <c r="I273" t="b">
        <v>1</v>
      </c>
    </row>
    <row r="274" spans="1:9">
      <c r="A274" t="s">
        <v>12937</v>
      </c>
      <c r="B274" t="s">
        <v>10</v>
      </c>
      <c r="C274" t="s">
        <v>12938</v>
      </c>
      <c r="D274" t="s">
        <v>12935</v>
      </c>
      <c r="E274" t="s">
        <v>1861</v>
      </c>
      <c r="F274" t="s">
        <v>12939</v>
      </c>
      <c r="G274" t="s">
        <v>12940</v>
      </c>
      <c r="H274" t="s">
        <v>12941</v>
      </c>
      <c r="I274" t="b">
        <v>1</v>
      </c>
    </row>
    <row r="275" spans="1:9">
      <c r="A275" t="s">
        <v>12946</v>
      </c>
      <c r="B275" t="s">
        <v>10</v>
      </c>
      <c r="C275" t="s">
        <v>12947</v>
      </c>
      <c r="D275" t="s">
        <v>9293</v>
      </c>
      <c r="E275" t="s">
        <v>1861</v>
      </c>
      <c r="F275" t="s">
        <v>12948</v>
      </c>
      <c r="G275" t="s">
        <v>12949</v>
      </c>
      <c r="H275" t="s">
        <v>12950</v>
      </c>
      <c r="I275" t="b">
        <v>1</v>
      </c>
    </row>
    <row r="276" spans="1:9">
      <c r="A276" t="s">
        <v>13033</v>
      </c>
      <c r="B276" t="s">
        <v>10</v>
      </c>
      <c r="C276" t="s">
        <v>13034</v>
      </c>
      <c r="D276" t="s">
        <v>12935</v>
      </c>
      <c r="E276" t="s">
        <v>1861</v>
      </c>
      <c r="F276" t="s">
        <v>13035</v>
      </c>
      <c r="G276" t="s">
        <v>13036</v>
      </c>
      <c r="H276" t="s">
        <v>13037</v>
      </c>
      <c r="I276" t="b">
        <v>1</v>
      </c>
    </row>
    <row r="277" spans="1:9">
      <c r="A277" t="s">
        <v>13132</v>
      </c>
      <c r="B277" t="s">
        <v>219</v>
      </c>
      <c r="C277" t="s">
        <v>13133</v>
      </c>
      <c r="D277" t="s">
        <v>12935</v>
      </c>
      <c r="E277" t="s">
        <v>1861</v>
      </c>
      <c r="F277" t="s">
        <v>13134</v>
      </c>
      <c r="G277" t="s">
        <v>13135</v>
      </c>
      <c r="H277" t="s">
        <v>13136</v>
      </c>
      <c r="I277" t="b">
        <v>1</v>
      </c>
    </row>
    <row r="278" spans="1:9">
      <c r="A278" t="s">
        <v>13155</v>
      </c>
      <c r="B278" t="s">
        <v>10</v>
      </c>
      <c r="C278" t="s">
        <v>13156</v>
      </c>
      <c r="D278" t="s">
        <v>7768</v>
      </c>
      <c r="E278" t="s">
        <v>7768</v>
      </c>
      <c r="F278" t="s">
        <v>13157</v>
      </c>
      <c r="G278" t="s">
        <v>13158</v>
      </c>
      <c r="H278" t="s">
        <v>13159</v>
      </c>
      <c r="I278" t="b">
        <v>1</v>
      </c>
    </row>
    <row r="279" spans="1:9">
      <c r="A279" t="s">
        <v>13315</v>
      </c>
      <c r="B279" t="s">
        <v>10</v>
      </c>
      <c r="C279" t="s">
        <v>13316</v>
      </c>
      <c r="D279" t="s">
        <v>9303</v>
      </c>
      <c r="E279" t="s">
        <v>9303</v>
      </c>
      <c r="F279" t="s">
        <v>13317</v>
      </c>
      <c r="G279" t="s">
        <v>13318</v>
      </c>
      <c r="H279" t="s">
        <v>13319</v>
      </c>
      <c r="I279" t="b">
        <v>1</v>
      </c>
    </row>
    <row r="280" spans="1:9">
      <c r="A280" t="s">
        <v>13336</v>
      </c>
      <c r="B280" t="s">
        <v>10</v>
      </c>
      <c r="C280" t="s">
        <v>13337</v>
      </c>
      <c r="D280" t="s">
        <v>9303</v>
      </c>
      <c r="E280" t="s">
        <v>9303</v>
      </c>
      <c r="F280" t="s">
        <v>13338</v>
      </c>
      <c r="G280" t="s">
        <v>13339</v>
      </c>
      <c r="H280" t="s">
        <v>13340</v>
      </c>
      <c r="I280" t="b">
        <v>1</v>
      </c>
    </row>
    <row r="281" spans="1:9">
      <c r="A281" t="s">
        <v>13341</v>
      </c>
      <c r="B281" t="s">
        <v>10</v>
      </c>
      <c r="C281" t="s">
        <v>13342</v>
      </c>
      <c r="D281" t="s">
        <v>9303</v>
      </c>
      <c r="E281" t="s">
        <v>9303</v>
      </c>
      <c r="F281" t="s">
        <v>13343</v>
      </c>
      <c r="G281" t="s">
        <v>13344</v>
      </c>
      <c r="H281" t="s">
        <v>13345</v>
      </c>
      <c r="I281" t="b">
        <v>1</v>
      </c>
    </row>
    <row r="282" spans="1:9">
      <c r="A282" t="s">
        <v>13373</v>
      </c>
      <c r="B282" t="s">
        <v>10</v>
      </c>
      <c r="C282" t="s">
        <v>13374</v>
      </c>
      <c r="D282" t="s">
        <v>9303</v>
      </c>
      <c r="E282" t="s">
        <v>9303</v>
      </c>
      <c r="F282" t="s">
        <v>13375</v>
      </c>
      <c r="G282" t="s">
        <v>13376</v>
      </c>
      <c r="H282" t="s">
        <v>13377</v>
      </c>
      <c r="I282" t="b">
        <v>1</v>
      </c>
    </row>
    <row r="283" spans="1:9">
      <c r="A283" t="s">
        <v>13378</v>
      </c>
      <c r="B283" t="s">
        <v>10</v>
      </c>
      <c r="C283" t="s">
        <v>13379</v>
      </c>
      <c r="D283" t="s">
        <v>9303</v>
      </c>
      <c r="E283" t="s">
        <v>9303</v>
      </c>
      <c r="F283" t="s">
        <v>13380</v>
      </c>
      <c r="G283" t="s">
        <v>13381</v>
      </c>
      <c r="H283" t="s">
        <v>13382</v>
      </c>
      <c r="I283" t="b">
        <v>1</v>
      </c>
    </row>
    <row r="284" spans="1:9">
      <c r="A284" t="s">
        <v>13406</v>
      </c>
      <c r="B284" t="s">
        <v>10</v>
      </c>
      <c r="C284" t="s">
        <v>13407</v>
      </c>
      <c r="D284" t="s">
        <v>9303</v>
      </c>
      <c r="E284" t="s">
        <v>9303</v>
      </c>
      <c r="F284" t="s">
        <v>13408</v>
      </c>
      <c r="G284" t="s">
        <v>13409</v>
      </c>
      <c r="H284" t="s">
        <v>13410</v>
      </c>
      <c r="I284" t="b">
        <v>1</v>
      </c>
    </row>
    <row r="285" spans="1:9">
      <c r="A285" t="s">
        <v>13430</v>
      </c>
      <c r="B285" t="s">
        <v>10</v>
      </c>
      <c r="C285" t="s">
        <v>13431</v>
      </c>
      <c r="D285" t="s">
        <v>13432</v>
      </c>
      <c r="E285" t="s">
        <v>9303</v>
      </c>
      <c r="F285" t="s">
        <v>13433</v>
      </c>
      <c r="G285" t="s">
        <v>13434</v>
      </c>
      <c r="H285" t="s">
        <v>13435</v>
      </c>
      <c r="I285" t="b">
        <v>1</v>
      </c>
    </row>
    <row r="286" spans="1:9">
      <c r="A286" t="s">
        <v>13563</v>
      </c>
      <c r="B286" t="s">
        <v>10</v>
      </c>
      <c r="C286" t="s">
        <v>13564</v>
      </c>
      <c r="D286" t="s">
        <v>13546</v>
      </c>
      <c r="E286" t="s">
        <v>9303</v>
      </c>
      <c r="F286" t="s">
        <v>13565</v>
      </c>
      <c r="G286" t="s">
        <v>13566</v>
      </c>
      <c r="H286" t="s">
        <v>13567</v>
      </c>
      <c r="I286" t="b">
        <v>1</v>
      </c>
    </row>
    <row r="287" spans="1:9">
      <c r="A287" t="s">
        <v>13572</v>
      </c>
      <c r="B287" t="s">
        <v>10</v>
      </c>
      <c r="C287" t="s">
        <v>13573</v>
      </c>
      <c r="D287" t="s">
        <v>13509</v>
      </c>
      <c r="E287" t="s">
        <v>9303</v>
      </c>
      <c r="F287" t="s">
        <v>13574</v>
      </c>
      <c r="G287" t="s">
        <v>13575</v>
      </c>
      <c r="H287" t="s">
        <v>13576</v>
      </c>
      <c r="I287" t="b">
        <v>1</v>
      </c>
    </row>
    <row r="288" spans="1:9">
      <c r="A288" t="s">
        <v>13620</v>
      </c>
      <c r="B288" t="s">
        <v>10</v>
      </c>
      <c r="C288" t="s">
        <v>13621</v>
      </c>
      <c r="D288" t="s">
        <v>13616</v>
      </c>
      <c r="E288" t="s">
        <v>13587</v>
      </c>
      <c r="F288" t="s">
        <v>13622</v>
      </c>
      <c r="G288" t="s">
        <v>13623</v>
      </c>
      <c r="H288" t="s">
        <v>13624</v>
      </c>
      <c r="I288" t="b">
        <v>1</v>
      </c>
    </row>
    <row r="289" spans="1:9">
      <c r="A289" t="s">
        <v>13656</v>
      </c>
      <c r="B289" t="s">
        <v>10</v>
      </c>
      <c r="C289" t="s">
        <v>13657</v>
      </c>
      <c r="D289" t="s">
        <v>13616</v>
      </c>
      <c r="E289" t="s">
        <v>13607</v>
      </c>
      <c r="F289" t="s">
        <v>13658</v>
      </c>
      <c r="G289" t="s">
        <v>13659</v>
      </c>
      <c r="H289" t="s">
        <v>13660</v>
      </c>
      <c r="I289" t="b">
        <v>1</v>
      </c>
    </row>
    <row r="290" spans="1:9">
      <c r="A290" t="s">
        <v>13680</v>
      </c>
      <c r="B290" t="s">
        <v>10</v>
      </c>
      <c r="C290" t="s">
        <v>13681</v>
      </c>
      <c r="D290" t="s">
        <v>9272</v>
      </c>
      <c r="E290" t="s">
        <v>9273</v>
      </c>
      <c r="F290" t="s">
        <v>13682</v>
      </c>
      <c r="G290" t="s">
        <v>13683</v>
      </c>
      <c r="H290" t="s">
        <v>13684</v>
      </c>
      <c r="I290" t="b">
        <v>1</v>
      </c>
    </row>
    <row r="291" spans="1:9">
      <c r="A291" t="s">
        <v>13798</v>
      </c>
      <c r="B291" t="s">
        <v>10</v>
      </c>
      <c r="C291" t="s">
        <v>13799</v>
      </c>
      <c r="D291" t="s">
        <v>9299</v>
      </c>
      <c r="E291" t="s">
        <v>9299</v>
      </c>
      <c r="F291" t="s">
        <v>13800</v>
      </c>
      <c r="G291" t="s">
        <v>13801</v>
      </c>
      <c r="H291" t="s">
        <v>13802</v>
      </c>
      <c r="I291" t="b">
        <v>1</v>
      </c>
    </row>
    <row r="292" spans="1:9">
      <c r="A292" t="s">
        <v>13845</v>
      </c>
      <c r="B292" t="s">
        <v>10</v>
      </c>
      <c r="C292" t="s">
        <v>13846</v>
      </c>
      <c r="D292" t="s">
        <v>9299</v>
      </c>
      <c r="E292" t="s">
        <v>9299</v>
      </c>
      <c r="F292" t="s">
        <v>13847</v>
      </c>
      <c r="G292" t="s">
        <v>13848</v>
      </c>
      <c r="H292" t="s">
        <v>13849</v>
      </c>
      <c r="I292" t="b">
        <v>1</v>
      </c>
    </row>
    <row r="293" spans="1:9">
      <c r="A293" t="s">
        <v>13906</v>
      </c>
      <c r="B293" t="s">
        <v>10</v>
      </c>
      <c r="C293" t="s">
        <v>13907</v>
      </c>
      <c r="D293" t="s">
        <v>13908</v>
      </c>
      <c r="E293" t="s">
        <v>9289</v>
      </c>
      <c r="F293" t="s">
        <v>13909</v>
      </c>
      <c r="G293" t="s">
        <v>13910</v>
      </c>
      <c r="H293" t="s">
        <v>13911</v>
      </c>
      <c r="I293" t="b">
        <v>1</v>
      </c>
    </row>
    <row r="294" spans="1:9">
      <c r="A294" t="s">
        <v>13915</v>
      </c>
      <c r="B294" t="s">
        <v>10</v>
      </c>
      <c r="C294" t="s">
        <v>13916</v>
      </c>
      <c r="D294" t="s">
        <v>3563</v>
      </c>
      <c r="E294" t="s">
        <v>3564</v>
      </c>
      <c r="F294" t="s">
        <v>13917</v>
      </c>
      <c r="G294" t="s">
        <v>13918</v>
      </c>
      <c r="H294" t="s">
        <v>13919</v>
      </c>
      <c r="I294" t="b">
        <v>1</v>
      </c>
    </row>
    <row r="295" spans="1:9">
      <c r="A295" t="s">
        <v>14036</v>
      </c>
      <c r="B295" t="s">
        <v>10</v>
      </c>
      <c r="C295" t="s">
        <v>14037</v>
      </c>
      <c r="D295" t="s">
        <v>14009</v>
      </c>
      <c r="E295" t="s">
        <v>3564</v>
      </c>
      <c r="F295" t="s">
        <v>14038</v>
      </c>
      <c r="G295" t="s">
        <v>14039</v>
      </c>
      <c r="H295" t="s">
        <v>14040</v>
      </c>
      <c r="I295" t="b">
        <v>1</v>
      </c>
    </row>
    <row r="296" spans="1:9">
      <c r="A296" t="s">
        <v>14049</v>
      </c>
      <c r="B296" t="s">
        <v>10</v>
      </c>
      <c r="C296" t="s">
        <v>14050</v>
      </c>
      <c r="D296" t="s">
        <v>3563</v>
      </c>
      <c r="E296" t="s">
        <v>3564</v>
      </c>
      <c r="F296" t="s">
        <v>14051</v>
      </c>
      <c r="G296" t="s">
        <v>14052</v>
      </c>
      <c r="H296" t="s">
        <v>14053</v>
      </c>
      <c r="I296" t="b">
        <v>1</v>
      </c>
    </row>
    <row r="297" spans="1:9">
      <c r="A297" t="s">
        <v>14120</v>
      </c>
      <c r="B297" t="s">
        <v>10</v>
      </c>
      <c r="C297" t="s">
        <v>14121</v>
      </c>
      <c r="D297" t="s">
        <v>1868</v>
      </c>
      <c r="E297" t="s">
        <v>1868</v>
      </c>
      <c r="F297" t="s">
        <v>14122</v>
      </c>
      <c r="G297" t="s">
        <v>14123</v>
      </c>
      <c r="H297" t="s">
        <v>14124</v>
      </c>
      <c r="I297" t="b">
        <v>1</v>
      </c>
    </row>
    <row r="298" spans="1:9">
      <c r="A298" t="s">
        <v>14147</v>
      </c>
      <c r="B298" t="s">
        <v>10</v>
      </c>
      <c r="C298" t="s">
        <v>14148</v>
      </c>
      <c r="D298" t="s">
        <v>1868</v>
      </c>
      <c r="E298" t="s">
        <v>1868</v>
      </c>
      <c r="F298" t="s">
        <v>14149</v>
      </c>
      <c r="G298" t="s">
        <v>14150</v>
      </c>
      <c r="H298" t="s">
        <v>14151</v>
      </c>
      <c r="I298" t="b">
        <v>1</v>
      </c>
    </row>
    <row r="299" spans="1:9">
      <c r="A299" t="s">
        <v>14166</v>
      </c>
      <c r="B299" t="s">
        <v>10</v>
      </c>
      <c r="C299" t="s">
        <v>14167</v>
      </c>
      <c r="D299" t="s">
        <v>1868</v>
      </c>
      <c r="E299" t="s">
        <v>1868</v>
      </c>
      <c r="F299" t="s">
        <v>14168</v>
      </c>
      <c r="G299" t="s">
        <v>14169</v>
      </c>
      <c r="H299" t="s">
        <v>14170</v>
      </c>
      <c r="I299" t="b">
        <v>1</v>
      </c>
    </row>
    <row r="300" spans="1:9">
      <c r="A300" t="s">
        <v>14173</v>
      </c>
      <c r="B300" t="s">
        <v>10</v>
      </c>
      <c r="C300" t="s">
        <v>14174</v>
      </c>
      <c r="D300" t="s">
        <v>8024</v>
      </c>
      <c r="E300" t="s">
        <v>1868</v>
      </c>
      <c r="F300" t="s">
        <v>14175</v>
      </c>
      <c r="G300" t="s">
        <v>14176</v>
      </c>
      <c r="H300" t="s">
        <v>14177</v>
      </c>
      <c r="I300" t="b">
        <v>1</v>
      </c>
    </row>
    <row r="301" spans="1:9">
      <c r="A301" t="s">
        <v>14201</v>
      </c>
      <c r="B301" t="s">
        <v>10</v>
      </c>
      <c r="C301" t="s">
        <v>14202</v>
      </c>
      <c r="D301" t="s">
        <v>1868</v>
      </c>
      <c r="E301" t="s">
        <v>1868</v>
      </c>
      <c r="F301" t="s">
        <v>14203</v>
      </c>
      <c r="G301" t="s">
        <v>14204</v>
      </c>
      <c r="H301" t="s">
        <v>14205</v>
      </c>
      <c r="I301" t="b">
        <v>1</v>
      </c>
    </row>
    <row r="302" spans="1:9">
      <c r="A302" t="s">
        <v>14206</v>
      </c>
      <c r="B302" t="s">
        <v>10</v>
      </c>
      <c r="C302" t="s">
        <v>14207</v>
      </c>
      <c r="D302" t="s">
        <v>1868</v>
      </c>
      <c r="E302" t="s">
        <v>1868</v>
      </c>
      <c r="F302" t="s">
        <v>14208</v>
      </c>
      <c r="G302" t="s">
        <v>14209</v>
      </c>
      <c r="H302" t="s">
        <v>14210</v>
      </c>
      <c r="I302" t="b">
        <v>1</v>
      </c>
    </row>
    <row r="303" spans="1:9">
      <c r="A303" t="s">
        <v>14214</v>
      </c>
      <c r="B303" t="s">
        <v>10</v>
      </c>
      <c r="C303" t="s">
        <v>14215</v>
      </c>
      <c r="D303" t="s">
        <v>1868</v>
      </c>
      <c r="E303" t="s">
        <v>1868</v>
      </c>
      <c r="F303" t="s">
        <v>14216</v>
      </c>
      <c r="G303" t="s">
        <v>14217</v>
      </c>
      <c r="H303" t="s">
        <v>14218</v>
      </c>
      <c r="I303" t="b">
        <v>1</v>
      </c>
    </row>
    <row r="304" spans="1:9">
      <c r="A304" t="s">
        <v>14224</v>
      </c>
      <c r="B304" t="s">
        <v>10</v>
      </c>
      <c r="C304" t="s">
        <v>14225</v>
      </c>
      <c r="D304" t="s">
        <v>1868</v>
      </c>
      <c r="E304" t="s">
        <v>1868</v>
      </c>
      <c r="F304" t="s">
        <v>14226</v>
      </c>
      <c r="G304" t="s">
        <v>14227</v>
      </c>
      <c r="H304" t="s">
        <v>14228</v>
      </c>
      <c r="I304" t="b">
        <v>1</v>
      </c>
    </row>
    <row r="305" spans="1:9">
      <c r="A305" t="s">
        <v>1587</v>
      </c>
      <c r="B305" t="s">
        <v>10</v>
      </c>
      <c r="C305" t="s">
        <v>14328</v>
      </c>
      <c r="D305" t="s">
        <v>1868</v>
      </c>
      <c r="E305" t="s">
        <v>1868</v>
      </c>
      <c r="F305" t="s">
        <v>14329</v>
      </c>
      <c r="G305" t="s">
        <v>14330</v>
      </c>
      <c r="H305" t="s">
        <v>14331</v>
      </c>
      <c r="I305" t="b">
        <v>1</v>
      </c>
    </row>
    <row r="306" spans="1:9">
      <c r="A306" t="s">
        <v>14340</v>
      </c>
      <c r="B306" t="s">
        <v>10</v>
      </c>
      <c r="C306" t="s">
        <v>14341</v>
      </c>
      <c r="D306" t="s">
        <v>1868</v>
      </c>
      <c r="E306" t="s">
        <v>1868</v>
      </c>
      <c r="F306" t="s">
        <v>14342</v>
      </c>
      <c r="G306" t="s">
        <v>14343</v>
      </c>
      <c r="H306" t="s">
        <v>14344</v>
      </c>
      <c r="I306" t="b">
        <v>1</v>
      </c>
    </row>
    <row r="307" spans="1:9">
      <c r="A307" t="s">
        <v>14371</v>
      </c>
      <c r="B307" t="s">
        <v>10</v>
      </c>
      <c r="C307" t="s">
        <v>14372</v>
      </c>
      <c r="D307" t="s">
        <v>1868</v>
      </c>
      <c r="E307" t="s">
        <v>1868</v>
      </c>
      <c r="F307" t="s">
        <v>14373</v>
      </c>
      <c r="G307" t="s">
        <v>14374</v>
      </c>
      <c r="H307" t="s">
        <v>14375</v>
      </c>
      <c r="I307" t="b">
        <v>1</v>
      </c>
    </row>
    <row r="308" spans="1:9">
      <c r="A308" t="s">
        <v>14376</v>
      </c>
      <c r="B308" t="s">
        <v>10</v>
      </c>
      <c r="C308" t="s">
        <v>14377</v>
      </c>
      <c r="D308" t="s">
        <v>1868</v>
      </c>
      <c r="E308" t="s">
        <v>1868</v>
      </c>
      <c r="F308" t="s">
        <v>14378</v>
      </c>
      <c r="G308" t="s">
        <v>14379</v>
      </c>
      <c r="H308" t="s">
        <v>14380</v>
      </c>
      <c r="I308" t="b">
        <v>1</v>
      </c>
    </row>
    <row r="309" spans="1:9">
      <c r="A309" t="s">
        <v>14408</v>
      </c>
      <c r="B309" t="s">
        <v>10</v>
      </c>
      <c r="C309" t="s">
        <v>14409</v>
      </c>
      <c r="D309" t="s">
        <v>1868</v>
      </c>
      <c r="E309" t="s">
        <v>1868</v>
      </c>
      <c r="F309" t="s">
        <v>14410</v>
      </c>
      <c r="G309" t="s">
        <v>14411</v>
      </c>
      <c r="H309" t="s">
        <v>14412</v>
      </c>
      <c r="I309" t="b">
        <v>1</v>
      </c>
    </row>
    <row r="310" spans="1:9">
      <c r="A310" t="s">
        <v>14477</v>
      </c>
      <c r="B310" t="s">
        <v>10</v>
      </c>
      <c r="C310" t="s">
        <v>14478</v>
      </c>
      <c r="D310" t="s">
        <v>8876</v>
      </c>
      <c r="E310" t="s">
        <v>1868</v>
      </c>
      <c r="F310" t="s">
        <v>14479</v>
      </c>
      <c r="G310" t="s">
        <v>14480</v>
      </c>
      <c r="H310" t="s">
        <v>14481</v>
      </c>
      <c r="I310" t="b">
        <v>1</v>
      </c>
    </row>
    <row r="311" spans="1:9">
      <c r="A311" t="s">
        <v>14490</v>
      </c>
      <c r="B311" t="s">
        <v>10</v>
      </c>
      <c r="C311" t="s">
        <v>14491</v>
      </c>
      <c r="D311" t="s">
        <v>1868</v>
      </c>
      <c r="E311" t="s">
        <v>1868</v>
      </c>
      <c r="F311" t="s">
        <v>14492</v>
      </c>
      <c r="G311" t="s">
        <v>14493</v>
      </c>
      <c r="H311" t="s">
        <v>14494</v>
      </c>
      <c r="I311" t="b">
        <v>1</v>
      </c>
    </row>
    <row r="312" spans="1:9">
      <c r="A312" t="s">
        <v>14495</v>
      </c>
      <c r="B312" t="s">
        <v>10</v>
      </c>
      <c r="C312" t="s">
        <v>14496</v>
      </c>
      <c r="D312" t="s">
        <v>1868</v>
      </c>
      <c r="E312" t="s">
        <v>1868</v>
      </c>
      <c r="F312" t="s">
        <v>14497</v>
      </c>
      <c r="G312" t="s">
        <v>14498</v>
      </c>
      <c r="H312" t="s">
        <v>14499</v>
      </c>
      <c r="I312" t="b">
        <v>1</v>
      </c>
    </row>
    <row r="313" spans="1:9">
      <c r="A313" t="s">
        <v>14524</v>
      </c>
      <c r="B313" t="s">
        <v>10</v>
      </c>
      <c r="C313" t="s">
        <v>14525</v>
      </c>
      <c r="D313" t="s">
        <v>1868</v>
      </c>
      <c r="E313" t="s">
        <v>1868</v>
      </c>
      <c r="F313" t="s">
        <v>14526</v>
      </c>
      <c r="G313" t="s">
        <v>14527</v>
      </c>
      <c r="H313" t="s">
        <v>14528</v>
      </c>
      <c r="I313" t="b">
        <v>1</v>
      </c>
    </row>
    <row r="314" spans="1:9">
      <c r="A314" t="s">
        <v>14574</v>
      </c>
      <c r="B314" t="s">
        <v>10</v>
      </c>
      <c r="C314" t="s">
        <v>14575</v>
      </c>
      <c r="D314" t="s">
        <v>14247</v>
      </c>
      <c r="E314" t="s">
        <v>1868</v>
      </c>
      <c r="F314" t="s">
        <v>14576</v>
      </c>
      <c r="G314" t="s">
        <v>14577</v>
      </c>
      <c r="H314" t="s">
        <v>14578</v>
      </c>
      <c r="I314" t="b">
        <v>1</v>
      </c>
    </row>
    <row r="315" spans="1:9">
      <c r="A315" t="s">
        <v>14676</v>
      </c>
      <c r="B315" t="s">
        <v>10</v>
      </c>
      <c r="C315" t="s">
        <v>14677</v>
      </c>
      <c r="D315" t="s">
        <v>1868</v>
      </c>
      <c r="E315" t="s">
        <v>1868</v>
      </c>
      <c r="F315" t="s">
        <v>14678</v>
      </c>
      <c r="G315" t="s">
        <v>14679</v>
      </c>
      <c r="H315" t="s">
        <v>14680</v>
      </c>
      <c r="I315" t="b">
        <v>1</v>
      </c>
    </row>
    <row r="316" spans="1:9">
      <c r="A316" t="s">
        <v>14693</v>
      </c>
      <c r="B316" t="s">
        <v>10</v>
      </c>
      <c r="C316" t="s">
        <v>14694</v>
      </c>
      <c r="D316" t="s">
        <v>1868</v>
      </c>
      <c r="E316" t="s">
        <v>1868</v>
      </c>
      <c r="F316" t="s">
        <v>14695</v>
      </c>
      <c r="G316" t="s">
        <v>14696</v>
      </c>
      <c r="H316" t="s">
        <v>14697</v>
      </c>
      <c r="I316" t="b">
        <v>1</v>
      </c>
    </row>
    <row r="317" spans="1:9">
      <c r="A317" t="s">
        <v>14704</v>
      </c>
      <c r="B317" t="s">
        <v>10</v>
      </c>
      <c r="C317" t="s">
        <v>14705</v>
      </c>
      <c r="D317" t="s">
        <v>1868</v>
      </c>
      <c r="E317" t="s">
        <v>1868</v>
      </c>
      <c r="F317" t="s">
        <v>14706</v>
      </c>
      <c r="G317" t="s">
        <v>14707</v>
      </c>
      <c r="H317" t="s">
        <v>14708</v>
      </c>
      <c r="I317" t="b">
        <v>1</v>
      </c>
    </row>
    <row r="318" spans="1:9">
      <c r="A318" t="s">
        <v>14709</v>
      </c>
      <c r="B318" t="s">
        <v>10</v>
      </c>
      <c r="C318" t="s">
        <v>14710</v>
      </c>
      <c r="D318" t="s">
        <v>1868</v>
      </c>
      <c r="E318" t="s">
        <v>1868</v>
      </c>
      <c r="F318" t="s">
        <v>14711</v>
      </c>
      <c r="G318" t="s">
        <v>14712</v>
      </c>
      <c r="H318" t="s">
        <v>14713</v>
      </c>
      <c r="I318" t="b">
        <v>1</v>
      </c>
    </row>
    <row r="319" spans="1:9">
      <c r="A319" t="s">
        <v>14740</v>
      </c>
      <c r="B319" t="s">
        <v>10</v>
      </c>
      <c r="C319" t="s">
        <v>14741</v>
      </c>
      <c r="D319" t="s">
        <v>1868</v>
      </c>
      <c r="E319" t="s">
        <v>1868</v>
      </c>
      <c r="F319" t="s">
        <v>14742</v>
      </c>
      <c r="G319" t="s">
        <v>14743</v>
      </c>
      <c r="H319" t="s">
        <v>14744</v>
      </c>
      <c r="I319" t="b">
        <v>1</v>
      </c>
    </row>
    <row r="320" spans="1:9">
      <c r="A320" t="s">
        <v>14830</v>
      </c>
      <c r="B320" t="s">
        <v>10</v>
      </c>
      <c r="C320" t="s">
        <v>14831</v>
      </c>
      <c r="D320" t="s">
        <v>7995</v>
      </c>
      <c r="E320" t="s">
        <v>1868</v>
      </c>
      <c r="F320" t="s">
        <v>14832</v>
      </c>
      <c r="G320" t="s">
        <v>14833</v>
      </c>
      <c r="H320" t="s">
        <v>14834</v>
      </c>
      <c r="I320" t="b">
        <v>1</v>
      </c>
    </row>
    <row r="321" spans="1:9">
      <c r="A321" t="s">
        <v>14840</v>
      </c>
      <c r="B321" t="s">
        <v>10</v>
      </c>
      <c r="C321" t="s">
        <v>14841</v>
      </c>
      <c r="D321" t="s">
        <v>14800</v>
      </c>
      <c r="E321" t="s">
        <v>1868</v>
      </c>
      <c r="F321" t="s">
        <v>14842</v>
      </c>
      <c r="G321" t="s">
        <v>14843</v>
      </c>
      <c r="H321" t="s">
        <v>14844</v>
      </c>
      <c r="I321" t="b">
        <v>1</v>
      </c>
    </row>
    <row r="322" spans="1:9">
      <c r="A322" t="s">
        <v>14858</v>
      </c>
      <c r="B322" t="s">
        <v>10</v>
      </c>
      <c r="C322" t="s">
        <v>14859</v>
      </c>
      <c r="D322" t="s">
        <v>8024</v>
      </c>
      <c r="E322" t="s">
        <v>1868</v>
      </c>
      <c r="F322" t="s">
        <v>14860</v>
      </c>
      <c r="G322" t="s">
        <v>14861</v>
      </c>
      <c r="H322" t="s">
        <v>14862</v>
      </c>
      <c r="I322" t="b">
        <v>1</v>
      </c>
    </row>
    <row r="323" spans="1:9">
      <c r="A323" t="s">
        <v>14863</v>
      </c>
      <c r="B323" t="s">
        <v>10</v>
      </c>
      <c r="C323" t="s">
        <v>14864</v>
      </c>
      <c r="D323" t="s">
        <v>14837</v>
      </c>
      <c r="E323" t="s">
        <v>1868</v>
      </c>
      <c r="F323" t="s">
        <v>14865</v>
      </c>
      <c r="G323" t="s">
        <v>14866</v>
      </c>
      <c r="H323" t="s">
        <v>14867</v>
      </c>
      <c r="I323" t="b">
        <v>1</v>
      </c>
    </row>
    <row r="324" spans="1:9">
      <c r="A324" t="s">
        <v>800</v>
      </c>
      <c r="B324" t="s">
        <v>10</v>
      </c>
      <c r="C324" t="s">
        <v>14958</v>
      </c>
      <c r="D324" t="s">
        <v>14959</v>
      </c>
      <c r="E324" t="s">
        <v>14959</v>
      </c>
      <c r="F324" t="s">
        <v>14960</v>
      </c>
      <c r="G324" t="s">
        <v>14961</v>
      </c>
      <c r="H324" t="s">
        <v>14962</v>
      </c>
      <c r="I324" t="b">
        <v>1</v>
      </c>
    </row>
    <row r="325" spans="1:9">
      <c r="A325" t="s">
        <v>15019</v>
      </c>
      <c r="B325" t="s">
        <v>10</v>
      </c>
      <c r="C325" t="s">
        <v>15020</v>
      </c>
      <c r="D325" t="s">
        <v>6798</v>
      </c>
      <c r="E325" t="s">
        <v>6798</v>
      </c>
      <c r="F325" t="s">
        <v>15021</v>
      </c>
      <c r="G325" t="s">
        <v>15022</v>
      </c>
      <c r="H325" t="s">
        <v>15023</v>
      </c>
      <c r="I325" t="b">
        <v>1</v>
      </c>
    </row>
    <row r="326" spans="1:9">
      <c r="A326" t="s">
        <v>15094</v>
      </c>
      <c r="B326" t="s">
        <v>10</v>
      </c>
      <c r="C326" t="s">
        <v>15095</v>
      </c>
      <c r="D326" t="s">
        <v>6798</v>
      </c>
      <c r="E326" t="s">
        <v>6798</v>
      </c>
      <c r="F326" t="s">
        <v>15096</v>
      </c>
      <c r="G326" t="s">
        <v>15097</v>
      </c>
      <c r="H326" t="s">
        <v>15098</v>
      </c>
      <c r="I326" t="b">
        <v>1</v>
      </c>
    </row>
    <row r="327" spans="1:9">
      <c r="A327" t="s">
        <v>15146</v>
      </c>
      <c r="B327" t="s">
        <v>10</v>
      </c>
      <c r="C327" t="s">
        <v>15147</v>
      </c>
      <c r="D327" t="s">
        <v>6798</v>
      </c>
      <c r="E327" t="s">
        <v>6798</v>
      </c>
      <c r="F327" t="s">
        <v>15148</v>
      </c>
      <c r="G327" t="s">
        <v>15149</v>
      </c>
      <c r="H327" t="s">
        <v>15150</v>
      </c>
      <c r="I327" t="b">
        <v>1</v>
      </c>
    </row>
    <row r="328" spans="1:9">
      <c r="A328" t="s">
        <v>15388</v>
      </c>
      <c r="B328" t="s">
        <v>10</v>
      </c>
      <c r="C328" t="s">
        <v>15389</v>
      </c>
      <c r="D328" t="s">
        <v>15330</v>
      </c>
      <c r="E328" t="s">
        <v>6798</v>
      </c>
      <c r="F328" t="s">
        <v>15390</v>
      </c>
      <c r="G328" t="s">
        <v>15391</v>
      </c>
      <c r="H328" t="s">
        <v>15392</v>
      </c>
      <c r="I328" t="b">
        <v>1</v>
      </c>
    </row>
    <row r="329" spans="1:9">
      <c r="A329" t="s">
        <v>15448</v>
      </c>
      <c r="B329" t="s">
        <v>10</v>
      </c>
      <c r="C329" t="s">
        <v>15449</v>
      </c>
      <c r="D329" t="s">
        <v>15450</v>
      </c>
      <c r="E329" t="s">
        <v>6798</v>
      </c>
      <c r="F329" t="s">
        <v>15451</v>
      </c>
      <c r="G329" t="s">
        <v>15452</v>
      </c>
      <c r="H329" t="s">
        <v>15453</v>
      </c>
      <c r="I329" t="b">
        <v>1</v>
      </c>
    </row>
    <row r="330" spans="1:9">
      <c r="A330" t="s">
        <v>15468</v>
      </c>
      <c r="B330" t="s">
        <v>10</v>
      </c>
      <c r="C330" t="s">
        <v>15469</v>
      </c>
      <c r="D330" t="s">
        <v>15465</v>
      </c>
      <c r="E330" t="s">
        <v>3544</v>
      </c>
      <c r="F330" t="s">
        <v>15470</v>
      </c>
      <c r="G330" t="s">
        <v>15471</v>
      </c>
      <c r="H330" t="s">
        <v>15472</v>
      </c>
      <c r="I330" t="b">
        <v>1</v>
      </c>
    </row>
    <row r="331" spans="1:9">
      <c r="A331" t="s">
        <v>15484</v>
      </c>
      <c r="B331" t="s">
        <v>10</v>
      </c>
      <c r="C331" t="s">
        <v>15485</v>
      </c>
      <c r="D331" t="s">
        <v>15465</v>
      </c>
      <c r="E331" t="s">
        <v>3544</v>
      </c>
      <c r="F331" t="s">
        <v>15486</v>
      </c>
      <c r="G331" t="s">
        <v>15487</v>
      </c>
      <c r="H331" t="s">
        <v>15488</v>
      </c>
      <c r="I331" t="b">
        <v>1</v>
      </c>
    </row>
    <row r="332" spans="1:9">
      <c r="A332" t="s">
        <v>1306</v>
      </c>
      <c r="B332" t="s">
        <v>10</v>
      </c>
      <c r="C332" t="s">
        <v>15522</v>
      </c>
      <c r="D332" t="s">
        <v>15510</v>
      </c>
      <c r="E332" t="s">
        <v>3544</v>
      </c>
      <c r="F332" t="s">
        <v>15523</v>
      </c>
      <c r="G332" t="s">
        <v>15524</v>
      </c>
      <c r="H332" t="s">
        <v>15525</v>
      </c>
      <c r="I332" t="b">
        <v>1</v>
      </c>
    </row>
    <row r="333" spans="1:9">
      <c r="A333" t="s">
        <v>15526</v>
      </c>
      <c r="B333" t="s">
        <v>10</v>
      </c>
      <c r="C333" t="s">
        <v>15527</v>
      </c>
      <c r="D333" t="s">
        <v>15528</v>
      </c>
      <c r="E333" t="s">
        <v>3544</v>
      </c>
      <c r="F333" t="s">
        <v>15529</v>
      </c>
      <c r="G333" t="s">
        <v>15530</v>
      </c>
      <c r="H333" t="s">
        <v>15531</v>
      </c>
      <c r="I333" t="b">
        <v>1</v>
      </c>
    </row>
    <row r="334" spans="1:9">
      <c r="A334" t="s">
        <v>15572</v>
      </c>
      <c r="B334" t="s">
        <v>10</v>
      </c>
      <c r="C334" t="s">
        <v>15606</v>
      </c>
      <c r="D334" t="s">
        <v>15607</v>
      </c>
      <c r="E334" t="s">
        <v>3544</v>
      </c>
      <c r="F334" t="s">
        <v>15608</v>
      </c>
      <c r="G334" t="s">
        <v>15609</v>
      </c>
      <c r="H334" t="s">
        <v>15610</v>
      </c>
      <c r="I334" t="b">
        <v>1</v>
      </c>
    </row>
    <row r="335" spans="1:9">
      <c r="A335" t="s">
        <v>15634</v>
      </c>
      <c r="B335" t="s">
        <v>10</v>
      </c>
      <c r="C335" t="s">
        <v>15635</v>
      </c>
      <c r="D335" t="s">
        <v>15636</v>
      </c>
      <c r="E335" t="s">
        <v>3544</v>
      </c>
      <c r="F335" t="s">
        <v>15637</v>
      </c>
      <c r="G335" t="s">
        <v>15638</v>
      </c>
      <c r="H335" t="s">
        <v>15639</v>
      </c>
      <c r="I335" t="b">
        <v>1</v>
      </c>
    </row>
    <row r="336" spans="1:9">
      <c r="A336" t="s">
        <v>5112</v>
      </c>
      <c r="B336" t="s">
        <v>10</v>
      </c>
      <c r="C336" t="s">
        <v>15660</v>
      </c>
      <c r="D336" t="s">
        <v>15661</v>
      </c>
      <c r="E336" t="s">
        <v>3544</v>
      </c>
      <c r="F336" t="s">
        <v>15662</v>
      </c>
      <c r="G336" t="s">
        <v>15663</v>
      </c>
      <c r="H336" t="s">
        <v>15664</v>
      </c>
      <c r="I336" t="b">
        <v>1</v>
      </c>
    </row>
    <row r="337" spans="1:9">
      <c r="A337" t="s">
        <v>15692</v>
      </c>
      <c r="B337" t="s">
        <v>10</v>
      </c>
      <c r="C337" t="s">
        <v>15693</v>
      </c>
      <c r="D337" t="s">
        <v>15559</v>
      </c>
      <c r="E337" t="s">
        <v>3544</v>
      </c>
      <c r="F337" t="s">
        <v>15694</v>
      </c>
      <c r="G337" t="s">
        <v>15695</v>
      </c>
      <c r="H337" t="s">
        <v>15696</v>
      </c>
      <c r="I337" t="b">
        <v>1</v>
      </c>
    </row>
    <row r="338" spans="1:9">
      <c r="A338" t="s">
        <v>15783</v>
      </c>
      <c r="B338" t="s">
        <v>6504</v>
      </c>
      <c r="C338" t="s">
        <v>15784</v>
      </c>
      <c r="D338" t="s">
        <v>15465</v>
      </c>
      <c r="E338" t="s">
        <v>3544</v>
      </c>
      <c r="F338" t="s">
        <v>15785</v>
      </c>
      <c r="G338" t="s">
        <v>15786</v>
      </c>
      <c r="H338" t="s">
        <v>15787</v>
      </c>
      <c r="I338" t="b">
        <v>1</v>
      </c>
    </row>
    <row r="339" spans="1:9">
      <c r="A339" t="s">
        <v>15807</v>
      </c>
      <c r="B339" t="s">
        <v>10</v>
      </c>
      <c r="C339" t="s">
        <v>15808</v>
      </c>
      <c r="D339" t="s">
        <v>15790</v>
      </c>
      <c r="E339" t="s">
        <v>6489</v>
      </c>
      <c r="F339" t="s">
        <v>15809</v>
      </c>
      <c r="G339" t="s">
        <v>15810</v>
      </c>
      <c r="H339" t="s">
        <v>15811</v>
      </c>
      <c r="I339" t="b">
        <v>1</v>
      </c>
    </row>
    <row r="340" spans="1:9">
      <c r="A340" t="s">
        <v>15812</v>
      </c>
      <c r="B340" t="s">
        <v>10</v>
      </c>
      <c r="C340" t="s">
        <v>15813</v>
      </c>
      <c r="D340" t="s">
        <v>15814</v>
      </c>
      <c r="E340" t="s">
        <v>6489</v>
      </c>
      <c r="F340" t="s">
        <v>15815</v>
      </c>
      <c r="G340" t="s">
        <v>15816</v>
      </c>
      <c r="H340" t="s">
        <v>15817</v>
      </c>
      <c r="I340" t="b">
        <v>1</v>
      </c>
    </row>
    <row r="341" spans="1:9">
      <c r="A341" t="s">
        <v>15848</v>
      </c>
      <c r="B341" t="s">
        <v>10</v>
      </c>
      <c r="C341" t="s">
        <v>15849</v>
      </c>
      <c r="D341" t="s">
        <v>15790</v>
      </c>
      <c r="E341" t="s">
        <v>6489</v>
      </c>
      <c r="F341" t="s">
        <v>15850</v>
      </c>
      <c r="G341" t="s">
        <v>15851</v>
      </c>
      <c r="H341" t="s">
        <v>15852</v>
      </c>
      <c r="I341" t="b">
        <v>1</v>
      </c>
    </row>
    <row r="342" spans="1:9">
      <c r="A342" t="s">
        <v>15896</v>
      </c>
      <c r="B342" t="s">
        <v>10</v>
      </c>
      <c r="C342" t="s">
        <v>15897</v>
      </c>
      <c r="D342" t="s">
        <v>15790</v>
      </c>
      <c r="E342" t="s">
        <v>6489</v>
      </c>
      <c r="F342" t="s">
        <v>15898</v>
      </c>
      <c r="G342" t="s">
        <v>15899</v>
      </c>
      <c r="H342" t="s">
        <v>15900</v>
      </c>
      <c r="I342" t="b">
        <v>1</v>
      </c>
    </row>
    <row r="343" spans="1:9">
      <c r="A343" t="s">
        <v>12809</v>
      </c>
      <c r="B343" t="s">
        <v>10</v>
      </c>
      <c r="C343" t="s">
        <v>15921</v>
      </c>
      <c r="D343" t="s">
        <v>15790</v>
      </c>
      <c r="E343" t="s">
        <v>6489</v>
      </c>
      <c r="F343" t="s">
        <v>15922</v>
      </c>
      <c r="G343" t="s">
        <v>15923</v>
      </c>
      <c r="H343" t="s">
        <v>15924</v>
      </c>
      <c r="I343" t="b">
        <v>1</v>
      </c>
    </row>
    <row r="344" spans="1:9">
      <c r="A344" t="s">
        <v>15944</v>
      </c>
      <c r="B344" t="s">
        <v>10</v>
      </c>
      <c r="C344" t="s">
        <v>15945</v>
      </c>
      <c r="D344" t="s">
        <v>15790</v>
      </c>
      <c r="E344" t="s">
        <v>6489</v>
      </c>
      <c r="F344" t="s">
        <v>15946</v>
      </c>
      <c r="G344" t="s">
        <v>15947</v>
      </c>
      <c r="H344" t="s">
        <v>15948</v>
      </c>
      <c r="I344" t="b">
        <v>1</v>
      </c>
    </row>
    <row r="345" spans="1:9">
      <c r="A345" t="s">
        <v>16047</v>
      </c>
      <c r="B345" t="s">
        <v>10</v>
      </c>
      <c r="C345" t="s">
        <v>16048</v>
      </c>
      <c r="D345" t="s">
        <v>15960</v>
      </c>
      <c r="E345" t="s">
        <v>6489</v>
      </c>
      <c r="F345" t="s">
        <v>16049</v>
      </c>
      <c r="G345" t="s">
        <v>16050</v>
      </c>
      <c r="H345" t="s">
        <v>16051</v>
      </c>
      <c r="I345" t="b">
        <v>1</v>
      </c>
    </row>
    <row r="346" spans="1:9">
      <c r="A346" t="s">
        <v>16167</v>
      </c>
      <c r="B346" t="s">
        <v>10</v>
      </c>
      <c r="C346" t="s">
        <v>16168</v>
      </c>
      <c r="D346" t="s">
        <v>15863</v>
      </c>
      <c r="E346" t="s">
        <v>6489</v>
      </c>
      <c r="F346" t="s">
        <v>16169</v>
      </c>
      <c r="G346" t="s">
        <v>16170</v>
      </c>
      <c r="H346" t="s">
        <v>16171</v>
      </c>
      <c r="I346" t="b">
        <v>1</v>
      </c>
    </row>
    <row r="347" spans="1:9">
      <c r="A347" t="s">
        <v>16187</v>
      </c>
      <c r="B347" t="s">
        <v>10</v>
      </c>
      <c r="C347" t="s">
        <v>16188</v>
      </c>
      <c r="D347" t="s">
        <v>15790</v>
      </c>
      <c r="E347" t="s">
        <v>6478</v>
      </c>
      <c r="F347" t="s">
        <v>16189</v>
      </c>
      <c r="G347" t="s">
        <v>16190</v>
      </c>
      <c r="H347" t="s">
        <v>16191</v>
      </c>
      <c r="I347" t="b">
        <v>1</v>
      </c>
    </row>
    <row r="348" spans="1:9">
      <c r="A348" t="s">
        <v>16298</v>
      </c>
      <c r="B348" t="s">
        <v>10</v>
      </c>
      <c r="C348" t="s">
        <v>16299</v>
      </c>
      <c r="D348" t="s">
        <v>16269</v>
      </c>
      <c r="E348" t="s">
        <v>16206</v>
      </c>
      <c r="F348" t="s">
        <v>16300</v>
      </c>
      <c r="G348" t="s">
        <v>16301</v>
      </c>
      <c r="H348" t="s">
        <v>16302</v>
      </c>
      <c r="I348" t="b">
        <v>1</v>
      </c>
    </row>
    <row r="349" spans="1:9">
      <c r="A349" t="s">
        <v>16322</v>
      </c>
      <c r="B349" t="s">
        <v>10</v>
      </c>
      <c r="C349" t="s">
        <v>16323</v>
      </c>
      <c r="D349" t="s">
        <v>16269</v>
      </c>
      <c r="E349" t="s">
        <v>16206</v>
      </c>
      <c r="F349" t="s">
        <v>16324</v>
      </c>
      <c r="G349" t="s">
        <v>16325</v>
      </c>
      <c r="H349" t="s">
        <v>16326</v>
      </c>
      <c r="I349" t="b">
        <v>1</v>
      </c>
    </row>
    <row r="350" spans="1:9">
      <c r="A350" t="s">
        <v>16370</v>
      </c>
      <c r="B350" t="s">
        <v>10</v>
      </c>
      <c r="C350" t="s">
        <v>16371</v>
      </c>
      <c r="D350" t="s">
        <v>16269</v>
      </c>
      <c r="E350" t="s">
        <v>16213</v>
      </c>
      <c r="F350" t="s">
        <v>16372</v>
      </c>
      <c r="G350" t="s">
        <v>16373</v>
      </c>
      <c r="H350" t="s">
        <v>16374</v>
      </c>
      <c r="I350" t="b">
        <v>1</v>
      </c>
    </row>
    <row r="351" spans="1:9">
      <c r="A351" t="s">
        <v>16379</v>
      </c>
      <c r="B351" t="s">
        <v>10</v>
      </c>
      <c r="C351" t="s">
        <v>16380</v>
      </c>
      <c r="D351" t="s">
        <v>16269</v>
      </c>
      <c r="E351" t="s">
        <v>16206</v>
      </c>
      <c r="F351" t="s">
        <v>16381</v>
      </c>
      <c r="G351" t="s">
        <v>16382</v>
      </c>
      <c r="H351" t="s">
        <v>16383</v>
      </c>
      <c r="I351" t="b">
        <v>1</v>
      </c>
    </row>
    <row r="352" spans="1:9">
      <c r="A352" t="s">
        <v>16409</v>
      </c>
      <c r="B352" t="s">
        <v>10</v>
      </c>
      <c r="C352" t="s">
        <v>16410</v>
      </c>
      <c r="D352" t="s">
        <v>16391</v>
      </c>
      <c r="E352" t="s">
        <v>16185</v>
      </c>
      <c r="F352" t="s">
        <v>16411</v>
      </c>
      <c r="G352" t="s">
        <v>16412</v>
      </c>
      <c r="H352" t="s">
        <v>16413</v>
      </c>
      <c r="I352" t="b">
        <v>1</v>
      </c>
    </row>
    <row r="353" spans="1:9">
      <c r="A353" t="s">
        <v>16432</v>
      </c>
      <c r="B353" t="s">
        <v>10</v>
      </c>
      <c r="C353" t="s">
        <v>16433</v>
      </c>
      <c r="D353" t="s">
        <v>16391</v>
      </c>
      <c r="E353" t="s">
        <v>16185</v>
      </c>
      <c r="F353" t="s">
        <v>16434</v>
      </c>
      <c r="G353" t="s">
        <v>16435</v>
      </c>
      <c r="H353" t="s">
        <v>16436</v>
      </c>
      <c r="I353" t="b">
        <v>1</v>
      </c>
    </row>
    <row r="354" spans="1:9">
      <c r="A354" t="s">
        <v>16463</v>
      </c>
      <c r="B354" t="s">
        <v>10</v>
      </c>
      <c r="C354" t="s">
        <v>16464</v>
      </c>
      <c r="D354" t="s">
        <v>16465</v>
      </c>
      <c r="E354" t="s">
        <v>16261</v>
      </c>
      <c r="F354" t="s">
        <v>16466</v>
      </c>
      <c r="G354" t="s">
        <v>16467</v>
      </c>
      <c r="H354" t="s">
        <v>16468</v>
      </c>
      <c r="I354" t="b">
        <v>1</v>
      </c>
    </row>
    <row r="355" spans="1:9">
      <c r="A355" t="s">
        <v>16483</v>
      </c>
      <c r="B355" t="s">
        <v>10</v>
      </c>
      <c r="C355" t="s">
        <v>16484</v>
      </c>
      <c r="D355" t="s">
        <v>16391</v>
      </c>
      <c r="E355" t="s">
        <v>16185</v>
      </c>
      <c r="F355" t="s">
        <v>16485</v>
      </c>
      <c r="G355" t="s">
        <v>16486</v>
      </c>
      <c r="H355" t="s">
        <v>16487</v>
      </c>
      <c r="I355" t="b">
        <v>1</v>
      </c>
    </row>
    <row r="356" spans="1:9">
      <c r="A356" t="s">
        <v>16511</v>
      </c>
      <c r="B356" t="s">
        <v>10</v>
      </c>
      <c r="C356" t="s">
        <v>16512</v>
      </c>
      <c r="D356" t="s">
        <v>16480</v>
      </c>
      <c r="E356" t="s">
        <v>16261</v>
      </c>
      <c r="F356" t="s">
        <v>16513</v>
      </c>
      <c r="G356" t="s">
        <v>16514</v>
      </c>
      <c r="H356" t="s">
        <v>16515</v>
      </c>
      <c r="I356" t="b">
        <v>1</v>
      </c>
    </row>
    <row r="357" spans="1:9">
      <c r="A357" t="s">
        <v>16716</v>
      </c>
      <c r="B357" t="s">
        <v>219</v>
      </c>
      <c r="C357" t="s">
        <v>16717</v>
      </c>
      <c r="D357" t="s">
        <v>585</v>
      </c>
      <c r="E357" t="s">
        <v>379</v>
      </c>
      <c r="F357" t="s">
        <v>16718</v>
      </c>
      <c r="G357" t="s">
        <v>16719</v>
      </c>
      <c r="H357" t="s">
        <v>16720</v>
      </c>
      <c r="I357" t="b">
        <v>1</v>
      </c>
    </row>
    <row r="358" spans="1:9">
      <c r="A358" t="s">
        <v>16721</v>
      </c>
      <c r="B358" t="s">
        <v>219</v>
      </c>
      <c r="C358" t="s">
        <v>16722</v>
      </c>
      <c r="D358" t="s">
        <v>585</v>
      </c>
      <c r="E358" t="s">
        <v>379</v>
      </c>
      <c r="F358" t="s">
        <v>16723</v>
      </c>
      <c r="G358" t="s">
        <v>16724</v>
      </c>
      <c r="H358" t="s">
        <v>16725</v>
      </c>
      <c r="I358" t="b">
        <v>1</v>
      </c>
    </row>
    <row r="359" spans="1:9">
      <c r="A359" t="s">
        <v>16728</v>
      </c>
      <c r="B359" t="s">
        <v>219</v>
      </c>
      <c r="C359" t="s">
        <v>16729</v>
      </c>
      <c r="D359" t="s">
        <v>585</v>
      </c>
      <c r="E359" t="s">
        <v>379</v>
      </c>
      <c r="F359" t="s">
        <v>16730</v>
      </c>
      <c r="G359" t="s">
        <v>16731</v>
      </c>
      <c r="H359" t="s">
        <v>16732</v>
      </c>
      <c r="I359" t="b">
        <v>1</v>
      </c>
    </row>
    <row r="360" spans="1:9">
      <c r="A360" t="s">
        <v>16765</v>
      </c>
      <c r="B360" t="s">
        <v>10</v>
      </c>
      <c r="C360" t="s">
        <v>16766</v>
      </c>
      <c r="D360" t="s">
        <v>2002</v>
      </c>
      <c r="E360" t="s">
        <v>1884</v>
      </c>
      <c r="F360" t="s">
        <v>16767</v>
      </c>
      <c r="G360" t="s">
        <v>16768</v>
      </c>
      <c r="H360" t="s">
        <v>16769</v>
      </c>
      <c r="I360" t="b">
        <v>1</v>
      </c>
    </row>
    <row r="361" spans="1:9">
      <c r="A361" t="s">
        <v>16781</v>
      </c>
      <c r="B361" t="s">
        <v>219</v>
      </c>
      <c r="C361" t="s">
        <v>16782</v>
      </c>
      <c r="D361" t="s">
        <v>3253</v>
      </c>
      <c r="E361" t="s">
        <v>732</v>
      </c>
      <c r="F361" t="s">
        <v>16783</v>
      </c>
      <c r="G361" t="s">
        <v>16784</v>
      </c>
      <c r="H361" t="s">
        <v>16785</v>
      </c>
      <c r="I361" t="b">
        <v>1</v>
      </c>
    </row>
    <row r="362" spans="1:9">
      <c r="A362" t="s">
        <v>16799</v>
      </c>
      <c r="B362" t="s">
        <v>219</v>
      </c>
      <c r="C362" t="s">
        <v>16800</v>
      </c>
      <c r="D362" t="s">
        <v>4735</v>
      </c>
      <c r="E362" t="s">
        <v>4736</v>
      </c>
      <c r="F362" t="s">
        <v>16801</v>
      </c>
      <c r="G362" t="s">
        <v>16802</v>
      </c>
      <c r="H362" t="s">
        <v>16803</v>
      </c>
      <c r="I362" t="b">
        <v>1</v>
      </c>
    </row>
    <row r="363" spans="1:9">
      <c r="A363" t="s">
        <v>16807</v>
      </c>
      <c r="B363" t="s">
        <v>10</v>
      </c>
      <c r="C363" t="s">
        <v>16808</v>
      </c>
      <c r="D363" t="s">
        <v>4836</v>
      </c>
      <c r="E363" t="s">
        <v>4736</v>
      </c>
      <c r="F363" t="s">
        <v>16809</v>
      </c>
      <c r="G363" t="s">
        <v>16810</v>
      </c>
      <c r="H363" t="s">
        <v>16811</v>
      </c>
      <c r="I363" t="b">
        <v>1</v>
      </c>
    </row>
    <row r="364" spans="1:9">
      <c r="A364" t="s">
        <v>16823</v>
      </c>
      <c r="B364" t="s">
        <v>10</v>
      </c>
      <c r="C364" t="s">
        <v>16824</v>
      </c>
      <c r="D364" t="s">
        <v>5725</v>
      </c>
      <c r="E364" t="s">
        <v>5688</v>
      </c>
      <c r="F364" t="s">
        <v>16825</v>
      </c>
      <c r="G364" t="s">
        <v>16826</v>
      </c>
      <c r="H364" t="s">
        <v>16827</v>
      </c>
      <c r="I364" t="b">
        <v>1</v>
      </c>
    </row>
    <row r="365" spans="1:9">
      <c r="A365" t="s">
        <v>16828</v>
      </c>
      <c r="B365" t="s">
        <v>10</v>
      </c>
      <c r="C365" t="s">
        <v>16829</v>
      </c>
      <c r="D365" t="s">
        <v>6807</v>
      </c>
      <c r="E365" t="s">
        <v>6771</v>
      </c>
      <c r="F365" t="s">
        <v>6811</v>
      </c>
      <c r="G365" t="s">
        <v>16830</v>
      </c>
      <c r="H365" t="s">
        <v>16831</v>
      </c>
      <c r="I365" t="b">
        <v>1</v>
      </c>
    </row>
    <row r="366" spans="1:9">
      <c r="A366" t="s">
        <v>13866</v>
      </c>
      <c r="B366" t="s">
        <v>10</v>
      </c>
      <c r="C366" t="s">
        <v>16907</v>
      </c>
      <c r="D366" t="s">
        <v>13108</v>
      </c>
      <c r="E366" t="s">
        <v>1861</v>
      </c>
      <c r="F366" t="s">
        <v>16908</v>
      </c>
      <c r="G366" t="s">
        <v>16909</v>
      </c>
      <c r="H366" t="s">
        <v>16910</v>
      </c>
      <c r="I366" t="b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0F963EA2C30F4DA6D72F4E62BFDA77" ma:contentTypeVersion="18" ma:contentTypeDescription="Crear nuevo documento." ma:contentTypeScope="" ma:versionID="a1f709fcd3b3969b614cf87a015eb96c">
  <xsd:schema xmlns:xsd="http://www.w3.org/2001/XMLSchema" xmlns:xs="http://www.w3.org/2001/XMLSchema" xmlns:p="http://schemas.microsoft.com/office/2006/metadata/properties" xmlns:ns2="2b6ad589-a955-4606-91cc-30b00e7b954e" xmlns:ns3="d1521fda-4abb-4c5a-91be-c8d9551c4e0f" targetNamespace="http://schemas.microsoft.com/office/2006/metadata/properties" ma:root="true" ma:fieldsID="e98b066a3988185f31d6e8f108cfe272" ns2:_="" ns3:_="">
    <xsd:import namespace="2b6ad589-a955-4606-91cc-30b00e7b954e"/>
    <xsd:import namespace="d1521fda-4abb-4c5a-91be-c8d9551c4e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6ad589-a955-4606-91cc-30b00e7b95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b99d18e-b9b3-4a22-9a96-d02ab5c4ac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21fda-4abb-4c5a-91be-c8d9551c4e0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5a3a18-7cb0-42db-bc27-9042d35e9d5f}" ma:internalName="TaxCatchAll" ma:showField="CatchAllData" ma:web="d1521fda-4abb-4c5a-91be-c8d9551c4e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521fda-4abb-4c5a-91be-c8d9551c4e0f" xsi:nil="true"/>
    <lcf76f155ced4ddcb4097134ff3c332f xmlns="2b6ad589-a955-4606-91cc-30b00e7b954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6BCD6B4-0E11-4C83-8B6B-50CE09830657}"/>
</file>

<file path=customXml/itemProps2.xml><?xml version="1.0" encoding="utf-8"?>
<ds:datastoreItem xmlns:ds="http://schemas.openxmlformats.org/officeDocument/2006/customXml" ds:itemID="{5549F03B-2CC7-4090-AA02-49C6D9BC08EC}"/>
</file>

<file path=customXml/itemProps3.xml><?xml version="1.0" encoding="utf-8"?>
<ds:datastoreItem xmlns:ds="http://schemas.openxmlformats.org/officeDocument/2006/customXml" ds:itemID="{4B0B172A-A181-4911-AF5E-146E6AB9A3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master</dc:creator>
  <cp:keywords/>
  <dc:description/>
  <cp:lastModifiedBy>Emilio Blanco - GMOL Solutions</cp:lastModifiedBy>
  <cp:revision/>
  <dcterms:created xsi:type="dcterms:W3CDTF">2021-01-13T09:50:43Z</dcterms:created>
  <dcterms:modified xsi:type="dcterms:W3CDTF">2024-01-12T13:17:04Z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0x0101007F0F963EA2C30F4DA6D72F4E62BFDA77</vt:lpwstr>
  </property>
  <property fmtid="{D5CDD505-2E9C-101B-9397-08002B2CF9AE}" pid="3" name="MediaServiceImageTags">
    <vt:lpwstr/>
  </property>
</Properties>
</file>