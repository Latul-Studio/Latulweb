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8" documentId="13_ncr:1_{5A81769D-F9A6-449B-8CE3-4308596E95A0}" xr6:coauthVersionLast="47" xr6:coauthVersionMax="47" xr10:uidLastSave="{D0133288-3915-4B00-9EBA-AE2A22C51857}"/>
  <bookViews>
    <workbookView xWindow="-38520" yWindow="-6645" windowWidth="38640" windowHeight="21120" xr2:uid="{00000000-000D-0000-FFFF-FFFF00000000}"/>
  </bookViews>
  <sheets>
    <sheet name="Centraldecomunicacion.es" sheetId="2" r:id="rId1"/>
    <sheet name="Estadísticas" sheetId="3" r:id="rId2"/>
    <sheet name="Copyright" sheetId="4" r:id="rId3"/>
    <sheet name="Leads verificados" sheetId="5" r:id="rId4"/>
  </sheets>
  <definedNames>
    <definedName name="_xlnm._FilterDatabase" localSheetId="0" hidden="1">'Centraldecomunicacion.es'!$A$1:$P$2272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H2" i="3" a="1"/>
  <c r="H2" i="3"/>
  <c r="G2" i="3" a="1"/>
  <c r="G2" i="3"/>
  <c r="B2" i="3"/>
  <c r="F2" i="3"/>
  <c r="D2" i="3"/>
  <c r="E2" i="3"/>
  <c r="C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<sst xmlns="http://schemas.openxmlformats.org/spreadsheetml/2006/main" count="19105" uniqueCount="8234">
  <si>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</si>
  <si>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</si>
  <si>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</si>
  <si>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</si>
  <si>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</si>
  <si>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</si>
  <si>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</si>
  <si>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</si>
  <si>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mail verificado</t>
  </si>
  <si>
    <t>Herbolario Ángel</t>
  </si>
  <si>
    <t>Herbolario</t>
  </si>
  <si>
    <t>C. José Artés de Arcos, 15, 04004 Almería</t>
  </si>
  <si>
    <t>Almería</t>
  </si>
  <si>
    <t>herbolarioangel.net</t>
  </si>
  <si>
    <t>950 26 24 39</t>
  </si>
  <si>
    <t>-</t>
  </si>
  <si>
    <t>Herbolario El Agape</t>
  </si>
  <si>
    <t>C. Granada, 185, 04008 Almería</t>
  </si>
  <si>
    <t>herbolarioelagape.es</t>
  </si>
  <si>
    <t>658 93 56 36</t>
  </si>
  <si>
    <t>info@herbolarioelagape.es</t>
  </si>
  <si>
    <t>HERBOLARIO DE LORIEN</t>
  </si>
  <si>
    <t>Av. de Cabo de Gata, 139, 04007 Almería</t>
  </si>
  <si>
    <t/>
  </si>
  <si>
    <t>950 08 83 69</t>
  </si>
  <si>
    <t>Herbolario HIERBA LUISA</t>
  </si>
  <si>
    <t>C. Juan Leal, 2, 04001 Almería</t>
  </si>
  <si>
    <t>950 23 98 57</t>
  </si>
  <si>
    <t>Herbolario Alonso</t>
  </si>
  <si>
    <t>C. el Alcázar, 28, 04006 Almería</t>
  </si>
  <si>
    <t>657 27 73 16</t>
  </si>
  <si>
    <t>Bio Amapola Amapola</t>
  </si>
  <si>
    <t>C. Amapola, 11, 04004 Almería</t>
  </si>
  <si>
    <t>950 25 33 65</t>
  </si>
  <si>
    <t>Herbolario Mirto</t>
  </si>
  <si>
    <t>C. Perdiz, 15, 04009 Almería</t>
  </si>
  <si>
    <t>950 03 57 11</t>
  </si>
  <si>
    <t>Herbolario y Estética Natural Azalea Lives</t>
  </si>
  <si>
    <t>Calle Dr. Giménez Canga Argüelles, 5, 04005 Almería</t>
  </si>
  <si>
    <t>azalealives.com</t>
  </si>
  <si>
    <t>611 44 35 64</t>
  </si>
  <si>
    <t>Info@azalealives.com</t>
  </si>
  <si>
    <t>Herbolario Almería Natural</t>
  </si>
  <si>
    <t>Carrera del Mami, 7, 04009 Almería</t>
  </si>
  <si>
    <t>622 23 96 31</t>
  </si>
  <si>
    <t>Campos de Aloe</t>
  </si>
  <si>
    <t>Av. de la Estación, 25, 04005 Almería</t>
  </si>
  <si>
    <t>950 22 63 17</t>
  </si>
  <si>
    <t>Rafael Díaz García</t>
  </si>
  <si>
    <t>C. Altamira, 9, 04005 Almería</t>
  </si>
  <si>
    <t>950 26 99 69</t>
  </si>
  <si>
    <t>Herboristeria Casa Elo</t>
  </si>
  <si>
    <t>Calle Dr. Gregorio Marañón, 10, 04005 Almería</t>
  </si>
  <si>
    <t>950 25 80 21</t>
  </si>
  <si>
    <t>Herbolario Farmaline</t>
  </si>
  <si>
    <t>Av. de Cabo de Gata, 115, 04007 Almería</t>
  </si>
  <si>
    <t>business.site</t>
  </si>
  <si>
    <t>686 00 72 85</t>
  </si>
  <si>
    <t>HERBOLANIC NATURAL</t>
  </si>
  <si>
    <t>Av. de Pablo Iglesias, 55, LOCAL, 04003 Almería</t>
  </si>
  <si>
    <t>herbolanic.com</t>
  </si>
  <si>
    <t>634 49 37 44</t>
  </si>
  <si>
    <t>onnea concept</t>
  </si>
  <si>
    <t>C. Benizalón, 3, 04007 Almería</t>
  </si>
  <si>
    <t>692 91 79 60</t>
  </si>
  <si>
    <t>HERBOLARIO LA MILAGROSA</t>
  </si>
  <si>
    <t>Ctra.Almeria, Urb.El Cercado, 132, 04230 Huércal de Almería, Almería</t>
  </si>
  <si>
    <t>Huércal de Almería</t>
  </si>
  <si>
    <t>herbolariolamilagrosa.com</t>
  </si>
  <si>
    <t>667 63 02 58</t>
  </si>
  <si>
    <t>Virtual Data SLU</t>
  </si>
  <si>
    <t>Pl. Antonio de Torres, 7, 04120 La Cañada, Almería</t>
  </si>
  <si>
    <t>La Cañada</t>
  </si>
  <si>
    <t>950 29 20 61</t>
  </si>
  <si>
    <t>Mar Natura Herbolario</t>
  </si>
  <si>
    <t>C. Solidaridad, 1, 04130 El Alquián, Almería</t>
  </si>
  <si>
    <t>El Alquián</t>
  </si>
  <si>
    <t>609 11 76 70</t>
  </si>
  <si>
    <t>HERBOLARIO LA VENTANA NATURAL</t>
  </si>
  <si>
    <t>Cam. de los Parrales, 338, 04720 Aguadulce, Almería</t>
  </si>
  <si>
    <t>Aguadulce</t>
  </si>
  <si>
    <t>laventananatural.com</t>
  </si>
  <si>
    <t>665 53 05 11</t>
  </si>
  <si>
    <t>contacto@laventananatural.com</t>
  </si>
  <si>
    <t>Herbolario Mentadulce</t>
  </si>
  <si>
    <t>Carr de Alicún, 26, 04740 Roquetas de Mar, Almería</t>
  </si>
  <si>
    <t>Roquetas de Mar</t>
  </si>
  <si>
    <t>950 32 11 57</t>
  </si>
  <si>
    <t>Herbolario Silvestre</t>
  </si>
  <si>
    <t>C. Manuel Machado, 45, 04740 Roquetas de Mar, Almería</t>
  </si>
  <si>
    <t>950 32 10 46</t>
  </si>
  <si>
    <t>Parafarmacia Herbolario</t>
  </si>
  <si>
    <t>C. Carlos Arniches, 04720 El Parador de las Hortichuelas, Almería</t>
  </si>
  <si>
    <t>El Parador de las Hortichuelas</t>
  </si>
  <si>
    <t>950 34 15 42</t>
  </si>
  <si>
    <t>Herbolario El Jardin De La Salud</t>
  </si>
  <si>
    <t>Av. Reino de España, 35, 04740 Roquetas de Mar, Almería</t>
  </si>
  <si>
    <t>950 53 31 26</t>
  </si>
  <si>
    <t>Herboristería, tienda esotérica y artículos de regalo El secreto</t>
  </si>
  <si>
    <t>Av. de Carlos III, 447, 04720 Aguadulce, Almería</t>
  </si>
  <si>
    <t>615 98 36 74</t>
  </si>
  <si>
    <t>Bottega Verde</t>
  </si>
  <si>
    <t>Carretera Roquetas - Alicun, 0 S/N, 04740 Roquetas de Mar, Almería</t>
  </si>
  <si>
    <t>950 32 95 49</t>
  </si>
  <si>
    <t>Herbolario Jazmín</t>
  </si>
  <si>
    <t>Av. de las Marinas, 209, 04740 Roquetas de Mar, Almería</t>
  </si>
  <si>
    <t>630 53 89 82</t>
  </si>
  <si>
    <t>HERBAL PHARMACY</t>
  </si>
  <si>
    <t>Av. de Juan Bonachera, 24, 04740 Roquetas de Mar, Almería</t>
  </si>
  <si>
    <t>698 51 29 08</t>
  </si>
  <si>
    <t>Herbolario Almerinatur</t>
  </si>
  <si>
    <t>C. Fragata, 10, 04711 Almerimar, Almería</t>
  </si>
  <si>
    <t>Almerimar</t>
  </si>
  <si>
    <t>950 49 78 12</t>
  </si>
  <si>
    <t>Tara Natura</t>
  </si>
  <si>
    <t>Cjón. de Istria, 38, 04118 San José, Almería</t>
  </si>
  <si>
    <t>San José</t>
  </si>
  <si>
    <t>669 49 64 13</t>
  </si>
  <si>
    <t>Herbolario Mary</t>
  </si>
  <si>
    <t>C. Murgis, 15, 04700 El Ejido, Almería</t>
  </si>
  <si>
    <t>El Ejido</t>
  </si>
  <si>
    <t>herbolariomary.es</t>
  </si>
  <si>
    <t>950 48 03 63</t>
  </si>
  <si>
    <t>info@herbolariomary.es</t>
  </si>
  <si>
    <t>La Botica de Fuen</t>
  </si>
  <si>
    <t>C. Infanta Elena, 5, 04745 La Mojonera, Almería</t>
  </si>
  <si>
    <t>La Mojonera</t>
  </si>
  <si>
    <t>950 33 03 84</t>
  </si>
  <si>
    <t>Saica Natur S.L.</t>
  </si>
  <si>
    <t>Ctra de la Mojonera a San Agustín, 04745 Mojonera (la), Almería</t>
  </si>
  <si>
    <t>Abla</t>
  </si>
  <si>
    <t>950 60 33 38</t>
  </si>
  <si>
    <t>P.º Alcalde Garcia Acien, 9, 04700 El Ejido, Almería</t>
  </si>
  <si>
    <t>950 48 71 63</t>
  </si>
  <si>
    <t>Herbolario Elisa</t>
  </si>
  <si>
    <t>C. Gustavo Adolfo Bécquer, 9, 04700 El Ejido, Almería</t>
  </si>
  <si>
    <t>herbolarioelisa.com</t>
  </si>
  <si>
    <t>950 57 06 85</t>
  </si>
  <si>
    <t>Herboristeria Carmen Ramos</t>
  </si>
  <si>
    <t>C. Aljibe, 2, 04110 Campohermoso, Almería</t>
  </si>
  <si>
    <t>Campohermoso</t>
  </si>
  <si>
    <t>627 83 43 41</t>
  </si>
  <si>
    <t>Herbolisteria</t>
  </si>
  <si>
    <t>Blvr. de el Ejido, 445, 04700 El Ejido, Almería</t>
  </si>
  <si>
    <t>Herbolario Naturdivina Carboneras</t>
  </si>
  <si>
    <t>C. Plus Ultra, 37, 04140 Carboneras, Almería</t>
  </si>
  <si>
    <t>Carboneras</t>
  </si>
  <si>
    <t>693 69 08 55</t>
  </si>
  <si>
    <t>herbolario la Jara de Ana</t>
  </si>
  <si>
    <t>parque comercial Mojácar playa local bajo, 4, 04638 Mojácar, Almería</t>
  </si>
  <si>
    <t>Mojácar</t>
  </si>
  <si>
    <t>950 47 25 59</t>
  </si>
  <si>
    <t>Herbolario &amp;quot;Las Buenas Hierbas&amp;quot;</t>
  </si>
  <si>
    <t>Av. Guillermo Reyna, S/N, 04600 Huércal-Overa, Almería</t>
  </si>
  <si>
    <t>Huércal-Overa</t>
  </si>
  <si>
    <t>950 13 48 17</t>
  </si>
  <si>
    <t>Herbolario Azahar</t>
  </si>
  <si>
    <t>Calle Carlos Cano, 1, 04620 Vera, Almería</t>
  </si>
  <si>
    <t>Vera</t>
  </si>
  <si>
    <t>699 45 77 07</t>
  </si>
  <si>
    <t>Ecotienda Ganesha</t>
  </si>
  <si>
    <t>C. Angustias, 04620 Vera, Almería</t>
  </si>
  <si>
    <t>630 35 28 55</t>
  </si>
  <si>
    <t>Trinidad Parra Castellón</t>
  </si>
  <si>
    <t>Av. Guillermo Reyna, 0, 04600 Huércal-Overa, Almería</t>
  </si>
  <si>
    <t>Herbolario / Parafarmacia Life</t>
  </si>
  <si>
    <t>Calle Mayor, 5, 04630 Garrucha, Almería</t>
  </si>
  <si>
    <t>Garrucha</t>
  </si>
  <si>
    <t>herbolariolife.es</t>
  </si>
  <si>
    <t>950 13 37 59</t>
  </si>
  <si>
    <t>Pharmaherbal</t>
  </si>
  <si>
    <t>C. Santiago, 1, Local 3, 04860 Olula del Río, Almería</t>
  </si>
  <si>
    <t>Olula del Río</t>
  </si>
  <si>
    <t>pharmaherbal.es</t>
  </si>
  <si>
    <t>609 95 25 20</t>
  </si>
  <si>
    <t>info@pharmaherbal.es</t>
  </si>
  <si>
    <t>Herbolario Manos Que Sanan</t>
  </si>
  <si>
    <t>C. El Arenal, 04638, Almería</t>
  </si>
  <si>
    <t>Vista de los Ángeles-Rumina</t>
  </si>
  <si>
    <t>607 11 03 43</t>
  </si>
  <si>
    <t>Parafarmacia Serma</t>
  </si>
  <si>
    <t>P.º del Huerto, 21, 04628 Antas, Almería</t>
  </si>
  <si>
    <t>Antas</t>
  </si>
  <si>
    <t>950 61 90 97</t>
  </si>
  <si>
    <t>FEPSA GLOBAL SA</t>
  </si>
  <si>
    <t>CALLE LOS IBEROS, 13, 04769 Berja, Almería</t>
  </si>
  <si>
    <t>Berja</t>
  </si>
  <si>
    <t>950 49 00 65</t>
  </si>
  <si>
    <t>Mandragora Herbolario</t>
  </si>
  <si>
    <t>C. Agua del Albayzín, 27, 18010 Granada</t>
  </si>
  <si>
    <t>Granada</t>
  </si>
  <si>
    <t>627 06 28 48</t>
  </si>
  <si>
    <t>Herbolario Sierra Nevada</t>
  </si>
  <si>
    <t>Av. de la Alpujarra, 35, 18420 Lanjarón, Granada</t>
  </si>
  <si>
    <t>Lanjarón</t>
  </si>
  <si>
    <t>958 77 22 45</t>
  </si>
  <si>
    <t>Herbolario Antonia</t>
  </si>
  <si>
    <t>C. Almería, 31, 18360 Huétor Tájar, Granada</t>
  </si>
  <si>
    <t>Huétor Tájar</t>
  </si>
  <si>
    <t>619 36 89 57</t>
  </si>
  <si>
    <t>Ecobarrio Herbolario</t>
  </si>
  <si>
    <t>C. Joaquina Eguaras, 84, 18013 Granada</t>
  </si>
  <si>
    <t>958 96 36 14</t>
  </si>
  <si>
    <t>Plaza Constutucion, 11, 18670 Vélez de Benaudalla, Granada</t>
  </si>
  <si>
    <t>Vélez de Benaudalla</t>
  </si>
  <si>
    <t>958 65 80 26</t>
  </si>
  <si>
    <t>Herbolario Naturana</t>
  </si>
  <si>
    <t>C. Parras, 6, 23160 Los Villares, Jaén</t>
  </si>
  <si>
    <t>Los Villares</t>
  </si>
  <si>
    <t>Jaén</t>
  </si>
  <si>
    <t>669 62 30 05</t>
  </si>
  <si>
    <t>Herbolario Soria Natural GC Priego</t>
  </si>
  <si>
    <t>C. San Luis, 13, 14800 Priego de Córdoba, Córdoba</t>
  </si>
  <si>
    <t>Priego de Córdoba</t>
  </si>
  <si>
    <t>Córdoba</t>
  </si>
  <si>
    <t>957 70 19 90</t>
  </si>
  <si>
    <t>Sanodiet Herbolario-Parafarmacia.</t>
  </si>
  <si>
    <t>C. Almería, nº2, local, 41200 Alcalá del Río, Sevilla</t>
  </si>
  <si>
    <t>Alcalá del Río</t>
  </si>
  <si>
    <t>Sevilla</t>
  </si>
  <si>
    <t>sanodiet.com</t>
  </si>
  <si>
    <t>621 21 67 32</t>
  </si>
  <si>
    <t>su@email.com</t>
  </si>
  <si>
    <t>Centro dietético Víquez- Herbolario Cadiz</t>
  </si>
  <si>
    <t>Av. Ana de Viya, 9, 11009 Cádiz</t>
  </si>
  <si>
    <t>Cádiz</t>
  </si>
  <si>
    <t>centrodieteticoviquez.com</t>
  </si>
  <si>
    <t>856 07 57 91</t>
  </si>
  <si>
    <t>info@centrodieteticoviquez.com</t>
  </si>
  <si>
    <t>La Mandrágora Herbolario</t>
  </si>
  <si>
    <t>C. Feduchy, 16, 11005 Cádiz</t>
  </si>
  <si>
    <t>956 28 25 28</t>
  </si>
  <si>
    <t>Herbolario Edén</t>
  </si>
  <si>
    <t>C. Corneta Soto Guerrero, 6, 11004 Cádiz</t>
  </si>
  <si>
    <t>956 21 38 49</t>
  </si>
  <si>
    <t>Herbolario Víquez - Cadiz</t>
  </si>
  <si>
    <t>Av. Segunda Aguada, 15, 11012 Cádiz</t>
  </si>
  <si>
    <t>856 07 57 65</t>
  </si>
  <si>
    <t>Biogadir</t>
  </si>
  <si>
    <t>C. Zurbarán, 2, Local 2, 11010 Cádiz</t>
  </si>
  <si>
    <t>695 14 82 40</t>
  </si>
  <si>
    <t>La ventana natural</t>
  </si>
  <si>
    <t>Av. San Severiano, 12, 11007 Cádiz</t>
  </si>
  <si>
    <t>956 77 72 06</t>
  </si>
  <si>
    <t>Herbolario Titi &amp;amp; Carpi</t>
  </si>
  <si>
    <t>11005 Cádiz</t>
  </si>
  <si>
    <t>622 69 62 24</t>
  </si>
  <si>
    <t>Herbolario La Valeriana</t>
  </si>
  <si>
    <t>Calle de la Pl., 80, 11510 El Pinar, Cádiz</t>
  </si>
  <si>
    <t>Puerto Real</t>
  </si>
  <si>
    <t>Herbolarioa la Jara</t>
  </si>
  <si>
    <t>C. Benjamín López, 14, 11100 San Fernando, Cádiz</t>
  </si>
  <si>
    <t>San Fernando</t>
  </si>
  <si>
    <t>956 59 54 74</t>
  </si>
  <si>
    <t>Herbolario Ismael</t>
  </si>
  <si>
    <t>C. San Rafael, 80, LOCAL, 11100 San Fernando, Cádiz</t>
  </si>
  <si>
    <t>956 59 13 47</t>
  </si>
  <si>
    <t>La Ventana Natural</t>
  </si>
  <si>
    <t>C. Rosario, 28, 11100 San Fernando, Cádiz</t>
  </si>
  <si>
    <t>956 59 13 89</t>
  </si>
  <si>
    <t>Bevate</t>
  </si>
  <si>
    <t>Calle de la Pl., 52, 11510 Puerto Real, Cádiz</t>
  </si>
  <si>
    <t>herbolariobevate.com</t>
  </si>
  <si>
    <t>677 68 16 55</t>
  </si>
  <si>
    <t>Herbolario la Argentina 2</t>
  </si>
  <si>
    <t>C. Manuel Álvaro Bonet, 1, 11500 El Puerto de Sta María, Cádiz</t>
  </si>
  <si>
    <t>El Puerto de Sta María</t>
  </si>
  <si>
    <t>956 85 95 91</t>
  </si>
  <si>
    <t>Herbolario Tetería Vida Sana</t>
  </si>
  <si>
    <t>local 12 de Sta María, C. Rodrigo de Bastidas, 1, 11500 El Puerto de Sta María, Cádiz</t>
  </si>
  <si>
    <t>herbolariovidasana.com</t>
  </si>
  <si>
    <t>956 85 46 14</t>
  </si>
  <si>
    <t>info@amanecerdedia.com</t>
  </si>
  <si>
    <t>Celia Cabaña Jiménez</t>
  </si>
  <si>
    <t>C. Santo Domingo, 9, 11510 Puerto Real, Cádiz</t>
  </si>
  <si>
    <t>956 83 03 38</t>
  </si>
  <si>
    <t>La Despensa de Gaia</t>
  </si>
  <si>
    <t>Av. de los Toreros, 9, 11500 El Puerto de Sta María, Cádiz</t>
  </si>
  <si>
    <t>ladespensadegaia.com</t>
  </si>
  <si>
    <t>600 68 19 83</t>
  </si>
  <si>
    <t>contacto@ladespensadegaia.com</t>
  </si>
  <si>
    <t>Salud Natural Herbolario</t>
  </si>
  <si>
    <t>Av. Valdecarretas, 1, 11520 Rota, Cádiz</t>
  </si>
  <si>
    <t>Rota</t>
  </si>
  <si>
    <t>herbolariossaludnatural.es</t>
  </si>
  <si>
    <t>956 75 01 20</t>
  </si>
  <si>
    <t>Herbolario La Flor de Vida</t>
  </si>
  <si>
    <t>C. Segismundo Moret, 19, 11130 Chiclana de la Frontera, Cádiz</t>
  </si>
  <si>
    <t>Chiclana de la Frontera</t>
  </si>
  <si>
    <t>herbolariolaflordevida.com</t>
  </si>
  <si>
    <t>956 40 15 98</t>
  </si>
  <si>
    <t>Herboristeria La Milagrosa</t>
  </si>
  <si>
    <t>C. Larga, 14, 11130 Chiclana de la Frontera, Cádiz</t>
  </si>
  <si>
    <t>607 64 99 48</t>
  </si>
  <si>
    <t>Farmacia M.ª Josefa Martínez Guerra</t>
  </si>
  <si>
    <t>San Bartolomé, 35, 11500 El Puerto de Sta María, Cádiz</t>
  </si>
  <si>
    <t>956 85 41 31</t>
  </si>
  <si>
    <t>Con un toque de canela</t>
  </si>
  <si>
    <t>C. Carmen Picazo, 12, 11130 Chiclana de la Frontera, Cádiz</t>
  </si>
  <si>
    <t>647 22 58 76</t>
  </si>
  <si>
    <t>HERBORISTERIA FUENTE AMARGA</t>
  </si>
  <si>
    <t>Av. de Fuente Amarga, 47, 11130 Chiclana de la Frontera, Cádiz</t>
  </si>
  <si>
    <t>656 37 20 09</t>
  </si>
  <si>
    <t>Vida mas Sana</t>
  </si>
  <si>
    <t>Calle Dr. Duarte Acosta, 7, 11500 El Puerto de Sta María, Cádiz</t>
  </si>
  <si>
    <t>vidamassana.com</t>
  </si>
  <si>
    <t>956 11 20 04</t>
  </si>
  <si>
    <t>info@vidamassana.com</t>
  </si>
  <si>
    <t>Ynsadiet S A</t>
  </si>
  <si>
    <t>Carretera Cádiz Algeciras, 0 Km 0003 6, 11130 Chiclana de la Frontera, Cádiz</t>
  </si>
  <si>
    <t>El Brote Verde</t>
  </si>
  <si>
    <t>C. Ganado, 43, 11500 El Puerto de Sta María, Cádiz</t>
  </si>
  <si>
    <t>618 06 22 61</t>
  </si>
  <si>
    <t>La Ventana Natural Chiclana</t>
  </si>
  <si>
    <t>Ctra. nacional 340, km. 3.6, Eroski local 12, 11130 Chiclana de la Frontera, Cádiz</t>
  </si>
  <si>
    <t>956 53 67 61</t>
  </si>
  <si>
    <t>Rocio Gonzalez Baena</t>
  </si>
  <si>
    <t>956 40 08 56</t>
  </si>
  <si>
    <t>Las plantas de la Sierra</t>
  </si>
  <si>
    <t>Cjón. de los Frailes, 7, 11130 Chiclana de la Frontera, Cádiz</t>
  </si>
  <si>
    <t>956 40 60 88</t>
  </si>
  <si>
    <t>Santiveri</t>
  </si>
  <si>
    <t>C. la Pl., 19, 11130 Chiclana de la Frontera, Cádiz</t>
  </si>
  <si>
    <t>santiveri.es</t>
  </si>
  <si>
    <t>956 40 45 52</t>
  </si>
  <si>
    <t>informacion@santiveri.es</t>
  </si>
  <si>
    <t>San Telmo Integral S.L.</t>
  </si>
  <si>
    <t>C. Ayala, 0, 11130 Chiclana de la Frontera, Cádiz</t>
  </si>
  <si>
    <t>956 40 00 34</t>
  </si>
  <si>
    <t>Daniel Ramón Sampietro Alleman</t>
  </si>
  <si>
    <t>Callejón Huerta Rosario, 0 S/N, 11130 Chiclana de la Frontera, Cádiz</t>
  </si>
  <si>
    <t>Cien Por Cien Natural S.L.</t>
  </si>
  <si>
    <t>Lugar Urbanización Coto de la Campa, 0, 11139, Cádiz</t>
  </si>
  <si>
    <t>956 49 48 23</t>
  </si>
  <si>
    <t>Herbolario Verde Esperanza</t>
  </si>
  <si>
    <t>Av. de la Música, 17, 11140 Conil de la Frontera, Cádiz</t>
  </si>
  <si>
    <t>Conil de la Frontera</t>
  </si>
  <si>
    <t>herbolarioverdeesperanza.es</t>
  </si>
  <si>
    <t>621 23 21 12</t>
  </si>
  <si>
    <t>Herboristería Jucar</t>
  </si>
  <si>
    <t>Avd. Cruz Roja s/n. CC Merca 80 San Benito Local 20-21, 11407 Jerez de la Frontera, Cádiz</t>
  </si>
  <si>
    <t>Jerez de la Frontera</t>
  </si>
  <si>
    <t>956 31 24 58</t>
  </si>
  <si>
    <t>HERBORISTERIA LOS NARANJOS</t>
  </si>
  <si>
    <t>Pl. los Naranjos, 4, 11404 Jerez de la Frontera, Cádiz</t>
  </si>
  <si>
    <t>615 85 00 45</t>
  </si>
  <si>
    <t>C. Nao San Antonio, 3, 11540 Sanlúcar de Barrameda, Cádiz</t>
  </si>
  <si>
    <t>Sanlúcar de Barrameda</t>
  </si>
  <si>
    <t>856 10 23 96</t>
  </si>
  <si>
    <t>info@saludnaturalparati.com</t>
  </si>
  <si>
    <t>Herboristería La La</t>
  </si>
  <si>
    <t>C. Bizcocheros, 10, 11402 Jerez de la Frontera, Cádiz</t>
  </si>
  <si>
    <t>670 56 97 08</t>
  </si>
  <si>
    <t>Edoras Ilimitado</t>
  </si>
  <si>
    <t>Centro Natural Abora</t>
  </si>
  <si>
    <t>Local 1, C. Grecia, 5, 11408 Jerez de la Frontera, Cádiz</t>
  </si>
  <si>
    <t>956 03 63 00</t>
  </si>
  <si>
    <t>Natura Janda - Herbolario Conil</t>
  </si>
  <si>
    <t>C. Vendimiadores, 7, 11140 Conil de la Frontera, Cádiz</t>
  </si>
  <si>
    <t>956 44 33 73</t>
  </si>
  <si>
    <t>EcoVerdeEsperanza</t>
  </si>
  <si>
    <t>652 64 87 14</t>
  </si>
  <si>
    <t>Avd. Europa s/n. CC Jerez Norte, Local 34, 11405 Jerez de la Frontera, Cádiz</t>
  </si>
  <si>
    <t>956 30 78 73</t>
  </si>
  <si>
    <t>Herbolario Mundo Holístico</t>
  </si>
  <si>
    <t>C. Chiclana, 62, 11140 Conil de la Frontera, Cádiz</t>
  </si>
  <si>
    <t>669 31 11 92</t>
  </si>
  <si>
    <t>la tisana</t>
  </si>
  <si>
    <t>Calle Jaen Barriada la Granja, Pl. de Bornos, 7, local, 11405 Jerez de la Frontera, Cádiz</t>
  </si>
  <si>
    <t>693 94 01 51</t>
  </si>
  <si>
    <t>Herboristeria Naturalia</t>
  </si>
  <si>
    <t>C. Miguel de Cervantes, 13, 11550 Chipiona, Cádiz</t>
  </si>
  <si>
    <t>Chipiona</t>
  </si>
  <si>
    <t>webnode.es</t>
  </si>
  <si>
    <t>956 37 02 72</t>
  </si>
  <si>
    <t>support@webnode.es</t>
  </si>
  <si>
    <t>Sensa Natura</t>
  </si>
  <si>
    <t>C. Ana Parrilla, 1, 11406 Jerez de la Frontera, Cádiz</t>
  </si>
  <si>
    <t>856 24 41 74</t>
  </si>
  <si>
    <t>La Botica de tu Casa</t>
  </si>
  <si>
    <t>C. Consistorio, 10, 11403 Jerez de la Frontera, Cádiz</t>
  </si>
  <si>
    <t>685 56 11 53</t>
  </si>
  <si>
    <t>Fitofamacia Herboristeria</t>
  </si>
  <si>
    <t>Av. del Mediterráneo, 12, 11406 Jerez de la Frontera, Cádiz</t>
  </si>
  <si>
    <t>956 16 90 66</t>
  </si>
  <si>
    <t>Herboristería Aloe</t>
  </si>
  <si>
    <t>Pl. Kiyosu, 8, 11405 Jerez de la Frontera, Cádiz</t>
  </si>
  <si>
    <t>956 08 08 78</t>
  </si>
  <si>
    <t>La Botica de Alicia</t>
  </si>
  <si>
    <t>C. Doña Blanca, Sn, 11402 Jerez de la Frontera, Cádiz</t>
  </si>
  <si>
    <t>ueniweb.com</t>
  </si>
  <si>
    <t>660 97 34 78</t>
  </si>
  <si>
    <t>Herboristería Ayurveda</t>
  </si>
  <si>
    <t>C. Estocolmo, 2, Local 1, 11405 Jerez de la Frontera, Cádiz</t>
  </si>
  <si>
    <t>856 61 02 63</t>
  </si>
  <si>
    <t>Farmasanabibi</t>
  </si>
  <si>
    <t>C. Santo Domingo, 5, 11540 Sanlúcar de Barrameda, Cádiz</t>
  </si>
  <si>
    <t>956 97 52 76</t>
  </si>
  <si>
    <t>María Luisa Fernández Morales</t>
  </si>
  <si>
    <t>Calle Manuel Pérez Regordán, 4, 11630 Arcos de la Frontera, Cádiz</t>
  </si>
  <si>
    <t>Arcos de la Frontera</t>
  </si>
  <si>
    <t>956 70 45 07</t>
  </si>
  <si>
    <t>Herbolario Eleden</t>
  </si>
  <si>
    <t>C. San Luis, 2, 6, 11360 Pueblo Nuevo, Cádiz</t>
  </si>
  <si>
    <t>Pueblo Nuevo</t>
  </si>
  <si>
    <t>956 79 35 06</t>
  </si>
  <si>
    <t>HERBOLARIO CENTRO DIETÉTICO</t>
  </si>
  <si>
    <t>P.º del Prado, 44, 11600 Ubrique, Cádiz</t>
  </si>
  <si>
    <t>Ubrique</t>
  </si>
  <si>
    <t>659 28 65 39</t>
  </si>
  <si>
    <t>Ana Salguero Román</t>
  </si>
  <si>
    <t>C. Menéndez Pidal, 8, 11600 Ubrique, Cádiz</t>
  </si>
  <si>
    <t>956 46 00 52</t>
  </si>
  <si>
    <t>Herbolario El Olivo Ecológico</t>
  </si>
  <si>
    <t>C. Numancia, 10, 11380 Tarifa, Cádiz</t>
  </si>
  <si>
    <t>Tarifa</t>
  </si>
  <si>
    <t>670 31 97 11</t>
  </si>
  <si>
    <t>Josefa Guerrero Lara</t>
  </si>
  <si>
    <t>C. San Julián, 2, 11380 Tarifa, Cádiz</t>
  </si>
  <si>
    <t>Herbodietética Flor de Romero</t>
  </si>
  <si>
    <t>C. Carretera, 11311 Guadiaro, Cádiz</t>
  </si>
  <si>
    <t>Guadiaro</t>
  </si>
  <si>
    <t>637 00 55 50</t>
  </si>
  <si>
    <t>Imagen Natural Beauty</t>
  </si>
  <si>
    <t>C. Teniente Peñalver, 5, 11660 Prado del Rey, Cádiz</t>
  </si>
  <si>
    <t>Prado del Rey</t>
  </si>
  <si>
    <t>C. Alfonso XI, 21, 11201 Algeciras, Cádiz</t>
  </si>
  <si>
    <t>Algeciras</t>
  </si>
  <si>
    <t>956 63 27 89</t>
  </si>
  <si>
    <t>Herbolario de Ana</t>
  </si>
  <si>
    <t>C. de Clara Campoamor, 1, 11600 Ubrique, Cádiz</t>
  </si>
  <si>
    <t>HERBOLARIO LA MATA</t>
  </si>
  <si>
    <t>C. Botica, 15, B, 11650 Villamartin, Cádiz</t>
  </si>
  <si>
    <t>Villamartin</t>
  </si>
  <si>
    <t>956 73 06 79</t>
  </si>
  <si>
    <t>SANTIVERI</t>
  </si>
  <si>
    <t>C. Alfonso XI, 15, BAJO, 11201 Algeciras, Cádiz</t>
  </si>
  <si>
    <t>santiverialgeciras.com</t>
  </si>
  <si>
    <t>956 66 39 67</t>
  </si>
  <si>
    <t>santiverialgeciras@gmail.com</t>
  </si>
  <si>
    <t>Herboristería Sanat</t>
  </si>
  <si>
    <t>C. San Pablo, 18, 11300 La Línea de la Concepción, Cádiz</t>
  </si>
  <si>
    <t>La Línea de la Concepción</t>
  </si>
  <si>
    <t>956 76 08 83</t>
  </si>
  <si>
    <t>Av. España, 0, 11205 Algeciras, Cádiz</t>
  </si>
  <si>
    <t>956 09 63 53</t>
  </si>
  <si>
    <t>Puntosana</t>
  </si>
  <si>
    <t>Pje. el Calvario, 3, 11360 San Roque, Cádiz</t>
  </si>
  <si>
    <t>San Roque</t>
  </si>
  <si>
    <t>puntosana.com</t>
  </si>
  <si>
    <t>619 83 05 90</t>
  </si>
  <si>
    <t>info@puntosana.com</t>
  </si>
  <si>
    <t>Herboristería Integral</t>
  </si>
  <si>
    <t>C. Sevilla, 58, 11201 Algeciras, Cádiz</t>
  </si>
  <si>
    <t>956 63 34 68</t>
  </si>
  <si>
    <t>El Herbolario</t>
  </si>
  <si>
    <t>C. Canalejas, 5, 11680 Algodonales, Cádiz</t>
  </si>
  <si>
    <t>Algodonales</t>
  </si>
  <si>
    <t>653 78 72 52</t>
  </si>
  <si>
    <t>El Herbolario de Mari</t>
  </si>
  <si>
    <t>C. San Sebastián, 62, 11600 Ubrique, Cádiz</t>
  </si>
  <si>
    <t>Herbolario Jadra</t>
  </si>
  <si>
    <t>Urbanización Villa Getares, Av. 28 de Febrero, 33, 11207 Algeciras, Cádiz</t>
  </si>
  <si>
    <t>856 12 46 46</t>
  </si>
  <si>
    <t>Gemas Mágicas</t>
  </si>
  <si>
    <t>C. Vega Maldonado, 11370 Los Barrios, Cádiz</t>
  </si>
  <si>
    <t>Los Barrios</t>
  </si>
  <si>
    <t>634 53 42 80</t>
  </si>
  <si>
    <t>LA BIOBODEGUITA</t>
  </si>
  <si>
    <t>C. Batalla del Salado, 88, 11380 Tarifa, Cádiz</t>
  </si>
  <si>
    <t>856 52 90 79</t>
  </si>
  <si>
    <t>Herboristería Reina</t>
  </si>
  <si>
    <t>C. Torres Quevedo, 7, 29004 Málaga</t>
  </si>
  <si>
    <t>Málaga</t>
  </si>
  <si>
    <t>952 17 06 58</t>
  </si>
  <si>
    <t>HERBOLARIO ALOE VERA</t>
  </si>
  <si>
    <t>C/ León XIII, 35, 41009 Sevilla</t>
  </si>
  <si>
    <t>954 90 22 46</t>
  </si>
  <si>
    <t>Herboristería Azahar</t>
  </si>
  <si>
    <t>Av. Gregorio de Diego, 13, 29004 Málaga</t>
  </si>
  <si>
    <t>Herboristería Ecotienda Bio.Sostoa (Biogloria Sostoa)</t>
  </si>
  <si>
    <t>C. Héroe de Sostoa, 88, 29002 Málaga</t>
  </si>
  <si>
    <t>herboristerialagloria.com</t>
  </si>
  <si>
    <t>951 69 04 86</t>
  </si>
  <si>
    <t>info@herboristerialagloria.com</t>
  </si>
  <si>
    <t>Herbolario El Greco</t>
  </si>
  <si>
    <t>Avenida el Greco, C. las Sevillanas, esquina, 41007 Sevilla</t>
  </si>
  <si>
    <t>954 67 34 57</t>
  </si>
  <si>
    <t>C. Deanes, 1, 14003 Córdoba</t>
  </si>
  <si>
    <t>Dietisur SL</t>
  </si>
  <si>
    <t>Ctra. Sevilla-Cádiz, 5557, 41703 Dos Hermanas, Sevilla</t>
  </si>
  <si>
    <t>Dos Hermanas</t>
  </si>
  <si>
    <t>dietisur.es</t>
  </si>
  <si>
    <t>955 11 15 00</t>
  </si>
  <si>
    <t>web@dietisur.es</t>
  </si>
  <si>
    <t>Herbolario Córdoba (Planta Viva)</t>
  </si>
  <si>
    <t>Av. del Aeropuerto, 7, 14004 Córdoba</t>
  </si>
  <si>
    <t>herbolarioplantaviva.com</t>
  </si>
  <si>
    <t>649 78 35 29</t>
  </si>
  <si>
    <t>info@herbolarioplantaviva.com</t>
  </si>
  <si>
    <t>Herbolario Córdoba | Santiveri - Herbolarea</t>
  </si>
  <si>
    <t>Av. Guerrita, 28, 14005 Córdoba</t>
  </si>
  <si>
    <t>herbolarea.es</t>
  </si>
  <si>
    <t>692 10 77 98</t>
  </si>
  <si>
    <t>Herboristería la Milagrosa</t>
  </si>
  <si>
    <t>Av. Carlos III, 9, 14014 Córdoba</t>
  </si>
  <si>
    <t>642 90 29 50</t>
  </si>
  <si>
    <t>Herbodietética San Rafael -Centro de Salud Natural</t>
  </si>
  <si>
    <t>Av. de las Ollerías, 11, LOCAL, 14001 Córdoba</t>
  </si>
  <si>
    <t>herbodieteticasanrafael.com</t>
  </si>
  <si>
    <t>957 47 93 58</t>
  </si>
  <si>
    <t>herbsrafael@yahoo.es</t>
  </si>
  <si>
    <t>Herboristería Cordobesa</t>
  </si>
  <si>
    <t>C. Antonio Maura, 57, 14005 Córdoba</t>
  </si>
  <si>
    <t>957 23 76 20</t>
  </si>
  <si>
    <t>Herboristería La Hiedra</t>
  </si>
  <si>
    <t>C. Sagunto, 17, 14007 Córdoba</t>
  </si>
  <si>
    <t>957 25 84 62</t>
  </si>
  <si>
    <t>Herbolario Madre Tierra - Tienda Esotérica - Minerales -Córdoba</t>
  </si>
  <si>
    <t>Pl. Antonio Fernández Grilo, 9, 14008 Córdoba</t>
  </si>
  <si>
    <t>957 94 65 05</t>
  </si>
  <si>
    <t>Artemisa Herboristería y Terapias Naturales</t>
  </si>
  <si>
    <t>Av. Carlos III, 38, 14014 Córdoba</t>
  </si>
  <si>
    <t>957 07 14 36</t>
  </si>
  <si>
    <t>Natur House</t>
  </si>
  <si>
    <t>C. Doce de Octubre, 9, 14001 Córdoba</t>
  </si>
  <si>
    <t>naturhouse.es</t>
  </si>
  <si>
    <t>957 48 30 68</t>
  </si>
  <si>
    <t>atencionalcliente@naturhouse.es</t>
  </si>
  <si>
    <t>HERBOLARIO ( EL RINCONCITO DE LELI Y SEUR)</t>
  </si>
  <si>
    <t>14008 Córdoba</t>
  </si>
  <si>
    <t>Francisca Rider Sánchez</t>
  </si>
  <si>
    <t>Pl. de Aladreros, 9, 14008 Córdoba</t>
  </si>
  <si>
    <t>EL HERBOLARIO DE ANA</t>
  </si>
  <si>
    <t>C. Cruz Conde, 21, 14001 Córdoba</t>
  </si>
  <si>
    <t>957 84 07 23</t>
  </si>
  <si>
    <t>Herboristeria Cordoba</t>
  </si>
  <si>
    <t>Av. de América, s/n, 14011 Córdoba</t>
  </si>
  <si>
    <t>EL RINCÓN DEL BIENESTAR - La Tienda de Pilatesdance Zoco</t>
  </si>
  <si>
    <t>C. José Dámaso &amp;quot;Pepete&amp;quot;, 15, 14005 Córdoba</t>
  </si>
  <si>
    <t>957 08 26 88</t>
  </si>
  <si>
    <t>Lux Herbo</t>
  </si>
  <si>
    <t>C. Úbeda, 8, 14013 Córdoba</t>
  </si>
  <si>
    <t>Herbolario El Árbol del Te</t>
  </si>
  <si>
    <t>Av. de la Viñuela, 14, 14010 Córdoba</t>
  </si>
  <si>
    <t>Mundo Herbolario</t>
  </si>
  <si>
    <t>Calle Isla Formentera &amp;amp;, Gta. Amadora, 14011 Córdoba</t>
  </si>
  <si>
    <t>mundoherbolariocordoba.es</t>
  </si>
  <si>
    <t>957 04 35 37</t>
  </si>
  <si>
    <t>mundoherbolariocordoba@gmail.com</t>
  </si>
  <si>
    <t>La Ventana Natural Córdoba</t>
  </si>
  <si>
    <t>Avenida Medina Azahara 43 ALCALDE FDEZ. DE MESA PORRAS, nº2, Local-3, 14005 Córdoba</t>
  </si>
  <si>
    <t>957 81 92 61</t>
  </si>
  <si>
    <t>El Rinconcito de Leli</t>
  </si>
  <si>
    <t>Av. de América, 11, 14008 Córdoba</t>
  </si>
  <si>
    <t>603 79 02 41</t>
  </si>
  <si>
    <t>AROMATIC CBD</t>
  </si>
  <si>
    <t>C. el Almendro, 4, 14006 Córdoba</t>
  </si>
  <si>
    <t>aromaticbd.com</t>
  </si>
  <si>
    <t>681 80 19 45</t>
  </si>
  <si>
    <t>unnamed_x70@2x.png</t>
  </si>
  <si>
    <t>Herbodietetica El Azahar</t>
  </si>
  <si>
    <t>Resd. Las Palmeras L-5, Ctra. de Madrid, 14610 Córdoba</t>
  </si>
  <si>
    <t>957 32 08 95</t>
  </si>
  <si>
    <t>Herboristería El Bosque</t>
  </si>
  <si>
    <t>C. Federico García Lorca, 22, 14720 Almodóvar del Río, Córdoba</t>
  </si>
  <si>
    <t>Almodóvar del Río</t>
  </si>
  <si>
    <t>957 71 36 88</t>
  </si>
  <si>
    <t>El Palmito Herbolario y Ecotienda</t>
  </si>
  <si>
    <t>C. Golmayo, Local 2, 14730 Posadas, Córdoba</t>
  </si>
  <si>
    <t>Posadas</t>
  </si>
  <si>
    <t>644 06 24 03</t>
  </si>
  <si>
    <t>El Herbolario de Pilar</t>
  </si>
  <si>
    <t>C. Conde de Campomanes, 14100 La Carlota, Córdoba</t>
  </si>
  <si>
    <t>Adamuz</t>
  </si>
  <si>
    <t>elherbolariodepilar.com</t>
  </si>
  <si>
    <t>957 30 17 24</t>
  </si>
  <si>
    <t>info@elherbolariodepilar.com</t>
  </si>
  <si>
    <t>Darégal</t>
  </si>
  <si>
    <t>Carretera Aldea Quintana Puente Genil, 0 Km 42 5 ( A-379 ), 14546 Santaella, Córdoba</t>
  </si>
  <si>
    <t>Santaella</t>
  </si>
  <si>
    <t>daregal.fr</t>
  </si>
  <si>
    <t>957 31 33 55</t>
  </si>
  <si>
    <t>service.consommateur@daregal.fr</t>
  </si>
  <si>
    <t>Herbolario CasmaSalud</t>
  </si>
  <si>
    <t>C. Cervantes, 17, Local Izqda, 14600 Montoro, Córdoba</t>
  </si>
  <si>
    <t>Montoro</t>
  </si>
  <si>
    <t>casmasalud.es</t>
  </si>
  <si>
    <t>957 16 24 15</t>
  </si>
  <si>
    <t>herbolariomontoro@casmasalud.es</t>
  </si>
  <si>
    <t>ECO-HERBOLARIO &amp;quot;MUY NATURAL&amp;quot; Tienda Esotérica. Minerales. Inciensos</t>
  </si>
  <si>
    <t>C. de la Vendimia, 8, 14550 Montilla, Córdoba</t>
  </si>
  <si>
    <t>Montilla</t>
  </si>
  <si>
    <t>tiendamuynatural.com</t>
  </si>
  <si>
    <t>957 65 12 87</t>
  </si>
  <si>
    <t>wordpress@example.com</t>
  </si>
  <si>
    <t>NutriSana</t>
  </si>
  <si>
    <t>C. San Francisco Solano, 3, 14550 Montilla, Córdoba</t>
  </si>
  <si>
    <t>nutrisanamontilla.com</t>
  </si>
  <si>
    <t>957 65 65 71</t>
  </si>
  <si>
    <t>Beatriz Barba Ortiz</t>
  </si>
  <si>
    <t>Av. de Andalucía, 19, 14550 Montilla, Córdoba</t>
  </si>
  <si>
    <t>649 54 92 44</t>
  </si>
  <si>
    <t>Herbolario Armonía</t>
  </si>
  <si>
    <t>C. Mesones, 3, 14800 Priego de Córdoba, Córdoba</t>
  </si>
  <si>
    <t>herbarmonia.com</t>
  </si>
  <si>
    <t>957 96 72 31</t>
  </si>
  <si>
    <t>info@herbarmonia.com</t>
  </si>
  <si>
    <t>Mi Natura &amp;amp; Rosa M. Baños</t>
  </si>
  <si>
    <t>C. Prta de Aguilar, 20, 14550 Montilla, Córdoba</t>
  </si>
  <si>
    <t>HERBOLARIO DIATETICA</t>
  </si>
  <si>
    <t>Pje. Juan Palma García, 12, 14900 Lucena, Córdoba</t>
  </si>
  <si>
    <t>Lucena</t>
  </si>
  <si>
    <t>628 37 83 13</t>
  </si>
  <si>
    <t>Francisco Rosa González</t>
  </si>
  <si>
    <t>Av de Andalucía, 4-A, 14940 Cabra, Córdoba</t>
  </si>
  <si>
    <t>Cabra</t>
  </si>
  <si>
    <t>957 52 12 59</t>
  </si>
  <si>
    <t>ECO-HERBOLARIO MUY NATURAL TIENDA ESOTERICA MINERALES INCIENSOS</t>
  </si>
  <si>
    <t>C. Dos de Mayo, 7, 14500 Puente Genil, Córdoba</t>
  </si>
  <si>
    <t>Puente Genil</t>
  </si>
  <si>
    <t>957 60 44 02</t>
  </si>
  <si>
    <t>Herbolario Rincón Natural</t>
  </si>
  <si>
    <t>Av. de la Estación, 61, 14500 Puente Genil, Córdoba</t>
  </si>
  <si>
    <t>957 60 77 63</t>
  </si>
  <si>
    <t>Rosario Mollar</t>
  </si>
  <si>
    <t>C. Julio Romero de Torres, 21, 14900 Lucena, Córdoba</t>
  </si>
  <si>
    <t>957 51 32 81</t>
  </si>
  <si>
    <t>Bernal Valverde Nutrición C B</t>
  </si>
  <si>
    <t>C. Salvador Muñoz, 40, 14850 Baena, Córdoba</t>
  </si>
  <si>
    <t>Baena</t>
  </si>
  <si>
    <t>957 69 00 91</t>
  </si>
  <si>
    <t>HerbolarioEnCasa.com venta online</t>
  </si>
  <si>
    <t>C. Treinta y Uno de Octubre, 75, 14960 Rute, Córdoba</t>
  </si>
  <si>
    <t>Rute</t>
  </si>
  <si>
    <t>herbolarioencasa.com</t>
  </si>
  <si>
    <t>690 08 97 65</t>
  </si>
  <si>
    <t>info@herbolarioencasa.com</t>
  </si>
  <si>
    <t>Herbolario Menta</t>
  </si>
  <si>
    <t>C. Ruiz Frías, 26, Local, 14850 Baena, Córdoba</t>
  </si>
  <si>
    <t>649 61 13 89</t>
  </si>
  <si>
    <t>Ptissana Herbolario</t>
  </si>
  <si>
    <t>C. el Peso, 86, 14900 Lucena, Córdoba</t>
  </si>
  <si>
    <t>857 80 50 76</t>
  </si>
  <si>
    <t>La Ventana Natural de BAENA</t>
  </si>
  <si>
    <t>C. Salvador Muñoz, 36, B bajo, 14850 Baena, Córdoba</t>
  </si>
  <si>
    <t>957 69 09 18</t>
  </si>
  <si>
    <t>María del Pilar Caballero Rubio</t>
  </si>
  <si>
    <t>C. la Luna, 45, 14200 Peñarroya-Pueblonuevo, Córdoba</t>
  </si>
  <si>
    <t>Peñarroya-Pueblonuevo</t>
  </si>
  <si>
    <t>957 57 09 67</t>
  </si>
  <si>
    <t>Herbodietética M&amp;amp;S All Nature</t>
  </si>
  <si>
    <t>Pl. Palenque, 9, 14800 Priego de Córdoba, Córdoba</t>
  </si>
  <si>
    <t>610 44 49 17</t>
  </si>
  <si>
    <t>Herboristería El Valle</t>
  </si>
  <si>
    <t>C. Federico García Lorca, 16, 14900 Lucena, Córdoba</t>
  </si>
  <si>
    <t>957 50 15 12</t>
  </si>
  <si>
    <t>ACEITES ANSORENA &amp;amp; ASOC. S.L.</t>
  </si>
  <si>
    <t>C. del Aceite, 7, 14850 Baena, Córdoba</t>
  </si>
  <si>
    <t>aceitesansorena.com</t>
  </si>
  <si>
    <t>957 67 05 84</t>
  </si>
  <si>
    <t>pedidos@aceitesansorena.com</t>
  </si>
  <si>
    <t>LA DESPENSA SALUDABLE</t>
  </si>
  <si>
    <t>14640, C. Blas Infante, 30 DERECHA, 14640 Villa del Río, Córdoba</t>
  </si>
  <si>
    <t>Villa del Río</t>
  </si>
  <si>
    <t>643 24 98 90</t>
  </si>
  <si>
    <t>El herbolario de salud</t>
  </si>
  <si>
    <t>Av. Santa Ana, N1, 14700 Palma del Río, Córdoba</t>
  </si>
  <si>
    <t>Palma del Río</t>
  </si>
  <si>
    <t>642 53 67 13</t>
  </si>
  <si>
    <t>Herbodietetica Armonia: belleza, salud y bienestar</t>
  </si>
  <si>
    <t>C. Luis Braille, Nº12, 14840 Castro del Río, Córdoba</t>
  </si>
  <si>
    <t>Castro del Río</t>
  </si>
  <si>
    <t>646 14 02 99</t>
  </si>
  <si>
    <t>Samadhi</t>
  </si>
  <si>
    <t>C. Rda. de los Muñoces, 5, 14400 Pozoblanco, Córdoba</t>
  </si>
  <si>
    <t>Pozoblanco</t>
  </si>
  <si>
    <t>Centronatur Tu Herbolario</t>
  </si>
  <si>
    <t>C. Conde, 13, 41400 Écija, Sevilla</t>
  </si>
  <si>
    <t>Écija</t>
  </si>
  <si>
    <t>671 69 63 82</t>
  </si>
  <si>
    <t>Naturasunta Eco Tienda y Herbolario</t>
  </si>
  <si>
    <t>C. Merecillas, 19, 29200 Antequera, Málaga</t>
  </si>
  <si>
    <t>Antequera</t>
  </si>
  <si>
    <t>naturasunta.com</t>
  </si>
  <si>
    <t>952 70 38 84</t>
  </si>
  <si>
    <t>Herbolario/ Especias CUIDA-Té</t>
  </si>
  <si>
    <t>Mercado de Feria, Feria, 98, Puesto 88, 41003 Sevilla</t>
  </si>
  <si>
    <t>cuidate.business.site</t>
  </si>
  <si>
    <t>637 78 60 06</t>
  </si>
  <si>
    <t>Herbolario Nutriawen</t>
  </si>
  <si>
    <t>C. Córdoba, 5, 28830 San Fernando de Henares, Madrid</t>
  </si>
  <si>
    <t>San Fernando de Henares</t>
  </si>
  <si>
    <t>Madrid</t>
  </si>
  <si>
    <t>627 72 94 39</t>
  </si>
  <si>
    <t>Herbolario Bamel Parafarmacia</t>
  </si>
  <si>
    <t>18004, Cam. de Rda., 102, 18004 Granada</t>
  </si>
  <si>
    <t>958 25 42 48</t>
  </si>
  <si>
    <t>Herbolario Cumbres Verdes Granada</t>
  </si>
  <si>
    <t>Pl. Pescadería, 2, 18001 Granada</t>
  </si>
  <si>
    <t>635 32 77 18</t>
  </si>
  <si>
    <t>Arganium Natural</t>
  </si>
  <si>
    <t>C. Alhamar, 25, 18005 Granada</t>
  </si>
  <si>
    <t>arganiumnatural.com</t>
  </si>
  <si>
    <t>958 56 75 46</t>
  </si>
  <si>
    <t>Herbolario Ganivet</t>
  </si>
  <si>
    <t>galería comercial, C. Ángel Ganivet, 5, 18009 Granada</t>
  </si>
  <si>
    <t>958 22 56 86</t>
  </si>
  <si>
    <t>Herbolarios Granadiet Martínez Campos</t>
  </si>
  <si>
    <t>C. Martínez Campos, nº11, 18002 Granada</t>
  </si>
  <si>
    <t>granadiet.com</t>
  </si>
  <si>
    <t>958 08 22 72</t>
  </si>
  <si>
    <t>granadiet@granadiet.com</t>
  </si>
  <si>
    <t>Herbolario Granadiet Mesones</t>
  </si>
  <si>
    <t>C. Montereros, 2, 18002 Granada</t>
  </si>
  <si>
    <t>958 56 74 88</t>
  </si>
  <si>
    <t>Herbolario Granadiet - Méndez Núñez</t>
  </si>
  <si>
    <t>C. Méndez Núñez, 2, 18003 Granada</t>
  </si>
  <si>
    <t>958 72 46 20</t>
  </si>
  <si>
    <t>HERBOLARIO ARTEMISA Granada</t>
  </si>
  <si>
    <t>C. Carril del Picón, nº12, 18002 Granada</t>
  </si>
  <si>
    <t>herbolarioartemisagranada.es</t>
  </si>
  <si>
    <t>958 26 04 60</t>
  </si>
  <si>
    <t>consultas@herbolarioartemisa.es</t>
  </si>
  <si>
    <t>Júpiter</t>
  </si>
  <si>
    <t>C. San Antón, 67, 18005 Granada</t>
  </si>
  <si>
    <t>herbolariojupiter.com</t>
  </si>
  <si>
    <t>958 25 44 11</t>
  </si>
  <si>
    <t>Herbolario Ramón</t>
  </si>
  <si>
    <t>C. Natalio Rivas, 1, 18001 Granada</t>
  </si>
  <si>
    <t>958 27 13 43</t>
  </si>
  <si>
    <t>Herbolario San Pablo</t>
  </si>
  <si>
    <t>Av. de Madrid, 31, 18012 Granada</t>
  </si>
  <si>
    <t>958 16 07 44</t>
  </si>
  <si>
    <t>Herbolario Albahaca</t>
  </si>
  <si>
    <t>C. Alonso Quijano, 4, 18008 Granada</t>
  </si>
  <si>
    <t>958 81 37 12</t>
  </si>
  <si>
    <t>Herbolario Granadiet- Emperatriz Eugenia</t>
  </si>
  <si>
    <t>C. Emperatriz Eugenia, 15, 18002 Granada</t>
  </si>
  <si>
    <t>858 90 63 41</t>
  </si>
  <si>
    <t>Humilladero</t>
  </si>
  <si>
    <t>Pl. del Humilladero, 5, 18005 Granada</t>
  </si>
  <si>
    <t>958 22 72 39</t>
  </si>
  <si>
    <t>Herbolario HERBOSALUD Ocaña, GRANADA</t>
  </si>
  <si>
    <t>C. Bruselas, 36, 18008 Granada</t>
  </si>
  <si>
    <t>958 13 53 11</t>
  </si>
  <si>
    <t>Herboneveros herbolario</t>
  </si>
  <si>
    <t>Cam. Real de los Neveros, 3, 18008 Granada</t>
  </si>
  <si>
    <t>958 99 55 00</t>
  </si>
  <si>
    <t>Herbolario Teresa</t>
  </si>
  <si>
    <t>C. Palencia, 0, 18007 Granada</t>
  </si>
  <si>
    <t>858 98 23 61</t>
  </si>
  <si>
    <t>Baleares</t>
  </si>
  <si>
    <t>C. Doña Rosita, 13, 18007 Granada</t>
  </si>
  <si>
    <t>958 13 09 53</t>
  </si>
  <si>
    <t>Ecotienda El Panadero Loco</t>
  </si>
  <si>
    <t>C. Calderería Nueva, 14, 18010 Granada</t>
  </si>
  <si>
    <t>elpanaderoloco.com</t>
  </si>
  <si>
    <t>958 22 92 79</t>
  </si>
  <si>
    <t>ecotienda@elpanaderoloco.com</t>
  </si>
  <si>
    <t>Herbolarios Dimam</t>
  </si>
  <si>
    <t>C. Calderón de la Barca, 9, 18006 Granada</t>
  </si>
  <si>
    <t>958 81 55 75</t>
  </si>
  <si>
    <t>Herbolario Baobab</t>
  </si>
  <si>
    <t>C. Periodista José María Carulla, 4, Local 6, 18014 Granada</t>
  </si>
  <si>
    <t>958 17 65 89</t>
  </si>
  <si>
    <t>C. Virgen del Monte, 5, 18015 Granada</t>
  </si>
  <si>
    <t>herbolariosdimam.es</t>
  </si>
  <si>
    <t>958 20 68 06</t>
  </si>
  <si>
    <t>info@herbolariosdimam.es</t>
  </si>
  <si>
    <t>Herbolario Centro Holistico Como Ayer</t>
  </si>
  <si>
    <t>Arabial, 122, 18003 Granada</t>
  </si>
  <si>
    <t>606 29 15 25</t>
  </si>
  <si>
    <t>Salud Natural</t>
  </si>
  <si>
    <t>Calle Trinidad, 5, 18001 Granada</t>
  </si>
  <si>
    <t>640 01 74 68</t>
  </si>
  <si>
    <t>Leonor Ávila Mata</t>
  </si>
  <si>
    <t>Av. de Madrid, 23, 18012 Granada</t>
  </si>
  <si>
    <t>958 84 22 62</t>
  </si>
  <si>
    <t>Mi HERBOLARIO</t>
  </si>
  <si>
    <t>Edifi. Boreal, C. Joaquina Eguaras, 5, 18013 Granada</t>
  </si>
  <si>
    <t>958 97 67 29</t>
  </si>
  <si>
    <t>La Botica Natural</t>
  </si>
  <si>
    <t>Av. de Dílar, 100B, 18007 Granada</t>
  </si>
  <si>
    <t>958 11 85 46</t>
  </si>
  <si>
    <t>Herbolario Siluete Salud Natural</t>
  </si>
  <si>
    <t>C. Poeta Manuel de Góngora, 3, 18008 Granada</t>
  </si>
  <si>
    <t>herbolariogranada.com</t>
  </si>
  <si>
    <t>685 61 39 02</t>
  </si>
  <si>
    <t>Herbolario Palencia</t>
  </si>
  <si>
    <t>C. Palencia, 1, 18007 Granada</t>
  </si>
  <si>
    <t>herbolariolasalud.es</t>
  </si>
  <si>
    <t>958 81 83 00</t>
  </si>
  <si>
    <t>hola@herboristerialasalud.com</t>
  </si>
  <si>
    <t>Herbolario Adara</t>
  </si>
  <si>
    <t>C. Tete Montoliú, 12, 18013 Granada</t>
  </si>
  <si>
    <t>herbolarioadara.es</t>
  </si>
  <si>
    <t>958 56 60 55</t>
  </si>
  <si>
    <t>info@herbolarioadara.es</t>
  </si>
  <si>
    <t>Francisca Fernández Ordóñez</t>
  </si>
  <si>
    <t>C. Bernarda Alba, 1, 18007 Granada</t>
  </si>
  <si>
    <t>El herbolario ecológico</t>
  </si>
  <si>
    <t>C. Faisán, 10, 18014 Granada</t>
  </si>
  <si>
    <t>elherbolarioecologico.es</t>
  </si>
  <si>
    <t>629 71 58 91</t>
  </si>
  <si>
    <t>info@elherbolarioecologico.es</t>
  </si>
  <si>
    <t>Herbolario Granadiet C/Poeta Manuel de Góngora,6</t>
  </si>
  <si>
    <t>C. Poeta Manuel de Góngora, 18006 Granada</t>
  </si>
  <si>
    <t>858 90 63 40</t>
  </si>
  <si>
    <t>Caléndula Herbolario Granada</t>
  </si>
  <si>
    <t>Cam. de Rda., 180, Local 2, 18003 Granada</t>
  </si>
  <si>
    <t>instagram.com</t>
  </si>
  <si>
    <t>958 17 48 56</t>
  </si>
  <si>
    <t>CARMEN SABOR Y SALUD</t>
  </si>
  <si>
    <t>Merca 80, C. Palencia, Nº 20, 18007 Granada</t>
  </si>
  <si>
    <t>carmensaborysalud.com</t>
  </si>
  <si>
    <t>647 58 95 68</t>
  </si>
  <si>
    <t>Herbolario Granadiet Hípica</t>
  </si>
  <si>
    <t>Parada Metro Hipica, Av. de América, 38, 18006 Granada</t>
  </si>
  <si>
    <t>958 11 60 34</t>
  </si>
  <si>
    <t>La Milana bonita</t>
  </si>
  <si>
    <t>Parada bus 11, SO y S2 a 3 minutos, Cam. Bajo de Huétor, 53, local 3, 18008 Granada</t>
  </si>
  <si>
    <t>652 98 19 91</t>
  </si>
  <si>
    <t>Centro holístico y herboristería Alma y Tierra</t>
  </si>
  <si>
    <t>C. Ancha de Capuchinos, 14, 18012 Granada</t>
  </si>
  <si>
    <t>almaytierra.com</t>
  </si>
  <si>
    <t>605 57 64 48</t>
  </si>
  <si>
    <t>info@almaytierra.com</t>
  </si>
  <si>
    <t>Herbolario Patricia</t>
  </si>
  <si>
    <t>Av. de Cadiz, 22, local 2, 18006 Granada</t>
  </si>
  <si>
    <t>661 78 06 34</t>
  </si>
  <si>
    <t>Dietética y Salud Raíces</t>
  </si>
  <si>
    <t>Ctra. de Málaga, 41, 18015 Granada</t>
  </si>
  <si>
    <t>958 27 33 88</t>
  </si>
  <si>
    <t>Medicalnatur</t>
  </si>
  <si>
    <t>Plaza de Fontiveros, Pje. de Lirios, 12, 18006 Urb. los Vergeles, Granada</t>
  </si>
  <si>
    <t>958 07 75 86</t>
  </si>
  <si>
    <t>Experiencia CBD</t>
  </si>
  <si>
    <t>Fuente de las Batallas, C. Acera del Casino, 15, local 5, 18009 Granada</t>
  </si>
  <si>
    <t>605 92 99 83</t>
  </si>
  <si>
    <t>Merlo Y Torrente</t>
  </si>
  <si>
    <t>Venecia, 29, Bajo, 18100 Armilla, Granada</t>
  </si>
  <si>
    <t>Armilla</t>
  </si>
  <si>
    <t>merloytorrente.es</t>
  </si>
  <si>
    <t>958 55 27 15</t>
  </si>
  <si>
    <t>info@merloytorrente.es</t>
  </si>
  <si>
    <t>Herbolario El Roble</t>
  </si>
  <si>
    <t>C. Sevilla, 53, 18100 Armilla, Granada</t>
  </si>
  <si>
    <t>herbolarioelroble.com</t>
  </si>
  <si>
    <t>958 55 29 29</t>
  </si>
  <si>
    <t>Espacio Natura Herbolario</t>
  </si>
  <si>
    <t>Calle Dr. Barraquer, 1, 3, 18220 Albolote, Granada</t>
  </si>
  <si>
    <t>Albolote</t>
  </si>
  <si>
    <t>espacionaturaherbolario.com</t>
  </si>
  <si>
    <t>958 04 23 38</t>
  </si>
  <si>
    <t>herbolarioespacionatura@gmail.com</t>
  </si>
  <si>
    <t>Granadiet</t>
  </si>
  <si>
    <t>Polígono Tecnológico San Nicolás, C/ La Coruña, nº 15, 18151 Ogíjares, Granada</t>
  </si>
  <si>
    <t>Ogíjares</t>
  </si>
  <si>
    <t>958 50 65 36</t>
  </si>
  <si>
    <t>FÓRMULA NATURAL</t>
  </si>
  <si>
    <t>C. Sta. Lucía, 30, 18194 Churriana de la Vega, Granada</t>
  </si>
  <si>
    <t>Churriana de la Vega</t>
  </si>
  <si>
    <t>formula-natural.business.site</t>
  </si>
  <si>
    <t>655 99 78 51</t>
  </si>
  <si>
    <t>Herbolario de Valle.</t>
  </si>
  <si>
    <t>C. Real de Motril, 75, 18100 Armilla, Granada</t>
  </si>
  <si>
    <t>958 57 09 19</t>
  </si>
  <si>
    <t>C. Veracruz, 18151 Ogíjares, Granada</t>
  </si>
  <si>
    <t>958 96 11 65</t>
  </si>
  <si>
    <t>Complementos Fitonutricionales</t>
  </si>
  <si>
    <t>Av. Madrid, 2, 18220 Albolote, Granada</t>
  </si>
  <si>
    <t>958 49 11 33</t>
  </si>
  <si>
    <t>Herbolario Nenúfar IV</t>
  </si>
  <si>
    <t>C. Isabel la Católica, 5, 18320 Santa Fe, Granada</t>
  </si>
  <si>
    <t>Santa Fe</t>
  </si>
  <si>
    <t>958 50 63 33</t>
  </si>
  <si>
    <t>Merinat</t>
  </si>
  <si>
    <t>C. Camilo José Cela, 6, 18210 Peligros, Granada</t>
  </si>
  <si>
    <t>Peligros</t>
  </si>
  <si>
    <t>958 40 53 32</t>
  </si>
  <si>
    <t>Herbolario La Salud</t>
  </si>
  <si>
    <t>C. García Lorca, 10, 18140 La Zubia, Granada</t>
  </si>
  <si>
    <t>La Zubia</t>
  </si>
  <si>
    <t>958 89 12 00</t>
  </si>
  <si>
    <t>Herbolario Carmen</t>
  </si>
  <si>
    <t>Plaza Zubicentro, Nº 1, 18140 La Zubia, Granada</t>
  </si>
  <si>
    <t>herbolariocarmen.es</t>
  </si>
  <si>
    <t>958 59 00 25</t>
  </si>
  <si>
    <t>contacto@herbolariocarmen.es</t>
  </si>
  <si>
    <t>Centro Vital</t>
  </si>
  <si>
    <t>C. García Lorca, 19, 18140 La Zubia, Granada</t>
  </si>
  <si>
    <t>centrovital.wixsite.com</t>
  </si>
  <si>
    <t>958 05 55 64</t>
  </si>
  <si>
    <t>José Castillo Quesada</t>
  </si>
  <si>
    <t>C. Carmen Martín Gaite, 18140 Zubia (la), Granada</t>
  </si>
  <si>
    <t>Agrón</t>
  </si>
  <si>
    <t>958 59 07 08</t>
  </si>
  <si>
    <t>C. Lepanto, 7, 18220 Albolote, Granada</t>
  </si>
  <si>
    <t>900 351 489</t>
  </si>
  <si>
    <t>El Herbolario la Spezia</t>
  </si>
  <si>
    <t>C. de la Cárcel, 4, 18230 Atarfe, Granada</t>
  </si>
  <si>
    <t>Atarfe</t>
  </si>
  <si>
    <t>elherbolarionatural.es</t>
  </si>
  <si>
    <t>670 06 54 86</t>
  </si>
  <si>
    <t>herbolariolaspezia@gmail.com</t>
  </si>
  <si>
    <t>Herbolario y Parafarmacia Las nieves - Las Gabias</t>
  </si>
  <si>
    <t>C. Real de Málaga, 2, 18110 Las Gabias, Granada</t>
  </si>
  <si>
    <t>Las Gabias</t>
  </si>
  <si>
    <t>herbolariolasnieves.es</t>
  </si>
  <si>
    <t>858 69 10 03</t>
  </si>
  <si>
    <t>NATURISSIMA, Herbolario. OSTEOPATÍA, QUIROMASAJE Y ACUPUNTURA</t>
  </si>
  <si>
    <t>C. Teotihuacán, 1, local 3, 18320 Santa Fe, Granada</t>
  </si>
  <si>
    <t>678 23 86 99</t>
  </si>
  <si>
    <t>Herbolario Purísima</t>
  </si>
  <si>
    <t>C. Teatro, 2, 18640 Padul, Granada</t>
  </si>
  <si>
    <t>Padul</t>
  </si>
  <si>
    <t>958 77 36 14</t>
  </si>
  <si>
    <t>La Kasa del Agua</t>
  </si>
  <si>
    <t>C. Norias, 12, 18250 Valderrubio, Granada</t>
  </si>
  <si>
    <t>Valderrubio</t>
  </si>
  <si>
    <t>958 45 40 02</t>
  </si>
  <si>
    <t>Herbolistería Alacena Begoña</t>
  </si>
  <si>
    <t>Av. González Robles, 26, 18400 Órgiva, Granada</t>
  </si>
  <si>
    <t>Órgiva</t>
  </si>
  <si>
    <t>958 78 49 00</t>
  </si>
  <si>
    <t>Self-Sufficiency4u</t>
  </si>
  <si>
    <t>Cortijo de los Suenos, Apartado 79, 18420 Lanjarón, Granada</t>
  </si>
  <si>
    <t>689 03 38 10</t>
  </si>
  <si>
    <t>Herbolario Aroma y Sabores</t>
  </si>
  <si>
    <t>C. Comercio, 4, 18600 Motril, Granada</t>
  </si>
  <si>
    <t>Motril</t>
  </si>
  <si>
    <t>610 38 87 34</t>
  </si>
  <si>
    <t>Laurel</t>
  </si>
  <si>
    <t>C. Sta. María, 2, 18600 Motril, Granada</t>
  </si>
  <si>
    <t>958 82 23 84</t>
  </si>
  <si>
    <t>Herbolarios Dimam - Motril</t>
  </si>
  <si>
    <t>C. Marjalillo Bajo, 3, BAJO(HERBOLARIO, 18600 Motril, Granada</t>
  </si>
  <si>
    <t>958 60 39 76</t>
  </si>
  <si>
    <t>Armonia Herbolario</t>
  </si>
  <si>
    <t>Mercado Municipal Puesto 29, Av. Federico García Lorca, 18680 Salobreña, Granada</t>
  </si>
  <si>
    <t>Salobreña</t>
  </si>
  <si>
    <t>685 89 52 23</t>
  </si>
  <si>
    <t>Herbolario Parafarmacia Nature World</t>
  </si>
  <si>
    <t>C/ Pintor Manuel Rivera, Edif. Aguamar 1, Bajo s/n, 18690 Almuñécar, Granada</t>
  </si>
  <si>
    <t>Almuñécar</t>
  </si>
  <si>
    <t>666 00 81 39</t>
  </si>
  <si>
    <t>Herbolarios Isabel Arán Vicó</t>
  </si>
  <si>
    <t>C. Trinidad, 2, 18800 Baza, Granada</t>
  </si>
  <si>
    <t>Baza</t>
  </si>
  <si>
    <t>958 70 00 47</t>
  </si>
  <si>
    <t>C. Arquitecto Pérez Carasa, 6, 21001 Huelva</t>
  </si>
  <si>
    <t>Huelva</t>
  </si>
  <si>
    <t>959 28 62 00</t>
  </si>
  <si>
    <t>Herbolario &amp;quot;Equinácea&amp;quot;</t>
  </si>
  <si>
    <t>C. Berdigón, 18, 21003 Huelva</t>
  </si>
  <si>
    <t>herbolarioequinacea.com</t>
  </si>
  <si>
    <t>959 24 68 84</t>
  </si>
  <si>
    <t>franciscojose.moreno@gmail.com</t>
  </si>
  <si>
    <t>Romero en Flor (Herbolario y Tienda Ecológica)</t>
  </si>
  <si>
    <t>C. Amado de Lázaro, 7, 21002 Huelva</t>
  </si>
  <si>
    <t>634 07 18 77</t>
  </si>
  <si>
    <t>Centro Dietético Tu Salud es Natural</t>
  </si>
  <si>
    <t>C. José Nogales, 10, 21001 Huelva</t>
  </si>
  <si>
    <t>centrodietetico.es</t>
  </si>
  <si>
    <t>959 60 24 63</t>
  </si>
  <si>
    <t>hola@centrodietetico.es</t>
  </si>
  <si>
    <t>HERBOLARIO MADRE NATURALEZA- ISLA CHICA HUELVA</t>
  </si>
  <si>
    <t>Isla Chica enfrente del Bar San Ramón, C. Manuel Sánchez, 13, 21006 Huelva</t>
  </si>
  <si>
    <t>herbolariomadrenaturaleza.com</t>
  </si>
  <si>
    <t>641 79 43 85</t>
  </si>
  <si>
    <t>natural@herbolariomadrenaturaleza.com</t>
  </si>
  <si>
    <t>Herboristería en Huelva - Planeta Farma</t>
  </si>
  <si>
    <t>Av. José Fariña, 41, 21006 Huelva</t>
  </si>
  <si>
    <t>planeta-farma.es</t>
  </si>
  <si>
    <t>633 53 43 03</t>
  </si>
  <si>
    <t>info@planeta-farma.es</t>
  </si>
  <si>
    <t>Centro Internacional de Dietética</t>
  </si>
  <si>
    <t>C. Niebla, 1, BAJO, 21007 Huelva</t>
  </si>
  <si>
    <t>centrointernacionaldedietetica.com</t>
  </si>
  <si>
    <t>959 22 20 48</t>
  </si>
  <si>
    <t>centrointernacionaldedietetica@gmail.com</t>
  </si>
  <si>
    <t>Huelva Natural</t>
  </si>
  <si>
    <t>C. San José, 16, 21002 Huelva</t>
  </si>
  <si>
    <t>huelvanatural.es</t>
  </si>
  <si>
    <t>959 25 70 85</t>
  </si>
  <si>
    <t>Artemisa</t>
  </si>
  <si>
    <t>Av. José Muñoz de Vargas, 4, bajo, 21006 Huelva</t>
  </si>
  <si>
    <t>959 60 06 41</t>
  </si>
  <si>
    <t>Herbolario Huelva</t>
  </si>
  <si>
    <t>C. Beas, 2 (Esquina, 21006 Elice, Huelva</t>
  </si>
  <si>
    <t>658 95 73 73</t>
  </si>
  <si>
    <t>LUXMENA HERBOLARIO</t>
  </si>
  <si>
    <t>C. Montevideo, 11 -A, 21005 Huelva</t>
  </si>
  <si>
    <t>722 76 93 28</t>
  </si>
  <si>
    <t>Salud Herbal - Herbalife Distr. Independientes</t>
  </si>
  <si>
    <t>Av. Alcalde Federico Molina Orta, 15, 21006 Huelva</t>
  </si>
  <si>
    <t>644 43 75 94</t>
  </si>
  <si>
    <t>A.P. NUTRICIÓN</t>
  </si>
  <si>
    <t>C. Juan Ramón Jiménez, 2, 21800 Moguer, Huelva</t>
  </si>
  <si>
    <t>Moguer</t>
  </si>
  <si>
    <t>600 72 22 30</t>
  </si>
  <si>
    <t>BioGlobal Aljaraque</t>
  </si>
  <si>
    <t>C. Nueva, 33, 21110 Aljaraque, Huelva</t>
  </si>
  <si>
    <t>Aljaraque</t>
  </si>
  <si>
    <t>722 47 31 58</t>
  </si>
  <si>
    <t>La Casa Azul La Antilla</t>
  </si>
  <si>
    <t>Calle Delfín, 9, 21449 Lepe, Huelva</t>
  </si>
  <si>
    <t>Lepe</t>
  </si>
  <si>
    <t>662 01 12 63</t>
  </si>
  <si>
    <t>Bionatura Herbodietética - Tu centro de Bienestar en Lepe</t>
  </si>
  <si>
    <t>C. Rábida, 22, 21440 Lepe, Huelva</t>
  </si>
  <si>
    <t>bionaturaherbodietetica.com</t>
  </si>
  <si>
    <t>959 07 45 04</t>
  </si>
  <si>
    <t>info@bionaturaherbodietetica.com</t>
  </si>
  <si>
    <t>Herbolario Parafarmacia A.J Clavijo</t>
  </si>
  <si>
    <t>C. María Auxiliadora, 22, 21710 Bollullos Par del Condado, Huelva</t>
  </si>
  <si>
    <t>Bollullos Par del Condado</t>
  </si>
  <si>
    <t>646 71 38 05</t>
  </si>
  <si>
    <t>Ervanaria Ayamonte</t>
  </si>
  <si>
    <t>C. Prudencio Gutiérrez Pallares, 4, 21400 Ayamonte, Huelva</t>
  </si>
  <si>
    <t>Ayamonte</t>
  </si>
  <si>
    <t>ervanariaayamonte.com</t>
  </si>
  <si>
    <t>959 47 04 47</t>
  </si>
  <si>
    <t>Herbolario Surnature</t>
  </si>
  <si>
    <t>C. Cantarrana, 2, 21200 Aracena, Huelva</t>
  </si>
  <si>
    <t>Aracena</t>
  </si>
  <si>
    <t>Herbofarma Sin Alergia</t>
  </si>
  <si>
    <t>Frente a Cardenio, Calle Enrique Villegas Vélez, 30, 21400 Ayamonte, Huelva</t>
  </si>
  <si>
    <t>619 42 15 61</t>
  </si>
  <si>
    <t>Surnature</t>
  </si>
  <si>
    <t>C. Cantarrana, 21200 Aracena, Huelva</t>
  </si>
  <si>
    <t>627 59 49 30</t>
  </si>
  <si>
    <t>Parafarmacia Aracena</t>
  </si>
  <si>
    <t>Calle de Monasterio de la Rabida, 21200 Aracena, Huelva</t>
  </si>
  <si>
    <t>parafarmaciaaracena.com</t>
  </si>
  <si>
    <t>696 11 51 90</t>
  </si>
  <si>
    <t>info@parafarmaciaaracena.com</t>
  </si>
  <si>
    <t>Kuidate</t>
  </si>
  <si>
    <t>C. Juan Ramón Jiménez, 4, 21410 Isla Cristina, Huelva</t>
  </si>
  <si>
    <t>Isla Cristina</t>
  </si>
  <si>
    <t>649 82 04 03</t>
  </si>
  <si>
    <t>Herbolario Isla Chica</t>
  </si>
  <si>
    <t>Av. de la Barzola, 32, 41008 Sevilla</t>
  </si>
  <si>
    <t>954 96 13 80</t>
  </si>
  <si>
    <t>Calle Salido, 14, 23004 Jaén</t>
  </si>
  <si>
    <t>herbolarionaturaljaen.es</t>
  </si>
  <si>
    <t>953 19 09 07</t>
  </si>
  <si>
    <t>info@herbolarionaturaljaen.es</t>
  </si>
  <si>
    <t>Calle del Dr. Gomez Duran, 2, BAJO HERBOLARIO, 23006 Jaén</t>
  </si>
  <si>
    <t>953 27 61 17</t>
  </si>
  <si>
    <t>La Botica del Bosque</t>
  </si>
  <si>
    <t>Av. de Madrid, 66, 23008 Jaén</t>
  </si>
  <si>
    <t>laboticadelbosque.es</t>
  </si>
  <si>
    <t>953 26 46 93</t>
  </si>
  <si>
    <t>Herbolario Natura 2000</t>
  </si>
  <si>
    <t>C. Maestro Sapena, s/n, 23007 Jaén</t>
  </si>
  <si>
    <t>953 22 91 99</t>
  </si>
  <si>
    <t>Herbolario Gallardo</t>
  </si>
  <si>
    <t>C. la Parra, 1, 23004 Jaén</t>
  </si>
  <si>
    <t>953 23 13 39</t>
  </si>
  <si>
    <t>La Tienda Verde</t>
  </si>
  <si>
    <t>Av. de Andalucía, 73, 23005 Jaén</t>
  </si>
  <si>
    <t>953 22 80 56</t>
  </si>
  <si>
    <t>Herbolario Armonia</t>
  </si>
  <si>
    <t>C. García Lorca, 5, 23650 Torredonjimeno, Jaén</t>
  </si>
  <si>
    <t>Torredonjimeno</t>
  </si>
  <si>
    <t>953 57 31 62</t>
  </si>
  <si>
    <t>Herbonatura</t>
  </si>
  <si>
    <t>C. Arrayanes, 3, 23600 Martos, Jaén</t>
  </si>
  <si>
    <t>Martos</t>
  </si>
  <si>
    <t>953 07 39 21</t>
  </si>
  <si>
    <t>Herbolario Pura Vida</t>
  </si>
  <si>
    <t>Av. Moris Marrodán, 38, 23600 Martos, Jaén</t>
  </si>
  <si>
    <t>953 18 25 92</t>
  </si>
  <si>
    <t>LA VENTANA NATURAL MARTOS</t>
  </si>
  <si>
    <t>C. Francisco del Castillo, 11, 23600 Martos, Jaén</t>
  </si>
  <si>
    <t>680 52 74 48</t>
  </si>
  <si>
    <t>Herbolario La Lonja</t>
  </si>
  <si>
    <t>Calle Dr. Fernan-Perez, 3, 23790 Porcuna, Jaén</t>
  </si>
  <si>
    <t>Porcuna</t>
  </si>
  <si>
    <t>953 54 63 05</t>
  </si>
  <si>
    <t>Herbolario Mimoplant</t>
  </si>
  <si>
    <t>C. Julio Burell, 32, 23440 Baeza, Jaén</t>
  </si>
  <si>
    <t>Baeza</t>
  </si>
  <si>
    <t>953 74 15 18</t>
  </si>
  <si>
    <t>Plantas Medicinales De Andalucía</t>
  </si>
  <si>
    <t>Av. de la Loma, 0, 23450 Ibros, Jaén</t>
  </si>
  <si>
    <t>Ibros</t>
  </si>
  <si>
    <t>plantacar.es</t>
  </si>
  <si>
    <t>953 76 64 51</t>
  </si>
  <si>
    <t>core-js-bundle@3.2.1</t>
  </si>
  <si>
    <t>Herbolario ARegiplants S. L.</t>
  </si>
  <si>
    <t>C. la Virgen, 21, 23700 Linares, Jaén</t>
  </si>
  <si>
    <t>Linares</t>
  </si>
  <si>
    <t>953 60 20 53</t>
  </si>
  <si>
    <t>Herboristeria Herbomar</t>
  </si>
  <si>
    <t>C. Larga, 41, 23740 Andújar, Jaén</t>
  </si>
  <si>
    <t>Andújar</t>
  </si>
  <si>
    <t>Parafarmacia Cabrera</t>
  </si>
  <si>
    <t>C. Cristóbal Colón, 34, 23710 Bailén, Jaén</t>
  </si>
  <si>
    <t>Bailén</t>
  </si>
  <si>
    <t>parafarmaciacabrera.es</t>
  </si>
  <si>
    <t>953 67 24 14</t>
  </si>
  <si>
    <t>license@prestashop.com</t>
  </si>
  <si>
    <t>Plantacar Herbolisteria</t>
  </si>
  <si>
    <t>C. Viriato, 14, 23700 Linares, Jaén</t>
  </si>
  <si>
    <t>953 65 34 53</t>
  </si>
  <si>
    <t>Vitasol Herbodietética</t>
  </si>
  <si>
    <t>C. Real, 8, 23400 Úbeda, Jaén</t>
  </si>
  <si>
    <t>Úbeda</t>
  </si>
  <si>
    <t>guiadecazorlayubeda.com</t>
  </si>
  <si>
    <t>953 79 28 14</t>
  </si>
  <si>
    <t>Herbolario Systema Naturae</t>
  </si>
  <si>
    <t>C. la Virgen, 22, 23700 Linares, Jaén</t>
  </si>
  <si>
    <t>953 09 79 43</t>
  </si>
  <si>
    <t>Herbolario Sano y Natural</t>
  </si>
  <si>
    <t>Av. Andalucía, N°75, bajo, 23660 Alcaudete, Jaén</t>
  </si>
  <si>
    <t>Alcaudete</t>
  </si>
  <si>
    <t>953 82 79 47</t>
  </si>
  <si>
    <t>Herbolario El Laurel</t>
  </si>
  <si>
    <t>C. de Madrid, 22, 23200 La Carolina, Jaén</t>
  </si>
  <si>
    <t>La Carolina</t>
  </si>
  <si>
    <t>Herbolario EcoNatura</t>
  </si>
  <si>
    <t>C. Monte, 62, 23480 Quesada, Jaén</t>
  </si>
  <si>
    <t>Quesada</t>
  </si>
  <si>
    <t>666 93 93 73</t>
  </si>
  <si>
    <t>Herboristeria Miel y Limón-Naturfarma Malaga</t>
  </si>
  <si>
    <t>C. Jaén, 3, 29730 Rincón de la Victoria, Málaga</t>
  </si>
  <si>
    <t>Rincón de la Victoria</t>
  </si>
  <si>
    <t>952 97 17 89</t>
  </si>
  <si>
    <t>Herbolario &amp;quot;Natural 13 de abril&amp;quot; - Terapias Naturales</t>
  </si>
  <si>
    <t>23330 Villanueva del Arzobispo, Jaén</t>
  </si>
  <si>
    <t>Villanueva del Arzobispo</t>
  </si>
  <si>
    <t>662 25 89 20</t>
  </si>
  <si>
    <t>Parafarmacia Puente de Genave Anmaes</t>
  </si>
  <si>
    <t>Av. Andalucia, 78, 23350 Puente de Génave, Jaén</t>
  </si>
  <si>
    <t>Puente de Génave</t>
  </si>
  <si>
    <t>656 38 97 01</t>
  </si>
  <si>
    <t>PEDRO JAEN E. HIJOS S.L.</t>
  </si>
  <si>
    <t>PGNO PISA, C. Fomento, 1, 41927 Mairena del Aljarafe, Sevilla</t>
  </si>
  <si>
    <t>Mairena del Aljarafe</t>
  </si>
  <si>
    <t>955 60 11 19</t>
  </si>
  <si>
    <t>Pura Vida Natural Herbolario en Málaga Centro</t>
  </si>
  <si>
    <t>C. Victoria, 43, 29012 Málaga</t>
  </si>
  <si>
    <t>puravidanatural.es</t>
  </si>
  <si>
    <t>951 70 42 94</t>
  </si>
  <si>
    <t>La ventana natural los tilos malaga</t>
  </si>
  <si>
    <t>P.º de los Tilos, 65, 29006 Málaga</t>
  </si>
  <si>
    <t>633 16 96 74</t>
  </si>
  <si>
    <t>Herbolario Herbomalaga</t>
  </si>
  <si>
    <t>C. Héroe de Sostoa, 29, local 7, 29002 Málaga</t>
  </si>
  <si>
    <t>herbomalaga.com</t>
  </si>
  <si>
    <t>686 06 55 73</t>
  </si>
  <si>
    <t>Herboristería la Central</t>
  </si>
  <si>
    <t>C. Atarazanas, 5, 29005 Málaga</t>
  </si>
  <si>
    <t>herboristerialagloria.es</t>
  </si>
  <si>
    <t>952 22 07 20</t>
  </si>
  <si>
    <t>Terranatura Herbolario</t>
  </si>
  <si>
    <t>Av. Jane Bowles, 11, 29011 Málaga</t>
  </si>
  <si>
    <t>951 99 24 72</t>
  </si>
  <si>
    <t>La Buena Hierba</t>
  </si>
  <si>
    <t>C. Cristo de la Epidemia, 64, Local 2, 29013 Málaga</t>
  </si>
  <si>
    <t>labuenahierba.es</t>
  </si>
  <si>
    <t>695 56 31 43</t>
  </si>
  <si>
    <t>info@labuenahierba.es</t>
  </si>
  <si>
    <t>Herboristería la Hiedra</t>
  </si>
  <si>
    <t>Av. de José Ortega y Gasset, 157, 29006 Málaga</t>
  </si>
  <si>
    <t>952 36 24 52</t>
  </si>
  <si>
    <t>La Casa del Naturista</t>
  </si>
  <si>
    <t>Av. de José Ortega y Gasset, 35, 29006 Málaga</t>
  </si>
  <si>
    <t>952 34 75 96</t>
  </si>
  <si>
    <t>Herbolario GreenDot</t>
  </si>
  <si>
    <t>C. Carretería, 40, 29008 Málaga</t>
  </si>
  <si>
    <t>greendot.es</t>
  </si>
  <si>
    <t>951 47 35 35</t>
  </si>
  <si>
    <t>Herbolario El Fénix</t>
  </si>
  <si>
    <t>Av. Pío Baroja, 14, 29017 Málaga</t>
  </si>
  <si>
    <t>952 29 26 41</t>
  </si>
  <si>
    <t>Galeno</t>
  </si>
  <si>
    <t>C. Bailén, 1, 29009 Málaga</t>
  </si>
  <si>
    <t>607 71 27 72</t>
  </si>
  <si>
    <t>Herboristería Jara Padilla Ruiz,A.J.</t>
  </si>
  <si>
    <t>C. Fernando Camino, 8, 29016 Málaga</t>
  </si>
  <si>
    <t>952 22 84 00</t>
  </si>
  <si>
    <t>Herboristería Geme</t>
  </si>
  <si>
    <t>Cam. Suárez, 99, 29010 Málaga</t>
  </si>
  <si>
    <t>952 27 24 44</t>
  </si>
  <si>
    <t>Mercedes Reina Rocillo</t>
  </si>
  <si>
    <t>C. Martínez Maldonado, 67, 29007 Málaga</t>
  </si>
  <si>
    <t>952 39 22 18</t>
  </si>
  <si>
    <t>Las Yerbas de la Pepa</t>
  </si>
  <si>
    <t>Alameda de Colón, 18, 29001 Málaga</t>
  </si>
  <si>
    <t>952 21 93 86</t>
  </si>
  <si>
    <t>Alimentos Ecológicos Aloe</t>
  </si>
  <si>
    <t>C. Cristo de la Epidemia, 12, 29013 Málaga</t>
  </si>
  <si>
    <t>952 25 82 71</t>
  </si>
  <si>
    <t>La Colmena</t>
  </si>
  <si>
    <t>C. Casarabonela, 21, 29006 Málaga</t>
  </si>
  <si>
    <t>952 33 91 25</t>
  </si>
  <si>
    <t>Herboristeria El árbol del bienestar</t>
  </si>
  <si>
    <t>Pl. Río Trabanco, n6, local 27, 29006 Málaga</t>
  </si>
  <si>
    <t>675 58 27 61</t>
  </si>
  <si>
    <t>La Ventana Natural Málaga</t>
  </si>
  <si>
    <t>C. Martínez Maldonado, 10, 29007 Málaga</t>
  </si>
  <si>
    <t>653 58 30 35</t>
  </si>
  <si>
    <t>Carbonell Aranda, A.</t>
  </si>
  <si>
    <t>C. Filipinas, 21, 29010 Málaga</t>
  </si>
  <si>
    <t>952 30 92 17</t>
  </si>
  <si>
    <t>Tomillo y Romero</t>
  </si>
  <si>
    <t>C/Rio Rocio Local nº4, 29002 Málaga</t>
  </si>
  <si>
    <t>tomilloyromero.com</t>
  </si>
  <si>
    <t>952 31 34 83</t>
  </si>
  <si>
    <t>info@tomilloyromero.com</t>
  </si>
  <si>
    <t>Aloe Productos ecológicos y Herboristería</t>
  </si>
  <si>
    <t>952 25 49 60</t>
  </si>
  <si>
    <t>Centro Dietetico los Tilos</t>
  </si>
  <si>
    <t>952 34 13 98</t>
  </si>
  <si>
    <t>Herboristeria Siempre Natural</t>
  </si>
  <si>
    <t>C. Bolivia, 45, 29017 Málaga</t>
  </si>
  <si>
    <t>952 29 55 08</t>
  </si>
  <si>
    <t>Mundo Natural Herbodietética</t>
  </si>
  <si>
    <t>C. Escultor Marín Higuero, 9, 29017 Málaga</t>
  </si>
  <si>
    <t>Herbolario Sabia Savia</t>
  </si>
  <si>
    <t>C. Béla Bartók, 1, 29010 Málaga</t>
  </si>
  <si>
    <t>610 35 00 48</t>
  </si>
  <si>
    <t>Herboristeria Malaga Farmacruz</t>
  </si>
  <si>
    <t>C. Enrique Herrera Moll, 1, 29006 Málaga</t>
  </si>
  <si>
    <t>675 56 48 05</t>
  </si>
  <si>
    <t>María Gema Pérez Barranco</t>
  </si>
  <si>
    <t>952 62 98 46</t>
  </si>
  <si>
    <t>www.herbolsalud.es</t>
  </si>
  <si>
    <t>C. Diego de Vergara, 40, 29009 Málaga</t>
  </si>
  <si>
    <t>952 61 40 92</t>
  </si>
  <si>
    <t>Herbolario Huelin</t>
  </si>
  <si>
    <t>29002 Málaga</t>
  </si>
  <si>
    <t>Herboristería Campanillas</t>
  </si>
  <si>
    <t>C. Pontazgo, 5, 29590 Málaga</t>
  </si>
  <si>
    <t>952 43 77 78</t>
  </si>
  <si>
    <t>Herboristeria y Tienda de Esoterismo</t>
  </si>
  <si>
    <t>C. Lepanto, 8, 29003 Málaga</t>
  </si>
  <si>
    <t>951 99 12 35</t>
  </si>
  <si>
    <t>Herboristería Eco Áloe</t>
  </si>
  <si>
    <t>Av. Ingeniero José María Garnica, 11, 29002 Málaga</t>
  </si>
  <si>
    <t>951 15 45 12</t>
  </si>
  <si>
    <t>Herboristería MoMa Equilibrio</t>
  </si>
  <si>
    <t>C. del Alcalde Díaz Zafra, 16, Local C, 29006 Málaga</t>
  </si>
  <si>
    <t>herboristeriamomaequilibrio.com</t>
  </si>
  <si>
    <t>659 52 80 98</t>
  </si>
  <si>
    <t>teayudo@herboristeriamomaequilibrio.com</t>
  </si>
  <si>
    <t>CHIBÁS</t>
  </si>
  <si>
    <t>Av. Juan Sebastián Elcano, 199, 29017 Málaga</t>
  </si>
  <si>
    <t>chibas.es</t>
  </si>
  <si>
    <t>951 43 24 02</t>
  </si>
  <si>
    <t>info@chibas.es</t>
  </si>
  <si>
    <t>Herboristería Rosa Silvestre</t>
  </si>
  <si>
    <t>C. Sondalezas, 1, local, 29010 Málaga</t>
  </si>
  <si>
    <t>rosasilvestre.net</t>
  </si>
  <si>
    <t>952 27 57 04</t>
  </si>
  <si>
    <t>info@rosasilvestre.net</t>
  </si>
  <si>
    <t>Velas y Velones BellaLuz</t>
  </si>
  <si>
    <t>657 22 11 65</t>
  </si>
  <si>
    <t>HERBORISTERÍA LA PANACEA II</t>
  </si>
  <si>
    <t>C. Alonso Carrillo de Albornoz, 29017 Málaga</t>
  </si>
  <si>
    <t>679 01 63 95</t>
  </si>
  <si>
    <t>Herboristeria Jonathan</t>
  </si>
  <si>
    <t>C. la Regente, 14, 29009 Málaga</t>
  </si>
  <si>
    <t>649 49 89 07</t>
  </si>
  <si>
    <t>Centro de Terapias y Bienestar Mediterráneo</t>
  </si>
  <si>
    <t>C. Eduardo de Palacios, 1, 29004 Málaga</t>
  </si>
  <si>
    <t>951 45 78 34</t>
  </si>
  <si>
    <t>Código Natural</t>
  </si>
  <si>
    <t>Av. de Carlos Haya, 23, 29010 Málaga</t>
  </si>
  <si>
    <t>codigonatural.es</t>
  </si>
  <si>
    <t>951 49 18 46</t>
  </si>
  <si>
    <t>Herboristería Nhativa</t>
  </si>
  <si>
    <t>Cam. del Pato, 16, 29004 Málaga</t>
  </si>
  <si>
    <t>640 71 16 19</t>
  </si>
  <si>
    <t>Spirosa</t>
  </si>
  <si>
    <t>C. Alejandro Dumas, 17, Oficinas, 29004 Málaga</t>
  </si>
  <si>
    <t>spirosa.com</t>
  </si>
  <si>
    <t>NaturSun Herboristería</t>
  </si>
  <si>
    <t>C. Alcalde Nicolás Maroto, 6, 29014 Málaga</t>
  </si>
  <si>
    <t>951 99 03 19</t>
  </si>
  <si>
    <t>CBWEED Málaga</t>
  </si>
  <si>
    <t>Alameda de Colón, número 18, 29001 Málaga</t>
  </si>
  <si>
    <t>cbweed.es</t>
  </si>
  <si>
    <t>643 72 35 25</t>
  </si>
  <si>
    <t>info@cbweed.es</t>
  </si>
  <si>
    <t>Karina´s shopping</t>
  </si>
  <si>
    <t>Alameda</t>
  </si>
  <si>
    <t>695 66 01 18</t>
  </si>
  <si>
    <t>Av. de Málaga, 81, 29720 La Cala del Moral, Málaga</t>
  </si>
  <si>
    <t>La Cala del Moral</t>
  </si>
  <si>
    <t>herbolario-malaga.ueniweb.com</t>
  </si>
  <si>
    <t>687 87 73 30</t>
  </si>
  <si>
    <t>isaana3@hotmail.com</t>
  </si>
  <si>
    <t>HERBOLARIO BASOA</t>
  </si>
  <si>
    <t>Av. del Mediterráneo, 160, 29730 Rincón de la Victoria, Málaga</t>
  </si>
  <si>
    <t>684 12 56 03</t>
  </si>
  <si>
    <t>Av. de la Vega, 12, 29130 Alhaurín de la Torre, Málaga</t>
  </si>
  <si>
    <t>Alhaurín de la Torre</t>
  </si>
  <si>
    <t>654 75 47 25</t>
  </si>
  <si>
    <t>Herbolario Vientoagua</t>
  </si>
  <si>
    <t>Av. Marife de Triana, 20, 29620 Torremolinos, Málaga</t>
  </si>
  <si>
    <t>Torremolinos</t>
  </si>
  <si>
    <t>vientoagua.es</t>
  </si>
  <si>
    <t>952 37 77 36</t>
  </si>
  <si>
    <t>info@vientoagua.es</t>
  </si>
  <si>
    <t>Herbolario en Torremolinos - Vida Natural</t>
  </si>
  <si>
    <t>C. Río Bergantes, 5, 29620 Torremolinos, Málaga</t>
  </si>
  <si>
    <t>vidanaturalherbo.es</t>
  </si>
  <si>
    <t>952 05 88 78</t>
  </si>
  <si>
    <t>Dietética Siglo Xxi</t>
  </si>
  <si>
    <t>952 05 88 87</t>
  </si>
  <si>
    <t>Bio Roles S L</t>
  </si>
  <si>
    <t>Cam. Torre Del Pinar, 0, 29130 Alhaurín de la Torre, Málaga</t>
  </si>
  <si>
    <t>952 41 66 72</t>
  </si>
  <si>
    <t>Herboristería Altea</t>
  </si>
  <si>
    <t>Av. de los Manantiales, 8, 29620 Torremolinos, Málaga</t>
  </si>
  <si>
    <t>herboristeriaaltea.es</t>
  </si>
  <si>
    <t>952 37 33 47</t>
  </si>
  <si>
    <t>info@herboristeriaaltea.es</t>
  </si>
  <si>
    <t>ZURCA Mercado Natural. ✅ Tienda de Productos Ecológicos. Herbolario.</t>
  </si>
  <si>
    <t>Av. del Mediterráneo, 119, A, 29730 Rincón de la Victoria, Málaga</t>
  </si>
  <si>
    <t>zurcanatural.com</t>
  </si>
  <si>
    <t>657 32 31 34</t>
  </si>
  <si>
    <t>mercado@zurcanatural.com</t>
  </si>
  <si>
    <t>La Ventana Natural Torremolinos</t>
  </si>
  <si>
    <t>C. Rafael Quintana Rosado, Nº51, 29620 Torremolinos, Málaga</t>
  </si>
  <si>
    <t>952 05 12 34</t>
  </si>
  <si>
    <t>Herbolario La Mandrágora</t>
  </si>
  <si>
    <t>C. las Flores, 15, 29631 Arroyo de La Miel, Málaga</t>
  </si>
  <si>
    <t>Arroyo de La Miel</t>
  </si>
  <si>
    <t>952 56 22 34</t>
  </si>
  <si>
    <t>Herbolario Chi</t>
  </si>
  <si>
    <t>Av. Benalmádena, 30, 29620 Torremolinos, Málaga</t>
  </si>
  <si>
    <t>952 05 22 24</t>
  </si>
  <si>
    <t>Herboristería De la Rosa</t>
  </si>
  <si>
    <t>C. Velarde, 5, 29631 Benalmádena, Málaga</t>
  </si>
  <si>
    <t>Benalmádena</t>
  </si>
  <si>
    <t>952 44 38 57</t>
  </si>
  <si>
    <t>El Rincón Natural</t>
  </si>
  <si>
    <t>C. Sol, 8, 29631 Arroyo de La Miel, Málaga</t>
  </si>
  <si>
    <t>952 56 03 02</t>
  </si>
  <si>
    <t>La Naturaleza</t>
  </si>
  <si>
    <t>Calle Alcalde Antonio García, 3, 29631 Arroyo de La Miel, Málaga</t>
  </si>
  <si>
    <t>lanaturaleza.es</t>
  </si>
  <si>
    <t>952 44 61 71</t>
  </si>
  <si>
    <t>Albadiet S L</t>
  </si>
  <si>
    <t>C. Pepa Guerra Valdenebro, 0 S N, 29631 Arroyo de La Miel, Málaga</t>
  </si>
  <si>
    <t>952 44 44 95</t>
  </si>
  <si>
    <t>María Luisa Fernández Bueno</t>
  </si>
  <si>
    <t>Calle Dr. Manuel Lopez Alcaide, 4, 29620 Torremolinos, Málaga</t>
  </si>
  <si>
    <t>952 37 00 32</t>
  </si>
  <si>
    <t>El Jardín De Las Naranjas</t>
  </si>
  <si>
    <t>C. Real, 12, 29639 Benalmádena, Málaga</t>
  </si>
  <si>
    <t>eljardindelasnaranjas.com</t>
  </si>
  <si>
    <t>951 95 67 06</t>
  </si>
  <si>
    <t>Alo Natural</t>
  </si>
  <si>
    <t>C. Veracruz, 62, 29500 Álora, Málaga</t>
  </si>
  <si>
    <t>Álora</t>
  </si>
  <si>
    <t>952 49 74 78</t>
  </si>
  <si>
    <t>Marisol Esencia</t>
  </si>
  <si>
    <t>Av. Cdad. de Melilla, 29630 Arroyo de La Miel, Málaga</t>
  </si>
  <si>
    <t>marisolesencia.com</t>
  </si>
  <si>
    <t>642 42 87 01</t>
  </si>
  <si>
    <t>marisolesencia@gmail.com</t>
  </si>
  <si>
    <t>MUNDO NATURAL Herbolario</t>
  </si>
  <si>
    <t>C. Infantes, 26, 29740 Torre del Mar, Málaga</t>
  </si>
  <si>
    <t>Torre del Mar</t>
  </si>
  <si>
    <t>mnatural.com</t>
  </si>
  <si>
    <t>952 54 58 34</t>
  </si>
  <si>
    <t>Aroma y Sabor</t>
  </si>
  <si>
    <t>C. San Sebastián, nº 20, 29130 Alhaurín de la Torre, Málaga</t>
  </si>
  <si>
    <t>637 31 26 23</t>
  </si>
  <si>
    <t>Herboristería Yin Yang</t>
  </si>
  <si>
    <t>Plaza Andalucía, Edf. Los Planetas, L-3, 29100, Málaga</t>
  </si>
  <si>
    <t>Coín</t>
  </si>
  <si>
    <t>yocomproencoin.com</t>
  </si>
  <si>
    <t>952 45 12 14</t>
  </si>
  <si>
    <t>info@yocomproencoin.com</t>
  </si>
  <si>
    <t>Herbolario Candelaria</t>
  </si>
  <si>
    <t>Av. de los Boliches, 20, 29640 Fuengirola, Málaga</t>
  </si>
  <si>
    <t>Fuengirola</t>
  </si>
  <si>
    <t>952 58 48 98</t>
  </si>
  <si>
    <t>Herboristeria Larios</t>
  </si>
  <si>
    <t>C. del Mar, 15, 29700 Vélez-Málaga, Málaga</t>
  </si>
  <si>
    <t>Vélez-Málaga</t>
  </si>
  <si>
    <t>650 67 24 04</t>
  </si>
  <si>
    <t>Herboristería Naturaleza y Salud</t>
  </si>
  <si>
    <t>C. Cam. Viejo de Malaga, 20, LOCAL, 29700 Vélez-Málaga, Málaga</t>
  </si>
  <si>
    <t>naturalezaysalud.es</t>
  </si>
  <si>
    <t>952 50 50 48</t>
  </si>
  <si>
    <t>Parafarmacia Herboristeria Mari Angeles</t>
  </si>
  <si>
    <t>C/ del Ferrocarril, 71, 29100 Coín, Málaga</t>
  </si>
  <si>
    <t>951 31 50 28</t>
  </si>
  <si>
    <t>Nuestro Herbolario</t>
  </si>
  <si>
    <t>C. Jábega, 29640 Fuengirola, Málaga</t>
  </si>
  <si>
    <t>nuestroherbolario.es</t>
  </si>
  <si>
    <t>951 54 94 27</t>
  </si>
  <si>
    <t>hola@nuestroherbolario.es</t>
  </si>
  <si>
    <t>Herbolario dapacris l</t>
  </si>
  <si>
    <t>Av. Alcalde Clemente Díaz Ruiz, 2, 29640 Fuengirola, Málaga</t>
  </si>
  <si>
    <t>952 47 23 21</t>
  </si>
  <si>
    <t>La Ventana Natural Market</t>
  </si>
  <si>
    <t>Av. de Andalucía, 97, 29740 Torre del Mar, Málaga</t>
  </si>
  <si>
    <t>952 54 45 97</t>
  </si>
  <si>
    <t>Herbolario Hadana</t>
  </si>
  <si>
    <t>Av. Juan Gómez Juanito, 16, 29640 Fuengirola, Málaga</t>
  </si>
  <si>
    <t>951 57 92 33</t>
  </si>
  <si>
    <t>Pedro Manuel Lupiañez Moreno</t>
  </si>
  <si>
    <t>C. San Martín, 5, 29740 Torre del Mar, Málaga</t>
  </si>
  <si>
    <t>952 54 32 69</t>
  </si>
  <si>
    <t>Herboristeria Naturana</t>
  </si>
  <si>
    <t>C. Río las Pasadas, 48, 29651 Fuengirola, Málaga</t>
  </si>
  <si>
    <t>952 47 10 69</t>
  </si>
  <si>
    <t>Herboristería NaturEco</t>
  </si>
  <si>
    <t>C. La Unión, 17, 29651 Las Lagunas de Mijas, Málaga</t>
  </si>
  <si>
    <t>Las Lagunas de Mijas</t>
  </si>
  <si>
    <t>952 46 78 52</t>
  </si>
  <si>
    <t>Herboristería Dietisalud</t>
  </si>
  <si>
    <t>Av. la Constitución, 26, 29560 Pizarra, Málaga</t>
  </si>
  <si>
    <t>Pizarra</t>
  </si>
  <si>
    <t>dietisalud.com</t>
  </si>
  <si>
    <t>665 67 31 00</t>
  </si>
  <si>
    <t>hola@dietisalud.com</t>
  </si>
  <si>
    <t>Herbolario Kybalion Health Shop</t>
  </si>
  <si>
    <t>Cmo. de Coín, 29, 2b, 29640 Fuengirola, Málaga</t>
  </si>
  <si>
    <t>951 50 61 74</t>
  </si>
  <si>
    <t>Naturana</t>
  </si>
  <si>
    <t>C. León, 3, 29640 Fuengirola, Málaga</t>
  </si>
  <si>
    <t>952 47 11 06</t>
  </si>
  <si>
    <t>Tiendadeproductosherbal</t>
  </si>
  <si>
    <t>C. del Río, 22, 29740 Torre del Mar, Málaga</t>
  </si>
  <si>
    <t>641 17 40 94</t>
  </si>
  <si>
    <t>Av. de Mijas, 28, 29640 Fuengirola, Málaga</t>
  </si>
  <si>
    <t>952 47 06 79</t>
  </si>
  <si>
    <t>Herbolario La cala therealcbd shop</t>
  </si>
  <si>
    <t>C. Torreón, nº8, 29649 La Cala de Mijas, Málaga</t>
  </si>
  <si>
    <t>La Cala de Mijas</t>
  </si>
  <si>
    <t>herbolacala.business.site</t>
  </si>
  <si>
    <t>670 39 11 12</t>
  </si>
  <si>
    <t>Ecolife Herbolario</t>
  </si>
  <si>
    <t>B, Urbanización Calypso Centro Comercial Valdepinos local 10, Mijas-Costa, 29649 Calahonda, Málaga</t>
  </si>
  <si>
    <t>Calahonda</t>
  </si>
  <si>
    <t>952 93 95 39</t>
  </si>
  <si>
    <t>Herboristería Eva Cebrián</t>
  </si>
  <si>
    <t>Alameda de Andalucía, 15, 29200 Antequera, Málaga</t>
  </si>
  <si>
    <t>952 70 62 95</t>
  </si>
  <si>
    <t>La Herboristeria Online</t>
  </si>
  <si>
    <t>C. Jazmín, 12, 29312 Villanueva del Rosario, Málaga</t>
  </si>
  <si>
    <t>Villanueva del Rosario</t>
  </si>
  <si>
    <t>laherboristeriaonline.com</t>
  </si>
  <si>
    <t>952 74 21 43</t>
  </si>
  <si>
    <t>info@laherboristeriaonline.com</t>
  </si>
  <si>
    <t>Herbolario Zentrosalud</t>
  </si>
  <si>
    <t>P.º Jesús Santos Rein, 29640 Fuengirola, Málaga</t>
  </si>
  <si>
    <t>633 97 61 64</t>
  </si>
  <si>
    <t>Salud Atenea. Herbolario, Centro &amp;amp; AOVE</t>
  </si>
  <si>
    <t>C. Nueva, 3, 29300 Archidona, Málaga</t>
  </si>
  <si>
    <t>Archidona</t>
  </si>
  <si>
    <t>saludatenea.com</t>
  </si>
  <si>
    <t>952 71 50 89</t>
  </si>
  <si>
    <t>Rosario Centro Holístico</t>
  </si>
  <si>
    <t>Pl. de Fernandez Viagas, 17, 29200 Antequera, Málaga</t>
  </si>
  <si>
    <t>952 84 28 82</t>
  </si>
  <si>
    <t>Herboristería Conchi</t>
  </si>
  <si>
    <t>C. Ojén, Local Nº 1, 29603 Marbella, Málaga</t>
  </si>
  <si>
    <t>Marbella</t>
  </si>
  <si>
    <t>herboristeriaconchi.com</t>
  </si>
  <si>
    <t>952 77 55 84</t>
  </si>
  <si>
    <t>info@herboristeriaconchi.com</t>
  </si>
  <si>
    <t>Herboristería Amazonia</t>
  </si>
  <si>
    <t>C. Boquerón, 9, 29601 Marbella, Málaga</t>
  </si>
  <si>
    <t>952 85 77 44</t>
  </si>
  <si>
    <t>Rincón Natural</t>
  </si>
  <si>
    <t>Calle Carretera, 1 Local 2 - Edificio Armijo III, 29780 Nerja, Málaga</t>
  </si>
  <si>
    <t>Nerja</t>
  </si>
  <si>
    <t>rinconnatural.com</t>
  </si>
  <si>
    <t>952 52 35 03</t>
  </si>
  <si>
    <t>Herbolario Esencia Natural Antequera</t>
  </si>
  <si>
    <t>C. Infante Don Fernando, 19, 29200 Antequera, Málaga</t>
  </si>
  <si>
    <t>611 34 33 84</t>
  </si>
  <si>
    <t>Herbolario Acebuche</t>
  </si>
  <si>
    <t>C. Pedro de Villandrado, Local 3, A, 29601 Marbella, Málaga</t>
  </si>
  <si>
    <t>herbolarioacebuche.com</t>
  </si>
  <si>
    <t>951 08 79 70</t>
  </si>
  <si>
    <t>contacto@empresa.com</t>
  </si>
  <si>
    <t>Jeanette Scherrer</t>
  </si>
  <si>
    <t>Edif. Armijo III, C. Carretera, 1, local 2, 29780 Nerja, Málaga</t>
  </si>
  <si>
    <t>Herboristería Conchi - Ginkgo</t>
  </si>
  <si>
    <t>Av. Trapiche, 20, 29601 Marbella, Málaga</t>
  </si>
  <si>
    <t>952 86 04 18</t>
  </si>
  <si>
    <t>Herbolario Lara &amp;amp; Blanco</t>
  </si>
  <si>
    <t>C/ Torrente Ballester s/n local 8 edf: Albatros Vll, 29660 Marbella, Málaga</t>
  </si>
  <si>
    <t>685 54 93 34</t>
  </si>
  <si>
    <t>Herboristería Sanct Bernhard</t>
  </si>
  <si>
    <t>C. Huerta Chica, 10, 29601 Marbella, Málaga</t>
  </si>
  <si>
    <t>sanctbernhard.es</t>
  </si>
  <si>
    <t>952 86 73 88</t>
  </si>
  <si>
    <t>info@sanctbernhard.es</t>
  </si>
  <si>
    <t>Herboristeria de Mamica</t>
  </si>
  <si>
    <t>Calle Castilla Pérez, 13, 29780 Nerja, Málaga</t>
  </si>
  <si>
    <t>herboristeriamamica.es</t>
  </si>
  <si>
    <t>952 52 26 61</t>
  </si>
  <si>
    <t>Herbolario Verbena Marbella</t>
  </si>
  <si>
    <t>Av. General López Domínguez, 11, 29601 Marbella, Málaga</t>
  </si>
  <si>
    <t>951 91 74 39</t>
  </si>
  <si>
    <t>La Fuente de la Salud</t>
  </si>
  <si>
    <t>C. Sierra Blanca, 6, 29602 Marbella, Málaga</t>
  </si>
  <si>
    <t>952 77 51 64</t>
  </si>
  <si>
    <t>Herboristeria Ecotienda Bio.Marbella (Biogloria Marbella)</t>
  </si>
  <si>
    <t>Av. Ricardo Soriano, 20, 29601 Marbella, Málaga</t>
  </si>
  <si>
    <t>951 69 59 50</t>
  </si>
  <si>
    <t>Tisana Online</t>
  </si>
  <si>
    <t>Av. Severo Ochoa, 47, 29603 Marbella, Málaga</t>
  </si>
  <si>
    <t>herbolariotisana.com</t>
  </si>
  <si>
    <t>617 96 41 25</t>
  </si>
  <si>
    <t>infom@herbolariotisana.com</t>
  </si>
  <si>
    <t>naturalfusion</t>
  </si>
  <si>
    <t>C. Mercurio, 23, 29603 Marbella, Málaga</t>
  </si>
  <si>
    <t>naturalfusion.es</t>
  </si>
  <si>
    <t>644 70 53 70</t>
  </si>
  <si>
    <t>direccion@naturalfusion.es</t>
  </si>
  <si>
    <t>Herboristería Azur</t>
  </si>
  <si>
    <t>Edificio Las Palomas, C. Sp Vélez Málaga, 5, 29670 San Pedro Alcántara, Málaga</t>
  </si>
  <si>
    <t>San Pedro Alcántara</t>
  </si>
  <si>
    <t>952 78 62 92</t>
  </si>
  <si>
    <t>Herbolario Rocío de Salud</t>
  </si>
  <si>
    <t>C. Pizarro, 14, 29670 San Pedro Alcántara, Málaga</t>
  </si>
  <si>
    <t>640 25 01 02</t>
  </si>
  <si>
    <t>C. Cruz Verde, 10, 29400 Ronda, Málaga</t>
  </si>
  <si>
    <t>Ronda</t>
  </si>
  <si>
    <t>952 19 11 67</t>
  </si>
  <si>
    <t>The Shivambhu Shack</t>
  </si>
  <si>
    <t>Arrabal Pescadores Camino, 5, 29603 Marbella, Málaga</t>
  </si>
  <si>
    <t>m6425457777.wixsite.com</t>
  </si>
  <si>
    <t>Herboristería Iris</t>
  </si>
  <si>
    <t>C. Huerta Nueva, 1, 29680 Estepona, Málaga</t>
  </si>
  <si>
    <t>Estepona</t>
  </si>
  <si>
    <t>herboristeriairis.com</t>
  </si>
  <si>
    <t>952 80 34 44</t>
  </si>
  <si>
    <t>info@herboristeriairis.com</t>
  </si>
  <si>
    <t>Althaea Herbolario</t>
  </si>
  <si>
    <t>Carrer de Màlaga, 24, 46009 València, Valencia</t>
  </si>
  <si>
    <t>Valencia</t>
  </si>
  <si>
    <t>althaea.es</t>
  </si>
  <si>
    <t>963 49 88 14</t>
  </si>
  <si>
    <t>info@althaea.es</t>
  </si>
  <si>
    <t>Calle Ramón y Cajal, 15, 22001 Huesca</t>
  </si>
  <si>
    <t>Huesca</t>
  </si>
  <si>
    <t>974 23 85 13</t>
  </si>
  <si>
    <t>Herboristeria Arnica</t>
  </si>
  <si>
    <t>Pje. Arco Iris, 5, 22005 Huesca</t>
  </si>
  <si>
    <t>974 24 60 90</t>
  </si>
  <si>
    <t>Herbodietetica Naturalia</t>
  </si>
  <si>
    <t>Av. de los Pirineos, 8, 22004 Huesca</t>
  </si>
  <si>
    <t>974 23 06 89</t>
  </si>
  <si>
    <t>Herboristería El Jazmín</t>
  </si>
  <si>
    <t>C. Cuatro Reyes, 4, 22001 Huesca</t>
  </si>
  <si>
    <t>974 22 64 37</t>
  </si>
  <si>
    <t>Ecotienda Herboristeria Dietética Salud y Vida</t>
  </si>
  <si>
    <t>C. Menéndez Pidal, 32, 22004 Huesca</t>
  </si>
  <si>
    <t>974 24 59 54</t>
  </si>
  <si>
    <t>Herbodietética Gea</t>
  </si>
  <si>
    <t>C. Menéndez Pidal, 5, 22003 Huesca</t>
  </si>
  <si>
    <t>974 21 41 81</t>
  </si>
  <si>
    <t>La Ventana Natural Herbolario</t>
  </si>
  <si>
    <t>Costa Arnedo, 22001 Huesca</t>
  </si>
  <si>
    <t>Dietetica Lizara</t>
  </si>
  <si>
    <t>C. Ramón J Sender, 1, 22005 Huesca</t>
  </si>
  <si>
    <t>974 23 12 85</t>
  </si>
  <si>
    <t>Vivir Con Salud S.C.</t>
  </si>
  <si>
    <t>C. Florida, 6, 22212 Sodeto, Huesca</t>
  </si>
  <si>
    <t>Sodeto</t>
  </si>
  <si>
    <t>El árbol de Ha - Herbodietética</t>
  </si>
  <si>
    <t>Pl. Constitución Española, n°1, Local, 22600 Sabiñánigo, Huesca</t>
  </si>
  <si>
    <t>Sabiñánigo</t>
  </si>
  <si>
    <t>974 09 67 43</t>
  </si>
  <si>
    <t>Herbalife Huesca. Miembro Independiente</t>
  </si>
  <si>
    <t>C. de los Deportes, 3, 22400 Monzón, Huesca</t>
  </si>
  <si>
    <t>Monzón</t>
  </si>
  <si>
    <t>621 36 20 87</t>
  </si>
  <si>
    <t>Herbodietètica L&amp;apos;Espigol</t>
  </si>
  <si>
    <t>Av. de Aragón, 37, 22520 Fraga, Huesca</t>
  </si>
  <si>
    <t>Fraga</t>
  </si>
  <si>
    <t>herbolariolespigol.com</t>
  </si>
  <si>
    <t>974 45 39 32</t>
  </si>
  <si>
    <t>Sananda</t>
  </si>
  <si>
    <t>Av. de la Jacetania, 78, 22700 Jaca, Huesca</t>
  </si>
  <si>
    <t>Jaca</t>
  </si>
  <si>
    <t>herboristeriasananda.es</t>
  </si>
  <si>
    <t>974 35 68 39</t>
  </si>
  <si>
    <t>sanandajaca@yahoo.es</t>
  </si>
  <si>
    <t>Herboristería Natural</t>
  </si>
  <si>
    <t>C. Lérida, 47, 22500 Binéfar, Huesca</t>
  </si>
  <si>
    <t>Binéfar</t>
  </si>
  <si>
    <t>naturalherboristeria.es</t>
  </si>
  <si>
    <t>974 42 97 04</t>
  </si>
  <si>
    <t>a36b86319e6542838a534122c8870e3f@sentry.qdqmedia.com</t>
  </si>
  <si>
    <t>Calle de Sta. Bárbara, 41, 22400 Monzón, Huesca</t>
  </si>
  <si>
    <t>974 41 54 95</t>
  </si>
  <si>
    <t>Luz de Vida Alimentos</t>
  </si>
  <si>
    <t>C. Barranco, 39, 22430 Graus, Huesca</t>
  </si>
  <si>
    <t>Graus</t>
  </si>
  <si>
    <t>Herbodietetica Sauce Blanco</t>
  </si>
  <si>
    <t>Av. Huesca, 16, 44600 Alcañiz, Teruel</t>
  </si>
  <si>
    <t>Alcañiz</t>
  </si>
  <si>
    <t>Teruel</t>
  </si>
  <si>
    <t>978 83 46 33</t>
  </si>
  <si>
    <t>HERBORISTERIA ZUERA</t>
  </si>
  <si>
    <t>C. Mayor, 17, 50800 Zuera, Zaragoza</t>
  </si>
  <si>
    <t>Zuera</t>
  </si>
  <si>
    <t>Zaragoza</t>
  </si>
  <si>
    <t>976 69 48 65</t>
  </si>
  <si>
    <t>C. Casto Méndez Núñez, 27, 50003 Zaragoza</t>
  </si>
  <si>
    <t>elherbolarioonline.es</t>
  </si>
  <si>
    <t>976 29 05 29</t>
  </si>
  <si>
    <t>info@elherbolarioonline.es</t>
  </si>
  <si>
    <t>Herbodietética Aloe-vera</t>
  </si>
  <si>
    <t>Pl. Paola Blasco, 6, 44600 Alcañiz, Teruel</t>
  </si>
  <si>
    <t>centroaloevera.com</t>
  </si>
  <si>
    <t>978 83 18 88</t>
  </si>
  <si>
    <t>amparobono.aloevera@gmail.com</t>
  </si>
  <si>
    <t>HERBOLARIO ALIMENTACION BIO SANTIVERI</t>
  </si>
  <si>
    <t>Av. de Aragón, 47, 44600 Alcañiz, Teruel</t>
  </si>
  <si>
    <t>978 08 83 64</t>
  </si>
  <si>
    <t>Jannu</t>
  </si>
  <si>
    <t>Av. Marcelo Celayeta, 101, 31014 Pamplona, Navarra</t>
  </si>
  <si>
    <t>Pamplona</t>
  </si>
  <si>
    <t>Navarra</t>
  </si>
  <si>
    <t>948 14 15 38</t>
  </si>
  <si>
    <t>Farmatural Pedrola</t>
  </si>
  <si>
    <t>C. Independencia, 14, 50690 Pedrola, Zaragoza</t>
  </si>
  <si>
    <t>Pedrola</t>
  </si>
  <si>
    <t>876 09 42 90</t>
  </si>
  <si>
    <t>Herbolario Los Robles</t>
  </si>
  <si>
    <t>Av. de los Ángeles, 7, 28903 Getafe, Madrid</t>
  </si>
  <si>
    <t>Getafe</t>
  </si>
  <si>
    <t>911 68 25 14</t>
  </si>
  <si>
    <t>Sanadul</t>
  </si>
  <si>
    <t>C. Madrid, 2, 28901 Getafe, Madrid</t>
  </si>
  <si>
    <t>916 82 88 78</t>
  </si>
  <si>
    <t>Herbolario Los Austrias</t>
  </si>
  <si>
    <t>C. del Ángel, 12, 28005 Madrid</t>
  </si>
  <si>
    <t>herbolariolosaustrias.com</t>
  </si>
  <si>
    <t>913 65 26 22</t>
  </si>
  <si>
    <t>Herboristería E&amp;amp;E Prana</t>
  </si>
  <si>
    <t>Avinguda de Joaquim de Sagrera, 13, 3º- 1ª, 08224 Terrassa, Barcelona</t>
  </si>
  <si>
    <t>Terrassa</t>
  </si>
  <si>
    <t>Barcelona</t>
  </si>
  <si>
    <t>931 69 14 65</t>
  </si>
  <si>
    <t>Herbolario Navarro</t>
  </si>
  <si>
    <t>C. de Alcalá, 131, 28009 Madrid</t>
  </si>
  <si>
    <t>herbolarionavarro.es</t>
  </si>
  <si>
    <t>914 26 68 98</t>
  </si>
  <si>
    <t>info.web@herbolarionavarro.es</t>
  </si>
  <si>
    <t>Herbolario Mi Botica Natural</t>
  </si>
  <si>
    <t>C. Pedro Vigil, 3, 33510 Pola de Siero, Asturias</t>
  </si>
  <si>
    <t>Pola de Siero</t>
  </si>
  <si>
    <t>Asturias</t>
  </si>
  <si>
    <t>984 39 99 24</t>
  </si>
  <si>
    <t>C. Amantes, 8, 44001 Teruel</t>
  </si>
  <si>
    <t>978 60 07 09</t>
  </si>
  <si>
    <t>Centro Dietetico Azahar</t>
  </si>
  <si>
    <t>Av. de Aragón, 25, 44002 Teruel</t>
  </si>
  <si>
    <t>centrodieteticoazahar.es</t>
  </si>
  <si>
    <t>978 60 21 66</t>
  </si>
  <si>
    <t>info@centrodieteticoazahar.es</t>
  </si>
  <si>
    <t>HERBODIETETICA LA BOTICA</t>
  </si>
  <si>
    <t>C. la Fuente, Nª27, 44500 Andorra, Teruel</t>
  </si>
  <si>
    <t>Andorra</t>
  </si>
  <si>
    <t>669 70 58 11</t>
  </si>
  <si>
    <t>Pilar tu espacio Bienestar</t>
  </si>
  <si>
    <t>C. Corona de Aragón, 3, 44200 Calamocha, Teruel</t>
  </si>
  <si>
    <t>Calamocha</t>
  </si>
  <si>
    <t>978 73 04 71</t>
  </si>
  <si>
    <t>HERBORISTERIA ESENCIA</t>
  </si>
  <si>
    <t>Pl. Higinio Palomo, 9, 44550 Alcorisa, Teruel</t>
  </si>
  <si>
    <t>Alcorisa</t>
  </si>
  <si>
    <t>978 84 04 47</t>
  </si>
  <si>
    <t>Herbolario La Senda Albacete</t>
  </si>
  <si>
    <t>C. Baños, 41, 02005 Albacete</t>
  </si>
  <si>
    <t>Albacete</t>
  </si>
  <si>
    <t>967 61 88 92</t>
  </si>
  <si>
    <t>Herboristeria Kurkum</t>
  </si>
  <si>
    <t>Av. Hispanidad, 18, 44580 Valderrobres, Teruel</t>
  </si>
  <si>
    <t>Valderrobres</t>
  </si>
  <si>
    <t>686 55 27 15</t>
  </si>
  <si>
    <t>Herboristería VITALDIET</t>
  </si>
  <si>
    <t>Calle de Oviedo, 50007 Casetas, Zaragoza</t>
  </si>
  <si>
    <t>Ababuj</t>
  </si>
  <si>
    <t>976 38 00 89</t>
  </si>
  <si>
    <t>Herbolario la Botica</t>
  </si>
  <si>
    <t>C. Pascuala Perié, 20, 50014 Zaragoza</t>
  </si>
  <si>
    <t>976 39 15 15</t>
  </si>
  <si>
    <t>Herbolario Natrales - Oropesa</t>
  </si>
  <si>
    <t>Polideportivo, Carrer de Goya, 80, 12594 Oropesa del Mar, Castellón</t>
  </si>
  <si>
    <t>Oropesa</t>
  </si>
  <si>
    <t>Castellón</t>
  </si>
  <si>
    <t>herbolarionatrales.com</t>
  </si>
  <si>
    <t>964 31 16 26</t>
  </si>
  <si>
    <t>Herbolario Navarro Albacete</t>
  </si>
  <si>
    <t>C. Rosario, 29, 02001 Albacete</t>
  </si>
  <si>
    <t>967 61 20 09</t>
  </si>
  <si>
    <t>Herbolario Navarro Vila-real</t>
  </si>
  <si>
    <t>Plaça Major, 20, 12540 Vila-real, Castelló</t>
  </si>
  <si>
    <t>Villarreal</t>
  </si>
  <si>
    <t>Castelló</t>
  </si>
  <si>
    <t>964 35 01 46</t>
  </si>
  <si>
    <t>El espino Blanco</t>
  </si>
  <si>
    <t>Av. de la Música, 8, 46360 Buñol, Valencia</t>
  </si>
  <si>
    <t>Buñol</t>
  </si>
  <si>
    <t>653 86 27 21</t>
  </si>
  <si>
    <t>C. San Pablo, 57, 50003 Zaragoza</t>
  </si>
  <si>
    <t>976 44 08 66</t>
  </si>
  <si>
    <t>Yerba Salud</t>
  </si>
  <si>
    <t>C. María Lostal, 21, 50008 Zaragoza</t>
  </si>
  <si>
    <t>yerbasalud.es</t>
  </si>
  <si>
    <t>625 49 25 53</t>
  </si>
  <si>
    <t>info@yerbasalud.es</t>
  </si>
  <si>
    <t>Herboristería Verde Tierra</t>
  </si>
  <si>
    <t>C. Gertrudis Gómez de Avellaneda, 57, 50018 Zaragoza</t>
  </si>
  <si>
    <t>verdetierra.net</t>
  </si>
  <si>
    <t>976 96 85 60</t>
  </si>
  <si>
    <t>Herboristería Grillo</t>
  </si>
  <si>
    <t>C. Arquitecto Magdalena, 4, 50001 Zaragoza</t>
  </si>
  <si>
    <t>976 22 81 12</t>
  </si>
  <si>
    <t>Abedul</t>
  </si>
  <si>
    <t>C. Mariano Carderera, 3, 50017 Zaragoza</t>
  </si>
  <si>
    <t>976 34 58 26</t>
  </si>
  <si>
    <t>Armando García Oros</t>
  </si>
  <si>
    <t>Av. Francisco de Goya, 17, 50006 Zaragoza</t>
  </si>
  <si>
    <t>976 38 45 30</t>
  </si>
  <si>
    <t>El Manantial</t>
  </si>
  <si>
    <t>C. de Miguel Servet, 14, 50008 Zaragoza</t>
  </si>
  <si>
    <t>976 49 77 56</t>
  </si>
  <si>
    <t>Armonía</t>
  </si>
  <si>
    <t>P.º Echegaray y Caballero, 4, Bajo, 50003 Zaragoza</t>
  </si>
  <si>
    <t>Herboristeria Maktub S.L.</t>
  </si>
  <si>
    <t>Calle de Concepción Saiz de Otero, 11, 50018 Zaragoza</t>
  </si>
  <si>
    <t>herboristeriamaktub.es</t>
  </si>
  <si>
    <t>976 52 33 44</t>
  </si>
  <si>
    <t>info@herboristeriamaktub.es</t>
  </si>
  <si>
    <t>Vitalidad 2</t>
  </si>
  <si>
    <t>C. Don Pedro de Luna, 9, 50010 Zaragoza</t>
  </si>
  <si>
    <t>976 32 94 52</t>
  </si>
  <si>
    <t>LA CASA DE LAS HIERBAS S.L.</t>
  </si>
  <si>
    <t>Av. Tenor Fleta, 26, 50007 Zaragoza</t>
  </si>
  <si>
    <t>lacasadelashierbas.es</t>
  </si>
  <si>
    <t>976 27 75 56</t>
  </si>
  <si>
    <t>mapielena@hotmail.com</t>
  </si>
  <si>
    <t>Centro dietetico Polen</t>
  </si>
  <si>
    <t>C. Cortes de Aragón, 38, 50005 Zaragoza</t>
  </si>
  <si>
    <t>naturalmentepolen.com</t>
  </si>
  <si>
    <t>976 15 90 05</t>
  </si>
  <si>
    <t>naturalmente@naturalmentepolen.com</t>
  </si>
  <si>
    <t>Herboristería</t>
  </si>
  <si>
    <t>P.º de los Rosales, 2, local 1, 50008 Zaragoza</t>
  </si>
  <si>
    <t>876 16 86 65</t>
  </si>
  <si>
    <t>Herboristería del Carmen</t>
  </si>
  <si>
    <t>C. del Escultor Lobato, 56, 58, 50007 Zaragoza</t>
  </si>
  <si>
    <t>976 38 17 44</t>
  </si>
  <si>
    <t>Av. de América, 66, 50007 Zaragoza</t>
  </si>
  <si>
    <t>976 38 15 38</t>
  </si>
  <si>
    <t>Natural Mente</t>
  </si>
  <si>
    <t>C. Pablo Remacha, 17, 50008 Zaragoza</t>
  </si>
  <si>
    <t>976 59 77 22</t>
  </si>
  <si>
    <t>Aldewara</t>
  </si>
  <si>
    <t>Calle Dr. Julián Sanz Ibáñez, 50017 Zaragoza</t>
  </si>
  <si>
    <t>976 45 69 78</t>
  </si>
  <si>
    <t>El Nogal</t>
  </si>
  <si>
    <t>C. San Antonio María Claret, 64, 50005 Zaragoza</t>
  </si>
  <si>
    <t>976 55 84 23</t>
  </si>
  <si>
    <t>El Herbolario de Erna</t>
  </si>
  <si>
    <t>C. Embarcadero, 26, Casablanca Local, 50009 Zaragoza</t>
  </si>
  <si>
    <t>691 23 96 96</t>
  </si>
  <si>
    <t>Herbodelicias | Herbolario y Dietética</t>
  </si>
  <si>
    <t>Calle Delicias, 17, 50017 Zaragoza</t>
  </si>
  <si>
    <t>herbodelicias.com</t>
  </si>
  <si>
    <t>976 09 82 48</t>
  </si>
  <si>
    <t>contacto@herbodelicias.com</t>
  </si>
  <si>
    <t>Herboristería La Tila</t>
  </si>
  <si>
    <t>Av. Compromiso de Caspe, 46, BAJO, 50002 Zaragoza</t>
  </si>
  <si>
    <t>976 59 20 89</t>
  </si>
  <si>
    <t>Herboristeria</t>
  </si>
  <si>
    <t>C. Miguel Labordeta, esquina, 50017 Zaragoza</t>
  </si>
  <si>
    <t>Herboristería &amp;amp; Terapias Naturales</t>
  </si>
  <si>
    <t>Av. Pablo Gargallo, 17, 50003 Zaragoza</t>
  </si>
  <si>
    <t>Herboristeria Vitalidad V</t>
  </si>
  <si>
    <t>Mariano, C. de Pano y Ruata, 4, 50015 Zaragoza</t>
  </si>
  <si>
    <t>976 73 19 74</t>
  </si>
  <si>
    <t>C. Belle Epoque, 27, 50019 Zaragoza</t>
  </si>
  <si>
    <t>HERBORISTERÍA ACTUR S.L.</t>
  </si>
  <si>
    <t>C. de José Luis Borau, 14, 50018 Zaragoza</t>
  </si>
  <si>
    <t>LA HERBORISTERIA</t>
  </si>
  <si>
    <t>Av. de San José, 3, 50013 Zaragoza</t>
  </si>
  <si>
    <t>laherboristeriazar.wixsite.com</t>
  </si>
  <si>
    <t>691 18 95 01</t>
  </si>
  <si>
    <t>Centro de Salud Integral Herbodietetica</t>
  </si>
  <si>
    <t>C. de José María Beltrán, 15, 50018 Zaragoza</t>
  </si>
  <si>
    <t>centrodesaludintegral.es</t>
  </si>
  <si>
    <t>976 73 62 95</t>
  </si>
  <si>
    <t>info@centrodesaludintegral.es</t>
  </si>
  <si>
    <t>Herboristeria La Dietetica</t>
  </si>
  <si>
    <t>Av. de América, 3, 50007 Zaragoza</t>
  </si>
  <si>
    <t>herboristerialadietetica.com</t>
  </si>
  <si>
    <t>976 11 19 44</t>
  </si>
  <si>
    <t>info@herboristerialadietetica.com</t>
  </si>
  <si>
    <t>Natural 100x100</t>
  </si>
  <si>
    <t>C. Bernardo Fita, 2, 50005 Zaragoza</t>
  </si>
  <si>
    <t>natural100x100.com</t>
  </si>
  <si>
    <t>618 77 71 66</t>
  </si>
  <si>
    <t>info@natural100x100.com</t>
  </si>
  <si>
    <t>Herbolario La Ciudadela</t>
  </si>
  <si>
    <t>Calle Dr. Iranzo, 61, 50002 Zaragoza</t>
  </si>
  <si>
    <t>976 42 86 75</t>
  </si>
  <si>
    <t>Verde Luna</t>
  </si>
  <si>
    <t>Av. Salvador Allende, 27, 50015 Zaragoza</t>
  </si>
  <si>
    <t>976 74 33 93</t>
  </si>
  <si>
    <t>Herboristería Despensin</t>
  </si>
  <si>
    <t>C. de José Oto, 36, 50014 Zaragoza</t>
  </si>
  <si>
    <t>despensin.es</t>
  </si>
  <si>
    <t>976 20 45 61</t>
  </si>
  <si>
    <t>info@despensin.es</t>
  </si>
  <si>
    <t>María Pilar Ganuza Enfedaque</t>
  </si>
  <si>
    <t>P.º Pamplona, 17, 50004 Zaragoza</t>
  </si>
  <si>
    <t>976 22 66 99</t>
  </si>
  <si>
    <t>Av. Compromiso de Caspe, 13, 50002 Zaragoza</t>
  </si>
  <si>
    <t>976 42 55 10</t>
  </si>
  <si>
    <t>Bioglobal</t>
  </si>
  <si>
    <t>C. Santander, 32, 50010 Zaragoza</t>
  </si>
  <si>
    <t>bioglobal.es</t>
  </si>
  <si>
    <t>976 34 70 62</t>
  </si>
  <si>
    <t>bioglobal@bioglobal.es</t>
  </si>
  <si>
    <t>Herbodietética Llantén</t>
  </si>
  <si>
    <t>C. de Almunia de Doña Godina, 6, 50003 Zaragoza</t>
  </si>
  <si>
    <t>876 16 55 89</t>
  </si>
  <si>
    <t>María Soledad Solanas Recaj</t>
  </si>
  <si>
    <t>C. Dr. Ricardo Lozano Monzón, 3, 50006 Zaragoza</t>
  </si>
  <si>
    <t>976 25 66 21</t>
  </si>
  <si>
    <t>Herbodietética Pirineos</t>
  </si>
  <si>
    <t>Av. de Madrid, 144, 50017 Zaragoza</t>
  </si>
  <si>
    <t>976 53 52 05</t>
  </si>
  <si>
    <t>Herbolario Hierbabuena</t>
  </si>
  <si>
    <t>Pl. de Serrano Berges, 11, 50016 Zaragoza</t>
  </si>
  <si>
    <t>976 57 48 33</t>
  </si>
  <si>
    <t>SOIBIO</t>
  </si>
  <si>
    <t>C. María Lostal, 11, 50008 Zaragoza</t>
  </si>
  <si>
    <t>976 92 14 49</t>
  </si>
  <si>
    <t>Herbolario HIERBABUENA</t>
  </si>
  <si>
    <t>C. Oviedo, 183, 50007 Zaragoza</t>
  </si>
  <si>
    <t>Herboristería Edelweiss</t>
  </si>
  <si>
    <t>976 05 12 15</t>
  </si>
  <si>
    <t>Herboristeria Vitalidad Actur</t>
  </si>
  <si>
    <t>mividanatural.es</t>
  </si>
  <si>
    <t>976 97 80 33</t>
  </si>
  <si>
    <t>info@mividanatural.es</t>
  </si>
  <si>
    <t>Dietas Sport Herbodietética</t>
  </si>
  <si>
    <t>P.º Teruel, 7, 50004 Zaragoza</t>
  </si>
  <si>
    <t>herbodieteticasport.es</t>
  </si>
  <si>
    <t>976 23 77 72</t>
  </si>
  <si>
    <t>pedidosdietassport@gmail.com</t>
  </si>
  <si>
    <t>Herbas Sanas Herboristería</t>
  </si>
  <si>
    <t>C. Monasterio San Martín de Cillas, 3, 50013 Zaragoza</t>
  </si>
  <si>
    <t>976 41 36 84</t>
  </si>
  <si>
    <t>Equilibrio Natural Herbodietética</t>
  </si>
  <si>
    <t>C. de Miguel Servet, 17, 50002 Zaragoza</t>
  </si>
  <si>
    <t>equilibrionatural.org</t>
  </si>
  <si>
    <t>976 02 11 71</t>
  </si>
  <si>
    <t>Dietas Sport Herboristerias</t>
  </si>
  <si>
    <t>P.º de Fernando el Católico, 9, 50006 Zaragoza</t>
  </si>
  <si>
    <t>876 45 85 82</t>
  </si>
  <si>
    <t>Birabola L</t>
  </si>
  <si>
    <t>C. Cereros, 22, 50003 Zaragoza</t>
  </si>
  <si>
    <t>976 28 07 51</t>
  </si>
  <si>
    <t>Vitalidad</t>
  </si>
  <si>
    <t>C. Monasterio San Martín de Cillas, 50013 Zaragoza</t>
  </si>
  <si>
    <t>Herbodisa</t>
  </si>
  <si>
    <t>Calle parque, 10 Local Herbodisa, 50007 Zaragoza</t>
  </si>
  <si>
    <t>herbodisa.es</t>
  </si>
  <si>
    <t>976 25 22 99</t>
  </si>
  <si>
    <t>Ideya Verde. Tienda vegana y ecológica en Zaragoza y online.</t>
  </si>
  <si>
    <t>C. Zaragoza la Vieja, 29, 50007 Zaragoza</t>
  </si>
  <si>
    <t>ideyaverde.es</t>
  </si>
  <si>
    <t>976 25 02 50</t>
  </si>
  <si>
    <t>A Zesta Berda</t>
  </si>
  <si>
    <t>C. Padre Consolación, 21, 50003 Zaragoza</t>
  </si>
  <si>
    <t>azestaberda.com</t>
  </si>
  <si>
    <t>976 05 68 64</t>
  </si>
  <si>
    <t>tienda@azestaberda.com</t>
  </si>
  <si>
    <t>CBD Zaragoza CBWEED - Tienda física. Flores de cbd y aceite de cbd.</t>
  </si>
  <si>
    <t>Calle San Miguel, 38, 50001 Zaragoza</t>
  </si>
  <si>
    <t>603 01 13 53</t>
  </si>
  <si>
    <t>Herboristería Las Plantas Naturales</t>
  </si>
  <si>
    <t>Abanto</t>
  </si>
  <si>
    <t>herboristerialasplantasnaturales.com</t>
  </si>
  <si>
    <t>976 22 97 79</t>
  </si>
  <si>
    <t>contacto@herboristerialasplantasnaturales.com</t>
  </si>
  <si>
    <t>Maria Lidia Ferrer López</t>
  </si>
  <si>
    <t>C/ Santa Isabel, 18, 50003 Villamayor de Gállego, Zaragoza</t>
  </si>
  <si>
    <t>675 97 88 80</t>
  </si>
  <si>
    <t>La Aragonesa CBD</t>
  </si>
  <si>
    <t>laaragonesacbd.com</t>
  </si>
  <si>
    <t>691 48 83 83</t>
  </si>
  <si>
    <t>Calle Dr. Julián Sanz Ibáñez, 53, 50017 Zaragoza</t>
  </si>
  <si>
    <t>876 43 62 82</t>
  </si>
  <si>
    <t>Caminosano Herboristería Online</t>
  </si>
  <si>
    <t>Calle P, 0 S N Polígono Royales Altos, 50001 Zaragoza</t>
  </si>
  <si>
    <t>902 07 00 64</t>
  </si>
  <si>
    <t>Cinco Movimientos</t>
  </si>
  <si>
    <t>Parque Industrial El Polígono, C/ Río Gállego, 3, 50410 Cuarte de Huerva, Zaragoza</t>
  </si>
  <si>
    <t>Cuarte de Huerva</t>
  </si>
  <si>
    <t>976 50 20 60</t>
  </si>
  <si>
    <t>Nutricionybikes.com</t>
  </si>
  <si>
    <t>Vía Univérsitas, 46, 50017 Zaragoza</t>
  </si>
  <si>
    <t>nutricionybikes.com</t>
  </si>
  <si>
    <t>976 07 35 87</t>
  </si>
  <si>
    <t>u003eprivacy@afternic.com</t>
  </si>
  <si>
    <t>Tienda Online CBD Salud - Aceite de CBD Oil</t>
  </si>
  <si>
    <t>Tienda Online Especialistas en Aceite de CBD Envíos Gratuito a Toda España, C. Oviedo, 13, 50007 Zaragoza</t>
  </si>
  <si>
    <t>cbdsalud.pro</t>
  </si>
  <si>
    <t>616 15 42 37</t>
  </si>
  <si>
    <t>info@cbdsalud.pro</t>
  </si>
  <si>
    <t>Hierbicas</t>
  </si>
  <si>
    <t>C. Venezuela, 1, 50180 Utebo, Zaragoza</t>
  </si>
  <si>
    <t>Utebo</t>
  </si>
  <si>
    <t>hierbicas.com</t>
  </si>
  <si>
    <t>976 24 01 69</t>
  </si>
  <si>
    <t>La Salud</t>
  </si>
  <si>
    <t>C. San Vicente de Paul, 7, 50620 Zaragoza</t>
  </si>
  <si>
    <t>976 29 99 17</t>
  </si>
  <si>
    <t>Herboristería Infusionaté</t>
  </si>
  <si>
    <t>C/ La Jota s/n Local 1, 50430 María de Huerva</t>
  </si>
  <si>
    <t>María de Huerva</t>
  </si>
  <si>
    <t>976 12 30 78</t>
  </si>
  <si>
    <t>Plantapol</t>
  </si>
  <si>
    <t>C. del Chopo, 46, 50171 La Puebla de Alfindén, Zaragoza</t>
  </si>
  <si>
    <t>La Puebla de Alfindén</t>
  </si>
  <si>
    <t>plantapol.com</t>
  </si>
  <si>
    <t>976 45 51 05</t>
  </si>
  <si>
    <t>Deherbolario</t>
  </si>
  <si>
    <t>deherbolario.com</t>
  </si>
  <si>
    <t>610 97 62 43</t>
  </si>
  <si>
    <t>hola@deherbolario.com</t>
  </si>
  <si>
    <t>VidaSana</t>
  </si>
  <si>
    <t>C. de la Jota, 50430 María de Huerva, Zaragoza</t>
  </si>
  <si>
    <t>876 28 41 09</t>
  </si>
  <si>
    <t>Ecogeotica S.L.</t>
  </si>
  <si>
    <t>C. Concepción, 12, 50540 Borja, Zaragoza</t>
  </si>
  <si>
    <t>Borja</t>
  </si>
  <si>
    <t>ecogeotica.com</t>
  </si>
  <si>
    <t>976 86 87 33</t>
  </si>
  <si>
    <t>Naturalmente Herboristería</t>
  </si>
  <si>
    <t>C. Coso, 7, BAJO COMERCIAL, 50600 Ejea de los Caballeros, Zaragoza</t>
  </si>
  <si>
    <t>Ejea de los Caballeros</t>
  </si>
  <si>
    <t>976 66 01 78</t>
  </si>
  <si>
    <t>HERBORISTERÍA NATURAL</t>
  </si>
  <si>
    <t>Rda. Cortes de Aragón, 6, Bajo, 50100 La Almunia de Doña Godina, Zaragoza</t>
  </si>
  <si>
    <t>La Almunia de Doña Godina</t>
  </si>
  <si>
    <t>976 81 29 27</t>
  </si>
  <si>
    <t>Herboristería Mayte</t>
  </si>
  <si>
    <t>C. Doz, 2, 50500 Tarazona, Zaragoza</t>
  </si>
  <si>
    <t>Tarazona</t>
  </si>
  <si>
    <t>976 64 35 64</t>
  </si>
  <si>
    <t>Salud Center</t>
  </si>
  <si>
    <t>C. Benedicto XIII, 55, 50250 Illueca, Zaragoza</t>
  </si>
  <si>
    <t>Illueca</t>
  </si>
  <si>
    <t>976 82 21 32</t>
  </si>
  <si>
    <t>Herbo Sanz SL</t>
  </si>
  <si>
    <t>P.º Cortes de Aragón, 22, 50300 Calatayud, Zaragoza</t>
  </si>
  <si>
    <t>Calatayud</t>
  </si>
  <si>
    <t>herbosanz.com</t>
  </si>
  <si>
    <t>976 88 04 14</t>
  </si>
  <si>
    <t>herbosanz@herbosanz.com</t>
  </si>
  <si>
    <t>La Botica Verde</t>
  </si>
  <si>
    <t>C. Zaragoza, 13, 28934 Móstoles, Madrid</t>
  </si>
  <si>
    <t>Móstoles</t>
  </si>
  <si>
    <t>916 14 85 88</t>
  </si>
  <si>
    <t>Espacio Natura</t>
  </si>
  <si>
    <t>C. Valimaña, 3, 50700 Caspe, Zaragoza</t>
  </si>
  <si>
    <t>Caspe</t>
  </si>
  <si>
    <t>espacionatura.es</t>
  </si>
  <si>
    <t>976 63 19 18</t>
  </si>
  <si>
    <t>correoelectronico@espacionatura.es</t>
  </si>
  <si>
    <t>Herbolario Navarro Campanar</t>
  </si>
  <si>
    <t>Av. de Pius XII, 15, 46015 València, Valencia</t>
  </si>
  <si>
    <t>963 17 34 84</t>
  </si>
  <si>
    <t>Herbolari Navarro Carrer Alboraia</t>
  </si>
  <si>
    <t>Carrer d&amp;apos;Alboraia, 23, 46010 València, Valencia</t>
  </si>
  <si>
    <t>963 89 16 21</t>
  </si>
  <si>
    <t>El Antiguo Herbolario</t>
  </si>
  <si>
    <t>C. Capitán Hernández Mira, 10, 03004 Alicante</t>
  </si>
  <si>
    <t>Alicante (Alacant)</t>
  </si>
  <si>
    <t>Alicante</t>
  </si>
  <si>
    <t>elantiguoherbolario.com</t>
  </si>
  <si>
    <t>965 25 24 15</t>
  </si>
  <si>
    <t>elantiguoherbolario@gmail.com</t>
  </si>
  <si>
    <t>Herbolario Ecotienda Ceres</t>
  </si>
  <si>
    <t>Pl. España, 4, 05420 Sotillo de la Adrada, Ávila</t>
  </si>
  <si>
    <t>Sotillo de la Adrada</t>
  </si>
  <si>
    <t>Ávila</t>
  </si>
  <si>
    <t>ceresherbolario.es</t>
  </si>
  <si>
    <t>918 66 08 46</t>
  </si>
  <si>
    <t>ceresherbal@hotmail.com</t>
  </si>
  <si>
    <t>Herbolario Doemi</t>
  </si>
  <si>
    <t>Av. de Canillejas a Vicálvaro, 63, 28022 Madrid</t>
  </si>
  <si>
    <t>herbolariosdoemi.com</t>
  </si>
  <si>
    <t>917 41 64 13</t>
  </si>
  <si>
    <t>info@herbolariosdoemi.com</t>
  </si>
  <si>
    <t>Centro dietético - Herbolario Asturnat</t>
  </si>
  <si>
    <t>C. Fray Ceferino, 29, Bajo derecha, 33001 Oviedo, Asturias</t>
  </si>
  <si>
    <t>Oviedo</t>
  </si>
  <si>
    <t>herbolarios.org</t>
  </si>
  <si>
    <t>985 21 44 03</t>
  </si>
  <si>
    <t>Anemona Herbolario</t>
  </si>
  <si>
    <t>C. Río de Oro, 3, B - 73.1 / 74, 33209 Gijón, Asturias</t>
  </si>
  <si>
    <t>Gijón</t>
  </si>
  <si>
    <t>anemonaherbolario.com</t>
  </si>
  <si>
    <t>985 14 07 28</t>
  </si>
  <si>
    <t>info@anemonaherbolario.com</t>
  </si>
  <si>
    <t>Herbolario &amp;quot;El Tilo&amp;quot;</t>
  </si>
  <si>
    <t>Calle Quintana, 13, 33009 Oviedo, Asturias</t>
  </si>
  <si>
    <t>985 22 62 86</t>
  </si>
  <si>
    <t>Herbolario Dalisa</t>
  </si>
  <si>
    <t>C. Mayor, 39, 33800 Cangas del Narcea, Asturias</t>
  </si>
  <si>
    <t>Cangas del Narcea</t>
  </si>
  <si>
    <t>985 81 03 48</t>
  </si>
  <si>
    <t>Herbolario El Manantial - Parafarmacia</t>
  </si>
  <si>
    <t>C. Jerónimo González, nº2, 33206 Gijón, Asturias</t>
  </si>
  <si>
    <t>herbolarioelmanantial.es</t>
  </si>
  <si>
    <t>985 35 59 37</t>
  </si>
  <si>
    <t>Herbolario Anémona</t>
  </si>
  <si>
    <t>Av de Galicia, 90, 33212 Gijón, Asturias</t>
  </si>
  <si>
    <t>985 31 24 52</t>
  </si>
  <si>
    <t>Herboristería &amp;quot;La Botica de Carmen&amp;quot; (Oviedo)</t>
  </si>
  <si>
    <t>C. Joaquín Blume, 5, Bajo, 33010 Oviedo, Asturias</t>
  </si>
  <si>
    <t>laboticadecarmen.es</t>
  </si>
  <si>
    <t>984 04 08 39</t>
  </si>
  <si>
    <t>boticadecarmenoviedo@gmail.com</t>
  </si>
  <si>
    <t>Centro Dietetico Dalisa</t>
  </si>
  <si>
    <t>C. Juan Alvargonzález, 13, 33208 Gijón, Asturias</t>
  </si>
  <si>
    <t>985 14 21 98</t>
  </si>
  <si>
    <t>Herbolario Santiveri</t>
  </si>
  <si>
    <t>C. Lola Mateos, 9, 33013 Oviedo, Asturias</t>
  </si>
  <si>
    <t>985 23 38 65</t>
  </si>
  <si>
    <t>La Herbosura</t>
  </si>
  <si>
    <t>C. del Naranjo de Bulnes, Nº 9, 33211 Gijón, Asturias</t>
  </si>
  <si>
    <t>laherbosura.com</t>
  </si>
  <si>
    <t>985 49 63 23</t>
  </si>
  <si>
    <t>herbosura@gmail.com</t>
  </si>
  <si>
    <t>Dietéticas El Arbolon I y II</t>
  </si>
  <si>
    <t>Calle Gutiérrez Herrero, 26, Av. Fernández Balsera, 40, 33402 Avilés, Asturias</t>
  </si>
  <si>
    <t>Avilés</t>
  </si>
  <si>
    <t>dieteticaelarbolon.com</t>
  </si>
  <si>
    <t>985 54 41 30</t>
  </si>
  <si>
    <t>La Botica de CEDI</t>
  </si>
  <si>
    <t>C. Ramón Mª del Valle Inclán, 1, 33404, Asturias</t>
  </si>
  <si>
    <t>984 83 54 16</t>
  </si>
  <si>
    <t>Herboristería Robledo</t>
  </si>
  <si>
    <t>C. Campoamor, 27, 33001 Oviedo, Asturias</t>
  </si>
  <si>
    <t>herboristeriarobledo.com</t>
  </si>
  <si>
    <t>985 22 27 60</t>
  </si>
  <si>
    <t>herboristeriarobledo@hotmail.com</t>
  </si>
  <si>
    <t>Herbolarium S L</t>
  </si>
  <si>
    <t>C. Caveda, 21, 33002 Oviedo, Asturias</t>
  </si>
  <si>
    <t>985 22 47 74</t>
  </si>
  <si>
    <t>Herbolario Aloe Vera</t>
  </si>
  <si>
    <t>C. Marqués de San Esteban, 35, 33206 Gijón, Asturias</t>
  </si>
  <si>
    <t>985 17 12 05</t>
  </si>
  <si>
    <t>Herbolario Raquel Asturias</t>
  </si>
  <si>
    <t>bajo, C. Albéniz, s/n, 33940 San Martín del Rey Aurelio, Asturias</t>
  </si>
  <si>
    <t>San Martín del Rey Aurelio</t>
  </si>
  <si>
    <t>985 65 40 41</t>
  </si>
  <si>
    <t>María Rosa Martín Veses</t>
  </si>
  <si>
    <t>Calle Valeriano Miranda, 4, 33600 Mieres, Asturias</t>
  </si>
  <si>
    <t>Mieres</t>
  </si>
  <si>
    <t>985 46 23 94</t>
  </si>
  <si>
    <t>Centro Dietetico Astur</t>
  </si>
  <si>
    <t>C. Nueve de Mayo, 33002 Oviedo, Asturias</t>
  </si>
  <si>
    <t>dieteticoastur.com</t>
  </si>
  <si>
    <t>985 22 63 11</t>
  </si>
  <si>
    <t>info@dieteticoastur.com</t>
  </si>
  <si>
    <t>By Capella Herbodietética y Gemoterapia</t>
  </si>
  <si>
    <t>C. Magdalena, 14, 33009 Oviedo, Asturias</t>
  </si>
  <si>
    <t>bycapella.es</t>
  </si>
  <si>
    <t>985 75 55 61</t>
  </si>
  <si>
    <t>Calle Donato Argüelles, 11, bajo, 33206 Gijón, Asturias</t>
  </si>
  <si>
    <t>hierbabuenadiet.com</t>
  </si>
  <si>
    <t>985 34 41 30</t>
  </si>
  <si>
    <t>info@hierbabuenadiet.com</t>
  </si>
  <si>
    <t>Fuente de Vida</t>
  </si>
  <si>
    <t>Calle Silla del Rey, 18, 33013 Oviedo, Asturias</t>
  </si>
  <si>
    <t>985 23 56 17</t>
  </si>
  <si>
    <t>Yerbas Centro Dietético</t>
  </si>
  <si>
    <t>C. José Cueto, 9, 33401 Avilés, Asturias</t>
  </si>
  <si>
    <t>985 56 37 73</t>
  </si>
  <si>
    <t>Centro Dietético</t>
  </si>
  <si>
    <t>C. de Joaquina Bobela, 4, 33011 Oviedo, Asturias</t>
  </si>
  <si>
    <t>984 15 76 62</t>
  </si>
  <si>
    <t>Écolo Dietética</t>
  </si>
  <si>
    <t>Av. de Gaspar García Laviana, 51, 33210 Gijón, Asturias</t>
  </si>
  <si>
    <t>985 14 14 20</t>
  </si>
  <si>
    <t>Gema Alvarez Peláez</t>
  </si>
  <si>
    <t>El Xabu</t>
  </si>
  <si>
    <t>C. Gran Capitán, 4, 33213 Gijón, Asturias</t>
  </si>
  <si>
    <t>herbolarioelxabu.com</t>
  </si>
  <si>
    <t>985 30 08 06</t>
  </si>
  <si>
    <t>info@herbolarioelxabu.com</t>
  </si>
  <si>
    <t>La Botica de Juan S.L.L.</t>
  </si>
  <si>
    <t>C. Nueve de Mayo, 15, 33002 Oviedo, Asturias</t>
  </si>
  <si>
    <t>985 21 01 00</t>
  </si>
  <si>
    <t>Jesús Manuel Cabo Alvarez</t>
  </si>
  <si>
    <t>Av. de Santander, 18, 33001 Oviedo, Asturias</t>
  </si>
  <si>
    <t>984 18 78 67</t>
  </si>
  <si>
    <t>Naturvida Herbolario</t>
  </si>
  <si>
    <t>C. Río de Oro, 42, 33209 Gijón, Asturias</t>
  </si>
  <si>
    <t>Herbolario Malvavisco</t>
  </si>
  <si>
    <t>C. Aguado, 8, 33202 Gijón, Asturias</t>
  </si>
  <si>
    <t>acupunturagijon.com</t>
  </si>
  <si>
    <t>984 49 21 79</t>
  </si>
  <si>
    <t>Mandala</t>
  </si>
  <si>
    <t>33600 Mieres, Asturias</t>
  </si>
  <si>
    <t>984 05 36 35</t>
  </si>
  <si>
    <t>Sanabel S. C.</t>
  </si>
  <si>
    <t>Calle Poeta Alfonso Camín, 5, 33209 Gijón, Asturias</t>
  </si>
  <si>
    <t>sanabel.com.es</t>
  </si>
  <si>
    <t>985 15 58 63</t>
  </si>
  <si>
    <t>sanabel@sanabel.com.es</t>
  </si>
  <si>
    <t>Anais</t>
  </si>
  <si>
    <t>Calle Dr. Marañón, 24, 33402 Avilés, Asturias</t>
  </si>
  <si>
    <t>985 55 01 57</t>
  </si>
  <si>
    <t>Lilas</t>
  </si>
  <si>
    <t>Av. de la Costa, 74, 33201 Gijón, Asturias</t>
  </si>
  <si>
    <t>985 13 42 05</t>
  </si>
  <si>
    <t>C. de la Cámara, 37, 33401 Avilés, Asturias</t>
  </si>
  <si>
    <t>985 56 62 26</t>
  </si>
  <si>
    <t>Marta María García González</t>
  </si>
  <si>
    <t>Pl. los Rosales, 2, 33870 Tineo, Asturias</t>
  </si>
  <si>
    <t>Tineo</t>
  </si>
  <si>
    <t>La Botica de Cedi</t>
  </si>
  <si>
    <t>C. Rey Pelayo, 3, 33450 Piedras Blancas, Asturias</t>
  </si>
  <si>
    <t>Piedras Blancas</t>
  </si>
  <si>
    <t>984 83 35 05</t>
  </si>
  <si>
    <t>Casa Manuela</t>
  </si>
  <si>
    <t>C. Hermanos Miranda, 5, 33670 Moreda, Asturias</t>
  </si>
  <si>
    <t>Moreda</t>
  </si>
  <si>
    <t>985 48 01 75</t>
  </si>
  <si>
    <t>Herbolario La Ventana Natural Piedras Blancas- Castrillón (Asturias)</t>
  </si>
  <si>
    <t>Herbolario La Ventana Natura, C. Pablo Iglesias, 11, bajo B, 33450 Piedras Blancas, Asturias</t>
  </si>
  <si>
    <t>985 50 71 93</t>
  </si>
  <si>
    <t>Dietética Altea</t>
  </si>
  <si>
    <t>Av. Hermanos Felgueroso, 47, 33205 Gijón, Asturias</t>
  </si>
  <si>
    <t>985 15 08 22</t>
  </si>
  <si>
    <t>Dietetica Trisquel</t>
  </si>
  <si>
    <t>Av. del Pardo, 33710 Navia, Asturias</t>
  </si>
  <si>
    <t>Navia</t>
  </si>
  <si>
    <t>dieteticatrisquel.com</t>
  </si>
  <si>
    <t>985 47 36 32</t>
  </si>
  <si>
    <t>Herbolarios Premium Flor de la Vida</t>
  </si>
  <si>
    <t>C. Valencia, 26, 33210 Gijón, Asturias</t>
  </si>
  <si>
    <t>656 50 40 07</t>
  </si>
  <si>
    <t>Centro Dietético Reme</t>
  </si>
  <si>
    <t>C. Mieres, 14, 33208 Gijón, Asturias</t>
  </si>
  <si>
    <t>984 24 68 56</t>
  </si>
  <si>
    <t>Herbolario y Ecotienda Alkymia y Salud</t>
  </si>
  <si>
    <t>Av. de Portugal, 33, bajo 4, 33207 Gijón, Asturias</t>
  </si>
  <si>
    <t>alkymiaysalud.com</t>
  </si>
  <si>
    <t>984 09 15 90</t>
  </si>
  <si>
    <t>El Tilar</t>
  </si>
  <si>
    <t>C. Alcalde Parrondo, 1, 33510 Pola de Siero, Asturias</t>
  </si>
  <si>
    <t>herbolarioeltilar.com</t>
  </si>
  <si>
    <t>985 72 18 24</t>
  </si>
  <si>
    <t>eltilar@herbolarioeltilar.com</t>
  </si>
  <si>
    <t>Plenatura - Algo más que Yerbas</t>
  </si>
  <si>
    <t>C. Mayor, 31, 33500 Llanes, Asturias</t>
  </si>
  <si>
    <t>Llanes</t>
  </si>
  <si>
    <t>628 25 70 19</t>
  </si>
  <si>
    <t>HERBORISTERIA &amp;quot;La Botica De Carmen&amp;quot;</t>
  </si>
  <si>
    <t>C. Joaquín Blume, 5, 33010 Oviedo, Asturias</t>
  </si>
  <si>
    <t>Loveverde</t>
  </si>
  <si>
    <t>Allande</t>
  </si>
  <si>
    <t>644 54 78 02</t>
  </si>
  <si>
    <t>Herbolario Herboristería La Tilar</t>
  </si>
  <si>
    <t>C. Domingo Juliana, 6, 33212 Gijón, Asturias</t>
  </si>
  <si>
    <t>herboristeria.top</t>
  </si>
  <si>
    <t>985 30 80 26</t>
  </si>
  <si>
    <t>Dietética y Nutrición Fucus</t>
  </si>
  <si>
    <t>C. Guipúzcoa, 12, 33210 Gijón, Asturias</t>
  </si>
  <si>
    <t>985 16 49 49</t>
  </si>
  <si>
    <t>Dietetica Blanco</t>
  </si>
  <si>
    <t>C. Gonzalo Méndez de Cancio, nº1, 33740 Tapia de Casariego, Asturias</t>
  </si>
  <si>
    <t>Tapia de Casariego</t>
  </si>
  <si>
    <t>google.com</t>
  </si>
  <si>
    <t>985 47 27 33</t>
  </si>
  <si>
    <t>press@google.com</t>
  </si>
  <si>
    <t>La ecotienda de mila</t>
  </si>
  <si>
    <t>C. Covadonga, 27, 33530 Infiesto, Asturias</t>
  </si>
  <si>
    <t>Infiesto</t>
  </si>
  <si>
    <t>609 73 53 25</t>
  </si>
  <si>
    <t>Herboristería Top</t>
  </si>
  <si>
    <t>Herbolario y Centro de Masaje-Terapia Natural Telvy</t>
  </si>
  <si>
    <t>C. Párroco Camino, 19, bajo, 33700 Luarca, Asturias</t>
  </si>
  <si>
    <t>Luarca</t>
  </si>
  <si>
    <t>680 47 08 06</t>
  </si>
  <si>
    <t>Herbolario hierbabuena</t>
  </si>
  <si>
    <t>C. Carmen, 17, 33300 Villaviciosa, Asturias</t>
  </si>
  <si>
    <t>Villaviciosa</t>
  </si>
  <si>
    <t>676 70 63 56</t>
  </si>
  <si>
    <t>El Olivo - Centro dietético en Avilés</t>
  </si>
  <si>
    <t>Tr.ª Juan de Grijalba, 2, 3403, 33403 Avilés, Asturias</t>
  </si>
  <si>
    <t>984 20 26 58</t>
  </si>
  <si>
    <t>OSADHI VIDA NATURAL - Productos ecológicos y naturales en Noreña</t>
  </si>
  <si>
    <t>Pl. de la Constitución, 1, 33180 Noreña, Asturias</t>
  </si>
  <si>
    <t>Noreña</t>
  </si>
  <si>
    <t>984 18 33 68</t>
  </si>
  <si>
    <t>LA TIENDA DE LA SALUD</t>
  </si>
  <si>
    <t>Av. Oviedo, 19, 33424 Posada, Asturias</t>
  </si>
  <si>
    <t>Posada</t>
  </si>
  <si>
    <t>985 77 30 94</t>
  </si>
  <si>
    <t>Plantasana SL</t>
  </si>
  <si>
    <t>C. Marqués de Casa Valdés, 46, 33202 Gijón, Asturias</t>
  </si>
  <si>
    <t>plantasanagijon.com</t>
  </si>
  <si>
    <t>985 33 61 47</t>
  </si>
  <si>
    <t>info@plantasanagijon.com</t>
  </si>
  <si>
    <t>C. Dorado, 2, 33900 Langreo, Asturias</t>
  </si>
  <si>
    <t>Langreo</t>
  </si>
  <si>
    <t>985 67 67 83</t>
  </si>
  <si>
    <t>CENTRO DIETÉTICO CONCHA</t>
  </si>
  <si>
    <t>C. Alonso de Ojeda, 21, 33208 Gijón, Asturias</t>
  </si>
  <si>
    <t>985 39 91 92</t>
  </si>
  <si>
    <t>Santiveri Pola de Lena</t>
  </si>
  <si>
    <t>C. Caba Baja, 6, 33630 Pola de Lena, Asturias</t>
  </si>
  <si>
    <t>Pola de Lena</t>
  </si>
  <si>
    <t>985 49 39 93</t>
  </si>
  <si>
    <t>Herbolario Sello De Oro El Coto</t>
  </si>
  <si>
    <t>C. Quevedo, 61, Bajo, 33204 Gijón, Asturias</t>
  </si>
  <si>
    <t>sellodeoro.es</t>
  </si>
  <si>
    <t>684 66 08 40</t>
  </si>
  <si>
    <t>realsellodeoro@gmail.com</t>
  </si>
  <si>
    <t>EspacioSano - Herbolario y centro de yoga</t>
  </si>
  <si>
    <t>Av. Pablo Iglesias, 31, 33205 Gijón, Asturias</t>
  </si>
  <si>
    <t>espaciosano.es</t>
  </si>
  <si>
    <t>984 10 49 80</t>
  </si>
  <si>
    <t>espacio@espaciosano.es</t>
  </si>
  <si>
    <t>Creatusalud.es</t>
  </si>
  <si>
    <t>Av. Galicia, 16, 5º, 33700 Luarca, Asturias</t>
  </si>
  <si>
    <t>creatusalud.es</t>
  </si>
  <si>
    <t>653 12 87 87</t>
  </si>
  <si>
    <t>info@creatusalud.es</t>
  </si>
  <si>
    <t>Parafarmacia Posada</t>
  </si>
  <si>
    <t>C. Río Bedón, 38, 33594 Llanes, Asturias</t>
  </si>
  <si>
    <t>985 40 73 16</t>
  </si>
  <si>
    <t>Dietetica Y Nutricion Sol</t>
  </si>
  <si>
    <t>C. Primero de Mayo, 6, bajo, 33450 Piedras Blancas, Asturias</t>
  </si>
  <si>
    <t>667 52 22 12</t>
  </si>
  <si>
    <t>Planeta Salud</t>
  </si>
  <si>
    <t>Pl. Alfonso X el Sabio, 5, 33630 Pola de Lena, Asturias</t>
  </si>
  <si>
    <t>elplanetasalud.com</t>
  </si>
  <si>
    <t>985 49 20 53</t>
  </si>
  <si>
    <t>Farmaclin</t>
  </si>
  <si>
    <t>Av. de Asturias, 12, 27700 Ribadeo, Lugo</t>
  </si>
  <si>
    <t>Ribadeo</t>
  </si>
  <si>
    <t>Lugo</t>
  </si>
  <si>
    <t>982 13 05 74</t>
  </si>
  <si>
    <t>Rúa Virxe do Camiño, 6, 27700 Ribadeo, Lugo</t>
  </si>
  <si>
    <t>982 13 11 27</t>
  </si>
  <si>
    <t>Drich Store</t>
  </si>
  <si>
    <t>C. Fray Norberto del Prado, n2, bajo, 33980 Pola de Laviana, Asturias</t>
  </si>
  <si>
    <t>Pola de Laviana</t>
  </si>
  <si>
    <t>drichstore.es</t>
  </si>
  <si>
    <t>623 00 24 56</t>
  </si>
  <si>
    <t>info@drichstore.es</t>
  </si>
  <si>
    <t>Herboristería Renacer</t>
  </si>
  <si>
    <t>C. Cervantes, 25, 24300 Bembibre, León</t>
  </si>
  <si>
    <t>Bembibre</t>
  </si>
  <si>
    <t>León</t>
  </si>
  <si>
    <t>635 47 88 86</t>
  </si>
  <si>
    <t>Chandra</t>
  </si>
  <si>
    <t>C. Antonio López, 0, 39520 Comillas, Cantabria</t>
  </si>
  <si>
    <t>Comillas</t>
  </si>
  <si>
    <t>Cantabria</t>
  </si>
  <si>
    <t>942 72 26 02</t>
  </si>
  <si>
    <t>Comercial Espino Blanco S.L.U.</t>
  </si>
  <si>
    <t>Av. San Ignacio de Loyola, 32, 24010 León</t>
  </si>
  <si>
    <t>987 27 32 99</t>
  </si>
  <si>
    <t>Hierbas Salvajes</t>
  </si>
  <si>
    <t>Av. San Mamés, 21, 24007 León</t>
  </si>
  <si>
    <t>987 22 40 25</t>
  </si>
  <si>
    <t>Herbolario Caléndula Dietética</t>
  </si>
  <si>
    <t>C. Daoíz y Velarde, 9, 24006 León</t>
  </si>
  <si>
    <t>680 34 89 66</t>
  </si>
  <si>
    <t>Cosa Sana</t>
  </si>
  <si>
    <t>C. Octavio Alvarez Carballo, 10, 24004 León</t>
  </si>
  <si>
    <t>987 26 11 17</t>
  </si>
  <si>
    <t>Yerbabuena Espai</t>
  </si>
  <si>
    <t>Carrer de Cecili Metel, 11, 07003 Palma, Illes Balears</t>
  </si>
  <si>
    <t>Palma</t>
  </si>
  <si>
    <t>Illes Balears</t>
  </si>
  <si>
    <t>yerbabuena.com.es</t>
  </si>
  <si>
    <t>971 71 68 04</t>
  </si>
  <si>
    <t>info@yerbabuena.com.es</t>
  </si>
  <si>
    <t>Herbolario Navarro Palma de Mallorca</t>
  </si>
  <si>
    <t>Carrer de Caro, 34, 07013 Palma, Illes Balears</t>
  </si>
  <si>
    <t>971 72 69 73</t>
  </si>
  <si>
    <t>Herboristería Maria Antonia Bergas - Navegación</t>
  </si>
  <si>
    <t>Plaça de la Navegació, 12, 07013 Palma, Illes Balears</t>
  </si>
  <si>
    <t>971 73 89 39</t>
  </si>
  <si>
    <t>Dietética Murta - San Antonio</t>
  </si>
  <si>
    <t>Plaça de Sant Antoni, 7, 07002 Palma, Illes Balears</t>
  </si>
  <si>
    <t>971 72 93 52</t>
  </si>
  <si>
    <t>Tot Natura</t>
  </si>
  <si>
    <t>Avinguda de l&amp;apos;Argentina, 83, 07011 Palma, Illes Balears</t>
  </si>
  <si>
    <t>971 28 66 17</t>
  </si>
  <si>
    <t>Marisa Dos Santos Cochbey</t>
  </si>
  <si>
    <t>Carrer de Francesc Martí i Móra, 27, 07011 Palma, Illes Balears</t>
  </si>
  <si>
    <t>971 91 55 22</t>
  </si>
  <si>
    <t>El Arbol De La Vida - Videncia-Vidente- Medium-Tarotista Esoterismo Terapias</t>
  </si>
  <si>
    <t>Avinguda d&amp;apos;Antoni Maura, 6, 07141 Es Pont d&amp;apos;Inca, Illes Balears</t>
  </si>
  <si>
    <t>Es Pont d&amp;apos;Inca</t>
  </si>
  <si>
    <t>marieceline.es</t>
  </si>
  <si>
    <t>675 35 99 89</t>
  </si>
  <si>
    <t>El Rincón de las Hierbas</t>
  </si>
  <si>
    <t>Avinguda de Joan Miró, 155, 07015 Palma, Illes Balears</t>
  </si>
  <si>
    <t>971 40 52 16</t>
  </si>
  <si>
    <t>La Herbolaria</t>
  </si>
  <si>
    <t>Carrer de Ramon Berenguer III, Nº2, 07003 Palma, Illes Balears</t>
  </si>
  <si>
    <t>laherbolaria.com</t>
  </si>
  <si>
    <t>971 44 72 59</t>
  </si>
  <si>
    <t>Herbolario72</t>
  </si>
  <si>
    <t>Carrer d&amp;apos;Eusebi Estada, 82, 07004 Palma, Illes Balears</t>
  </si>
  <si>
    <t>637 61 32 67</t>
  </si>
  <si>
    <t>Herbodietetica Seda SL</t>
  </si>
  <si>
    <t>Plaça de Santa Pagesa, 3, 07003 Palma, Illes Balears</t>
  </si>
  <si>
    <t>herbodieteticaseda.com</t>
  </si>
  <si>
    <t>971 29 88 97</t>
  </si>
  <si>
    <t>Distribuciones Josmer</t>
  </si>
  <si>
    <t>Carrer de l&amp;apos;Arc de Sant Martí, 16, 07011 Palma, Illes Balears</t>
  </si>
  <si>
    <t>distribucionesjosmer.com</t>
  </si>
  <si>
    <t>659 53 56 44</t>
  </si>
  <si>
    <t>distribuciones.josmer@gmail.com</t>
  </si>
  <si>
    <t>Herboristería María Antonia Bergas - Sindicato</t>
  </si>
  <si>
    <t>Calle, Carrer del Sindicat, 50, 07002 Palma, Balearic Islands</t>
  </si>
  <si>
    <t>Balearic Islands</t>
  </si>
  <si>
    <t>971 71 20 04</t>
  </si>
  <si>
    <t>HERBORISTERIA CONSULTA NATURISTA</t>
  </si>
  <si>
    <t>Carrer d&amp;apos;Aragó, 68, 07005 Palma, Illes Balears</t>
  </si>
  <si>
    <t>692 13 33 67</t>
  </si>
  <si>
    <t>Herbodietética Kamut</t>
  </si>
  <si>
    <t>Carrer de Pau Piferrer, 4, 07011 Palma, Illes Balears</t>
  </si>
  <si>
    <t>971 78 02 91</t>
  </si>
  <si>
    <t>Dietética Murta - Los Geranios</t>
  </si>
  <si>
    <t>Pasaje Guillermo Torella, 11, 07002 Palma, Balearic Islands</t>
  </si>
  <si>
    <t>971 71 52 62</t>
  </si>
  <si>
    <t>Verd &amp;amp; Verdesca</t>
  </si>
  <si>
    <t>Carrer Concepció, 4, 07350 Binissalem, Illes Balears</t>
  </si>
  <si>
    <t>Binisalem</t>
  </si>
  <si>
    <t>692 63 81 56</t>
  </si>
  <si>
    <t>Raices Herbolario Teteria</t>
  </si>
  <si>
    <t>N20 Local N20, Avinguda de Joan Miró, 07014 Palma, Balearic Islands</t>
  </si>
  <si>
    <t>raicesherbolarioteteria.com</t>
  </si>
  <si>
    <t>648 97 46 55</t>
  </si>
  <si>
    <t>hola@raicesherbolarioteteria.com</t>
  </si>
  <si>
    <t>Rivasalud Herboristería Mallorca</t>
  </si>
  <si>
    <t>C. del Camp Redó, 11, 07010 Palma, Illes Balears</t>
  </si>
  <si>
    <t>971 75 68 17</t>
  </si>
  <si>
    <t>Jazmín Representaciones Dieteticas S.L.</t>
  </si>
  <si>
    <t>Carrer de s&amp;apos;Olivera, 15, 07141 Marratxí, Illes Balears</t>
  </si>
  <si>
    <t>Marratxí</t>
  </si>
  <si>
    <t>971 79 64 19</t>
  </si>
  <si>
    <t>Herbolari S&amp;apos;Hort des Temps (Camamil-la)</t>
  </si>
  <si>
    <t>Carrer des Ramal, 8, 07730 Alaior, Illes Balears</t>
  </si>
  <si>
    <t>Alayor</t>
  </si>
  <si>
    <t>971 37 88 86</t>
  </si>
  <si>
    <t>Herbolario Sa Pobla</t>
  </si>
  <si>
    <t>Carrer Rector Tomàs Serra, 07420 Sa Pobla, Illes Balears</t>
  </si>
  <si>
    <t>La Puebla</t>
  </si>
  <si>
    <t>herbolariosapobla.com</t>
  </si>
  <si>
    <t>971 54 09 61</t>
  </si>
  <si>
    <t>Celia del Castillo Sanz</t>
  </si>
  <si>
    <t>Carrer Gabriel Buades, 17, 07300 Inca, Illes Balears</t>
  </si>
  <si>
    <t>Inca</t>
  </si>
  <si>
    <t>971 50 31 56</t>
  </si>
  <si>
    <t>C`an Calde</t>
  </si>
  <si>
    <t>Carrer de ses Parres, 8, 07500 Manacor, Illes Balears</t>
  </si>
  <si>
    <t>Manacor</t>
  </si>
  <si>
    <t>971 55 27 29</t>
  </si>
  <si>
    <t>Planta Palma Cb</t>
  </si>
  <si>
    <t>EDFCIO CENTRO Nº2, Carrer d&amp;apos;En Vilanova, 2, 07002 Palma, Illes Balears</t>
  </si>
  <si>
    <t>971 71 60 49</t>
  </si>
  <si>
    <t>Espai-integral</t>
  </si>
  <si>
    <t>Carrer de Sant Esteve, 2, 07703 Maó, Illes Balears</t>
  </si>
  <si>
    <t>Maó-Mahón</t>
  </si>
  <si>
    <t>971 36 09 56</t>
  </si>
  <si>
    <t>Eva María Pérez Del Castillo</t>
  </si>
  <si>
    <t>Carrer Joan Alcover, 40, 07300 Inca, Illes Balears</t>
  </si>
  <si>
    <t>ECO-BIO organic market</t>
  </si>
  <si>
    <t>Carrer de Cotoner, 20, 07013 Palma, Illes Balears</t>
  </si>
  <si>
    <t>971 44 76 59</t>
  </si>
  <si>
    <t>Tawara</t>
  </si>
  <si>
    <t>C. Com. Carrefour, C/ del General Riera, 152, 07010 Palma, Balearic Islands</t>
  </si>
  <si>
    <t>herbolariotawara.es</t>
  </si>
  <si>
    <t>971 75 74 86</t>
  </si>
  <si>
    <t>Farma Herbes</t>
  </si>
  <si>
    <t>Plaça de l&amp;apos;Arquitecte Bennàssar, 1, 07500 Manacor, Illes Balears</t>
  </si>
  <si>
    <t>971 55 15 06</t>
  </si>
  <si>
    <t>Eugenia Gomila Pons</t>
  </si>
  <si>
    <t>Carrer Nou, 29, 07740 Mercadal ( Es ), Illes Balears</t>
  </si>
  <si>
    <t>Es Mercadal</t>
  </si>
  <si>
    <t>971 15 40 21</t>
  </si>
  <si>
    <t>Tienda Ecologica y herbolario Sakura</t>
  </si>
  <si>
    <t>Carrer de Sant Rafel, 9a, 07820 Sant Antoni de Portmany, Illes Balears</t>
  </si>
  <si>
    <t>San Antonio Abad</t>
  </si>
  <si>
    <t>971 34 16 25</t>
  </si>
  <si>
    <t>Farmatural Palma</t>
  </si>
  <si>
    <t>Carrer de Joan Massanet i Moragues, 6, 07010 Palma, Illes Balears</t>
  </si>
  <si>
    <t>farmatural.com</t>
  </si>
  <si>
    <t>971 90 04 87</t>
  </si>
  <si>
    <t>info@farmatural.com</t>
  </si>
  <si>
    <t>Sóller Bio</t>
  </si>
  <si>
    <t>Carrer de Bauçà, 13, 07100 Sóller, Illes Balears</t>
  </si>
  <si>
    <t>Sóller</t>
  </si>
  <si>
    <t>871 87 21 97</t>
  </si>
  <si>
    <t>Sanct Bernhard Herboristería</t>
  </si>
  <si>
    <t>Avinguda del Rei Jaume I, 117, 07183 Santa Ponça, Illes Balears</t>
  </si>
  <si>
    <t>Santa Ponsa</t>
  </si>
  <si>
    <t>971 69 83 97</t>
  </si>
  <si>
    <t>Frank Klose</t>
  </si>
  <si>
    <t>Carrer d&amp;apos;En Villalonga, 2, 07680 Porto Cristo, Illes Balears</t>
  </si>
  <si>
    <t>Porto Cristo</t>
  </si>
  <si>
    <t>971 82 22 31</t>
  </si>
  <si>
    <t>Herboristeria Pranathy</t>
  </si>
  <si>
    <t>Passatge del Vapor Mallorca, 2, local 1, 07840 Santa Eulària des Riu, Balearic Islands</t>
  </si>
  <si>
    <t>Santa Eulalia del Río</t>
  </si>
  <si>
    <t>pranathy.com</t>
  </si>
  <si>
    <t>971 33 99 99</t>
  </si>
  <si>
    <t>DISTRIBUCIONES JOSMER</t>
  </si>
  <si>
    <t>Poligono Son Noguera, 22, NAVE 21 POL. IND, 07620 Llucmajor, Illes Balears</t>
  </si>
  <si>
    <t>Lluchmayor</t>
  </si>
  <si>
    <t>Herbes Can Romaguera</t>
  </si>
  <si>
    <t>Poligono 3,parcela 166, 07140 Sencelles, Balearic Islands</t>
  </si>
  <si>
    <t>Sancellas</t>
  </si>
  <si>
    <t>651 07 83 56</t>
  </si>
  <si>
    <t>Herbes I Coses</t>
  </si>
  <si>
    <t>C/ de Catalunya, 33, BAJO, 07800 Ibiza, Balearic Islands</t>
  </si>
  <si>
    <t>Ibiza</t>
  </si>
  <si>
    <t>971 30 04 45</t>
  </si>
  <si>
    <t>Tienda ecológica Herbarius</t>
  </si>
  <si>
    <t>Carrer de la Soledat, 10, 07820 Sant Antoni de Portmany, Illes Balears</t>
  </si>
  <si>
    <t>673 97 98 54</t>
  </si>
  <si>
    <t>Dietética Margarita</t>
  </si>
  <si>
    <t>Carrer Nou, 29, 07740 Es Mercadal, Illes Balears</t>
  </si>
  <si>
    <t>Herboristería Mandala</t>
  </si>
  <si>
    <t>Carrer del Bisbe Roig, nº 50-B, 07620 Llucmajor, Illes Balears</t>
  </si>
  <si>
    <t>971 94 47 64</t>
  </si>
  <si>
    <t>Santiveri Mallorca</t>
  </si>
  <si>
    <t>Ctra. Palma- Inca. Centro Comercial Alcampo, local 43, 07141 Mallorca, 07141, Balearic Islands</t>
  </si>
  <si>
    <t>Es Caulls</t>
  </si>
  <si>
    <t>santiverimallorca.es</t>
  </si>
  <si>
    <t>682 52 31 03</t>
  </si>
  <si>
    <t>info@santiverimallorca.es</t>
  </si>
  <si>
    <t>La Casa de La Salud</t>
  </si>
  <si>
    <t>Av. de Menorca, 6, 07703 Maó, Illes Balears</t>
  </si>
  <si>
    <t>971 35 50 52</t>
  </si>
  <si>
    <t>Herbalife Asociado Independiente</t>
  </si>
  <si>
    <t>Carrer Clavell, 2, 07530 Sant Llorenç des Cardassar, Illes Balears</t>
  </si>
  <si>
    <t>San Lorenzo de Cardessar</t>
  </si>
  <si>
    <t>686 61 01 78</t>
  </si>
  <si>
    <t>Bio Market Fonoll Mari</t>
  </si>
  <si>
    <t>Avinguda de Jaume I el Conqueridor, 25, 07760 Ciutadella de Menorca, Illes Balears</t>
  </si>
  <si>
    <t>Ciudadela de Menorca</t>
  </si>
  <si>
    <t>fonollmari.com</t>
  </si>
  <si>
    <t>971 48 06 15</t>
  </si>
  <si>
    <t>info@fonollmari.com</t>
  </si>
  <si>
    <t>Cannalivery</t>
  </si>
  <si>
    <t>Carrer Son Vidal, n°10, 4-20, 07007 Palma, Balearic Islands</t>
  </si>
  <si>
    <t>Natural Eivissa Herbolario</t>
  </si>
  <si>
    <t>Via Púnica, 42, 07800 Eivissa, Illes Balears</t>
  </si>
  <si>
    <t>shop.bioeivissa.com</t>
  </si>
  <si>
    <t>971 39 05 71</t>
  </si>
  <si>
    <t>Tot Bio - (Herbolario)</t>
  </si>
  <si>
    <t>C/ Bon Aire, 18, 07703 Maó, Illes Balears</t>
  </si>
  <si>
    <t>971 36 38 61</t>
  </si>
  <si>
    <t>Camamil-la</t>
  </si>
  <si>
    <t>Carrer Magnífics Jurats, 07760 Ciutadella de Menorca, Illes Balears</t>
  </si>
  <si>
    <t>971 38 52 91</t>
  </si>
  <si>
    <t>Camamil·la</t>
  </si>
  <si>
    <t>Avinguda del Capità Negrete, 20, 07760 Ciutadella de Menorca, Illes Balears</t>
  </si>
  <si>
    <t>971 38 59 88</t>
  </si>
  <si>
    <t>S&amp;apos;Arboçar</t>
  </si>
  <si>
    <t>Carrer de Joan Riutort, 9, 07190 Esporles, Illes Balears</t>
  </si>
  <si>
    <t>Esporlas</t>
  </si>
  <si>
    <t>659 93 10 81</t>
  </si>
  <si>
    <t>Árbol de Té Ibiza - Tienda ecológica</t>
  </si>
  <si>
    <t>Avenida San Agustín, Carrer de Cala de Bou, 147, Local 1, 07829, Balearic Islands</t>
  </si>
  <si>
    <t>herbolarioarboldete.com</t>
  </si>
  <si>
    <t>665 12 35 56</t>
  </si>
  <si>
    <t>info@herbolarioarboldete.com</t>
  </si>
  <si>
    <t>Tuyerba.com</t>
  </si>
  <si>
    <t>pere vaquer ramis, nº 12 ,local 8, 07181 Magaluf, Balearic Islands</t>
  </si>
  <si>
    <t>Magaluf</t>
  </si>
  <si>
    <t>Carrer de Sant Onofre, 3, 07760 Ciutadella de Menorca, Illes Balears</t>
  </si>
  <si>
    <t>Herbolario El Madroñal</t>
  </si>
  <si>
    <t>C. de las Palmas, 51, 28938 Móstoles, Madrid</t>
  </si>
  <si>
    <t>herbolarioelmadron.wixsite.com</t>
  </si>
  <si>
    <t>916 46 07 80</t>
  </si>
  <si>
    <t>Herbolario Tamadaba Las Palmas de Gran Canaria</t>
  </si>
  <si>
    <t>C. Tomás Miller, 10, 35007 Las Palmas de Gran Canaria, Las Palmas</t>
  </si>
  <si>
    <t>Las Palmas de Gran Canaria</t>
  </si>
  <si>
    <t>Las Palmas</t>
  </si>
  <si>
    <t>928 94 04 99</t>
  </si>
  <si>
    <t>Herbolario Naturosalud</t>
  </si>
  <si>
    <t>C. León y Castillo, 179, 35004 Las Palmas de Gran Canaria, Las Palmas</t>
  </si>
  <si>
    <t>naturosalud.info</t>
  </si>
  <si>
    <t>928 24 23 23</t>
  </si>
  <si>
    <t>naturosalud@yahoo.es</t>
  </si>
  <si>
    <t>Herbolario Muerdago</t>
  </si>
  <si>
    <t>C. del Gral. Vives, 83, 35007 Las Palmas de Gran Canaria, Las Palmas</t>
  </si>
  <si>
    <t>928 22 30 39</t>
  </si>
  <si>
    <t>Calle de Perdomo, 20, 35002 Las Palmas de Gran Canaria, Las Palmas</t>
  </si>
  <si>
    <t>928 37 00 43</t>
  </si>
  <si>
    <t>Herbolario Jalea Real</t>
  </si>
  <si>
    <t>C. Leopoldo Matos, 25 y 28, 35006 Las Palmas de Gran Canaria, Las Palmas</t>
  </si>
  <si>
    <t>928 22 42 24</t>
  </si>
  <si>
    <t>Herbolario Laurisilva Bio</t>
  </si>
  <si>
    <t>C. León y Castillo, 14, 35003 Las Palmas de Gran Canaria, Las Palmas</t>
  </si>
  <si>
    <t>laurisilvabio.com</t>
  </si>
  <si>
    <t>610 07 99 67</t>
  </si>
  <si>
    <t>Herbolario la Corteza</t>
  </si>
  <si>
    <t>C. Castillejos, 35, 35010 Las Palmas de Gran Canaria, Las Palmas</t>
  </si>
  <si>
    <t>928 26 84 63</t>
  </si>
  <si>
    <t>La Tisana</t>
  </si>
  <si>
    <t>C. Pío XII, 79, 35006 Las Palmas de Gran Canaria, Las Palmas</t>
  </si>
  <si>
    <t>928 24 75 24</t>
  </si>
  <si>
    <t>Herbolario Oriental la Tortuga</t>
  </si>
  <si>
    <t>C. Secretario Padilla, 9, 35010 Palmas de Gran Canaria (las), Las Palmas</t>
  </si>
  <si>
    <t>928 26 45 72</t>
  </si>
  <si>
    <t>Herbolario Triana</t>
  </si>
  <si>
    <t>C. Clavel, 6, 35002 Las Palmas de Gran Canaria, Las Palmas</t>
  </si>
  <si>
    <t>928 36 59 25</t>
  </si>
  <si>
    <t>Herbolario Magec</t>
  </si>
  <si>
    <t>Av. Escaleritas, 24, 35011 Las Palmas de Gran Canaria, Las Palmas</t>
  </si>
  <si>
    <t>Teresa León Padrón</t>
  </si>
  <si>
    <t>Av. Escaleritas, 30, 35011 Las Palmas de Gran Canaria, Las Palmas</t>
  </si>
  <si>
    <t>928 22 20 36</t>
  </si>
  <si>
    <t>Herbolario Inagua</t>
  </si>
  <si>
    <t>Cl. Doña Pino Apolinario, 89, 35014 Las Palmas de Gran Canaria, Las Palmas</t>
  </si>
  <si>
    <t>928 28 14 80</t>
  </si>
  <si>
    <t>C. Clavel, 35002 Las Palmas de Gran Canaria, Las Palmas</t>
  </si>
  <si>
    <t>Jengibre y Limón - Dietética y Herbolario</t>
  </si>
  <si>
    <t>C. Senador Castillo Olivares, 9, 35003 Las Palmas de Gran Canaria, Las Palmas</t>
  </si>
  <si>
    <t>828 01 26 66</t>
  </si>
  <si>
    <t>Herbodietética Savialud</t>
  </si>
  <si>
    <t>C. Barcelona, 51, 35006 Las Palmas de Gran Canaria, Las Palmas</t>
  </si>
  <si>
    <t>928 29 51 88</t>
  </si>
  <si>
    <t>Hedra Herbolario</t>
  </si>
  <si>
    <t>C. Cano, 23, 35002 Las Palmas de Gran Canaria, Las Palmas</t>
  </si>
  <si>
    <t>hedra.org</t>
  </si>
  <si>
    <t>928 68 90 55</t>
  </si>
  <si>
    <t>Herbolario La Paterna</t>
  </si>
  <si>
    <t>C. Manuel de Falla, 124, Local 3, 35013 Las Palmas de Gran Canaria, Las Palmas</t>
  </si>
  <si>
    <t>928 41 52 64</t>
  </si>
  <si>
    <t>Herbolarios Muerdago</t>
  </si>
  <si>
    <t>C. Cafarnaún, 22, 35018 Las Palmas de Gran Canaria, Las Palmas</t>
  </si>
  <si>
    <t>928 67 60 46</t>
  </si>
  <si>
    <t>Parafarmacia Herbolario Farmalís</t>
  </si>
  <si>
    <t>Calzada Lateral del Norte 30 Los Ruiseñores, Miller, Bajo, 35014 Las Palmas de Gran Canaria, Las Palmas</t>
  </si>
  <si>
    <t>928 23 06 20</t>
  </si>
  <si>
    <t>Herbolario Melisa</t>
  </si>
  <si>
    <t>C. San Juan de Ávila, 40, 35018 Tamaraceite, Las Palmas</t>
  </si>
  <si>
    <t>Tamaraceite</t>
  </si>
  <si>
    <t>herbolariomelisa.com</t>
  </si>
  <si>
    <t>633 17 17 25</t>
  </si>
  <si>
    <t>Herbolario Agua de Mayo</t>
  </si>
  <si>
    <t>Av. Primero de Mayo, 15, 35002 Las Palmas de Gran Canaria, Las Palmas</t>
  </si>
  <si>
    <t>828 70 37 54</t>
  </si>
  <si>
    <t>Herbolario Joanna &amp;amp; Co. Productos Naturales Ferreras</t>
  </si>
  <si>
    <t>C. Ferreras, 5, 35008 Playa de Las Canteras, Las Palmas</t>
  </si>
  <si>
    <t>928 46 81 05</t>
  </si>
  <si>
    <t>Herbolario Spacio Natural</t>
  </si>
  <si>
    <t>C. Don Pedro Infinito, 142, 35012 Las Palmas de Gran Canaria, Las Palmas</t>
  </si>
  <si>
    <t>828 71 60 22</t>
  </si>
  <si>
    <t>Herbolario Flor de Lavanda</t>
  </si>
  <si>
    <t>C. Juan de Bethencourt Domínguez, 30, 35400 Arucas, Las Palmas</t>
  </si>
  <si>
    <t>Arucas</t>
  </si>
  <si>
    <t>928 60 46 07</t>
  </si>
  <si>
    <t>Herbolario Canarias</t>
  </si>
  <si>
    <t>Agaete</t>
  </si>
  <si>
    <t>herbolariocanarias.com</t>
  </si>
  <si>
    <t>677 86 74 48</t>
  </si>
  <si>
    <t>clientes@herbolariocanarias.com</t>
  </si>
  <si>
    <t>Ynsadiet S.A.</t>
  </si>
  <si>
    <t>C. Cabrera Barrios, 35010 Palmas de Gran Canaria (las), Las Palmas</t>
  </si>
  <si>
    <t>928 26 59 14</t>
  </si>
  <si>
    <t>Herbolario Naturales - Reformhaus, Health Food Shop Maspalomas</t>
  </si>
  <si>
    <t>C. Alcalde José Santos González, 2, 35100 Maspalomas, Las Palmas</t>
  </si>
  <si>
    <t>Maspalomas</t>
  </si>
  <si>
    <t>buscalix.es</t>
  </si>
  <si>
    <t>928 77 47 29</t>
  </si>
  <si>
    <t>Herbolario In Natura*</t>
  </si>
  <si>
    <t>Calle Las Dalias 12, Planta Superior, Centro Comercial San Agustín, 35100 San Bartolomé de Tirajana, Las Palmas</t>
  </si>
  <si>
    <t>San Bartolomé de Tirajana</t>
  </si>
  <si>
    <t>928 77 35 16</t>
  </si>
  <si>
    <t>Vida Sana</t>
  </si>
  <si>
    <t>Carretera del Centro, 112, 35013 Las Palmas de Gran Canaria, Las Palmas</t>
  </si>
  <si>
    <t>centrocomerciallaballena.com</t>
  </si>
  <si>
    <t>928 42 42 68</t>
  </si>
  <si>
    <t>sistemas@3commarketing.com</t>
  </si>
  <si>
    <t>Eloísa Guerra Guerra S.L.</t>
  </si>
  <si>
    <t>P.º Marítimo, 35212 San Borondón, Las Palmas</t>
  </si>
  <si>
    <t>La Estrella</t>
  </si>
  <si>
    <t>928 13 41 68</t>
  </si>
  <si>
    <t>Mararia</t>
  </si>
  <si>
    <t>Calle Acer, 16, 35100 Maspalomas, Las Palmas</t>
  </si>
  <si>
    <t>928 76 13 93</t>
  </si>
  <si>
    <t>Bio Drago</t>
  </si>
  <si>
    <t>C. Drago, 7, 35460 Gáldar, Las Palmas</t>
  </si>
  <si>
    <t>Gáldar</t>
  </si>
  <si>
    <t>biodrago.com</t>
  </si>
  <si>
    <t>928 55 00 63</t>
  </si>
  <si>
    <t>informacion@biodrago.com</t>
  </si>
  <si>
    <t>Calle Principal, 53, 35320 Vega de San Mateo, Las Palmas</t>
  </si>
  <si>
    <t>Vega de San Mateo</t>
  </si>
  <si>
    <t>928 66 08 31</t>
  </si>
  <si>
    <t>Herbolario Aguamar</t>
  </si>
  <si>
    <t>C. Nayra, 12, 35120 Arguineguín, Las Palmas</t>
  </si>
  <si>
    <t>Arguineguín</t>
  </si>
  <si>
    <t>herbolarioaguamar.com</t>
  </si>
  <si>
    <t>928 15 22 30</t>
  </si>
  <si>
    <t>info@herbolarioaguamar.com</t>
  </si>
  <si>
    <t>Herbolario Centaurea</t>
  </si>
  <si>
    <t>C. Miguel Hernández, 3, 35420 Moya, Las Palmas</t>
  </si>
  <si>
    <t>Moya</t>
  </si>
  <si>
    <t>928 61 09 88</t>
  </si>
  <si>
    <t>Herbolario Cerezas</t>
  </si>
  <si>
    <t>C. Juan Carlos I, 24, 35620 Gran Tarajal, Las Palmas</t>
  </si>
  <si>
    <t>Gran Tarajal</t>
  </si>
  <si>
    <t>640 08 67 75</t>
  </si>
  <si>
    <t>Bazar Natural</t>
  </si>
  <si>
    <t>C. Tenderete, 8, 35300 Sta Brígida, Las Palmas</t>
  </si>
  <si>
    <t>Sta Brígida</t>
  </si>
  <si>
    <t>928 64 00 35</t>
  </si>
  <si>
    <t>María De Los Ángeles Ojeda Suárez</t>
  </si>
  <si>
    <t>C. Juan Morales Navarro, 11, 35300 Sta Brígida, Las Palmas</t>
  </si>
  <si>
    <t>928 70 55 90</t>
  </si>
  <si>
    <t>Herbolario El Lirio</t>
  </si>
  <si>
    <t>C. Andrea Doria, 23, 35118 Arinaga, Las Palmas</t>
  </si>
  <si>
    <t>Arinaga</t>
  </si>
  <si>
    <t>928 18 11 13</t>
  </si>
  <si>
    <t>El Ajo Negro Herbolarios</t>
  </si>
  <si>
    <t>C. República Argentina, 53, 35240 Carrizal, Las Palmas</t>
  </si>
  <si>
    <t>Carrizal</t>
  </si>
  <si>
    <t>elajonegroherbolarios.com</t>
  </si>
  <si>
    <t>928 50 50 61</t>
  </si>
  <si>
    <t>info@elajonegroherbolarios.com</t>
  </si>
  <si>
    <t>Herbolario Iris Natura</t>
  </si>
  <si>
    <t>Carretera General de Jinámar, 28, 35220 Valle de Jinamar, Las Palmas</t>
  </si>
  <si>
    <t>Valle de Jinamar</t>
  </si>
  <si>
    <t>828 91 45 03</t>
  </si>
  <si>
    <t>Herbolario Canario</t>
  </si>
  <si>
    <t>Camino De La Capellanía, 10, 35430 Firgas, Las Palmas</t>
  </si>
  <si>
    <t>Firgas</t>
  </si>
  <si>
    <t>642 79 73 93</t>
  </si>
  <si>
    <t>Zen Natural Herbolario y Terapias</t>
  </si>
  <si>
    <t>C. Murillo, 27, 35110 Balos, Las Palmas</t>
  </si>
  <si>
    <t>Balos</t>
  </si>
  <si>
    <t>zennaturalherbolario.es</t>
  </si>
  <si>
    <t>646 36 69 90</t>
  </si>
  <si>
    <t>Farmavida-Herbolario</t>
  </si>
  <si>
    <t>C. Adargoma, 35110 Santa Lucía de Tirajana, Las Palmas</t>
  </si>
  <si>
    <t>Santa Lucía de Tirajana</t>
  </si>
  <si>
    <t>928 75 47 53</t>
  </si>
  <si>
    <t>Herbolario Econatura</t>
  </si>
  <si>
    <t>C. Infanta Benchara, 9, 35460 Gáldar, Las Palmas</t>
  </si>
  <si>
    <t>928 47 72 95</t>
  </si>
  <si>
    <t>Herbolario Mercacentro</t>
  </si>
  <si>
    <t>C. la Cerruda, s/n, 35110 Vecindario, Las Palmas</t>
  </si>
  <si>
    <t>Vecindario</t>
  </si>
  <si>
    <t>928 75 66 19</t>
  </si>
  <si>
    <t>terapiaprovida</t>
  </si>
  <si>
    <t>C. Castillejos, 52, 35010 Las Palmas de Gran Canaria, Las Palmas</t>
  </si>
  <si>
    <t>928 25 08 44</t>
  </si>
  <si>
    <t>Herbolario - Parapharma El Ecologista</t>
  </si>
  <si>
    <t>Av. de las Palmeras, 7, LOCAL 22, 35508 Teguise, Las Palmas</t>
  </si>
  <si>
    <t>Teguise</t>
  </si>
  <si>
    <t>928 59 11 71</t>
  </si>
  <si>
    <t>C. León y Castillo, 6, 35200 Telde, Las Palmas</t>
  </si>
  <si>
    <t>Telde</t>
  </si>
  <si>
    <t>928 69 94 08</t>
  </si>
  <si>
    <t>Mas Salud</t>
  </si>
  <si>
    <t>LA BOTICA DE LA ESQUINA</t>
  </si>
  <si>
    <t>CALLE VIERA Y CLAVIJO Nª35 LOCAL BAJO, 35240 Ingenio, Las Palmas</t>
  </si>
  <si>
    <t>Ingenio</t>
  </si>
  <si>
    <t>828 91 56 51</t>
  </si>
  <si>
    <t>Herbolario Lotus</t>
  </si>
  <si>
    <t>C. María Auxiliadora, 7, 35200 Telde, Las Palmas</t>
  </si>
  <si>
    <t>928 63 54 23</t>
  </si>
  <si>
    <t>C. Antonio José de Sucre, 6, 35214 Telde, Las Palmas</t>
  </si>
  <si>
    <t>928 68 58 36</t>
  </si>
  <si>
    <t>Ciudad Natural El Tablero</t>
  </si>
  <si>
    <t>Av. de las Américas, 4, 35109 El Tablero, Las Palmas</t>
  </si>
  <si>
    <t>El Tablero</t>
  </si>
  <si>
    <t>828 70 58 23</t>
  </si>
  <si>
    <t>Herbolario Natura</t>
  </si>
  <si>
    <t>C. Matías Zurita, 5, 35200 Telde, Las Palmas</t>
  </si>
  <si>
    <t>928 69 70 14</t>
  </si>
  <si>
    <t>Herbolario Pachamama</t>
  </si>
  <si>
    <t>C. Francisco Navarro Artiles, 2, 35660 Corralejo, Las Palmas</t>
  </si>
  <si>
    <t>Corralejo</t>
  </si>
  <si>
    <t>928 53 76 04</t>
  </si>
  <si>
    <t>Antonia María Quesada Castellano</t>
  </si>
  <si>
    <t>C. León y Castillo, 85, 35600 Puerto del Rosario, Las Palmas</t>
  </si>
  <si>
    <t>Puerto del Rosario</t>
  </si>
  <si>
    <t>928 85 66 29</t>
  </si>
  <si>
    <t>Herbolario Savia Canaria</t>
  </si>
  <si>
    <t>Gran Canaria, Av. Ansite, 38, 35118 Cruce de Arinaga, Las Palmas</t>
  </si>
  <si>
    <t>Cruce de Arinaga</t>
  </si>
  <si>
    <t>928 12 24 72</t>
  </si>
  <si>
    <t>Bio Shop herbolario</t>
  </si>
  <si>
    <t>Calle Ntra. Sra. del Carmen, 15, 35625 Morro Jable, Las Palmas</t>
  </si>
  <si>
    <t>Morro Jable</t>
  </si>
  <si>
    <t>928 54 01 24</t>
  </si>
  <si>
    <t>Eco Market Naturally</t>
  </si>
  <si>
    <t>C. El Marisco, 38, 35580 LANZAROTE, Las Palmas</t>
  </si>
  <si>
    <t>Playa Blanca</t>
  </si>
  <si>
    <t>ecomarketnaturally.com</t>
  </si>
  <si>
    <t>928 59 44 55</t>
  </si>
  <si>
    <t>ecomarketnaturally@gmail.com</t>
  </si>
  <si>
    <t>Troyarda S.L.</t>
  </si>
  <si>
    <t>C. Alonso Quesada, 12, 35200 Telde, Las Palmas</t>
  </si>
  <si>
    <t>928 70 44 43</t>
  </si>
  <si>
    <t>José Eladio Santana Alonso</t>
  </si>
  <si>
    <t>C. Faro de Orchilla, 2, 35215 Telde, Las Palmas</t>
  </si>
  <si>
    <t>928 69 43 27</t>
  </si>
  <si>
    <t>El Alquimista</t>
  </si>
  <si>
    <t>C. Góngora, 56, 35500 Arrecife, Las Palmas</t>
  </si>
  <si>
    <t>Arrecife</t>
  </si>
  <si>
    <t>herbolarioalquimista.com</t>
  </si>
  <si>
    <t>928 80 17 16</t>
  </si>
  <si>
    <t>datos@herbolarioalquimista.com</t>
  </si>
  <si>
    <t>Ecotienda Hábitat</t>
  </si>
  <si>
    <t>Rambla de Medular, 0, 35500 Arrecife, Las Palmas</t>
  </si>
  <si>
    <t>928 80 46 85</t>
  </si>
  <si>
    <t>herbolario jalea real-productos naturales y biologicos</t>
  </si>
  <si>
    <t>c/ leon y castillo, 16- c.c. mercadillo L-17, 35500 Arrecife, Las Palmas</t>
  </si>
  <si>
    <t>650 98 55 84</t>
  </si>
  <si>
    <t>La Platanera Supermercado Bio</t>
  </si>
  <si>
    <t>C. Nicolás Martín Cabrera, Nº1, bajo, 35500 Arrecife, Las Palmas</t>
  </si>
  <si>
    <t>928 81 84 61</t>
  </si>
  <si>
    <t>Herbolario El arte de la salud</t>
  </si>
  <si>
    <t>C. Isaac Peral, 43, 35660 Corralejo, Las Palmas</t>
  </si>
  <si>
    <t>Herbolario Centro de Masajes Ikigai Lanzarote</t>
  </si>
  <si>
    <t>C. Libertad, 59, 35572 Tías, Las Palmas</t>
  </si>
  <si>
    <t>Tías</t>
  </si>
  <si>
    <t>herbolarioikigai.com</t>
  </si>
  <si>
    <t>622 17 00 14</t>
  </si>
  <si>
    <t>Herbolario -Yoga Studio EcoClick</t>
  </si>
  <si>
    <t>n°4, Av. de los Volcanes, 35560 Tinajo, Las Palmas</t>
  </si>
  <si>
    <t>Tinajo</t>
  </si>
  <si>
    <t>928 84 09 96</t>
  </si>
  <si>
    <t>Yema de Yerba</t>
  </si>
  <si>
    <t>C. Lepanto, 9, 35660 Corralejo, Las Palmas</t>
  </si>
  <si>
    <t>928 94 70 97</t>
  </si>
  <si>
    <t>Herbolario La Barranquera</t>
  </si>
  <si>
    <t>La Barranquera, Calle Dr. Melián, 35, 35200 Telde, Las Palmas</t>
  </si>
  <si>
    <t>620 33 72 55</t>
  </si>
  <si>
    <t>Tente En Pie</t>
  </si>
  <si>
    <t>C. García Escámez, 20, 35600 Puerto del Rosario, Las Palmas</t>
  </si>
  <si>
    <t>928 53 08 70</t>
  </si>
  <si>
    <t>Centro de Naturopatia Esperanza Molina</t>
  </si>
  <si>
    <t>Avenida Mayor, N20 Las Palmas ES, Local 2, 35509 Playa Honda, Lanzarote</t>
  </si>
  <si>
    <t>Playa Honda</t>
  </si>
  <si>
    <t>Lanzarote</t>
  </si>
  <si>
    <t>HERBALIFE.: Yailyn Alemán Arteaga</t>
  </si>
  <si>
    <t>Avenida De Moya, N10, Edificio Nilo,2 Piso, 35100 Maspalomas, Las Palmas</t>
  </si>
  <si>
    <t>637 17 74 65</t>
  </si>
  <si>
    <t>Herbolario La Feria</t>
  </si>
  <si>
    <t>Av. de la Feria, 2, Local 4, 35012 Las Palmas de Gran Canaria, Las Palmas</t>
  </si>
  <si>
    <t>Herbolario Naturaleza Sana</t>
  </si>
  <si>
    <t>C. Galceran, 6, 38003 Santa Cruz de Tenerife</t>
  </si>
  <si>
    <t>Santa Cruz de Tenerife</t>
  </si>
  <si>
    <t>naturalezasana.es</t>
  </si>
  <si>
    <t>922 27 59 62</t>
  </si>
  <si>
    <t>Herbolario Aloe</t>
  </si>
  <si>
    <t>C. Van de Walle, 2, bajo, 38700 Santa Cruz de la Palma, Santa Cruz de Tenerife</t>
  </si>
  <si>
    <t>Santa Cruz de la Palma</t>
  </si>
  <si>
    <t>922 42 07 56</t>
  </si>
  <si>
    <t>HERBOLARIO GAROE</t>
  </si>
  <si>
    <t>Multicentro Club, Av. Juan Carlos I, 6, 38650 Los Cristianos, Santa Cruz de Tenerife</t>
  </si>
  <si>
    <t>Los Cristianos</t>
  </si>
  <si>
    <t>herbolariogaroe.com</t>
  </si>
  <si>
    <t>922 75 20 71</t>
  </si>
  <si>
    <t>herbolariogaroe@hotmail.es</t>
  </si>
  <si>
    <t>C. San Clemente, 17, 38003 Santa Cruz de Tenerife</t>
  </si>
  <si>
    <t>Vital Herbolario</t>
  </si>
  <si>
    <t>C. Teobaldo Power, 30, 38003 Santa Cruz de Tenerife</t>
  </si>
  <si>
    <t>822 70 71 67</t>
  </si>
  <si>
    <t>Herbolario Flor de la Vida</t>
  </si>
  <si>
    <t>C. Juan Pablo II, 60, 38004 Santa Cruz de Tenerife</t>
  </si>
  <si>
    <t>922 28 50 27</t>
  </si>
  <si>
    <t>C. Imeldo Serís, 33, 38003 Santa Cruz de Tenerife</t>
  </si>
  <si>
    <t>922 29 94 05</t>
  </si>
  <si>
    <t>Carapuchiña Verde Herboristería</t>
  </si>
  <si>
    <t>Calle Santa Rosalía 39 local 25 entrada por, C. San Clemente, 38002 Santa Cruz de Tenerife</t>
  </si>
  <si>
    <t>922 27 37 01</t>
  </si>
  <si>
    <t>NEObotica Herbolario</t>
  </si>
  <si>
    <t>C. Tirso de Molina, 2, 38005 Santa Cruz de Tenerife</t>
  </si>
  <si>
    <t>922 09 05 65</t>
  </si>
  <si>
    <t>Herbolario y Centro de terapias Nahá</t>
  </si>
  <si>
    <t>Av. Reyes Catolicos, 17, local 3, 38007 Santa Cruz de Tenerife</t>
  </si>
  <si>
    <t>922 69 58 40</t>
  </si>
  <si>
    <t>Herbolario La Estera Verde</t>
  </si>
  <si>
    <t>C. de Valentin Sanz, 39, 38002 Santa Cruz de Tenerife</t>
  </si>
  <si>
    <t>922 28 09 93</t>
  </si>
  <si>
    <t>Herbolario Hierbasana</t>
  </si>
  <si>
    <t>C. Salamanca, 34, 38006 Santa Cruz de Tenerife</t>
  </si>
  <si>
    <t>922 29 32 19</t>
  </si>
  <si>
    <t>Ginseng Herbolario</t>
  </si>
  <si>
    <t>C. Tome Cano, 2, 38005 Santa Cruz de Tenerife</t>
  </si>
  <si>
    <t>922 20 27 73</t>
  </si>
  <si>
    <t>Herbolario HERBORA</t>
  </si>
  <si>
    <t>Av. de Venezuela, 9, 38007 Santa Cruz de Tenerife</t>
  </si>
  <si>
    <t>oxycolon.es</t>
  </si>
  <si>
    <t>922 20 14 12</t>
  </si>
  <si>
    <t>Dolce Vita Natural Cb</t>
  </si>
  <si>
    <t>Plazuela Mendoza, Av. la Salle, 2, 38002 Santa Cruz de Tenerife</t>
  </si>
  <si>
    <t>922 20 57 61</t>
  </si>
  <si>
    <t>Las Hierbas Salvajes De Maria Teresa</t>
  </si>
  <si>
    <t>C. Ramón y Cajal, 7, 38004 Santa Cruz de Tenerife</t>
  </si>
  <si>
    <t>922 28 54 63</t>
  </si>
  <si>
    <t>C. Méndez Núñez, 74, 38002 Santa Cruz de Tenerife</t>
  </si>
  <si>
    <t>922 24 63 65</t>
  </si>
  <si>
    <t>Luis Aguirre Lorenzo</t>
  </si>
  <si>
    <t>Av. Reyes Catolicos, 33, 38005 Santa Cruz de Tenerife</t>
  </si>
  <si>
    <t>922 22 66 55</t>
  </si>
  <si>
    <t>Herbolario ayahuasca</t>
  </si>
  <si>
    <t>Km 6.3 Taco ( centro comercial concorde planta 0 local 60, 38107 Santa Cruz de Tenerife</t>
  </si>
  <si>
    <t>600 50 57 51</t>
  </si>
  <si>
    <t>Herbolario Hojas Verdes Dietetica</t>
  </si>
  <si>
    <t>Centro Comercial Santa Cruz, lugar añaza, local 43, 38111 Santa Cruz de Tenerife</t>
  </si>
  <si>
    <t>hojasverdesdietetica.com</t>
  </si>
  <si>
    <t>922 68 55 36</t>
  </si>
  <si>
    <t>info@hojasverdesdietetica.com</t>
  </si>
  <si>
    <t>Osher Nutricion Herbolario</t>
  </si>
  <si>
    <t>Calle Sgto. Provisional, número 31, local A, 38010 Santa Cruz de Tenerife</t>
  </si>
  <si>
    <t>922 09 43 79</t>
  </si>
  <si>
    <t>Medisport Canarias S.L.U.</t>
  </si>
  <si>
    <t>C, C. José Maldonado Dugour, 6, 38009 Santa Cruz de Tenerife</t>
  </si>
  <si>
    <t>922 15 13 17</t>
  </si>
  <si>
    <t>Centro de Bienestar y Salud Simon Bolívar</t>
  </si>
  <si>
    <t>C. Simón Bolívar, 36, 38007 Santa Cruz de Tenerife</t>
  </si>
  <si>
    <t>Aloe Centro Dietético</t>
  </si>
  <si>
    <t>Cra, TF-180, LOC;24, 38320 Santa Cruz de Tenerife</t>
  </si>
  <si>
    <t>922 31 06 94</t>
  </si>
  <si>
    <t>Herbolario Sandalo</t>
  </si>
  <si>
    <t>Av. de los Menceyes, 244A, 38320 San Cristóbal de La Laguna, Santa Cruz de Tenerife</t>
  </si>
  <si>
    <t>San Cristóbal de La Laguna</t>
  </si>
  <si>
    <t>herbolariosandalo.com</t>
  </si>
  <si>
    <t>922 64 33 13</t>
  </si>
  <si>
    <t>info@herbolariosandalo.com</t>
  </si>
  <si>
    <t>Higia Y Panacea</t>
  </si>
  <si>
    <t>Av. de los Majuelos, 3, 38107 Santa Cruz de Tenerife</t>
  </si>
  <si>
    <t>822 06 55 55</t>
  </si>
  <si>
    <t>Sanus Market</t>
  </si>
  <si>
    <t>C. de Goya, 5, 38007 Santa Cruz de Tenerife</t>
  </si>
  <si>
    <t>sanus.online</t>
  </si>
  <si>
    <t>922 29 81 27</t>
  </si>
  <si>
    <t>Tecuidanatura Productos sostenibles personalizados - Botellas reutilizables personalizadas</t>
  </si>
  <si>
    <t>Adeje</t>
  </si>
  <si>
    <t>tecuidanatura.com</t>
  </si>
  <si>
    <t>922 09 23 52</t>
  </si>
  <si>
    <t>clientes@tecuidanatura.com</t>
  </si>
  <si>
    <t>NATURAL ALOE</t>
  </si>
  <si>
    <t>C. Barcelona, Local, 6, 38204 San Cristóbal de La Laguna, Santa Cruz de Tenerife</t>
  </si>
  <si>
    <t>822 77 53 24</t>
  </si>
  <si>
    <t>Farmaturalia</t>
  </si>
  <si>
    <t>Av. de los Menceyes, 332, 38320 San Cristóbal de La Laguna, Santa Cruz de Tenerife</t>
  </si>
  <si>
    <t>922 64 17 88</t>
  </si>
  <si>
    <t>Green Shop Canarias</t>
  </si>
  <si>
    <t>C. Nuñez de la Peña, 15, 38202 San Cristóbal de La Laguna, Santa Cruz de Tenerife</t>
  </si>
  <si>
    <t>922 63 42 65</t>
  </si>
  <si>
    <t>MIZONA ECOLÓGICA</t>
  </si>
  <si>
    <t>Av. de los Menceyes, 116, 38205 San Cristóbal de La Laguna, Santa Cruz de Tenerife</t>
  </si>
  <si>
    <t>mizonaecologica.es</t>
  </si>
  <si>
    <t>822 17 43 97</t>
  </si>
  <si>
    <t>info@mizonaecologica.es</t>
  </si>
  <si>
    <t>Hierbas Y Cosas</t>
  </si>
  <si>
    <t>C. Herradores, 30, 38204 San Cristóbal de La Laguna, Santa Cruz de Tenerife</t>
  </si>
  <si>
    <t>hierbasycosas.es</t>
  </si>
  <si>
    <t>922 25 64 31</t>
  </si>
  <si>
    <t>web@hierbasycosas.es</t>
  </si>
  <si>
    <t>C. Santo Domingo, 42, 38201 San Cristóbal de La Laguna, Santa Cruz de Tenerife</t>
  </si>
  <si>
    <t>922 25 69 52</t>
  </si>
  <si>
    <t>Herbolario Camino Largo</t>
  </si>
  <si>
    <t>C. Rodríguez Moure, 20, 38208 San Cristóbal de La Laguna, Santa Cruz de Tenerife</t>
  </si>
  <si>
    <t>922 82 59 67</t>
  </si>
  <si>
    <t>Aloe Herbodietética</t>
  </si>
  <si>
    <t>CENTRO COMERCIAL ALCAMPO, LOCAL 24, 38205 San Cristóbal de La Laguna, Santa Cruz de Tenerife</t>
  </si>
  <si>
    <t>aloeherbodietetica.com</t>
  </si>
  <si>
    <t>info@aloeherbodietetica.com</t>
  </si>
  <si>
    <t>Herbolario Jara</t>
  </si>
  <si>
    <t>C. San Juan, 78, 38203 San Cristóbal de La Laguna, Santa Cruz de Tenerife</t>
  </si>
  <si>
    <t>922 25 01 65</t>
  </si>
  <si>
    <t>C. las Candilas, 13, 38202 San Cristóbal de La Laguna, Santa Cruz de Tenerife</t>
  </si>
  <si>
    <t>922 26 46 47</t>
  </si>
  <si>
    <t>BioDespensa</t>
  </si>
  <si>
    <t>biodespensa.com</t>
  </si>
  <si>
    <t>Farmanaturalia</t>
  </si>
  <si>
    <t>Herbalife Arona</t>
  </si>
  <si>
    <t>C. Gran Canaria, 23, 38110 Santa Cruz de Tenerife</t>
  </si>
  <si>
    <t>goherbalife.com</t>
  </si>
  <si>
    <t>696 43 40 97</t>
  </si>
  <si>
    <t>Juan Sergio Martínez Barrena</t>
  </si>
  <si>
    <t>C. Suertes Largas, 0, 38330 Guamasa, Santa Cruz de Tenerife</t>
  </si>
  <si>
    <t>Guamasa</t>
  </si>
  <si>
    <t>922 63 79 33</t>
  </si>
  <si>
    <t>El Camino The Way Herbolario Online</t>
  </si>
  <si>
    <t>elcaminotheway.shop</t>
  </si>
  <si>
    <t>THEWAY.2020PARAFARMACIAHERBOLARIO@HOTMAIL.COM</t>
  </si>
  <si>
    <t>Hojas De Olivo</t>
  </si>
  <si>
    <t>C. el Carmen, 1, 38280 Tegueste, Santa Cruz de Tenerife</t>
  </si>
  <si>
    <t>Tegueste</t>
  </si>
  <si>
    <t>922 88 30 86</t>
  </si>
  <si>
    <t>Herbolario EL Corazón Verde de Julia</t>
  </si>
  <si>
    <t>Av. de la Constitución, 35, 38530 Candelaria, Santa Cruz de Tenerife</t>
  </si>
  <si>
    <t>Candelaria</t>
  </si>
  <si>
    <t>elcorazonverdedejulia.com</t>
  </si>
  <si>
    <t>922 08 90 63</t>
  </si>
  <si>
    <t>info@elcorazonverde.net</t>
  </si>
  <si>
    <t>Sin nombre</t>
  </si>
  <si>
    <t>Edif. Pozo de La Virgen (Local, C. Padre Jesus Mendoza, 7, 38530 Candelaria, Santa Cruz de Tenerife</t>
  </si>
  <si>
    <t>HERBOLARIO Y PRODUCTOS ESOTERICOS FLOR</t>
  </si>
  <si>
    <t>Av. las Palmeras, nº4, 38390 Santa Cruz de Tenerife</t>
  </si>
  <si>
    <t>Sta Úrsula</t>
  </si>
  <si>
    <t>822 61 89 59</t>
  </si>
  <si>
    <t>Kräuterhaus Sankt Bernhard S.L.</t>
  </si>
  <si>
    <t>C. la Hoya, 60, 38400 Puerto de la Cruz, Santa Cruz de Tenerife</t>
  </si>
  <si>
    <t>Puerto de la Cruz</t>
  </si>
  <si>
    <t>922 38 22 20</t>
  </si>
  <si>
    <t>Herbolario La Cabaña</t>
  </si>
  <si>
    <t>Av Condes Sta Maria de Abona, N.10, 38530 Candelaria, Santa Cruz de Tenerife</t>
  </si>
  <si>
    <t>922 50 66 21</t>
  </si>
  <si>
    <t>El Herbolario de Candelaria</t>
  </si>
  <si>
    <t>elherbolariodecandelaria.es</t>
  </si>
  <si>
    <t>650 31 93 69</t>
  </si>
  <si>
    <t>info@elherbolariodecandelaria.es</t>
  </si>
  <si>
    <t>Herbolario Sándalo</t>
  </si>
  <si>
    <t>Carr. Gral. del Nte., 76, 38350 Tacoronte, Santa Cruz de Tenerife</t>
  </si>
  <si>
    <t>Tacoronte</t>
  </si>
  <si>
    <t>922 56 02 49</t>
  </si>
  <si>
    <t>Herbolario Dolce Vita Natural</t>
  </si>
  <si>
    <t>Centro comercial Punta Larga, local 1, 38530 Candelaria, Santa Cruz de Tenerife</t>
  </si>
  <si>
    <t>922 50 33 89</t>
  </si>
  <si>
    <t>Herbolario Cocina Natural</t>
  </si>
  <si>
    <t>C. V Centenario, 7, 38350 Tacoronte, Santa Cruz de Tenerife</t>
  </si>
  <si>
    <t>922 57 24 93</t>
  </si>
  <si>
    <t>Nature-95</t>
  </si>
  <si>
    <t>Ctra. Gral. Tejina-Tacoronte, 10, 38350 Tacoronte, Santa Cruz de Tenerife</t>
  </si>
  <si>
    <t>nature95.com</t>
  </si>
  <si>
    <t>922 56 22 03</t>
  </si>
  <si>
    <t>info@nature95.com</t>
  </si>
  <si>
    <t>Herbolario Alma</t>
  </si>
  <si>
    <t>C. Nieves Ravelo, 2, 38400 Puerto de la Cruz, Santa Cruz de Tenerife</t>
  </si>
  <si>
    <t>922 38 61 78</t>
  </si>
  <si>
    <t>Herbolario Lo Natural del Huerto</t>
  </si>
  <si>
    <t>7, Av. Sor Soledad Cobian, 38300 La Orotava, Santa Cruz de Tenerife</t>
  </si>
  <si>
    <t>La Orotava</t>
  </si>
  <si>
    <t>615 37 47 53</t>
  </si>
  <si>
    <t>Green Shop La Matanza</t>
  </si>
  <si>
    <t>Carr. General, 82, 38370 La Matanza de Acentejo, Santa Cruz de Tenerife</t>
  </si>
  <si>
    <t>La Matanza de Acentejo</t>
  </si>
  <si>
    <t>922 57 97 31</t>
  </si>
  <si>
    <t>Las Hierbas Salvajes</t>
  </si>
  <si>
    <t>C. Calvario, 80, 38300 La Orotava, Santa Cruz de Tenerife</t>
  </si>
  <si>
    <t>922 33 38 58</t>
  </si>
  <si>
    <t>Planeta Orgánico</t>
  </si>
  <si>
    <t>38530, Calle Triquivijate, 38530 Candelaria, Santa Cruz de Tenerife</t>
  </si>
  <si>
    <t>649 91 42 06</t>
  </si>
  <si>
    <t>El Herbolario de Nayra</t>
  </si>
  <si>
    <t>Carretera General, 34, 38410 Los Realejos, Santa Cruz de Tenerife</t>
  </si>
  <si>
    <t>Los Realejos</t>
  </si>
  <si>
    <t>636 80 10 92</t>
  </si>
  <si>
    <t>Árbol Del Paraíso</t>
  </si>
  <si>
    <t>C. Pintor Manuel Lopez Ruiz, 11, 38500 Güímar, Santa Cruz de Tenerife</t>
  </si>
  <si>
    <t>Güímar</t>
  </si>
  <si>
    <t>922 51 20 75</t>
  </si>
  <si>
    <t>Centro Dietético Amagante</t>
  </si>
  <si>
    <t>C. de Canarias, 6, 38500 Güímar, Santa Cruz de Tenerife</t>
  </si>
  <si>
    <t>922 51 09 26</t>
  </si>
  <si>
    <t>Tu Rincón Saludable</t>
  </si>
  <si>
    <t>C/ el Puente, 1, local 2, 38410 Los Realejos, Santa Cruz de Tenerife</t>
  </si>
  <si>
    <t>922 54 75 86</t>
  </si>
  <si>
    <t>Distribuidor Indpte Herbalife</t>
  </si>
  <si>
    <t>C. Mar Dulce, 26, 38300 La Luz, Santa Cruz de Tenerife</t>
  </si>
  <si>
    <t>La Luz</t>
  </si>
  <si>
    <t>yosoyangel.com</t>
  </si>
  <si>
    <t>637 27 46 23</t>
  </si>
  <si>
    <t>angel24hbl@gmail.com</t>
  </si>
  <si>
    <t>EkoTienda El Puente</t>
  </si>
  <si>
    <t>Pl. Mencey Bencomo, 38419 Los Realejos, Santa Cruz de Tenerife</t>
  </si>
  <si>
    <t>ekotiendaelpuente.com</t>
  </si>
  <si>
    <t>662 41 89 18</t>
  </si>
  <si>
    <t>Herbolario Nueva Luna</t>
  </si>
  <si>
    <t>Av. San Francisco, 6, 38650 Los Cristianos, Santa Cruz de Tenerife</t>
  </si>
  <si>
    <t>herbolariosenloscristianos.com</t>
  </si>
  <si>
    <t>922 78 99 90</t>
  </si>
  <si>
    <t>pibotto@hotmail.com</t>
  </si>
  <si>
    <t>Herbolario Garoé</t>
  </si>
  <si>
    <t>Centro Comercial Tu Trébol, Carretera General, 38670 La Caleta, Santa Cruz de Tenerife</t>
  </si>
  <si>
    <t>La Caleta</t>
  </si>
  <si>
    <t>922 78 04 97</t>
  </si>
  <si>
    <t>HERBOLARIO ENEBRO</t>
  </si>
  <si>
    <t>Av. Santa Cruz, 58, 38611 San Isidro, Santa Cruz de Tenerife</t>
  </si>
  <si>
    <t>San Isidro</t>
  </si>
  <si>
    <t>herbolarioenebro.net</t>
  </si>
  <si>
    <t>922 39 27 46</t>
  </si>
  <si>
    <t>HERBALIFE. Dist.Independiente en Tenerife</t>
  </si>
  <si>
    <t>Calle del Dr. Ingram, 8, 38400 Puerto de la Cruz, Santa Cruz de Tenerife</t>
  </si>
  <si>
    <t>mantentufigura.com</t>
  </si>
  <si>
    <t>cbherbal@hotmail.com</t>
  </si>
  <si>
    <t>Herbolario Flor de Lyz</t>
  </si>
  <si>
    <t>Av. de Suecia, 13, 38650 Los Cristianos, Santa Cruz de Tenerife</t>
  </si>
  <si>
    <t>922 79 78 72</t>
  </si>
  <si>
    <t>Herbolario Salud y Belleza</t>
  </si>
  <si>
    <t>TF-28, 115, 38626 Valle de San Lorenzo, Santa Cruz de Tenerife</t>
  </si>
  <si>
    <t>Valle de San Lorenzo</t>
  </si>
  <si>
    <t>saludybellezatenerife.es</t>
  </si>
  <si>
    <t>922 72 23 78</t>
  </si>
  <si>
    <t>esperanzabergaz@hotmail.com</t>
  </si>
  <si>
    <t>Herbolario Hierbabuena/Naturkost/Organic shop</t>
  </si>
  <si>
    <t>C. Anselmo Pérez de Brito, 67, 38700 Santa Cruz de la Palma, Santa Cruz de Tenerife</t>
  </si>
  <si>
    <t>922 41 13 52</t>
  </si>
  <si>
    <t>Av. Principe Felipe, 5, 38631 Galletas ( Las ), Santa Cruz de Tenerife</t>
  </si>
  <si>
    <t>Las Galletas</t>
  </si>
  <si>
    <t>922 73 06 33</t>
  </si>
  <si>
    <t>El Granero Verde</t>
  </si>
  <si>
    <t>Av. Barranco las Torres, 10, 38670 Adeje, Santa Cruz de Tenerife</t>
  </si>
  <si>
    <t>922 75 84 69</t>
  </si>
  <si>
    <t>Herbolario Bioplaneta</t>
  </si>
  <si>
    <t>C. Grande, 36, 38670 Adeje, Santa Cruz de Tenerife</t>
  </si>
  <si>
    <t>922 75 85 26</t>
  </si>
  <si>
    <t>Herbolario Palm Mar</t>
  </si>
  <si>
    <t>Av. el Palm-Mar, 89, 38632 Palm-Mar, Santa Cruz de Tenerife</t>
  </si>
  <si>
    <t>Palm-Mar</t>
  </si>
  <si>
    <t>822 10 30 31</t>
  </si>
  <si>
    <t>Herbolario de Yurena</t>
  </si>
  <si>
    <t>Res.Gran Azul, Av. Playa Paraíso, local 10, 38678, Santa Cruz de Tenerife</t>
  </si>
  <si>
    <t>Callao Salvaje</t>
  </si>
  <si>
    <t>662 12 84 28</t>
  </si>
  <si>
    <t>Herbolario Medano</t>
  </si>
  <si>
    <t>C. Teobaldo Power, 3, 38612 El Médano, Santa Cruz de Tenerife</t>
  </si>
  <si>
    <t>El Médano</t>
  </si>
  <si>
    <t>herbolariomedano.com</t>
  </si>
  <si>
    <t>618 45 47 58</t>
  </si>
  <si>
    <t>Salud en Casa!</t>
  </si>
  <si>
    <t>San Isidro 6, 38611 San Isidro, Santa Cruz de Tenerife</t>
  </si>
  <si>
    <t>saludencasa.ueniweb.com</t>
  </si>
  <si>
    <t>633 77 01 43</t>
  </si>
  <si>
    <t>antonia_crespo_martin@hotmail.com</t>
  </si>
  <si>
    <t>Herboristería Laurel</t>
  </si>
  <si>
    <t>C. Vargas, 15, 39010 Santander, Cantabria</t>
  </si>
  <si>
    <t>Santander</t>
  </si>
  <si>
    <t>herbolariolaurel.com</t>
  </si>
  <si>
    <t>942 23 86 86</t>
  </si>
  <si>
    <t>info@herbolariolaurel.com</t>
  </si>
  <si>
    <t>Herbolario Emeicjac</t>
  </si>
  <si>
    <t>C. Perines, 14, 39007 Santander, Cantabria</t>
  </si>
  <si>
    <t>emeicjac.com</t>
  </si>
  <si>
    <t>942 37 20 27</t>
  </si>
  <si>
    <t>Herbolario ABC de las PLANTAS</t>
  </si>
  <si>
    <t>C. Calderón de la Barca, 16, 39002 Santander, Cantabria</t>
  </si>
  <si>
    <t>942 36 03 81</t>
  </si>
  <si>
    <t>Herbolario Tu Salud</t>
  </si>
  <si>
    <t>C. Atilano Rodríguez, 9, 39002 Santander, Cantabria</t>
  </si>
  <si>
    <t>942 36 21 19</t>
  </si>
  <si>
    <t>Herbolario y Alimentación Natural Sándalo</t>
  </si>
  <si>
    <t>C. Marqués de Santillana, 4, 39300 Torrelavega, Cantabria</t>
  </si>
  <si>
    <t>Torrelavega</t>
  </si>
  <si>
    <t>942 89 40 87</t>
  </si>
  <si>
    <t>C. San Fernando, 22, 39010 Santander, Cantabria</t>
  </si>
  <si>
    <t>942 01 89 62</t>
  </si>
  <si>
    <t>Herbolario Volvoreta</t>
  </si>
  <si>
    <t>C. Cervantes, 24, 39001 Santander, Cantabria</t>
  </si>
  <si>
    <t>herbolariovolvoreta.com</t>
  </si>
  <si>
    <t>942 10 54 41</t>
  </si>
  <si>
    <t>Herboristería Santander</t>
  </si>
  <si>
    <t>Calle Ruiz Zorrilla, 9, Bajo, 39009 Santander, Cantabria</t>
  </si>
  <si>
    <t>herboristeriasantander.es</t>
  </si>
  <si>
    <t>942 36 42 26</t>
  </si>
  <si>
    <t>info@direccion.es</t>
  </si>
  <si>
    <t>Herbolario La Salud - Torrelavega</t>
  </si>
  <si>
    <t>C. Lasaga Larreta, 7, 39300 Torrelavega, Cantabria</t>
  </si>
  <si>
    <t>biodimarlasalud.com</t>
  </si>
  <si>
    <t>942 80 61 44</t>
  </si>
  <si>
    <t>Herbolario Jeler</t>
  </si>
  <si>
    <t>C. la Industria, 5, 39610 Astillero, Cantabria</t>
  </si>
  <si>
    <t>Astillero</t>
  </si>
  <si>
    <t>herbolariojeler.com</t>
  </si>
  <si>
    <t>942 54 27 24</t>
  </si>
  <si>
    <t>maite.terapiasnaturales@hotmail.com</t>
  </si>
  <si>
    <t>Cabaña Larrauri, 39820 Limpias, Cantabria</t>
  </si>
  <si>
    <t>Limpias</t>
  </si>
  <si>
    <t>El Manantial de la Salud</t>
  </si>
  <si>
    <t>Pl. de la Constitución, 7, 39600 Muriedas, Cantabria</t>
  </si>
  <si>
    <t>Muriedas</t>
  </si>
  <si>
    <t>elmanantialdelasalud.com</t>
  </si>
  <si>
    <t>942 25 49 88</t>
  </si>
  <si>
    <t>Zona Verde</t>
  </si>
  <si>
    <t>C. San José, 15, 39610 Astillero, Cantabria</t>
  </si>
  <si>
    <t>942 54 34 10</t>
  </si>
  <si>
    <t>El Rincón De Ruth</t>
  </si>
  <si>
    <t>Lugar Urbanización Los Robles, 3 Bajo, En El Ferial De Saron Junto A La Bolera., 39620 Sarón, Cantabria</t>
  </si>
  <si>
    <t>Sarón</t>
  </si>
  <si>
    <t>942 51 77 35</t>
  </si>
  <si>
    <t>Centro Internacional Dietética Y Nutrición</t>
  </si>
  <si>
    <t>C. Hernán Cortés, 14, BAJO, 39003 Santander, Cantabria</t>
  </si>
  <si>
    <t>herbolariocarmencaparroso.es</t>
  </si>
  <si>
    <t>942 31 37 48</t>
  </si>
  <si>
    <t>HERBOLARIO TRENTI</t>
  </si>
  <si>
    <t>Av. Puente de Carlos III, 43, 39200 Reinosa, Cantabria</t>
  </si>
  <si>
    <t>Reinosa</t>
  </si>
  <si>
    <t>942 94 15 21</t>
  </si>
  <si>
    <t>Eco Salud</t>
  </si>
  <si>
    <t>C. Marqués del Robrero, 3, 39740 Santoña, Cantabria</t>
  </si>
  <si>
    <t>Santoña</t>
  </si>
  <si>
    <t>942 66 02 98</t>
  </si>
  <si>
    <t>Soria Natural</t>
  </si>
  <si>
    <t>C. Hermilio Alcalde del Río, S/N, 39300 Torrelavega, Cantabria</t>
  </si>
  <si>
    <t>942 88 21 70</t>
  </si>
  <si>
    <t>Herbolario Casablanca</t>
  </si>
  <si>
    <t>C. Comandante Villar, 39770 Laredo, Cantabria</t>
  </si>
  <si>
    <t>Laredo</t>
  </si>
  <si>
    <t>942 60 55 32</t>
  </si>
  <si>
    <t>Salvia</t>
  </si>
  <si>
    <t>C. Rualasal, 16, 39001 Santander, Cantabria</t>
  </si>
  <si>
    <t>Altamira Medical</t>
  </si>
  <si>
    <t>C. de Castilla, 8, 39002 Santander, Cantabria</t>
  </si>
  <si>
    <t>942 22 92 49</t>
  </si>
  <si>
    <t>Av. Calvo Sotelo, 14, 39710 Solares, Cantabria</t>
  </si>
  <si>
    <t>Solares</t>
  </si>
  <si>
    <t>608 86 87 84</t>
  </si>
  <si>
    <t>Herbodietetica Arco Iris</t>
  </si>
  <si>
    <t>Pl. la Constitución, 13, 39770 Laredo, Cantabria</t>
  </si>
  <si>
    <t>942 60 56 46</t>
  </si>
  <si>
    <t>La Bonita</t>
  </si>
  <si>
    <t>C. Ardigales, 6, 39700 Castro Urdiales, Cantabria</t>
  </si>
  <si>
    <t>Castro Urdiales</t>
  </si>
  <si>
    <t>942 87 18 00</t>
  </si>
  <si>
    <t>La Herboristería de Pedro Sánchez Casares</t>
  </si>
  <si>
    <t>Mercado de México en, 39010 Santander, Cantabria</t>
  </si>
  <si>
    <t>687 97 91 24</t>
  </si>
  <si>
    <t>Eder</t>
  </si>
  <si>
    <t>C. Bajada del Chorrillo, 2, 39700 Castro Urdiales, Cantabria</t>
  </si>
  <si>
    <t>942 86 79 18</t>
  </si>
  <si>
    <t>Centro De Adelgazamiento Sbelt</t>
  </si>
  <si>
    <t>Av. de Cantabria, 24, 39600 Maliaño, Cantabria</t>
  </si>
  <si>
    <t>Maliaño</t>
  </si>
  <si>
    <t>942 25 11 15</t>
  </si>
  <si>
    <t>Juan María Lecue Perales</t>
  </si>
  <si>
    <t>Bantú Natural</t>
  </si>
  <si>
    <t>P.º del Gral. Dávila, 44, 39005 Santander, Cantabria</t>
  </si>
  <si>
    <t>bantunatural.es</t>
  </si>
  <si>
    <t>942 09 46 19</t>
  </si>
  <si>
    <t>bantunaturales@gmail.com</t>
  </si>
  <si>
    <t>Sutoner Impresión S L</t>
  </si>
  <si>
    <t>C. Antonio Hurtado de Mendoza, 3, 39700 Castro Urdiales, Cantabria</t>
  </si>
  <si>
    <t>942 87 22 24</t>
  </si>
  <si>
    <t>Azu Factoría Natural</t>
  </si>
  <si>
    <t>Bo. las Escuelas, 17, B, 39608 Igollo de Camargo, Cantabria</t>
  </si>
  <si>
    <t>Igollo de Camargo</t>
  </si>
  <si>
    <t>azufactorianatural.com</t>
  </si>
  <si>
    <t>608 27 63 56</t>
  </si>
  <si>
    <t>Factorianatural@gmail.com</t>
  </si>
  <si>
    <t>espacio vivo · herbolario · Con Beatriz Prado</t>
  </si>
  <si>
    <t>C. Cabo Mayor, 5, 39140 Somo, Cantabria</t>
  </si>
  <si>
    <t>Somo</t>
  </si>
  <si>
    <t>bit.ly</t>
  </si>
  <si>
    <t>618 94 66 87</t>
  </si>
  <si>
    <t>Parafarmacia La Botica Cántabra</t>
  </si>
  <si>
    <t>Urbanización La Cabroja, 2, 39500 Cabezón de la Sal, Cantabria</t>
  </si>
  <si>
    <t>Cabezón de la Sal</t>
  </si>
  <si>
    <t>942 13 35 71</t>
  </si>
  <si>
    <t>El Punto Grow Shop</t>
  </si>
  <si>
    <t>C. Cardenal Cisneros, 105, 39007 Santander, Cantabria</t>
  </si>
  <si>
    <t>643 49 54 36</t>
  </si>
  <si>
    <t>Dietética Txira</t>
  </si>
  <si>
    <t>San Jose Kalea, Nº4, 48510 Trapagaran, Bizkaia</t>
  </si>
  <si>
    <t>Valle de Trápaga</t>
  </si>
  <si>
    <t>Bizkaia</t>
  </si>
  <si>
    <t>944 92 23 29</t>
  </si>
  <si>
    <t>El Herbolario de Maite</t>
  </si>
  <si>
    <t>Santa Ana Kalea, 6, 48930 Getxo, Bizkaia</t>
  </si>
  <si>
    <t>Guecho</t>
  </si>
  <si>
    <t>944 64 73 25</t>
  </si>
  <si>
    <t>Parafarmacia -Dietética Salvia</t>
  </si>
  <si>
    <t>Calle Gorbea - Gorbeia, 8, 48930 Getxo, Biscay</t>
  </si>
  <si>
    <t>Biscay</t>
  </si>
  <si>
    <t>944 64 39 61</t>
  </si>
  <si>
    <t>Kenkoi Herbolario</t>
  </si>
  <si>
    <t>Ángel Etorb., 8, 48993 Getxo, Bizkaia</t>
  </si>
  <si>
    <t>kenkoi.es</t>
  </si>
  <si>
    <t>944 71 66 65</t>
  </si>
  <si>
    <t>info@kenkoi.es</t>
  </si>
  <si>
    <t>Melisa</t>
  </si>
  <si>
    <t>Avenida Carlos VII Etorbidea, 16, 48920 Portugalete, Bizkaia</t>
  </si>
  <si>
    <t>Portugalete</t>
  </si>
  <si>
    <t>944 61 04 07</t>
  </si>
  <si>
    <t>BELDA eco&amp;amp;bio</t>
  </si>
  <si>
    <t>junto a la caja laboral, Iparraguirre Kalea, 6, 48600 Sopela, Bizkaia</t>
  </si>
  <si>
    <t>Sopelana</t>
  </si>
  <si>
    <t>946 76 32 71</t>
  </si>
  <si>
    <t>santiveri Aguilar de Campoo</t>
  </si>
  <si>
    <t>C. San Miguel, 2, 34800 Aguilar de Campoo, Palencia</t>
  </si>
  <si>
    <t>Aguilar de Campoo</t>
  </si>
  <si>
    <t>Palencia</t>
  </si>
  <si>
    <t>979 12 56 38</t>
  </si>
  <si>
    <t>Dietética Adhara</t>
  </si>
  <si>
    <t>Repélega Etorbidea, 7, 48920 Portugalete, Bizkaia</t>
  </si>
  <si>
    <t>946 53 41 32</t>
  </si>
  <si>
    <t>Arrandi Kalea, 27, 48901 Barakaldo, Bizkaia</t>
  </si>
  <si>
    <t>Baracaldo</t>
  </si>
  <si>
    <t>944 37 16 15</t>
  </si>
  <si>
    <t>C. Calvo Sotelo, 12-Bajo, 09550 Villarcayo, Burgos</t>
  </si>
  <si>
    <t>Villarcayo</t>
  </si>
  <si>
    <t>Burgos</t>
  </si>
  <si>
    <t>947 13 10 24</t>
  </si>
  <si>
    <t>Lurkoi</t>
  </si>
  <si>
    <t>Juan Bautista Zabala Kalea, 9, 48991 Getxo, Bizkaia</t>
  </si>
  <si>
    <t>944 66 12 64</t>
  </si>
  <si>
    <t>Herbolario Mayor</t>
  </si>
  <si>
    <t>C. Mayor, 40, 02002 Albacete</t>
  </si>
  <si>
    <t>ecoherbolariomayor.com</t>
  </si>
  <si>
    <t>967 18 92 86</t>
  </si>
  <si>
    <t>tienda@ecoherbolariomayor.com</t>
  </si>
  <si>
    <t>Pl. Mayor, 2, 02001 Albacete</t>
  </si>
  <si>
    <t>967 19 23 78</t>
  </si>
  <si>
    <t>Herbolario de La Tierra</t>
  </si>
  <si>
    <t>C. Padre Romano, 14, 02005 Albacete</t>
  </si>
  <si>
    <t>967 61 68 11</t>
  </si>
  <si>
    <t>Azahar Herboristería</t>
  </si>
  <si>
    <t>Av. Isabel la Católica, 13, 02005 Albacete</t>
  </si>
  <si>
    <t>azaharherboristeria.com</t>
  </si>
  <si>
    <t>967 21 28 48</t>
  </si>
  <si>
    <t>Centro de Salud Natural María</t>
  </si>
  <si>
    <t>C. Paz, 43, 02006 Albacete</t>
  </si>
  <si>
    <t>967 61 13 21</t>
  </si>
  <si>
    <t>Herboristeria Jao</t>
  </si>
  <si>
    <t>C. Rosario, 84, 02003 Albacete</t>
  </si>
  <si>
    <t>Herbolario Naturalmente</t>
  </si>
  <si>
    <t>C. San Julián, 9, 02001 Albacete</t>
  </si>
  <si>
    <t>640 24 53 11</t>
  </si>
  <si>
    <t>Herboristería Menta</t>
  </si>
  <si>
    <t>C. José Echegaray, 27, 02006 Albacete</t>
  </si>
  <si>
    <t>967 22 62 89</t>
  </si>
  <si>
    <t>Esencias</t>
  </si>
  <si>
    <t>Calle Ntra. Sra. la Esperanza, 4, 02004 Albacete</t>
  </si>
  <si>
    <t>La Casa de las Plantas, Herboristería especializada y asesoramiento compra</t>
  </si>
  <si>
    <t>C. Marqués de Villores, 2, 02001 Albacete</t>
  </si>
  <si>
    <t>lacasadelasplantasalbacete.com</t>
  </si>
  <si>
    <t>601 15 35 19</t>
  </si>
  <si>
    <t>Herbolario Maya. Albacete</t>
  </si>
  <si>
    <t>Av. Ramón Menéndez Pidal, 46, 02005 Albacete</t>
  </si>
  <si>
    <t>967 66 38 09</t>
  </si>
  <si>
    <t>El Sueño de Ana</t>
  </si>
  <si>
    <t>C. Pedro Martínez Gutiérrez, 11, 02004 Albacete</t>
  </si>
  <si>
    <t>697 65 52 81</t>
  </si>
  <si>
    <t>Herbolario Sonia Herráiz</t>
  </si>
  <si>
    <t>C. Hernando de Perona, 5, 02630 La Roda, Albacete</t>
  </si>
  <si>
    <t>La Roda</t>
  </si>
  <si>
    <t>herbolariosonia.com</t>
  </si>
  <si>
    <t>967 44 34 81</t>
  </si>
  <si>
    <t>info@herbolariosonia.com</t>
  </si>
  <si>
    <t>Herbolario La Casa De Las Plantas</t>
  </si>
  <si>
    <t>Av. Reina Sofía, 24, 02500 Tobarra, Albacete</t>
  </si>
  <si>
    <t>Tobarra</t>
  </si>
  <si>
    <t>La Pocima</t>
  </si>
  <si>
    <t>Av. José Rodríguez Ruano, 2, 02640 Almansa, Albacete</t>
  </si>
  <si>
    <t>Almansa</t>
  </si>
  <si>
    <t>967 34 41 20</t>
  </si>
  <si>
    <t>Hieconatura</t>
  </si>
  <si>
    <t>C/ nº10, P.º de las Delicias, 02460 Villaverde de Guadalimar, Albacete</t>
  </si>
  <si>
    <t>Villaverde de Guadalimar</t>
  </si>
  <si>
    <t>hieconatura.business.site</t>
  </si>
  <si>
    <t>610 84 23 08</t>
  </si>
  <si>
    <t>C. de las Madres, 8, 02600 Villarrobledo, Albacete</t>
  </si>
  <si>
    <t>Villarrobledo</t>
  </si>
  <si>
    <t>967 14 11 22</t>
  </si>
  <si>
    <t>Herbolario Savia Bienestar Natural</t>
  </si>
  <si>
    <t>C. de Dos de Mayo, 53, 02600 Villarrobledo, Albacete</t>
  </si>
  <si>
    <t>herbolariosavia.com</t>
  </si>
  <si>
    <t>967 96 65 91</t>
  </si>
  <si>
    <t>mailtoinfo@herbolariosavia.com</t>
  </si>
  <si>
    <t>HERBOLARIO LA POCIMA</t>
  </si>
  <si>
    <t>Pl. Salvador Allende, 2, 02640 Almansa, Albacete</t>
  </si>
  <si>
    <t>Rbla. de la Mancha, 43, 02640 Almansa, Albacete</t>
  </si>
  <si>
    <t>967 01 61 52</t>
  </si>
  <si>
    <t>Delicias Granel</t>
  </si>
  <si>
    <t>C. Covadonga, 2D, 02600 Villarrobledo, Albacete</t>
  </si>
  <si>
    <t>HERBOLARIO NATURALMENTE</t>
  </si>
  <si>
    <t>C. la Huerta, 25, 02660 Caudete, Albacete</t>
  </si>
  <si>
    <t>Caudete</t>
  </si>
  <si>
    <t>966 93 91 19</t>
  </si>
  <si>
    <t>C. Ciruela, 3, 13001 Ciudad Real, Cdad. Real</t>
  </si>
  <si>
    <t>Ciudad Real</t>
  </si>
  <si>
    <t>Cdad. Real</t>
  </si>
  <si>
    <t>el-herbolario.com</t>
  </si>
  <si>
    <t>926 23 30 95</t>
  </si>
  <si>
    <t>HERBOLARIO SOL Y TIERRA</t>
  </si>
  <si>
    <t>C. de Alarcos, 13, 13001 Ciudad Real, Cdad. Real</t>
  </si>
  <si>
    <t>herbolariosolytierra.es</t>
  </si>
  <si>
    <t>926 21 13 98</t>
  </si>
  <si>
    <t>tiendaonline@herbolariosolytierra.es</t>
  </si>
  <si>
    <t>C. de Calatrava, 1, 13001 Ciudad Real, Cdad. Real</t>
  </si>
  <si>
    <t>633 58 67 23</t>
  </si>
  <si>
    <t>Herbolario Campos De Aloe</t>
  </si>
  <si>
    <t>C. Gral. Rey, 8, 13001 Ciudad Real, Cdad. Real</t>
  </si>
  <si>
    <t>926 04 60 83</t>
  </si>
  <si>
    <t>Bionatur Ciudad Real</t>
  </si>
  <si>
    <t>C. Postas, 6, 13001 Ciudad Real, Cdad. Real</t>
  </si>
  <si>
    <t>926 22 99 50</t>
  </si>
  <si>
    <t>C. de Calatrava, 36, 13003 Ciudad Real, Cdad. Real</t>
  </si>
  <si>
    <t>926 25 35 51</t>
  </si>
  <si>
    <t>Herbolario &amp;amp; Bio Market Flor de Neroli</t>
  </si>
  <si>
    <t>C. Carlos Vázquez, 4, 13001 Ciudad Real, Cdad. Real</t>
  </si>
  <si>
    <t>flordeneroli.com</t>
  </si>
  <si>
    <t>926 67 43 59</t>
  </si>
  <si>
    <t>info@flordeneroli.com</t>
  </si>
  <si>
    <t>Biocosmetic</t>
  </si>
  <si>
    <t>C. de Calatrava, 23, 13003 Ciudad Real, Cdad. Real</t>
  </si>
  <si>
    <t>926 68 45 75</t>
  </si>
  <si>
    <t>Herbolario Yerba Buena</t>
  </si>
  <si>
    <t>C. Carnaval, 9, 13170 Miguelturra, Cdad. Real</t>
  </si>
  <si>
    <t>Miguelturra</t>
  </si>
  <si>
    <t>herbolario-yerbabuena.es</t>
  </si>
  <si>
    <t>926 27 20 92</t>
  </si>
  <si>
    <t>Herbolario Santa Teresa</t>
  </si>
  <si>
    <t>C. Tercia, 52-A, 13420 Malagón, Cdad. Real</t>
  </si>
  <si>
    <t>Malagón</t>
  </si>
  <si>
    <t>662 47 81 23</t>
  </si>
  <si>
    <t>HERBODAIMIEL</t>
  </si>
  <si>
    <t>C. Monescillo, 15, 13250 Daimiel, Cdad. Real</t>
  </si>
  <si>
    <t>Daimiel</t>
  </si>
  <si>
    <t>621 23 81 99</t>
  </si>
  <si>
    <t>El Rincón Verde Salud y centro de Belleza. Osteopatia, Masaje,Kinesiología, Acupuntura</t>
  </si>
  <si>
    <t>Calle Encomienda, 2b, 13270 Almagro, Cdad. Real</t>
  </si>
  <si>
    <t>Almagro</t>
  </si>
  <si>
    <t>elrinconverdesaludybellezanaturalosteopatiamasajekinesio.com</t>
  </si>
  <si>
    <t>699 98 49 84</t>
  </si>
  <si>
    <t>Herbolario Puertovera</t>
  </si>
  <si>
    <t>C. Alejandro Prieto, 10, 13500 Puertollano, Cdad. Real</t>
  </si>
  <si>
    <t>Puertollano</t>
  </si>
  <si>
    <t>puertovera.com</t>
  </si>
  <si>
    <t>926 43 10 09</t>
  </si>
  <si>
    <t>pedidos@puertovera.com</t>
  </si>
  <si>
    <t>NaturVida</t>
  </si>
  <si>
    <t>C. Cristo, 33, 13300 Valdepeñas, Cdad. Real</t>
  </si>
  <si>
    <t>Valdepeñas</t>
  </si>
  <si>
    <t>naturvida.mitiendaair.es</t>
  </si>
  <si>
    <t>926 31 17 05</t>
  </si>
  <si>
    <t>Herbolario Caléndula Olga Lozano</t>
  </si>
  <si>
    <t>C. Cruz Verde, 7, 13300 Valdepeñas, Cdad. Real</t>
  </si>
  <si>
    <t>926 32 16 58</t>
  </si>
  <si>
    <t>Herbolario Herdiman</t>
  </si>
  <si>
    <t>C. Carrilejos, 23, BAJO, 13200 Manzanares, Cdad. Real</t>
  </si>
  <si>
    <t>Manzanares</t>
  </si>
  <si>
    <t>herdiman.es</t>
  </si>
  <si>
    <t>926 61 31 90</t>
  </si>
  <si>
    <t>herdiman@herdiman.es</t>
  </si>
  <si>
    <t>Herbolario Santiveri Puertollano</t>
  </si>
  <si>
    <t>Av. Primero de Mayo, 24, 13500 Puertollano, Cdad. Real</t>
  </si>
  <si>
    <t>653 05 20 42</t>
  </si>
  <si>
    <t>Herbolario Ntra. Sra. del Pilar</t>
  </si>
  <si>
    <t>C. Carrera, 93, 13240 La Solana, Cdad. Real</t>
  </si>
  <si>
    <t>La Solana</t>
  </si>
  <si>
    <t>J&amp;amp;R POR SIEMPRE</t>
  </si>
  <si>
    <t>13500 Puertollano, Cdad. Real</t>
  </si>
  <si>
    <t>609 41 39 46</t>
  </si>
  <si>
    <t>Santi Veri</t>
  </si>
  <si>
    <t>Pl. Waldo Ferrer, 35, 13400 Almadén, Cdad. Real</t>
  </si>
  <si>
    <t>Almadén</t>
  </si>
  <si>
    <t>Herbolario Tomelloso</t>
  </si>
  <si>
    <t>C. Veracruz, 34, 13700 Tomelloso, Cdad. Real</t>
  </si>
  <si>
    <t>Tomelloso</t>
  </si>
  <si>
    <t>926 50 64 47</t>
  </si>
  <si>
    <t>Vital 44</t>
  </si>
  <si>
    <t>C. Castillo, 22, 13610 Campo de Criptana, Cdad. Real</t>
  </si>
  <si>
    <t>Campo de Criptana</t>
  </si>
  <si>
    <t>926 56 23 18</t>
  </si>
  <si>
    <t>Herbolario La Tisana Santiveri</t>
  </si>
  <si>
    <t>C. San Francisco, 7, 13600 Alcázar de San Juan, Cdad. Real</t>
  </si>
  <si>
    <t>Alcázar de San Juan</t>
  </si>
  <si>
    <t>926 54 55 57</t>
  </si>
  <si>
    <t>Herboristería Ginkgo Biloba</t>
  </si>
  <si>
    <t>C. Don Juan de Austria, 5, BAJO, 13630 Socuéllamos, Cdad. Real</t>
  </si>
  <si>
    <t>Socuéllamos</t>
  </si>
  <si>
    <t>herboristeriaginkgobiloba.com</t>
  </si>
  <si>
    <t>926 53 18 23</t>
  </si>
  <si>
    <t>loren-carrasco@herboristeriaginkgobiloba.com</t>
  </si>
  <si>
    <t>C. Estudio y Pilancón, 13320 Villanueva de los Infantes, Cdad. Real</t>
  </si>
  <si>
    <t>Villanueva de los Infantes</t>
  </si>
  <si>
    <t>926 36 16 11</t>
  </si>
  <si>
    <t>Ter- Natur</t>
  </si>
  <si>
    <t>C. de Carrasco-Alcalde, 22, 13640 Herencia, Cdad. Real</t>
  </si>
  <si>
    <t>Herencia</t>
  </si>
  <si>
    <t>926 57 37 02</t>
  </si>
  <si>
    <t>Salvia Herbolario</t>
  </si>
  <si>
    <t>C. Virgen de Criptana, 3, 13610 Campo de Criptana, Cdad. Real</t>
  </si>
  <si>
    <t>926 56 35 29</t>
  </si>
  <si>
    <t>Herbolario Té verde - Herbolarios de Cuenca</t>
  </si>
  <si>
    <t>C. Cervantes, número 8, bajo, 16004 Cuenca</t>
  </si>
  <si>
    <t>Cuenca</t>
  </si>
  <si>
    <t>herbolarioteverde.es</t>
  </si>
  <si>
    <t>969 69 32 02</t>
  </si>
  <si>
    <t>info@herbolarioteverde.es</t>
  </si>
  <si>
    <t>Herbolario Navarro Cuenca</t>
  </si>
  <si>
    <t>C. Carretería, 34, 16002 Cuenca</t>
  </si>
  <si>
    <t>969 69 31 32</t>
  </si>
  <si>
    <t>Herbolario Sierra de Gredos</t>
  </si>
  <si>
    <t>C. de Colón, 45, 16002 Cuenca</t>
  </si>
  <si>
    <t>herbolariosierradegredos.com</t>
  </si>
  <si>
    <t>969 23 99 16</t>
  </si>
  <si>
    <t>Herbolario Biocentro Xucar</t>
  </si>
  <si>
    <t>C. Diego Jiménez, 1, 16003 Cuenca</t>
  </si>
  <si>
    <t>969 23 17 62</t>
  </si>
  <si>
    <t>Carmen Sanzol Moriones</t>
  </si>
  <si>
    <t>C. de Colón, 20, 16002 Cuenca</t>
  </si>
  <si>
    <t>969 24 11 06</t>
  </si>
  <si>
    <t>Herbolario Herbem</t>
  </si>
  <si>
    <t>Herbolario Herbem, C. Fermín Caballero, 20, 16004 Cuenca</t>
  </si>
  <si>
    <t>Herbolario Beatriz Orero Lillo</t>
  </si>
  <si>
    <t>Carrer de Cuenca Tramoyeres, 46020 València, Valencia</t>
  </si>
  <si>
    <t>963 61 29 23</t>
  </si>
  <si>
    <t>HERBOLARIO LAVANDA</t>
  </si>
  <si>
    <t>C. Alfonso XIII, 20, 28982 Parla, Madrid</t>
  </si>
  <si>
    <t>Parla</t>
  </si>
  <si>
    <t>herbolariolavanda.com</t>
  </si>
  <si>
    <t>916 99 33 31</t>
  </si>
  <si>
    <t>maripepaparla@hotmail.com</t>
  </si>
  <si>
    <t>Herboristeria Aranzazu</t>
  </si>
  <si>
    <t>C. de la Cuenca de Pamplona, 49 TRASERA, 31015 Pamplona, Navarra</t>
  </si>
  <si>
    <t>948 12 29 16</t>
  </si>
  <si>
    <t>C. de la Virgen de la Soledad, 3, 19003 Guadalajara</t>
  </si>
  <si>
    <t>Guadalajara</t>
  </si>
  <si>
    <t>laventanatural.com</t>
  </si>
  <si>
    <t>949 22 46 72</t>
  </si>
  <si>
    <t>Herbolario Soria Nueva</t>
  </si>
  <si>
    <t>C. de Juan Diges Antón, 21, 19003 Guadalajara</t>
  </si>
  <si>
    <t>949 25 42 41</t>
  </si>
  <si>
    <t>Herbolario Yerbabuena</t>
  </si>
  <si>
    <t>Av. Castilla, 18A, 19002 Guadalajara</t>
  </si>
  <si>
    <t>herbolarioyerbabuena.com</t>
  </si>
  <si>
    <t>949 23 14 96</t>
  </si>
  <si>
    <t>Las Buenas Hierbas</t>
  </si>
  <si>
    <t>Av. del Ejército, 17, 19003 Guadalajara</t>
  </si>
  <si>
    <t>biolema.es</t>
  </si>
  <si>
    <t>949 25 44 07</t>
  </si>
  <si>
    <t>info@biolema.es</t>
  </si>
  <si>
    <t>Conchíta Romero Salud Y Belleza Guadalajara</t>
  </si>
  <si>
    <t>Maisarvol</t>
  </si>
  <si>
    <t>C. Padre Tabernero, 21, 19002 Guadalajara</t>
  </si>
  <si>
    <t>949 21 44 46</t>
  </si>
  <si>
    <t>Herbolario Cabanillas</t>
  </si>
  <si>
    <t>Calle Miguel Hernández, s/n, local 4, 19171 Cabanillas del Campo, Guadalajara</t>
  </si>
  <si>
    <t>Cabanillas del Campo</t>
  </si>
  <si>
    <t>652 33 44 24</t>
  </si>
  <si>
    <t>C. el Tejar, 4, bajo, 19200 Azuqueca de Henares, Guadalajara</t>
  </si>
  <si>
    <t>Azuqueca de Henares</t>
  </si>
  <si>
    <t>949 26 74 77</t>
  </si>
  <si>
    <t>El Hayuco</t>
  </si>
  <si>
    <t>Cam. de Talamanca, 17, 19170 El Casar, Guadalajara</t>
  </si>
  <si>
    <t>El Casar</t>
  </si>
  <si>
    <t>609 73 29 02</t>
  </si>
  <si>
    <t>HERBOLARIO, ESTÉTICA, DIETÉTICA</t>
  </si>
  <si>
    <t>C. Barranco del Buey, 19120 Sacedón, Guadalajara</t>
  </si>
  <si>
    <t>Sacedón</t>
  </si>
  <si>
    <t>herbolariosacedon.com</t>
  </si>
  <si>
    <t>675 82 66 22</t>
  </si>
  <si>
    <t>Santiveri, Tu herbolario</t>
  </si>
  <si>
    <t>C. Lope de Vega, 19 post, 28805 Alcalá de Henares, Madrid</t>
  </si>
  <si>
    <t>Alcalá de Henares</t>
  </si>
  <si>
    <t>918 88 79 73</t>
  </si>
  <si>
    <t>Herbolarios Doemi</t>
  </si>
  <si>
    <t>Av. de Guadalajara, 2, Local 38, 28032 Madrid</t>
  </si>
  <si>
    <t>917 75 80 11</t>
  </si>
  <si>
    <t>Herbolario Naturín Natural</t>
  </si>
  <si>
    <t>C. de Francos Rodríguez, 14, 28039 Madrid</t>
  </si>
  <si>
    <t>herbolarionaturinnatural.es</t>
  </si>
  <si>
    <t>914 59 81 41</t>
  </si>
  <si>
    <t>La ventana Natural de Maria</t>
  </si>
  <si>
    <t>Av. de Fuenlabrada, 91, 28912 Leganés, Madrid</t>
  </si>
  <si>
    <t>Leganés</t>
  </si>
  <si>
    <t>912 28 98 98</t>
  </si>
  <si>
    <t>Sevifarma Parafarmacia, S.L.</t>
  </si>
  <si>
    <t>Calle Guadalajara Nº4, Local 1, Derecha, 41014 Sevilla</t>
  </si>
  <si>
    <t>sevifarma.com</t>
  </si>
  <si>
    <t>655 65 37 82</t>
  </si>
  <si>
    <t>info@sevifarma.com</t>
  </si>
  <si>
    <t>La Ventana Natural | Toledo Market</t>
  </si>
  <si>
    <t>C. Colombia, 10, local 5, 45004 Toledo</t>
  </si>
  <si>
    <t>Toledo</t>
  </si>
  <si>
    <t>925 25 24 32</t>
  </si>
  <si>
    <t>Pl. Cdad. de Nara N2, Módulo 2, Local 34, 45005 Toledo</t>
  </si>
  <si>
    <t>herbolariotoledo.com</t>
  </si>
  <si>
    <t>644 27 17 58</t>
  </si>
  <si>
    <t>herbolariotoledo@gmail.com</t>
  </si>
  <si>
    <t>El Herbolario de Fabiola</t>
  </si>
  <si>
    <t>Travesía Gregorio Ramírez, 8, 2H, 45003 Toledo</t>
  </si>
  <si>
    <t>633 86 90 01</t>
  </si>
  <si>
    <t>Rocío Hernández Morales</t>
  </si>
  <si>
    <t>Rda. Buenavista, 27, 45005 Toledo</t>
  </si>
  <si>
    <t>925 21 55 60</t>
  </si>
  <si>
    <t>El herbolario de SONIA</t>
  </si>
  <si>
    <t>C. Andalucía, 5, 45005 Toledo</t>
  </si>
  <si>
    <t>610 74 11 85</t>
  </si>
  <si>
    <t>La Flor de la Alegría</t>
  </si>
  <si>
    <t>C. Fuente del Moro, 6, 45006 Toledo</t>
  </si>
  <si>
    <t>650 36 07 20</t>
  </si>
  <si>
    <t>Santiveri Toledo</t>
  </si>
  <si>
    <t>C. de Mejico, 7, 45004 Toledo</t>
  </si>
  <si>
    <t>925 05 41 84</t>
  </si>
  <si>
    <t>Agropecuaria San Telmo</t>
  </si>
  <si>
    <t>C. Navahermosa, 0, 45161 Polán, Toledo</t>
  </si>
  <si>
    <t>Polán</t>
  </si>
  <si>
    <t>925 37 00 51</t>
  </si>
  <si>
    <t>Personal Trainer - Yoga - Nutrición- Quiromasaje en Toledo</t>
  </si>
  <si>
    <t>yogaentoledo.es</t>
  </si>
  <si>
    <t>636 43 88 57</t>
  </si>
  <si>
    <t>hola@yogaentoledo.es</t>
  </si>
  <si>
    <t>STEVIA HERBOLARIO Y CENTRO TERAPIAS</t>
  </si>
  <si>
    <t>herbolario, C. Beato Juan de Ávila, 5, 45510 Fuensalida, Toledo</t>
  </si>
  <si>
    <t>Fuensalida</t>
  </si>
  <si>
    <t>xalumedix.com</t>
  </si>
  <si>
    <t>925 71 14 41</t>
  </si>
  <si>
    <t>xalumedix@xalumedix.com</t>
  </si>
  <si>
    <t>Herbolario Herbomas</t>
  </si>
  <si>
    <t>C. Santísima Trinidad, 11, 45510 Fuensalida, Toledo</t>
  </si>
  <si>
    <t>herbomas.com</t>
  </si>
  <si>
    <t>925 73 06 43</t>
  </si>
  <si>
    <t>Herbolario Teresa Enríquez</t>
  </si>
  <si>
    <t>C. Bautista Díaz Ibáñez, 2, 45500 Torrijos, Toledo</t>
  </si>
  <si>
    <t>Torrijos</t>
  </si>
  <si>
    <t>639 39 11 81</t>
  </si>
  <si>
    <t>Herbolario Illescas Natural S.L.</t>
  </si>
  <si>
    <t>Av. Castilla La Mancha, 65, BAJO-C, 45200 Illescas, Toledo</t>
  </si>
  <si>
    <t>Illescas</t>
  </si>
  <si>
    <t>925 51 20 93</t>
  </si>
  <si>
    <t>María del Carmen Díaz Cardiel Alvarez</t>
  </si>
  <si>
    <t>Herbolario Stevia</t>
  </si>
  <si>
    <t>C. Beato Juan de Ávila, 5, 45510 Fuensalida, Toledo</t>
  </si>
  <si>
    <t>Herbolario Maribel</t>
  </si>
  <si>
    <t>Calle Sor Livia Alcorta, 9, 45200 Illescas, Toledo</t>
  </si>
  <si>
    <t>925 54 19 30</t>
  </si>
  <si>
    <t>UÑA de GATO Herbolario</t>
  </si>
  <si>
    <t>C. Francisco Guzmán, 25, 45200 Illescas, Toledo</t>
  </si>
  <si>
    <t>925 91 82 09</t>
  </si>
  <si>
    <t>B R Strover S L</t>
  </si>
  <si>
    <t>C. Manuel Benayas, 7, 45500 Torrijos, Toledo</t>
  </si>
  <si>
    <t>925 77 00 39</t>
  </si>
  <si>
    <t>Herbolario Esencia Viva</t>
  </si>
  <si>
    <t>C. Toledo, 36, 28901 Getafe, Madrid</t>
  </si>
  <si>
    <t>916 95 71 78</t>
  </si>
  <si>
    <t>La ventana natural, C. de Toledo, 34, 28005 Madrid</t>
  </si>
  <si>
    <t>912 30 39 33</t>
  </si>
  <si>
    <t>Herbolario Luna</t>
  </si>
  <si>
    <t>C. Santo Domingo, 11, 45300 Ocaña, Toledo</t>
  </si>
  <si>
    <t>Ocaña</t>
  </si>
  <si>
    <t>925 12 06 59</t>
  </si>
  <si>
    <t>Naturlider</t>
  </si>
  <si>
    <t>Calle Ramón Y Cajal, 15 ( Pol Ind Las Monjas, 45224 Seseña Nuevo, Toledo</t>
  </si>
  <si>
    <t>Seseña Nuevo</t>
  </si>
  <si>
    <t>naturlider.com</t>
  </si>
  <si>
    <t>918 01 32 78</t>
  </si>
  <si>
    <t>atc@naturlider.com</t>
  </si>
  <si>
    <t>Naturbán</t>
  </si>
  <si>
    <t>Plaza de la Glorieta, 5, local 1, 45516 La Puebla de Montalbán, Toledo</t>
  </si>
  <si>
    <t>La Puebla de Montalbán</t>
  </si>
  <si>
    <t>650 00 94 26</t>
  </si>
  <si>
    <t>Santiveri Herbolario</t>
  </si>
  <si>
    <t>C. Sta. Ana, 43, 45710 Madridejos, Toledo</t>
  </si>
  <si>
    <t>Madridejos</t>
  </si>
  <si>
    <t>606 65 97 64</t>
  </si>
  <si>
    <t>Herbolario Nueva Naturalidad</t>
  </si>
  <si>
    <t>C. Seseña Nuevo, 3, local 1, 45223 Seseña, Toledo</t>
  </si>
  <si>
    <t>Seseña</t>
  </si>
  <si>
    <t>913 48 70 52</t>
  </si>
  <si>
    <t>Herbolario Ginkgo Biloba</t>
  </si>
  <si>
    <t>Gta. de la Prta de Toledo, 3, 28005 Madrid</t>
  </si>
  <si>
    <t>662 63 89 63</t>
  </si>
  <si>
    <t>Sagrario García Bravo Lominchar</t>
  </si>
  <si>
    <t>C. Aldonza, 2, 45860 Villacañas, Toledo</t>
  </si>
  <si>
    <t>Villacañas</t>
  </si>
  <si>
    <t>Herbolario natural</t>
  </si>
  <si>
    <t>C. Sertorio, 24, 45700 Consuegra, Toledo</t>
  </si>
  <si>
    <t>Consuegra</t>
  </si>
  <si>
    <t>925 48 21 06</t>
  </si>
  <si>
    <t>Herbolario Madre Tierra</t>
  </si>
  <si>
    <t>Av. Madridejos, 90, 45860 Villacañas, Toledo</t>
  </si>
  <si>
    <t>624 22 14 76</t>
  </si>
  <si>
    <t>La Ventana Natural C.C.Ebora Centro</t>
  </si>
  <si>
    <t>Avenida de la &amp;lt;constitución, 19, 45600 Talavera de la Reina, Toledo</t>
  </si>
  <si>
    <t>Talavera de la Reina</t>
  </si>
  <si>
    <t>925 72 04 07</t>
  </si>
  <si>
    <t>Herbolario Talavera BBT</t>
  </si>
  <si>
    <t>Paseo de la Estación, 72, 45600 Talavera de la Reina, Toledo</t>
  </si>
  <si>
    <t>herbolariotalavera.com</t>
  </si>
  <si>
    <t>925 02 06 04</t>
  </si>
  <si>
    <t>Tienda Natural Hierbas Messegue Talavera (Herbolario)</t>
  </si>
  <si>
    <t>C. Cerería, 6, 45600 Talavera de la Reina, Toledo</t>
  </si>
  <si>
    <t>925 67 55 61</t>
  </si>
  <si>
    <t>HERBORISTERIA PANACEA</t>
  </si>
  <si>
    <t>C. Concepción, 24, 45800 Quintanar de la Orden, Toledo</t>
  </si>
  <si>
    <t>Quintanar de la Orden</t>
  </si>
  <si>
    <t>panaceaquintanar.es</t>
  </si>
  <si>
    <t>925 67 66 02</t>
  </si>
  <si>
    <t>incidencias@panaceaquintanar.es</t>
  </si>
  <si>
    <t>HERBOLARIO MARCERATO</t>
  </si>
  <si>
    <t>Pl. Bayona, 6, 45223 Seseña, Toledo</t>
  </si>
  <si>
    <t>662 62 73 63</t>
  </si>
  <si>
    <t>La Ventana Natural Talavera</t>
  </si>
  <si>
    <t>Av. Pío XII, 39, 45600 Talavera de la Reina, Toledo</t>
  </si>
  <si>
    <t>925 80 45 13</t>
  </si>
  <si>
    <t>HERBOLARIO SANTIVERI MADRIDEJOS</t>
  </si>
  <si>
    <t>Ctra. Antigua Madrid Cádiz, 33, 45710 Madridejos, Toledo</t>
  </si>
  <si>
    <t>Herbolario Natybya</t>
  </si>
  <si>
    <t>Av. Pío XII, 116, 45600 Talavera de la Reina, Toledo</t>
  </si>
  <si>
    <t>637 01 83 96</t>
  </si>
  <si>
    <t>Slim Body Zone S.L.</t>
  </si>
  <si>
    <t>Av. Juan Carlos I, 23, 45600 Talavera de la Reina, Toledo</t>
  </si>
  <si>
    <t>slimbodyzone.es</t>
  </si>
  <si>
    <t>925 80 43 93</t>
  </si>
  <si>
    <t>slimbody23@gmail.com</t>
  </si>
  <si>
    <t>Herbolario la Valeriana</t>
  </si>
  <si>
    <t>C. Pizarro, Nº 2, Local 7, 28902 Getafe, Madrid</t>
  </si>
  <si>
    <t>916 82 67 61</t>
  </si>
  <si>
    <t>Herbolario Beli</t>
  </si>
  <si>
    <t>C. Alfares, 34, 45600 Talavera de la Reina, Toledo</t>
  </si>
  <si>
    <t>925 68 10 53</t>
  </si>
  <si>
    <t>La Cerería Cereria Herbolario</t>
  </si>
  <si>
    <t>C. Cerería, 3, 45600 Talavera de la Reina, Toledo</t>
  </si>
  <si>
    <t>925 97 80 75</t>
  </si>
  <si>
    <t>Guruguru magá</t>
  </si>
  <si>
    <t>C. Río Alberche, 2, 45920 La Torre de Esteban Hambrán, Toledo</t>
  </si>
  <si>
    <t>La Torre de Esteban Hambrán</t>
  </si>
  <si>
    <t>Casa Santiveri</t>
  </si>
  <si>
    <t>Alcalde Ramón Moreno, 15, 45567 Lagartera, Toledo</t>
  </si>
  <si>
    <t>Lagartera</t>
  </si>
  <si>
    <t>925 43 00 94</t>
  </si>
  <si>
    <t>Herbolario Morando</t>
  </si>
  <si>
    <t>C. del Duque de Alba, 15, 28012 Madrid</t>
  </si>
  <si>
    <t>913 69 08 26</t>
  </si>
  <si>
    <t>Tu-Mi Herbolario</t>
  </si>
  <si>
    <t>Cl. Andalucia, 6, 28903 Getafe, Madrid</t>
  </si>
  <si>
    <t>tumiherbolario.sedinfo.es</t>
  </si>
  <si>
    <t>916 83 55 91</t>
  </si>
  <si>
    <t>Herbolario Maravillas Naturales</t>
  </si>
  <si>
    <t>Av. España, 56, 28903 Getafe, Madrid</t>
  </si>
  <si>
    <t>916 01 71 19</t>
  </si>
  <si>
    <t>Serycla Herbolario</t>
  </si>
  <si>
    <t>C. Valdemoro, 1, 28901 Getafe, Madrid</t>
  </si>
  <si>
    <t>amarillasinternet.com</t>
  </si>
  <si>
    <t>916 81 69 17</t>
  </si>
  <si>
    <t>Herbolario Sandalo I</t>
  </si>
  <si>
    <t>C. del Plata, 5, 28944 Fuenlabrada, Madrid</t>
  </si>
  <si>
    <t>Fuenlabrada</t>
  </si>
  <si>
    <t>916 06 02 38</t>
  </si>
  <si>
    <t>Herbolario-Ecotienda El Loto Azul</t>
  </si>
  <si>
    <t>Calle de las Peñuelas, 2, 28005 Madrid</t>
  </si>
  <si>
    <t>herbolariolotoazul.es</t>
  </si>
  <si>
    <t>914 73 19 81</t>
  </si>
  <si>
    <t>info@herbolariolotoazul.es</t>
  </si>
  <si>
    <t>Mª Angeles Gómez Gómez Chacón Dis. Independiente de Productos HERBALIFE</t>
  </si>
  <si>
    <t>C. de la Vega, 9, 45730 Villafranca de los Caballeros, Toledo</t>
  </si>
  <si>
    <t>Villafranca de los Caballeros</t>
  </si>
  <si>
    <t>670 68 83 06</t>
  </si>
  <si>
    <t>Herbolario Heno Natural</t>
  </si>
  <si>
    <t>P.º Imperial, 81, 28005 Madrid</t>
  </si>
  <si>
    <t>herbolariohenonatural.com</t>
  </si>
  <si>
    <t>913 65 36 07</t>
  </si>
  <si>
    <t>info@henonatural.com</t>
  </si>
  <si>
    <t>Herbolario Getafe 3</t>
  </si>
  <si>
    <t>Av. Juan Carlos I, 28905 Getafe, Madrid</t>
  </si>
  <si>
    <t>916 96 85 32</t>
  </si>
  <si>
    <t>Herbolario del Niño del Remedio</t>
  </si>
  <si>
    <t>C. de los Donados, 1, 28013 Madrid</t>
  </si>
  <si>
    <t>915 59 60 31</t>
  </si>
  <si>
    <t>Paraíso</t>
  </si>
  <si>
    <t>C. De Malta, 4, 28943 Fuenlabrada, Madrid</t>
  </si>
  <si>
    <t>916 08 00 51</t>
  </si>
  <si>
    <t>Herbolario Las Veredillas</t>
  </si>
  <si>
    <t>C. Milán, 10, 28850 Torrejón de Ardoz, Madrid</t>
  </si>
  <si>
    <t>Torrejón de Ardoz</t>
  </si>
  <si>
    <t>916 56 26 68</t>
  </si>
  <si>
    <t>Herbolarío Hnas Calle</t>
  </si>
  <si>
    <t>Ronda de Saliente, 68, 28850 Torrejón de Ardoz, Madrid</t>
  </si>
  <si>
    <t>916 48 76 28</t>
  </si>
  <si>
    <t>El Tilo Herbolario</t>
  </si>
  <si>
    <t>C. de la Infanta Mercedes, 59, LOC, 28020 Madrid</t>
  </si>
  <si>
    <t>herbolarioenmadrid.com</t>
  </si>
  <si>
    <t>915 70 97 32</t>
  </si>
  <si>
    <t>eltiloherbolario@gmail.com</t>
  </si>
  <si>
    <t>Herbolario Capitán Haya</t>
  </si>
  <si>
    <t>C. del Poeta Joan Maragall, 16, 28020 Madrid</t>
  </si>
  <si>
    <t>herbolariocapitanhaya.es</t>
  </si>
  <si>
    <t>668 57 11 94</t>
  </si>
  <si>
    <t>C. Pozo de la Nieve, 16, 28210 Valdemorillo, Madrid</t>
  </si>
  <si>
    <t>Valdemorillo</t>
  </si>
  <si>
    <t>918 97 72 94</t>
  </si>
  <si>
    <t>Herbolario Rosi Torrejon de Ardoz</t>
  </si>
  <si>
    <t>C. Circunvalación, 3, 28850 Torrejón de Ardoz, Madrid</t>
  </si>
  <si>
    <t>Herbolario San Vicente</t>
  </si>
  <si>
    <t>C. Humilladero, 6, 05001 Ávila</t>
  </si>
  <si>
    <t>920 21 16 04</t>
  </si>
  <si>
    <t>Herbolario Sancti Spiritu</t>
  </si>
  <si>
    <t>C. Ntra. Señora de Sonsoles, 83, 05002 Ávila</t>
  </si>
  <si>
    <t>920 22 10 44</t>
  </si>
  <si>
    <t>Los Jerónimos</t>
  </si>
  <si>
    <t>C. Candeleda, 1, 05001 Ávila</t>
  </si>
  <si>
    <t>920 25 31 37</t>
  </si>
  <si>
    <t>Av. Juan Carlos I, 45, 05004 Ávila</t>
  </si>
  <si>
    <t>920 21 92 02</t>
  </si>
  <si>
    <t>Doroteo Jiménez Jiménez</t>
  </si>
  <si>
    <t>P.º San Roque, 32, 05003 Ávila</t>
  </si>
  <si>
    <t>920 22 80 15</t>
  </si>
  <si>
    <t>Herbolario UNO Natur</t>
  </si>
  <si>
    <t>Avenida Principal, 57, 05230 Las Navas del Marqués, Ávila</t>
  </si>
  <si>
    <t>Las Navas del Marqués</t>
  </si>
  <si>
    <t>640 76 87 73</t>
  </si>
  <si>
    <t>Disbeller Nature Herbolario</t>
  </si>
  <si>
    <t>C. Peralera, local 2, 05270 El Tiemblo, Ávila</t>
  </si>
  <si>
    <t>El Tiemblo</t>
  </si>
  <si>
    <t>918 62 73 68</t>
  </si>
  <si>
    <t>Herbolario El Sol</t>
  </si>
  <si>
    <t>Pl. del Prado, 5, BAJO, 05400 Arenas de San Pedro, Ávila</t>
  </si>
  <si>
    <t>Arenas de San Pedro</t>
  </si>
  <si>
    <t>920 37 17 23</t>
  </si>
  <si>
    <t>Herbolario Herbolizo</t>
  </si>
  <si>
    <t>C. Sta. Teresa, 5, 05600 El Barco de Ávila, Ávila</t>
  </si>
  <si>
    <t>El Barco de Ávila</t>
  </si>
  <si>
    <t>650 13 42 88</t>
  </si>
  <si>
    <t>HERBOLARIO-PARAFARMACIA VIVE AL NATURAL</t>
  </si>
  <si>
    <t>C. Ejército Español, 8, 05480 Candeleda, Ávila</t>
  </si>
  <si>
    <t>Candeleda</t>
  </si>
  <si>
    <t>603 53 76 58</t>
  </si>
  <si>
    <t>P.º de Zorrilla, 26, 47006 Valladolid</t>
  </si>
  <si>
    <t>Valladolid</t>
  </si>
  <si>
    <t>983 01 67 41</t>
  </si>
  <si>
    <t>Herbolario Sabina</t>
  </si>
  <si>
    <t>P.º de la Estación, 3, 28807 Alcalá de Henares, Madrid</t>
  </si>
  <si>
    <t>herbolariosabina.com</t>
  </si>
  <si>
    <t>918 81 62 32</t>
  </si>
  <si>
    <t>Herbolario de Petras</t>
  </si>
  <si>
    <t>C. San Leonardo, 7, 28015 Madrid</t>
  </si>
  <si>
    <t>915 47 82 85</t>
  </si>
  <si>
    <t>Herboristería San Amaro</t>
  </si>
  <si>
    <t>C. Pablo Ruiz Picasso, 3, BAJO, 09007 Burgos</t>
  </si>
  <si>
    <t>square.site</t>
  </si>
  <si>
    <t>947 22 89 79</t>
  </si>
  <si>
    <t>Herbolario Vida y Salud - Bunatur</t>
  </si>
  <si>
    <t>C. Sta. Clara, 2, 09002 Burgos</t>
  </si>
  <si>
    <t>bunatur.com</t>
  </si>
  <si>
    <t>947 27 84 64</t>
  </si>
  <si>
    <t>bunatur@gmail.com</t>
  </si>
  <si>
    <t>Herboristería Los Tilos</t>
  </si>
  <si>
    <t>Av. de la Paz, 6, bajo, 09004 Burgos</t>
  </si>
  <si>
    <t>herboristerialostilos.com</t>
  </si>
  <si>
    <t>947 27 03 52</t>
  </si>
  <si>
    <t>La Botica De Laura</t>
  </si>
  <si>
    <t>C. de las Calzadas, 4, BAJO, 09004 Burgos</t>
  </si>
  <si>
    <t>laboticadelaura.com</t>
  </si>
  <si>
    <t>947 20 48 87</t>
  </si>
  <si>
    <t>info@laboticadelaura.com</t>
  </si>
  <si>
    <t>Centro de Bienestar Herbal</t>
  </si>
  <si>
    <t>C. Vitoria, 27, 09004 Burgos</t>
  </si>
  <si>
    <t>607 99 00 56</t>
  </si>
  <si>
    <t>C. Francisco Sarmiento, 4, 09005 Burgos</t>
  </si>
  <si>
    <t>947 24 19 29</t>
  </si>
  <si>
    <t>Santiago</t>
  </si>
  <si>
    <t>C. Santiago Apóstol, 60, 09007 Burgos</t>
  </si>
  <si>
    <t>947 21 95 32</t>
  </si>
  <si>
    <t>Blume Antigua</t>
  </si>
  <si>
    <t>C. Vitoria, 255, 09007 Burgos</t>
  </si>
  <si>
    <t>blumeantigua.com</t>
  </si>
  <si>
    <t>947 48 90 47</t>
  </si>
  <si>
    <t>logo_@2x.png</t>
  </si>
  <si>
    <t>Abedul Masajes</t>
  </si>
  <si>
    <t>C. Compostela, 3, BAJO, 09007 Burgos</t>
  </si>
  <si>
    <t>947 23 72 60</t>
  </si>
  <si>
    <t>Centro Dietético Burgalés</t>
  </si>
  <si>
    <t>Avenida de Castilla y León, SN, C.C. Camino fe de la plata, 09006 Burgos</t>
  </si>
  <si>
    <t>947 21 92 23</t>
  </si>
  <si>
    <t>C. de la Puebla, 38, 09004 Burgos</t>
  </si>
  <si>
    <t>947 27 76 16</t>
  </si>
  <si>
    <t>Calle Madrid, Nº3, 09006 Burgos</t>
  </si>
  <si>
    <t>947 26 58 17</t>
  </si>
  <si>
    <t>Cuna de Salud</t>
  </si>
  <si>
    <t>C/ Legión Española, 1, BAJO, 09001 Burgos</t>
  </si>
  <si>
    <t>cunadesalud.com</t>
  </si>
  <si>
    <t>947 25 12 77</t>
  </si>
  <si>
    <t>Flora Inés Fernández Vivancos y Jesús Manuel de Dios Bonis, SC</t>
  </si>
  <si>
    <t>C. Vitoria, 177, 09007 Burgos</t>
  </si>
  <si>
    <t>947 21 22 18</t>
  </si>
  <si>
    <t>SANTIVERI BURGOS,GAMONAL</t>
  </si>
  <si>
    <t>947 21 21 84</t>
  </si>
  <si>
    <t>herboristería Agua clara</t>
  </si>
  <si>
    <t>C. Carreloma, 09230 San Mamés de Burgos, Burgos</t>
  </si>
  <si>
    <t>San Mamés de Burgos</t>
  </si>
  <si>
    <t>627 65 44 55</t>
  </si>
  <si>
    <t>Herbolario Alquimia</t>
  </si>
  <si>
    <t>C. Briviesca, 2, BAJO A, 09500 Medina de Pomar, Burgos</t>
  </si>
  <si>
    <t>Medina de Pomar</t>
  </si>
  <si>
    <t>696 15 63 74</t>
  </si>
  <si>
    <t>Natural Madora S.L.</t>
  </si>
  <si>
    <t>C. Burgo de Osma, 66, 09400 Aranda de Duero, Burgos</t>
  </si>
  <si>
    <t>Aranda de Duero</t>
  </si>
  <si>
    <t>947 50 22 09</t>
  </si>
  <si>
    <t>Herbolario Isabelita</t>
  </si>
  <si>
    <t>C. Ricaposada, 9, 09400 Aranda de Duero, Burgos</t>
  </si>
  <si>
    <t>947 51 14 68</t>
  </si>
  <si>
    <t>El Trébol</t>
  </si>
  <si>
    <t>Pl. Trigo, 4, 09400 Aranda de Duero, Burgos</t>
  </si>
  <si>
    <t>947 50 48 09</t>
  </si>
  <si>
    <t>Centro Dietetico Condado de Treviño</t>
  </si>
  <si>
    <t>C. Condado de Treviño, 74, 09200 Miranda de Ebro, Burgos</t>
  </si>
  <si>
    <t>Miranda de Ebro</t>
  </si>
  <si>
    <t>947 31 10 46</t>
  </si>
  <si>
    <t>Centro Dietetico Ronda</t>
  </si>
  <si>
    <t>C. Rda. del Ferrocarril, 20, 09200 Miranda de Ebro, Burgos</t>
  </si>
  <si>
    <t>947 31 49 49</t>
  </si>
  <si>
    <t>Juan Manuel García Sabando</t>
  </si>
  <si>
    <t>Pl. Cervantes, 1, 09200 Miranda de Ebro, Burgos</t>
  </si>
  <si>
    <t>947 31 34 06</t>
  </si>
  <si>
    <t>Pedro Beleña Burgos</t>
  </si>
  <si>
    <t>C/ Ángel Barajas, 5, 28224 Pozuelo de Alarcón, Madrid</t>
  </si>
  <si>
    <t>Pozuelo de Alarcón</t>
  </si>
  <si>
    <t>913 52 25 82</t>
  </si>
  <si>
    <t>Herboristería MIEL Y CANELA</t>
  </si>
  <si>
    <t>Santiveri Miranda</t>
  </si>
  <si>
    <t>Av. Comuneros de Castilla, n 3, 09200 Miranda de Ebro, Burgos</t>
  </si>
  <si>
    <t>947 00 80 20</t>
  </si>
  <si>
    <t>Carretera de Burgos, 500, 28108 Alcobendas, Madrid</t>
  </si>
  <si>
    <t>Alcobendas</t>
  </si>
  <si>
    <t>Herboristería los 5 Elementos</t>
  </si>
  <si>
    <t>C. Padre Claret, 2, Bajo, 26004 Logroño, La Rioja</t>
  </si>
  <si>
    <t>Logroño</t>
  </si>
  <si>
    <t>La Rioja</t>
  </si>
  <si>
    <t>los5elementos.es</t>
  </si>
  <si>
    <t>941 88 01 80</t>
  </si>
  <si>
    <t>criscamara@hotmail.es</t>
  </si>
  <si>
    <t>Isaflor</t>
  </si>
  <si>
    <t>C. Burgos, 7, 41920 San Juan de Aznalfarache, Sevilla</t>
  </si>
  <si>
    <t>San Juan de Aznalfarache</t>
  </si>
  <si>
    <t>651 99 31 55</t>
  </si>
  <si>
    <t>Herbolario La Botica Natural</t>
  </si>
  <si>
    <t>C. los Abetos, 6, 34003 Palencia</t>
  </si>
  <si>
    <t>herbolariolaboticanaturalpalencia.es</t>
  </si>
  <si>
    <t>979 17 06 00</t>
  </si>
  <si>
    <t>Herbolario Verde Santa Clara</t>
  </si>
  <si>
    <t>C. Sta. Clara, 12, 24002 León</t>
  </si>
  <si>
    <t>987 23 04 04</t>
  </si>
  <si>
    <t>C. Alfonso V, 6, 24001 León</t>
  </si>
  <si>
    <t>987 22 33 41</t>
  </si>
  <si>
    <t>Av. República Argentina, 2, 24004 León</t>
  </si>
  <si>
    <t>987 25 27 98</t>
  </si>
  <si>
    <t>Sauce Blanco</t>
  </si>
  <si>
    <t>Av. de Mariano Andrés, 51, 24008 León</t>
  </si>
  <si>
    <t>sauceblanco.es</t>
  </si>
  <si>
    <t>987 23 01 78</t>
  </si>
  <si>
    <t>info@sauceblanco.es</t>
  </si>
  <si>
    <t>C. Platero Rebollo, 1, 24007 León</t>
  </si>
  <si>
    <t>987 23 31 54</t>
  </si>
  <si>
    <t>Av del Padre Isla, 15, 24002 León</t>
  </si>
  <si>
    <t>987 22 41 73</t>
  </si>
  <si>
    <t>C. Barahona, 13, 24003 León</t>
  </si>
  <si>
    <t>987 20 68 52</t>
  </si>
  <si>
    <t>Jesús Manuel Prieto Rascón</t>
  </si>
  <si>
    <t>C. Sta. Clara, 6, 24002 León</t>
  </si>
  <si>
    <t>C. las Fuentes, 3, 24005 León</t>
  </si>
  <si>
    <t>987 20 12 94</t>
  </si>
  <si>
    <t>Bionatur-e</t>
  </si>
  <si>
    <t>C. Velázquez, 18, 24005 León</t>
  </si>
  <si>
    <t>987 08 82 25</t>
  </si>
  <si>
    <t>Bio Vitae</t>
  </si>
  <si>
    <t>Av. de Roma, 7, 24001 León</t>
  </si>
  <si>
    <t>603 01 42 75</t>
  </si>
  <si>
    <t>León Natural SL</t>
  </si>
  <si>
    <t>Calle Sta. Ana, 25, 24006 León</t>
  </si>
  <si>
    <t>terranat.es</t>
  </si>
  <si>
    <t>987 21 84 60</t>
  </si>
  <si>
    <t>terranatura@terranat.es</t>
  </si>
  <si>
    <t>Centro Dietético Bancés</t>
  </si>
  <si>
    <t>C. de Demetrio Monteserín, 1, 24009 León</t>
  </si>
  <si>
    <t>987 80 13 80</t>
  </si>
  <si>
    <t>HERBOLARIO HIERBAS SALVAJES BY VICTORIA ALONSO</t>
  </si>
  <si>
    <t>C. Alférez Provisional, 1, 24001 León</t>
  </si>
  <si>
    <t>626 23 79 49</t>
  </si>
  <si>
    <t>Henar Vega Álvarez</t>
  </si>
  <si>
    <t>P.º Salamanca, 81, 24010 León</t>
  </si>
  <si>
    <t>987 22 41 18</t>
  </si>
  <si>
    <t>El Olivo</t>
  </si>
  <si>
    <t>Av. del Párroco Pablo Díez, 288, 24010 Trobajo del Camino, León</t>
  </si>
  <si>
    <t>Trobajo del Camino</t>
  </si>
  <si>
    <t>987 80 19 59</t>
  </si>
  <si>
    <t>La Semilla Asociación De Consumidores De Productos Ecológicos</t>
  </si>
  <si>
    <t>C. San Guillermo, 52, 24006 León</t>
  </si>
  <si>
    <t>622 04 22 52</t>
  </si>
  <si>
    <t>Herbalife Distribución</t>
  </si>
  <si>
    <t>Avenida Río Bernesga, 1, 24010 San Andrés del Rabanedo, León</t>
  </si>
  <si>
    <t>Acebedo</t>
  </si>
  <si>
    <t>648 28 00 22</t>
  </si>
  <si>
    <t>Teleno</t>
  </si>
  <si>
    <t>C. Galicia, 103, 24007 Villaquilambre, León</t>
  </si>
  <si>
    <t>Villaquilambre</t>
  </si>
  <si>
    <t>987 41 22 46</t>
  </si>
  <si>
    <t>Ser Salud Natural</t>
  </si>
  <si>
    <t>Av. Dr. Fleming, 28, 24009 León</t>
  </si>
  <si>
    <t>987 95 07 45</t>
  </si>
  <si>
    <t>Luis Javier Prieto López</t>
  </si>
  <si>
    <t>Av Pais Leones, 12, 24010 León</t>
  </si>
  <si>
    <t>parafarmaciaespacio.com</t>
  </si>
  <si>
    <t>605 88 75 59</t>
  </si>
  <si>
    <t>info@parafarmaciaespacio.com</t>
  </si>
  <si>
    <t>Apiterapia León</t>
  </si>
  <si>
    <t>C. Julio del Campo, 1, 24002 León</t>
  </si>
  <si>
    <t>apiterapialeon.com</t>
  </si>
  <si>
    <t>658 80 93 90</t>
  </si>
  <si>
    <t>apiterapialeon@yahoo.es</t>
  </si>
  <si>
    <t>El Brujo</t>
  </si>
  <si>
    <t>C/ El Sabinar, 2 Esqu. Avda Universidad, Centro médico La Torre, 24007 León</t>
  </si>
  <si>
    <t>987 04 02 13</t>
  </si>
  <si>
    <t>Parafarmaciaespacio.com</t>
  </si>
  <si>
    <t>Pl. Juan de Austria, n2, 1c, 24008 León</t>
  </si>
  <si>
    <t>Herbalife Dist.Independiente</t>
  </si>
  <si>
    <t>C. el Fresno, 13, 24196 Carbajal de la Legua, León</t>
  </si>
  <si>
    <t>Carbajal de la Legua</t>
  </si>
  <si>
    <t>649 53 83 61</t>
  </si>
  <si>
    <t>Dr. Roberto Ordóñez Picón</t>
  </si>
  <si>
    <t>C. Juan de Badajoz, 2, 1 D, 24002 León</t>
  </si>
  <si>
    <t>987 24 80 24</t>
  </si>
  <si>
    <t>Espacio CBD</t>
  </si>
  <si>
    <t>Centro Dietetico</t>
  </si>
  <si>
    <t>24008 León</t>
  </si>
  <si>
    <t>Herboristería Fragaria Vesca</t>
  </si>
  <si>
    <t>C. José María Goy, 4, 24700 Astorga, León</t>
  </si>
  <si>
    <t>Astorga</t>
  </si>
  <si>
    <t>646 73 29 98</t>
  </si>
  <si>
    <t>María del Carmen Valle Franco</t>
  </si>
  <si>
    <t>C. Cirilo Santos, 50, 24240 Santa María del Páramo, León</t>
  </si>
  <si>
    <t>Santa María del Páramo</t>
  </si>
  <si>
    <t>987 35 04 52</t>
  </si>
  <si>
    <t>Pilar Vidales Geijo</t>
  </si>
  <si>
    <t>C. Fray Diego Alonso, 13, 24750 La Bañeza, León</t>
  </si>
  <si>
    <t>La Bañeza</t>
  </si>
  <si>
    <t>La Botica Dorada</t>
  </si>
  <si>
    <t>C. Pío Gullón, 24, 30, 24700 Astorga, León</t>
  </si>
  <si>
    <t>639 21 03 35</t>
  </si>
  <si>
    <t>C. Emilio Alonso Ferrero, 4, 24750 La Bañeza, León</t>
  </si>
  <si>
    <t>987 64 16 72</t>
  </si>
  <si>
    <t>Vital 2000 Dietética</t>
  </si>
  <si>
    <t>Calle Dr. Fleming, 12, 24402 Ponferrada, León</t>
  </si>
  <si>
    <t>Ponferrada</t>
  </si>
  <si>
    <t>Herboristería Tilos</t>
  </si>
  <si>
    <t>Av. de Portugal, 20, 24403 La Martina, León</t>
  </si>
  <si>
    <t>La Martina</t>
  </si>
  <si>
    <t>987 41 11 36</t>
  </si>
  <si>
    <t>Herboristeria La Real</t>
  </si>
  <si>
    <t>C. Real, 35, BJ-Izda, 24402 Ponferrada, León</t>
  </si>
  <si>
    <t>abastosponferrada.es</t>
  </si>
  <si>
    <t>697 45 81 85</t>
  </si>
  <si>
    <t>hola@abastosponferrada.es</t>
  </si>
  <si>
    <t>Centro Naturista Salud</t>
  </si>
  <si>
    <t>Av. la Constitución, 26, 24100 Villablino, León</t>
  </si>
  <si>
    <t>Villablino</t>
  </si>
  <si>
    <t>987 47 11 86</t>
  </si>
  <si>
    <t>Herboristería Tilos Ponferrada</t>
  </si>
  <si>
    <t>Av. Portugal, 20, 24400 Ponferrada, León</t>
  </si>
  <si>
    <t>987 41 13 60</t>
  </si>
  <si>
    <t>Herbolario Rafael Morán S L</t>
  </si>
  <si>
    <t>Av. Alfonso IX de León, 76, 37004 Salamanca</t>
  </si>
  <si>
    <t>Salamanca</t>
  </si>
  <si>
    <t>923 12 06 46</t>
  </si>
  <si>
    <t>C. Astura, 20, 24200 Valencia de Don Juan, León</t>
  </si>
  <si>
    <t>Valencia de Don Juan</t>
  </si>
  <si>
    <t>Herbolario Belén</t>
  </si>
  <si>
    <t>Av. Castilla y León, 11, 34880 Guardo, Palencia</t>
  </si>
  <si>
    <t>Guardo</t>
  </si>
  <si>
    <t>979 85 17 26</t>
  </si>
  <si>
    <t>El Herbolario de Paula, S.L.</t>
  </si>
  <si>
    <t>Av. Valladolid, 6, 47100 Tordesillas, Valladolid</t>
  </si>
  <si>
    <t>Tordesillas</t>
  </si>
  <si>
    <t>983 77 16 22</t>
  </si>
  <si>
    <t>Herbolario y Eco Tienda SuSalud Bio</t>
  </si>
  <si>
    <t>Calle de Diego de León, 59, 28006 Madrid</t>
  </si>
  <si>
    <t>herbolariosusalud.com</t>
  </si>
  <si>
    <t>913 09 22 05</t>
  </si>
  <si>
    <t>info@herbolariosusalud.com</t>
  </si>
  <si>
    <t>Herbolario Rosa Vivero</t>
  </si>
  <si>
    <t>C. Imperial, 21, 47003 Valladolid</t>
  </si>
  <si>
    <t>625 24 65 68</t>
  </si>
  <si>
    <t>Amancai</t>
  </si>
  <si>
    <t>Calle de Diego de León, 26, derecha, 28006 Madrid</t>
  </si>
  <si>
    <t>914 31 33 96</t>
  </si>
  <si>
    <t>Herbolario Dharma</t>
  </si>
  <si>
    <t>Av. Modesto Lafuente, 23, 34002 Palencia</t>
  </si>
  <si>
    <t>979 72 18 97</t>
  </si>
  <si>
    <t>Nutricionista Seyla Ibañez - Herbolario Dietética Begoña</t>
  </si>
  <si>
    <t>C. Valverde, 3, 34002 Palencia</t>
  </si>
  <si>
    <t>979 71 19 80</t>
  </si>
  <si>
    <t>C. María de Molina, 8, 34002 Palencia</t>
  </si>
  <si>
    <t>979 71 10 93</t>
  </si>
  <si>
    <t>Herbolario Queti 2</t>
  </si>
  <si>
    <t>C. María Auxiliadora, 68, 37004 Salamanca</t>
  </si>
  <si>
    <t>herbolarioqueti.es</t>
  </si>
  <si>
    <t>923 06 17 10</t>
  </si>
  <si>
    <t>Herbolarios Díez</t>
  </si>
  <si>
    <t>C. María Auxiliadora, 40, 37004 Salamanca</t>
  </si>
  <si>
    <t>herbolariodiez.com</t>
  </si>
  <si>
    <t>923 12 00 02</t>
  </si>
  <si>
    <t>Herbolario en Salamanca - Herbolario Dharma</t>
  </si>
  <si>
    <t>C. Cta. del Sancti-Spíritus, 36, 37001 Salamanca</t>
  </si>
  <si>
    <t>herbolariodharma.com</t>
  </si>
  <si>
    <t>923 12 33 83</t>
  </si>
  <si>
    <t>tienda@herbolariodharma.com</t>
  </si>
  <si>
    <t>Herbolario Marina</t>
  </si>
  <si>
    <t>C. Arapiles, 8, 37007 Salamanca</t>
  </si>
  <si>
    <t>herbolariomarina.com</t>
  </si>
  <si>
    <t>615 53 62 32</t>
  </si>
  <si>
    <t>Herbolario Valle</t>
  </si>
  <si>
    <t>C. Corral de Villaverde, 6, 37002 Salamanca</t>
  </si>
  <si>
    <t>923 26 26 41</t>
  </si>
  <si>
    <t>Herbolario El Manojo</t>
  </si>
  <si>
    <t>C. Corrales de Monroy, 8, 37001 Salamanca</t>
  </si>
  <si>
    <t>923 26 75 53</t>
  </si>
  <si>
    <t>Centro Naturista Herbolario</t>
  </si>
  <si>
    <t>Av. de Portugal, 96, 37005 Salamanca</t>
  </si>
  <si>
    <t>923 25 40 49</t>
  </si>
  <si>
    <t>Herbodietética Salamanca Natural</t>
  </si>
  <si>
    <t>P.º de la Estación, 28, 37004 Salamanca</t>
  </si>
  <si>
    <t>923 22 62 25</t>
  </si>
  <si>
    <t>HERBOLARIO FERI</t>
  </si>
  <si>
    <t>Av. de los Comuneros, 1, 37003 Salamanca</t>
  </si>
  <si>
    <t>herbolariosalamanca.com</t>
  </si>
  <si>
    <t>923 23 24 08</t>
  </si>
  <si>
    <t>Bionature</t>
  </si>
  <si>
    <t>P.º del Dr. Torres Villarroel, 15, Local izquierdo, 37006 Salamanca</t>
  </si>
  <si>
    <t>ecologicosbionature.com</t>
  </si>
  <si>
    <t>923 23 95 89</t>
  </si>
  <si>
    <t>bionature@ono.com</t>
  </si>
  <si>
    <t>Salamanca Natura</t>
  </si>
  <si>
    <t>P.º de la Estación, 30, 37004 Salamanca</t>
  </si>
  <si>
    <t>Fabriciano Valle de los Dolores</t>
  </si>
  <si>
    <t>Av. de Portugal, 94, 37005 Salamanca</t>
  </si>
  <si>
    <t>Herbolario El Rincón de Encar</t>
  </si>
  <si>
    <t>Av. de Portugal, 167, 37006 Salamanca</t>
  </si>
  <si>
    <t>923 34 33 31</t>
  </si>
  <si>
    <t>José Alberto Gutiérrez Casal</t>
  </si>
  <si>
    <t>C. Padilla, 6, 37003 Salamanca</t>
  </si>
  <si>
    <t>923 21 65 02</t>
  </si>
  <si>
    <t>José Antonio Peral Maillo</t>
  </si>
  <si>
    <t>Lugar Parque Antonio Sánchez Ocaña, 24, 37007 Salamanca</t>
  </si>
  <si>
    <t>Abusejo</t>
  </si>
  <si>
    <t>923 40 11 26</t>
  </si>
  <si>
    <t>Jabones Charros</t>
  </si>
  <si>
    <t>C. Cabeza de Vaca, 23, 37004 Salamanca</t>
  </si>
  <si>
    <t>Manzanilla</t>
  </si>
  <si>
    <t>C. Padilla, 37003 Salamanca</t>
  </si>
  <si>
    <t>Herbolario en Santa Marta de Tormes - Herbolario Dharma</t>
  </si>
  <si>
    <t>Ctra. Madrid, 72, 37900 Santa Marta de Tormes, Salamanca</t>
  </si>
  <si>
    <t>Santa Marta de Tormes</t>
  </si>
  <si>
    <t>923 13 01 87</t>
  </si>
  <si>
    <t>37003 Salamanca</t>
  </si>
  <si>
    <t>Herbolario Verderol</t>
  </si>
  <si>
    <t>Av. Reyes Catolicos, 37656 Cepeda, Salamanca</t>
  </si>
  <si>
    <t>Cepeda</t>
  </si>
  <si>
    <t>923 43 24 24</t>
  </si>
  <si>
    <t>HERBOLARIO ADONIS</t>
  </si>
  <si>
    <t>C. Colón, 52, 37700 Béjar, Salamanca</t>
  </si>
  <si>
    <t>Béjar</t>
  </si>
  <si>
    <t>923 40 42 49</t>
  </si>
  <si>
    <t>C. Recreo, 25, 37700 Béjar, Salamanca</t>
  </si>
  <si>
    <t>santiveri.com</t>
  </si>
  <si>
    <t>923 41 05 10</t>
  </si>
  <si>
    <t>Herbolario Salamanca</t>
  </si>
  <si>
    <t>C. de Padilla, 52, 28006 Madrid</t>
  </si>
  <si>
    <t>914 02 72 67</t>
  </si>
  <si>
    <t>La ventana natural Ciudad Rodrigo</t>
  </si>
  <si>
    <t>C. Sta. Clara, 17, 37500 Cdad. Rodrigo, Salamanca</t>
  </si>
  <si>
    <t>Cdad. Rodrigo</t>
  </si>
  <si>
    <t>dietanatura.com</t>
  </si>
  <si>
    <t>923 48 06 25</t>
  </si>
  <si>
    <t>info@dietanatura.com</t>
  </si>
  <si>
    <t>La casa verde</t>
  </si>
  <si>
    <t>C. de la Fuente, 16, 37210 Vitigudino, Salamanca</t>
  </si>
  <si>
    <t>Vitigudino</t>
  </si>
  <si>
    <t>923 50 13 81</t>
  </si>
  <si>
    <t>Herboristería Tierra</t>
  </si>
  <si>
    <t>Calle de Castelló, 39, 28001 Madrid</t>
  </si>
  <si>
    <t>914 35 49 84</t>
  </si>
  <si>
    <t>Calle de Goya, 121, 28009 Madrid</t>
  </si>
  <si>
    <t>914 02 58 17</t>
  </si>
  <si>
    <t>Herbolario Livert</t>
  </si>
  <si>
    <t>C. de Alcalá, 181, 28009 Madrid</t>
  </si>
  <si>
    <t>913 09 24 57</t>
  </si>
  <si>
    <t>Piedras Alva Alvarez Maestre</t>
  </si>
  <si>
    <t>914 02 77 26</t>
  </si>
  <si>
    <t>Herbolario Vita Natura</t>
  </si>
  <si>
    <t>Av. de Bruselas, 47, 28028 Madrid</t>
  </si>
  <si>
    <t>herbolariovitanatura.es</t>
  </si>
  <si>
    <t>913 56 76 76</t>
  </si>
  <si>
    <t>info@herbolariovitanatura.es</t>
  </si>
  <si>
    <t>C. Gobernador Fernández Jiménez, 6, 40001 Segovia</t>
  </si>
  <si>
    <t>Segovia</t>
  </si>
  <si>
    <t>921 43 13 59</t>
  </si>
  <si>
    <t>C. de Jose Zorrilla, 108, 40002 Segovia</t>
  </si>
  <si>
    <t>921 42 13 32</t>
  </si>
  <si>
    <t>Pl. los Espejos, 3, 40001 Segovia</t>
  </si>
  <si>
    <t>921 46 24 47</t>
  </si>
  <si>
    <t>Herbolario - Centro Dietético - Tu Salud es Natural</t>
  </si>
  <si>
    <t>Pl. de Somorrostro, 7, 40005 Segovia</t>
  </si>
  <si>
    <t>689 51 41 59</t>
  </si>
  <si>
    <t>Holotropicherbs</t>
  </si>
  <si>
    <t>C. Maestros, 18, 40400 El Espinar, Segovia</t>
  </si>
  <si>
    <t>El Espinar</t>
  </si>
  <si>
    <t>667 93 35 17</t>
  </si>
  <si>
    <t>Herbolario Agua de Vida COCA</t>
  </si>
  <si>
    <t>C. Maestro Don Linos Muñoz de Pedro, 40480 Coca, Segovia</t>
  </si>
  <si>
    <t>Coca</t>
  </si>
  <si>
    <t>686 58 39 62</t>
  </si>
  <si>
    <t>Herbolario Hierbabuena Cantalejo</t>
  </si>
  <si>
    <t>C. Frontón, 17, 40320 Cantalejo, Segovia</t>
  </si>
  <si>
    <t>Cantalejo</t>
  </si>
  <si>
    <t>618 21 55 59</t>
  </si>
  <si>
    <t>Ecoshen. Herbolario y productos ecológicos</t>
  </si>
  <si>
    <t>C. Antonio Navarro, 3, 40450 Nava de la Asunción, Segovia</t>
  </si>
  <si>
    <t>Nava de la Asunción</t>
  </si>
  <si>
    <t>665 67 54 36</t>
  </si>
  <si>
    <t>Centro de Dietética Santiverdi</t>
  </si>
  <si>
    <t>Av. de Segovia, 18, 47013 Valladolid</t>
  </si>
  <si>
    <t>983 22 39 17</t>
  </si>
  <si>
    <t>ActivaBio</t>
  </si>
  <si>
    <t>Av. de Segovia, 89, Local Izquierda, 47013 Valladolid</t>
  </si>
  <si>
    <t>664 45 32 44</t>
  </si>
  <si>
    <t>Santiveri valladolid</t>
  </si>
  <si>
    <t>C. del Puente Colgante, 20, 47007 Valladolid</t>
  </si>
  <si>
    <t>santiveripuentecolgante.com</t>
  </si>
  <si>
    <t>983 47 56 93</t>
  </si>
  <si>
    <t>santiveripuentecolgante@hotmail.com</t>
  </si>
  <si>
    <t>Herbolario Victoria</t>
  </si>
  <si>
    <t>C. San Agustin, 8, 42300 El Burgo de Osma, Soria</t>
  </si>
  <si>
    <t>El Burgo de Osma</t>
  </si>
  <si>
    <t>Soria</t>
  </si>
  <si>
    <t>975 34 06 60</t>
  </si>
  <si>
    <t>El Herbolario de Marta</t>
  </si>
  <si>
    <t>Av. de la Libertad, 14, 47140 Laguna de Duero, Valladolid</t>
  </si>
  <si>
    <t>Laguna de Duero</t>
  </si>
  <si>
    <t>983 51 38 82</t>
  </si>
  <si>
    <t>Herbolario San Saturio - Soria</t>
  </si>
  <si>
    <t>C. Claustrilla, 5, 42002 Soria</t>
  </si>
  <si>
    <t>975 22 54 02</t>
  </si>
  <si>
    <t>Herbolario Salud</t>
  </si>
  <si>
    <t>Pl. Condes de Lérida, 2, bajos, 42002 Soria</t>
  </si>
  <si>
    <t>doctorluisblasco.es</t>
  </si>
  <si>
    <t>975 22 47 17</t>
  </si>
  <si>
    <t>info@doctorluisblasco.es</t>
  </si>
  <si>
    <t>Hipermercado Natural</t>
  </si>
  <si>
    <t>C. Pl. Vieja, 4, 42133 Alconaba, Soria</t>
  </si>
  <si>
    <t>Alconaba</t>
  </si>
  <si>
    <t>975 05 28 81</t>
  </si>
  <si>
    <t>Herboristería Pamel</t>
  </si>
  <si>
    <t>C. Concepción, 29, 42110 Ólvega, Soria</t>
  </si>
  <si>
    <t>Ólvega</t>
  </si>
  <si>
    <t>herboristeriapamel.com</t>
  </si>
  <si>
    <t>976 64 51 46</t>
  </si>
  <si>
    <t>Herbolario Soria Natural GC Cintruénigo</t>
  </si>
  <si>
    <t>C. Sta. Cecilia, 12, 31592 Cintruénigo, Navarra</t>
  </si>
  <si>
    <t>Cintruénigo</t>
  </si>
  <si>
    <t>948 81 26 84</t>
  </si>
  <si>
    <t>Tu Herbolario en Arturo Soria</t>
  </si>
  <si>
    <t>C. de Arturo Soria, 191, Local 2, 28043 Madrid</t>
  </si>
  <si>
    <t>tuherbolarioonline.com</t>
  </si>
  <si>
    <t>914 15 87 26</t>
  </si>
  <si>
    <t>Herbolario Arahal</t>
  </si>
  <si>
    <t>junto Centro Médico Estético Pepa Moreno, C. de Arturo Soria, 324, 28033 Madrid</t>
  </si>
  <si>
    <t>914 12 64 97</t>
  </si>
  <si>
    <t>Herbolario El Arao</t>
  </si>
  <si>
    <t>Av. Gonzalo de Berceo, 28, 26005 Logroño, La Rioja</t>
  </si>
  <si>
    <t>941 03 73 63</t>
  </si>
  <si>
    <t>Pl. San Andrés, 2, 47004 Valladolid</t>
  </si>
  <si>
    <t>983 20 35 76</t>
  </si>
  <si>
    <t>Herbolario Rosa Natural</t>
  </si>
  <si>
    <t>C. Moradas, 15, BAJO, 47010 Valladolid</t>
  </si>
  <si>
    <t>983 26 60 39</t>
  </si>
  <si>
    <t>Herbolario Edita</t>
  </si>
  <si>
    <t>C. Val, nº2, 47003 Valladolid</t>
  </si>
  <si>
    <t>983 34 22 78</t>
  </si>
  <si>
    <t>HERBOLARIO Y DIETÉTICA NATURA MEDICATRIX</t>
  </si>
  <si>
    <t>Calle de Cervantes &amp;amp; Calle de Sta Lucía, 47005 Valladolid</t>
  </si>
  <si>
    <t>983 04 61 67</t>
  </si>
  <si>
    <t>Herbolario Jaral Valladolid</t>
  </si>
  <si>
    <t>C. Cardenal Cisneros, 13, 47010 Valladolid</t>
  </si>
  <si>
    <t>herbolariojaral.com</t>
  </si>
  <si>
    <t>983 26 67 15</t>
  </si>
  <si>
    <t>HERBOLARIO EL MUNDO NATURAL</t>
  </si>
  <si>
    <t>C. Tudela, 17, 47002 Valladolid</t>
  </si>
  <si>
    <t>elmundonatural.es</t>
  </si>
  <si>
    <t>615 64 27 72</t>
  </si>
  <si>
    <t>info@elmundonatural.es</t>
  </si>
  <si>
    <t>Herbolario Paracelso</t>
  </si>
  <si>
    <t>P.º de Zorrilla, 21, 47007 Valladolid</t>
  </si>
  <si>
    <t>983 22 44 36</t>
  </si>
  <si>
    <t>Herbolario La flor escondida</t>
  </si>
  <si>
    <t>47004, C. de San Isidro, 10, 47004 Valladolid</t>
  </si>
  <si>
    <t>983 20 06 46</t>
  </si>
  <si>
    <t>Herbolario Rosa Silvestre / LIASHI</t>
  </si>
  <si>
    <t>C. de Recondo, 19, 47007 Valladolid</t>
  </si>
  <si>
    <t>liashi.es</t>
  </si>
  <si>
    <t>983 27 25 61</t>
  </si>
  <si>
    <t>info@liashi.es</t>
  </si>
  <si>
    <t>Herbolario Jaral</t>
  </si>
  <si>
    <t>P.º de San Vicente, 40, 47013 Valladolid</t>
  </si>
  <si>
    <t>983 04 18 48</t>
  </si>
  <si>
    <t>Cam. de la Esperanza, 44, 47007 Valladolid</t>
  </si>
  <si>
    <t>983 23 68 51</t>
  </si>
  <si>
    <t>Melisa Alimentación Natural</t>
  </si>
  <si>
    <t>C. Torrecilla, 9, 47003 Valladolid</t>
  </si>
  <si>
    <t>983 17 50 22</t>
  </si>
  <si>
    <t>Herbolario Santai</t>
  </si>
  <si>
    <t>Avenida Miguel Delibes, 19, 47008 Valladolid</t>
  </si>
  <si>
    <t>983 04 59 73</t>
  </si>
  <si>
    <t>Herbolario Bambús</t>
  </si>
  <si>
    <t>Calle Fuente el Sol, 4, 47009 Valladolid</t>
  </si>
  <si>
    <t>694 42 90 14</t>
  </si>
  <si>
    <t>Calle Joaquín Mª Jalón, 9, Local, 47008 Valladolid</t>
  </si>
  <si>
    <t>983 22 05 38</t>
  </si>
  <si>
    <t>C. Corta, 2, 47008 Valladolid</t>
  </si>
  <si>
    <t>983 10 08 99</t>
  </si>
  <si>
    <t>Calle de Mateo Seoane Sobral, 2, 47014 Valladolid</t>
  </si>
  <si>
    <t>983 34 02 68</t>
  </si>
  <si>
    <t>Herbodietetica Campos</t>
  </si>
  <si>
    <t>Herbolario SanArte</t>
  </si>
  <si>
    <t>C. Almendrera, 10, 47195 Arroyo de la Encomienda, Valladolid</t>
  </si>
  <si>
    <t>Arroyo de la Encomienda</t>
  </si>
  <si>
    <t>herbolariovalladolid.com</t>
  </si>
  <si>
    <t>983 07 47 64</t>
  </si>
  <si>
    <t>info@herbolariovalladolid.com</t>
  </si>
  <si>
    <t>Centro Luz</t>
  </si>
  <si>
    <t>C. Prado, 3, 47003 Valladolid</t>
  </si>
  <si>
    <t>983 25 77 62</t>
  </si>
  <si>
    <t>Farmatural Valladolid - herbolario y parafarmacia</t>
  </si>
  <si>
    <t>P.º de Zorrilla, 9, 47007 Valladolid</t>
  </si>
  <si>
    <t>herbolarioenvalladolid.es</t>
  </si>
  <si>
    <t>699 54 74 86</t>
  </si>
  <si>
    <t>farmaturalvalladolid@gmail.com</t>
  </si>
  <si>
    <t>C. González Silva, 16, 47193 Cistérniga, Valladolid</t>
  </si>
  <si>
    <t>Cistérniga</t>
  </si>
  <si>
    <t>Elisalud</t>
  </si>
  <si>
    <t>Calle Fuente el Sol, 48, 47009 Valladolid</t>
  </si>
  <si>
    <t>elisalud.es</t>
  </si>
  <si>
    <t>983 65 45 04</t>
  </si>
  <si>
    <t>La Ruta Del Agua</t>
  </si>
  <si>
    <t>C. San Cristóbal, 5, 47193 Cistérniga, Valladolid</t>
  </si>
  <si>
    <t>983 40 34 50</t>
  </si>
  <si>
    <t>CBD Cbweed Valladolid</t>
  </si>
  <si>
    <t>C. Cánovas del Castillo, 4, 47002 Valladolid</t>
  </si>
  <si>
    <t>606 95 52 32</t>
  </si>
  <si>
    <t>La Flor del Almendro</t>
  </si>
  <si>
    <t>C. de Gondomar, 12, 47011 Valladolid</t>
  </si>
  <si>
    <t>983 44 26 62</t>
  </si>
  <si>
    <t>Herbolario Torrelago</t>
  </si>
  <si>
    <t>Av. de la Libertad, 4, 47140 Laguna de Duero, Valladolid</t>
  </si>
  <si>
    <t>983 65 86 08</t>
  </si>
  <si>
    <t>Laguna</t>
  </si>
  <si>
    <t>Calle Pablo Picasso, 39, 47140 Laguna de Duero, Valladolid</t>
  </si>
  <si>
    <t>983 54 33 73</t>
  </si>
  <si>
    <t>Plantaolid-Bioduero</t>
  </si>
  <si>
    <t>ecosdelduero.com</t>
  </si>
  <si>
    <t>983 54 37 33</t>
  </si>
  <si>
    <t>hola@ecosdelduero.com</t>
  </si>
  <si>
    <t>Huertos Ecológicos Las Lobas</t>
  </si>
  <si>
    <t>Tercias #3, 1ºa, 47140 Laguna de Duero, Valladolid</t>
  </si>
  <si>
    <t>605 20 09 49</t>
  </si>
  <si>
    <t>Farmatural Aldeamayor</t>
  </si>
  <si>
    <t>C. Carnicerías, 4, 47162 Aldeamayor de San Martín, Valladolid</t>
  </si>
  <si>
    <t>Aldeamayor de San Martín</t>
  </si>
  <si>
    <t>659 91 76 57</t>
  </si>
  <si>
    <t>Herbolario Mejorana</t>
  </si>
  <si>
    <t>C. Lázaro Alonso, 45, 47800 Medina de Rioseco, Valladolid</t>
  </si>
  <si>
    <t>Medina de Rioseco</t>
  </si>
  <si>
    <t>Herboiscar</t>
  </si>
  <si>
    <t>C. Eras, 23, 47420 Íscar, Valladolid</t>
  </si>
  <si>
    <t>Íscar</t>
  </si>
  <si>
    <t>983 61 20 84</t>
  </si>
  <si>
    <t>Herbodietética Arevalo</t>
  </si>
  <si>
    <t>Av. de Emilio Romero, 37, 05200 Arévalo, Ávila</t>
  </si>
  <si>
    <t>Arévalo</t>
  </si>
  <si>
    <t>920 30 09 62</t>
  </si>
  <si>
    <t>Herbolario Navarro Benimaclet</t>
  </si>
  <si>
    <t>Avinguda de Valladolid, 5, 46020 València, Valencia</t>
  </si>
  <si>
    <t>963 69 62 92</t>
  </si>
  <si>
    <t>Herbolario Zarzamora</t>
  </si>
  <si>
    <t>C. de Sta. Clara, 29, 49003 Zamora</t>
  </si>
  <si>
    <t>Zamora</t>
  </si>
  <si>
    <t>980 53 00 22</t>
  </si>
  <si>
    <t>Herbolario La Florida</t>
  </si>
  <si>
    <t>P.º de la Florida, 49, 28008 Madrid</t>
  </si>
  <si>
    <t>915 47 95 27</t>
  </si>
  <si>
    <t>Herbolario Saint Germain</t>
  </si>
  <si>
    <t>C. Vicente Aleixandre, 2, 28922 Alcorcón, Madrid</t>
  </si>
  <si>
    <t>Alcorcón</t>
  </si>
  <si>
    <t>916 41 69 59</t>
  </si>
  <si>
    <t>Herbolario Díez</t>
  </si>
  <si>
    <t>C. de Churruca, 56, 49027 Zamora</t>
  </si>
  <si>
    <t>980 52 56 13</t>
  </si>
  <si>
    <t>Herbolario Espiral</t>
  </si>
  <si>
    <t>Av. de las Tres Cruces, 13, 49008 Zamora</t>
  </si>
  <si>
    <t>herbolarioespiral.es</t>
  </si>
  <si>
    <t>980 52 17 40</t>
  </si>
  <si>
    <t>García Taboada Herbolarios</t>
  </si>
  <si>
    <t>C. de Sta. Clara, 16, 49015 Zamora</t>
  </si>
  <si>
    <t>gartabo.es</t>
  </si>
  <si>
    <t>980 51 98 02</t>
  </si>
  <si>
    <t>C. Riego, 3, 49004 Zamora</t>
  </si>
  <si>
    <t>980 53 43 43</t>
  </si>
  <si>
    <t>Zamodie S A</t>
  </si>
  <si>
    <t>Calle Benavente, 2, 49014 Zamora</t>
  </si>
  <si>
    <t>980 53 33 04</t>
  </si>
  <si>
    <t>Centro Shambala Natural</t>
  </si>
  <si>
    <t>Av. de Víctor Gallego, 11, 49009 Zamora</t>
  </si>
  <si>
    <t>980 51 12 19</t>
  </si>
  <si>
    <t>Parafarmacia Farmasol</t>
  </si>
  <si>
    <t>C/ Arrabal, 31, 49300 Puebla de Sanabria, Zamora</t>
  </si>
  <si>
    <t>Puebla de Sanabria</t>
  </si>
  <si>
    <t>parafarmaciafarmasol.com</t>
  </si>
  <si>
    <t>980 62 05 05</t>
  </si>
  <si>
    <t>COCO &amp;amp; CANELA</t>
  </si>
  <si>
    <t>Pje. de las Guindas, N° 3, 49600 Benavente, Zamora</t>
  </si>
  <si>
    <t>Benavente</t>
  </si>
  <si>
    <t>980 63 52 31</t>
  </si>
  <si>
    <t>Isabel Zamora Martínez</t>
  </si>
  <si>
    <t>Avinguda de Germanies, 20, 03560 El Campello, Alicante</t>
  </si>
  <si>
    <t>Campello</t>
  </si>
  <si>
    <t>965 63 48 71</t>
  </si>
  <si>
    <t>Herbolario Herbosalud</t>
  </si>
  <si>
    <t>Av. de las Provincias, 16, 28942 Fuenlabrada, Madrid</t>
  </si>
  <si>
    <t>675 47 66 61</t>
  </si>
  <si>
    <t>Isabel Zamora Uclés</t>
  </si>
  <si>
    <t>Carrer d&amp;apos;Alcàntara, 23, 08042 Barcelona</t>
  </si>
  <si>
    <t>933 54 81 13</t>
  </si>
  <si>
    <t>Herboristeria Amics Centro de Terapias</t>
  </si>
  <si>
    <t>Carrer Josep Anselm Clavé, 15, 08921 Santa Coloma de Gramenet, Barcelona</t>
  </si>
  <si>
    <t>Sta Coloma de Gramanet</t>
  </si>
  <si>
    <t>todoamics.com</t>
  </si>
  <si>
    <t>930 25 08 61</t>
  </si>
  <si>
    <t>herboristeriamics@gmail.com</t>
  </si>
  <si>
    <t>Herbolario Navarro Barcelona</t>
  </si>
  <si>
    <t>C/ de València, 186, 08011 Barcelona</t>
  </si>
  <si>
    <t>934 53 15 73</t>
  </si>
  <si>
    <t>Herbolari del Cel</t>
  </si>
  <si>
    <t>Travessera de Gràcia, 120, 08012 Barcelona</t>
  </si>
  <si>
    <t>herbolaridelcel.com</t>
  </si>
  <si>
    <t>932 18 73 31</t>
  </si>
  <si>
    <t>info@herbolaridelcel.com</t>
  </si>
  <si>
    <t>El cau de les herbes - Herbolari - Dietètica Baix Guinardó</t>
  </si>
  <si>
    <t>Carrer de Rosalia de Castro, 19, 08025 Barcelona</t>
  </si>
  <si>
    <t>elcaudelesherbes.com</t>
  </si>
  <si>
    <t>931 27 45 40</t>
  </si>
  <si>
    <t>Herbolari El Recó Barcelona - Castillejos</t>
  </si>
  <si>
    <t>Carrer de los Castillejos, 334, 08025 Barcelona</t>
  </si>
  <si>
    <t>elreco.com</t>
  </si>
  <si>
    <t>936 39 62 62</t>
  </si>
  <si>
    <t>info@elreco.com</t>
  </si>
  <si>
    <t>HERBOLARI NATURA Encants Nous</t>
  </si>
  <si>
    <t>Carrer del Dos de Maig, 223 Pasillo, C Número14, 08013 Barcelona</t>
  </si>
  <si>
    <t>932 46 19 45</t>
  </si>
  <si>
    <t>Agricolia</t>
  </si>
  <si>
    <t>Carrer Comtal, 10, 08002 Barcelona</t>
  </si>
  <si>
    <t>agricolia.business.site</t>
  </si>
  <si>
    <t>933 17 26 35</t>
  </si>
  <si>
    <t>HERBOLARI HERBES VIVES</t>
  </si>
  <si>
    <t>Carrer de Muntaner, 108, 08036 Barcelona</t>
  </si>
  <si>
    <t>934 53 73 99</t>
  </si>
  <si>
    <t>Antigua Herboristería Llobet</t>
  </si>
  <si>
    <t>Travessera de Gràcia, 159, 08012 Barcelona</t>
  </si>
  <si>
    <t>932 37 67 51</t>
  </si>
  <si>
    <t>Ecoespai Natural</t>
  </si>
  <si>
    <t>C/ d&amp;apos;Entença, 132, 08015 Barcelona</t>
  </si>
  <si>
    <t>932 26 21 59</t>
  </si>
  <si>
    <t>HERBOLARI LaTRINI</t>
  </si>
  <si>
    <t>Carrer de Lepant, 172, 08013 Barcelona</t>
  </si>
  <si>
    <t>latrini.cat</t>
  </si>
  <si>
    <t>932 46 37 90</t>
  </si>
  <si>
    <t>hola@latrini.cat</t>
  </si>
  <si>
    <t>Herbolario Vnatura</t>
  </si>
  <si>
    <t>Passeig de Fabra i Puig, 205, 08016 Barcelona</t>
  </si>
  <si>
    <t>936 39 48 38</t>
  </si>
  <si>
    <t>Herbolari Maria Casas, biòloga S.L.</t>
  </si>
  <si>
    <t>Carrer de Rossend Nobas, 12, 08018 Barcelona</t>
  </si>
  <si>
    <t>mariacasasbiologa.es</t>
  </si>
  <si>
    <t>932 46 45 57</t>
  </si>
  <si>
    <t>info@mariacasasbiologa.es</t>
  </si>
  <si>
    <t>Herbes i Mel - Dietètica Glòria</t>
  </si>
  <si>
    <t>Mercat Horta, parades 68-69, 08032 Barcelona</t>
  </si>
  <si>
    <t>herbesimelgloria.com</t>
  </si>
  <si>
    <t>934 29 09 91</t>
  </si>
  <si>
    <t>//formspree.io/dietetica@herbesimelgloria.com</t>
  </si>
  <si>
    <t>Herboristeria El Nogal</t>
  </si>
  <si>
    <t>Carrer de Martí Molins, 60, 08027 Barcelona</t>
  </si>
  <si>
    <t>herboristeriaelnogal.com</t>
  </si>
  <si>
    <t>933 49 10 98</t>
  </si>
  <si>
    <t>info@herboristeriaelnogal.com</t>
  </si>
  <si>
    <t>BO DE BO</t>
  </si>
  <si>
    <t>Carrer de Sant Hermenegild, 7, 9, 08006 Barcelona</t>
  </si>
  <si>
    <t>annavilarrasa.com</t>
  </si>
  <si>
    <t>932 00 97 38</t>
  </si>
  <si>
    <t>info@annavilarrasa.com</t>
  </si>
  <si>
    <t>Herbolari Les Herbes</t>
  </si>
  <si>
    <t>Carrer de Pardo, 61, 08016 Barcelona</t>
  </si>
  <si>
    <t>les-herbes.business.site</t>
  </si>
  <si>
    <t>933 12 04 51</t>
  </si>
  <si>
    <t>Manantial de Salud</t>
  </si>
  <si>
    <t>Carrer d&amp;apos;en Xuclà, 23, 08001 Barcelona</t>
  </si>
  <si>
    <t>manantial-salud.com</t>
  </si>
  <si>
    <t>933 01 14 44</t>
  </si>
  <si>
    <t>info@manantial-salud.com</t>
  </si>
  <si>
    <t>Herbolari El Bosquet</t>
  </si>
  <si>
    <t>Carrer de Colomines, 2, 08003 Barcelona</t>
  </si>
  <si>
    <t>696 94 63 26</t>
  </si>
  <si>
    <t>Herbolari Maria Lluïsa</t>
  </si>
  <si>
    <t>Av. de Mistral, 59, 08015 Barcelona</t>
  </si>
  <si>
    <t>934 26 17 72</t>
  </si>
  <si>
    <t>Herbolari Gran Vida</t>
  </si>
  <si>
    <t>Gran Via de les Corts Catalanes, 748, 08013 Barcelona</t>
  </si>
  <si>
    <t>herbolarigranvida.com</t>
  </si>
  <si>
    <t>935 32 17 36</t>
  </si>
  <si>
    <t>Germinal Barcelona | Herbolari , Complements i Cosmètica Natural</t>
  </si>
  <si>
    <t>C/ de Provença, 362, 08037 Barcelona</t>
  </si>
  <si>
    <t>germinalbcn.com</t>
  </si>
  <si>
    <t>934 58 07 69</t>
  </si>
  <si>
    <t>Herbolari El Recó Barcelona</t>
  </si>
  <si>
    <t>Carrer de Girona, 101, 08009 Barcelona</t>
  </si>
  <si>
    <t>934 57 51 56</t>
  </si>
  <si>
    <t>L&amp;apos;HERBOLARI</t>
  </si>
  <si>
    <t>C. de Rocafort, 50, Tienda 6 L1, 08015 Barcelona</t>
  </si>
  <si>
    <t>600 11 46 68</t>
  </si>
  <si>
    <t>Arrels herbolari</t>
  </si>
  <si>
    <t>C/ de València, 456, 08013 Barcelona</t>
  </si>
  <si>
    <t>932 65 56 48</t>
  </si>
  <si>
    <t>Herbolario-granel, Olivera De Salut</t>
  </si>
  <si>
    <t>Carrer de Ricart, 7, Local 2, 08004 Barcelona</t>
  </si>
  <si>
    <t>serveisactius.cat</t>
  </si>
  <si>
    <t>931 37 35 74</t>
  </si>
  <si>
    <t>info@serveisactius.cat</t>
  </si>
  <si>
    <t>Herbolari Montserrat</t>
  </si>
  <si>
    <t>Rambla de Prim, 143, 08020 Barcelona</t>
  </si>
  <si>
    <t>636 22 24 84</t>
  </si>
  <si>
    <t>BIOPASSIO</t>
  </si>
  <si>
    <t>Plaça de la Vila de Madrid, 11, 08002 Barcelona</t>
  </si>
  <si>
    <t>Salvia Vita</t>
  </si>
  <si>
    <t>Carrer de l&amp;apos;Hospital, 107Bis, 08001 Barcelona</t>
  </si>
  <si>
    <t>934 41 68 99</t>
  </si>
  <si>
    <t>Herbodietética La Maravillas</t>
  </si>
  <si>
    <t>Carrer de la Fraternitat, 46, 08012 Barcelona</t>
  </si>
  <si>
    <t>932 84 39 21</t>
  </si>
  <si>
    <t>Santiveri Maragall</t>
  </si>
  <si>
    <t>Passeig de Maragall, 271, 08032 Barcelona</t>
  </si>
  <si>
    <t>935 35 30 35</t>
  </si>
  <si>
    <t>Arpa Plantes Medicinals i Dietètica</t>
  </si>
  <si>
    <t>Passeig de Valldaura, 195, 08016 Barcelona</t>
  </si>
  <si>
    <t>arpadietetica.com</t>
  </si>
  <si>
    <t>933 59 17 72</t>
  </si>
  <si>
    <t>Les Corts Natural</t>
  </si>
  <si>
    <t>Carrer del Vallespir, 169, 08014 Barcelona</t>
  </si>
  <si>
    <t>930 17 49 62</t>
  </si>
  <si>
    <t>Herboristeria Ferran</t>
  </si>
  <si>
    <t>Passeig de Maragall, 138, 08027 Barcelona</t>
  </si>
  <si>
    <t>933 52 00 10</t>
  </si>
  <si>
    <t>Herbodietètica</t>
  </si>
  <si>
    <t>Carrer de Llull, 379, 08019 Barcelona</t>
  </si>
  <si>
    <t>931 62 00 19</t>
  </si>
  <si>
    <t>Biosardenya</t>
  </si>
  <si>
    <t>Carrer de Sardenya, 371, 08025 Barcelona</t>
  </si>
  <si>
    <t>938 32 29 24</t>
  </si>
  <si>
    <t>Herbolario Anna</t>
  </si>
  <si>
    <t>Carrer de Bernat Metge, 28, 08019 Barcelona</t>
  </si>
  <si>
    <t>933 14 42 20</t>
  </si>
  <si>
    <t>Herbolario Navarro Comte d&amp;apos;Urgell</t>
  </si>
  <si>
    <t>Carrer del Comte d&amp;apos;Urgell, 18, 08011 Barcelona</t>
  </si>
  <si>
    <t>937 97 83 45</t>
  </si>
  <si>
    <t>Piràmide-4 Herbolaris - Herbolario y centro Dietético en Raval Barcelona</t>
  </si>
  <si>
    <t>Carrer del Carme, 53, 08001 Barcelona</t>
  </si>
  <si>
    <t>934 42 32 64</t>
  </si>
  <si>
    <t>Bioshop</t>
  </si>
  <si>
    <t>Carrer de Nicaragua, 49, 08029 Barcelona</t>
  </si>
  <si>
    <t>bioshop-barcelona.webnode.es</t>
  </si>
  <si>
    <t>934 10 15 51</t>
  </si>
  <si>
    <t>bioshop@live.com</t>
  </si>
  <si>
    <t>Joan Ribot García</t>
  </si>
  <si>
    <t>Carrer dels Flassaders, 14, 08003 Barcelona</t>
  </si>
  <si>
    <t>933 19 69 42</t>
  </si>
  <si>
    <t>La Bona Herba</t>
  </si>
  <si>
    <t>Travessera de Gràcia, 263, 08024 Barcelona</t>
  </si>
  <si>
    <t>graciadivina.com</t>
  </si>
  <si>
    <t>601 08 43 27</t>
  </si>
  <si>
    <t>info@graciadivina.com</t>
  </si>
  <si>
    <t>LA VERDITA HERBODIETÉTICA</t>
  </si>
  <si>
    <t>Carrer de la Creu dels Molers, 8, 08004 Barcelona</t>
  </si>
  <si>
    <t>935 18 77 79</t>
  </si>
  <si>
    <t>C. Cunill Herbodietètica</t>
  </si>
  <si>
    <t>Carrer de Vaquer, 31, 08903 L&amp;apos;Hospitalet de Llobregat, Barcelona</t>
  </si>
  <si>
    <t>L&amp;apos;Hospitalet de Llobregat</t>
  </si>
  <si>
    <t>933 34 15 42</t>
  </si>
  <si>
    <t>Dietética Espai Mare Terra - Herbolario en Sants Barcelona</t>
  </si>
  <si>
    <t>Carrer de Galileu, 20, local 2, 08028 Barcelona</t>
  </si>
  <si>
    <t>626 25 64 91</t>
  </si>
  <si>
    <t>ARNICA MONTANA</t>
  </si>
  <si>
    <t>C/ de Mallorca, 645, 08027 Barcelona</t>
  </si>
  <si>
    <t>cosmetica-arnica-barcelona.es</t>
  </si>
  <si>
    <t>931 87 45 02</t>
  </si>
  <si>
    <t>tienda@cosmetica-arnica-barcelona.es</t>
  </si>
  <si>
    <t>Herbocat S L</t>
  </si>
  <si>
    <t>Carrer Major de Sarrià, 44, 08017 Barcelona</t>
  </si>
  <si>
    <t>932 05 59 66</t>
  </si>
  <si>
    <t>Herbolari Camins</t>
  </si>
  <si>
    <t>Carrer del Llenguadoc, 51, 08030 Barcelona</t>
  </si>
  <si>
    <t>herbolaricamins.com</t>
  </si>
  <si>
    <t>933 45 81 92</t>
  </si>
  <si>
    <t>Ana Mata Zanni</t>
  </si>
  <si>
    <t>932 13 42 61</t>
  </si>
  <si>
    <t>María Josefa Crespo Gómez</t>
  </si>
  <si>
    <t>Carrer dels Mercaders, 14, 08003 Barcelona</t>
  </si>
  <si>
    <t>933 19 58 90</t>
  </si>
  <si>
    <t>Nc Salud Integral</t>
  </si>
  <si>
    <t>Carrer de Lloret de Mar, 82-84, 08031 Barcelona</t>
  </si>
  <si>
    <t>saludintegralnc.com</t>
  </si>
  <si>
    <t>682 74 82 23</t>
  </si>
  <si>
    <t>Herbologie</t>
  </si>
  <si>
    <t>Carrer de la Conca de Tremp, 20 Bis, 08032 Barcelona</t>
  </si>
  <si>
    <t>934 29 25 47</t>
  </si>
  <si>
    <t>L&amp;apos;Herbolari</t>
  </si>
  <si>
    <t>Carrer del Raval de la Creu, 7, 08960 Barcelona</t>
  </si>
  <si>
    <t>lherbolari.com</t>
  </si>
  <si>
    <t>933 71 20 67</t>
  </si>
  <si>
    <t>wordpress@lherbolari.com</t>
  </si>
  <si>
    <t>Santiveri - Dietètica Sant Andreu</t>
  </si>
  <si>
    <t>Carrer Gran de Sant Andreu, 133, 08030 Barcelona</t>
  </si>
  <si>
    <t>933 46 95 74</t>
  </si>
  <si>
    <t>Farigola del Estal</t>
  </si>
  <si>
    <t>Carrer Ignasi Agustí, 1, 08042 Barcelona</t>
  </si>
  <si>
    <t>934 28 17 31</t>
  </si>
  <si>
    <t>Blau Natura</t>
  </si>
  <si>
    <t>Passatge Dr. Pi i Molist, 3, 08031 Barcelona</t>
  </si>
  <si>
    <t>934 08 22 34</t>
  </si>
  <si>
    <t>Cullera de Pal</t>
  </si>
  <si>
    <t>C/ d&amp;apos;Arimon, 4, 08022 Barcelona</t>
  </si>
  <si>
    <t>934 18 58 39</t>
  </si>
  <si>
    <t>Herba Vital</t>
  </si>
  <si>
    <t>Carrer de la Gran Vista, 156, 08032 Barcelona</t>
  </si>
  <si>
    <t>934 20 99 98</t>
  </si>
  <si>
    <t>Clinica Omega Z Maria</t>
  </si>
  <si>
    <t>Pg. de Gràcia, 118, 08012 Barcelona</t>
  </si>
  <si>
    <t>La Herboristeria</t>
  </si>
  <si>
    <t>herboristeriaenbarcelona.com</t>
  </si>
  <si>
    <t>mzucles@gmail.com</t>
  </si>
  <si>
    <t>Herbolari Montsol</t>
  </si>
  <si>
    <t>Passeig de Maragall, 352, 08031 Barcelona</t>
  </si>
  <si>
    <t>934 29 78 94</t>
  </si>
  <si>
    <t>La deessa del bosc</t>
  </si>
  <si>
    <t>Carrer de Manso, 34, 08015 Barcelona</t>
  </si>
  <si>
    <t>ladeessadelbosc.com</t>
  </si>
  <si>
    <t>934 41 99 55</t>
  </si>
  <si>
    <t>info@ladeessadelbosc.com</t>
  </si>
  <si>
    <t>Josefina Oliva Ferrán</t>
  </si>
  <si>
    <t>Herboristería de la Sagrada Familia</t>
  </si>
  <si>
    <t>Carrer de la Indústria, 60 Local 7 (Entrada por Jardins d’Antoni Puigvert) Interoffice, despacho 1, 08025 Barcelona</t>
  </si>
  <si>
    <t>herboristeriasagrada.wixsite.com</t>
  </si>
  <si>
    <t>934 58 49 30</t>
  </si>
  <si>
    <t>Dietetica La LLAVOR</t>
  </si>
  <si>
    <t>Carrer de Còrsega, 654, 08026 Barcelona</t>
  </si>
  <si>
    <t>933 47 60 42</t>
  </si>
  <si>
    <t>Herbolari Sant Antoni Hierbas medicinales tés especias granel y complementos dietéticos</t>
  </si>
  <si>
    <t>C. de Viladomat, 98, 08015 Barcelona</t>
  </si>
  <si>
    <t>935 25 01 75</t>
  </si>
  <si>
    <t>Agustina Asensio López</t>
  </si>
  <si>
    <t>Carrer de Castanys, 6, 08005 Barcelona</t>
  </si>
  <si>
    <t>932 25 38 83</t>
  </si>
  <si>
    <t>Naturista Vegetariana de Barcelona S.C.C.L.</t>
  </si>
  <si>
    <t>Gran Via de les Corts Catalanes, 704, 08010 Barcelona</t>
  </si>
  <si>
    <t>932 45 06 85</t>
  </si>
  <si>
    <t>Lo más natural</t>
  </si>
  <si>
    <t>Carrer de França, 66, B, 08907 L&amp;apos;Hospitalet de Llobregat, Barcelona</t>
  </si>
  <si>
    <t>932 63 39 77</t>
  </si>
  <si>
    <t>Viu-Natur</t>
  </si>
  <si>
    <t>Carrer de Muntaner, 524, 08022 Barcelona</t>
  </si>
  <si>
    <t>931 06 52 80</t>
  </si>
  <si>
    <t>Lloris Lara Asociados S.l.</t>
  </si>
  <si>
    <t>Carrer del Doctor Pi i Molist, 11, 08031 Barcelona</t>
  </si>
  <si>
    <t>dieteticalara.com</t>
  </si>
  <si>
    <t>934 08 64 53</t>
  </si>
  <si>
    <t>intersection-observer-polyfill@0.1.0</t>
  </si>
  <si>
    <t>El Refugi de les Herbes</t>
  </si>
  <si>
    <t>Ronda del General Mitre, 179, local 2, 08023 Barcelona</t>
  </si>
  <si>
    <t>elrefugidelesherbes.com</t>
  </si>
  <si>
    <t>931 86 28 98</t>
  </si>
  <si>
    <t>barcelona@elrefugidelesherbes.com</t>
  </si>
  <si>
    <t>Herbolaris MONTSERRAT</t>
  </si>
  <si>
    <t>Rambla de Guipúscoa, 77, 08020 Barcelona</t>
  </si>
  <si>
    <t>625 40 96 94</t>
  </si>
  <si>
    <t>Món Natural</t>
  </si>
  <si>
    <t>C/ de València, 585, 08026 Barcelona</t>
  </si>
  <si>
    <t>670 87 49 89</t>
  </si>
  <si>
    <t>Dietètica Montserrat</t>
  </si>
  <si>
    <t>Carrer de Sant Jordi, 6, 08028 Barcelona</t>
  </si>
  <si>
    <t>Cebanatural SL</t>
  </si>
  <si>
    <t>Abrera</t>
  </si>
  <si>
    <t>cebanatural.com</t>
  </si>
  <si>
    <t>900 649 444</t>
  </si>
  <si>
    <t>info@cebanatural.com</t>
  </si>
  <si>
    <t>KOMESANO, Natural i Ecològic</t>
  </si>
  <si>
    <t>Hospital del Mar, Passeig Marítim de la Barceloneta, s/n, 08003 Barcelona</t>
  </si>
  <si>
    <t>komesano.es</t>
  </si>
  <si>
    <t>931 54 80 91</t>
  </si>
  <si>
    <t>info@komesano.es</t>
  </si>
  <si>
    <t>Lee Kim Mi JA</t>
  </si>
  <si>
    <t>Carrer de la Independència, 348, 08026 Barcelona</t>
  </si>
  <si>
    <t>934 59 33 86</t>
  </si>
  <si>
    <t>Herbolario Vida</t>
  </si>
  <si>
    <t>Carrer de Marià Benlliure, 59, 08917 Badalona, Barcelona</t>
  </si>
  <si>
    <t>Badalona</t>
  </si>
  <si>
    <t>933 87 25 21</t>
  </si>
  <si>
    <t>Herbolari i centre de terapies Camí de Salut</t>
  </si>
  <si>
    <t>C/ de Mallorca, 545, 08026 Barcelona</t>
  </si>
  <si>
    <t>camidesalut.com</t>
  </si>
  <si>
    <t>934 36 33 74</t>
  </si>
  <si>
    <t>Herboristeria i Centre Dietètic Vitam</t>
  </si>
  <si>
    <t>Carrer dels Arítjols, 68, 08016 Barcelona</t>
  </si>
  <si>
    <t>L’herbolari de la plaça</t>
  </si>
  <si>
    <t>Plaça del Congrés Eucarístic, 3, 08027 Barcelona</t>
  </si>
  <si>
    <t>KOMESANO, Natural i ecològic</t>
  </si>
  <si>
    <t>Carrer del Baluard, 28, 08003 Barcelona</t>
  </si>
  <si>
    <t>932 21 42 27</t>
  </si>
  <si>
    <t>Terra de Salut</t>
  </si>
  <si>
    <t>Carrer de Blesa, 45, 08004 Barcelona</t>
  </si>
  <si>
    <t>terradesalut.com</t>
  </si>
  <si>
    <t>650 61 24 19</t>
  </si>
  <si>
    <t>terradesalut@gmail.com</t>
  </si>
  <si>
    <t>L&amp;apos;Herbolari L&amp;apos;Hospitalet</t>
  </si>
  <si>
    <t>Mercat Municipal Merca2, Rambla de la Marina, Pto, 14, 153, 08907 L&amp;apos;Hospitalet de Llobregat, Barcelona</t>
  </si>
  <si>
    <t>676 06 29 20</t>
  </si>
  <si>
    <t>Diet Center Rosselló (Metro Entença)</t>
  </si>
  <si>
    <t>Carrer del Rosselló, 24-26, 08029 Barcelona</t>
  </si>
  <si>
    <t>dietcenter.es</t>
  </si>
  <si>
    <t>938 32 84 65</t>
  </si>
  <si>
    <t>Libèllula Herbolario</t>
  </si>
  <si>
    <t>Avinguda dels Quinze, 19, 08031 Barcelona</t>
  </si>
  <si>
    <t>931 09 86 79</t>
  </si>
  <si>
    <t>Herboristeria Rosa</t>
  </si>
  <si>
    <t>Carrer de Liszt, 69, 08923 Santa Coloma de Gramenet, Barcelona</t>
  </si>
  <si>
    <t>933 92 33 30</t>
  </si>
  <si>
    <t>Herboristería Manantial Natural</t>
  </si>
  <si>
    <t>Rambla de la Marina, 181, Local C, 08907 L&amp;apos;Hospitalet de Llobregat, Barcelona</t>
  </si>
  <si>
    <t>manantialnatural.com</t>
  </si>
  <si>
    <t>931 63 76 60</t>
  </si>
  <si>
    <t>info@manantialnatural.com</t>
  </si>
  <si>
    <t>Homeopatia Herboristeria Formulas Magistrales</t>
  </si>
  <si>
    <t>Carrer de Brussel·les, 41, 08041 Barcelona</t>
  </si>
  <si>
    <t>Els Remeis</t>
  </si>
  <si>
    <t>Rambla del Fondo, 9, 08921 Santa Coloma de Gramenet, Barcelona</t>
  </si>
  <si>
    <t>933 85 06 57</t>
  </si>
  <si>
    <t>La flor de la vida</t>
  </si>
  <si>
    <t>Av. del Carrilet, 96, 08902 L&amp;apos;Hospitalet de Llobregat, Barcelona</t>
  </si>
  <si>
    <t>herbolario.cat</t>
  </si>
  <si>
    <t>671 47 85 20</t>
  </si>
  <si>
    <t>Herbolari Dierema</t>
  </si>
  <si>
    <t>Av. Miraflores, 113, 08905 L&amp;apos;Hospitalet de Llobregat, Barcelona</t>
  </si>
  <si>
    <t>dierema.com</t>
  </si>
  <si>
    <t>934 37 65 01</t>
  </si>
  <si>
    <t>dierema113@hotmail.com</t>
  </si>
  <si>
    <t>Herbodietètica de Maurice Messegué</t>
  </si>
  <si>
    <t>Carrer de Cantàbria, 37, 08020 Barcelona</t>
  </si>
  <si>
    <t>hierbassalvajes.com</t>
  </si>
  <si>
    <t>932 78 06 38</t>
  </si>
  <si>
    <t>info@hierbassalvajes.com</t>
  </si>
  <si>
    <t>herbolario Maria Soto</t>
  </si>
  <si>
    <t>Carrer de Sevilla, 08905 L&amp;apos;Hospitalet de Llobregat, Barcelona</t>
  </si>
  <si>
    <t>Naturprat</t>
  </si>
  <si>
    <t>Av. de la Verge de Montserrat, 186, 08820 El Prat de Llobregat, Barcelona</t>
  </si>
  <si>
    <t>El Prat de Llobregat</t>
  </si>
  <si>
    <t>naturprat.com</t>
  </si>
  <si>
    <t>934 78 70 66</t>
  </si>
  <si>
    <t>info@naturprat.com</t>
  </si>
  <si>
    <t>Dietètica Elena</t>
  </si>
  <si>
    <t>Carrer del Pont del Treball Digne, 6, 08020 Barcelona</t>
  </si>
  <si>
    <t>933 13 53 49</t>
  </si>
  <si>
    <t>Herbolario Lamaza</t>
  </si>
  <si>
    <t>Av. de la Generalitat, 2, 08921 Santa Coloma de Gramenet, Barcelona</t>
  </si>
  <si>
    <t>933 86 98 30</t>
  </si>
  <si>
    <t>Método Garantizado S.L</t>
  </si>
  <si>
    <t>Carrer del Llorer, 51, 08905 L&amp;apos;Hospitalet de Llobregat, Barcelona</t>
  </si>
  <si>
    <t>Herbolari La Dietètica</t>
  </si>
  <si>
    <t>C/ del Maresme, 208, 08020 Barcelona</t>
  </si>
  <si>
    <t>675 56 41 64</t>
  </si>
  <si>
    <t>LA VENTANA NATURAL</t>
  </si>
  <si>
    <t>C/ de Joaquim Rubió i Ors, 238, 08940 Cornellà de Llobregat, Barcelona</t>
  </si>
  <si>
    <t>Cornellà de Llobregat</t>
  </si>
  <si>
    <t>938 09 91 74</t>
  </si>
  <si>
    <t>Dietètica La Salut Badalona</t>
  </si>
  <si>
    <t>Passeig de la Salut, 97, 08914 Badalona, Barcelona</t>
  </si>
  <si>
    <t>933 87 05 48</t>
  </si>
  <si>
    <t>Dietética Colomer</t>
  </si>
  <si>
    <t>C. de Mar, 66, 08911 Badalona, Barcelona</t>
  </si>
  <si>
    <t>933 84 52 54</t>
  </si>
  <si>
    <t>C/ Girona, 4, 08110 Montcada i Reixac, Barcelona</t>
  </si>
  <si>
    <t>Moncada y Reixach</t>
  </si>
  <si>
    <t>lherbolari.net</t>
  </si>
  <si>
    <t>935 65 14 68</t>
  </si>
  <si>
    <t>Herbolario La Ventana Natural</t>
  </si>
  <si>
    <t>Carrer d&amp;apos;Irlanda, 114, 08923 Santa Coloma de Gramenet, Barcelona</t>
  </si>
  <si>
    <t>planrevolution.com</t>
  </si>
  <si>
    <t>933 86 77 95</t>
  </si>
  <si>
    <t>info@planrevolution.com</t>
  </si>
  <si>
    <t>Herbolari Camps</t>
  </si>
  <si>
    <t>Herbolari Camps, Carrer Muns, 4, 08902 L&amp;apos;Hospitalet de Llobregat, Barcelona</t>
  </si>
  <si>
    <t>herbolarioshospitalet.es</t>
  </si>
  <si>
    <t>933 31 47 44</t>
  </si>
  <si>
    <t>Al Natural</t>
  </si>
  <si>
    <t>Carrer de la Lleialtat, 15, 08950 Esplugues de Llobregat, Barcelona</t>
  </si>
  <si>
    <t>Esplugues de Llobregat</t>
  </si>
  <si>
    <t>931 15 20 29</t>
  </si>
  <si>
    <t>L&amp;apos;Herbolari de Sant Adrià</t>
  </si>
  <si>
    <t>Av. de Catalunya, 97, 08930 Sant Adrià de Besòs, Barcelona</t>
  </si>
  <si>
    <t>Sant Adrià de Besòs</t>
  </si>
  <si>
    <t>adriannapal.com</t>
  </si>
  <si>
    <t>931 16 34 69</t>
  </si>
  <si>
    <t>info@adriannapal.com</t>
  </si>
  <si>
    <t>Yerbabuena</t>
  </si>
  <si>
    <t>Carrer de Bartrina, 1, 08191 Rubí, Barcelona</t>
  </si>
  <si>
    <t>Rubí</t>
  </si>
  <si>
    <t>636 80 65 35</t>
  </si>
  <si>
    <t>CASA D´HERBES - Herboristería, Dietética y Complementos Alimenticios, herbolario</t>
  </si>
  <si>
    <t>Carrer de Bellaterra, 26, 08940 Cornellà de Llobregat, Barcelona</t>
  </si>
  <si>
    <t>aiyellow.com</t>
  </si>
  <si>
    <t>933 75 17 04</t>
  </si>
  <si>
    <t>Plantapol S L</t>
  </si>
  <si>
    <t>Carrer de Josep Argemí, 13, 15, 08950 Esplugues de Llobregat, Barcelona</t>
  </si>
  <si>
    <t>Ones de Llum</t>
  </si>
  <si>
    <t>Carrer Francesc Macià, 86, 08830 Sant Boi de Llobregat, Barcelona</t>
  </si>
  <si>
    <t>Sant Boi de Llobregat</t>
  </si>
  <si>
    <t>onesdellum.es</t>
  </si>
  <si>
    <t>936 40 74 19</t>
  </si>
  <si>
    <t>info@onesdellum.es</t>
  </si>
  <si>
    <t>Dietètica Ricard</t>
  </si>
  <si>
    <t>Carrer Muns, 5, 08902 L&amp;apos;Hospitalet de Llobregat, Barcelona</t>
  </si>
  <si>
    <t>dieteticaricard.com</t>
  </si>
  <si>
    <t>933 31 71 97</t>
  </si>
  <si>
    <t>dieteticaricard@dieteticaricard.com</t>
  </si>
  <si>
    <t>Dietética Rosa Pérez Scp</t>
  </si>
  <si>
    <t>Carrer de Pompeu Fabra, 30, 08922 Santa Coloma de Gramenet, Barcelona</t>
  </si>
  <si>
    <t>933 86 57 62</t>
  </si>
  <si>
    <t>Jade</t>
  </si>
  <si>
    <t>Carretera de Collblanc, 50, 08903 L&amp;apos;Hospitalet de Llobregat, Barcelona</t>
  </si>
  <si>
    <t>jade.cat</t>
  </si>
  <si>
    <t>632 73 09 32</t>
  </si>
  <si>
    <t>jaderegalos@gmail.com</t>
  </si>
  <si>
    <t>Herboristeria Irene</t>
  </si>
  <si>
    <t>Av. Bufalà, 16, 08915 Badalona, Barcelona</t>
  </si>
  <si>
    <t>El Racó Natural - Herbolario y dietética</t>
  </si>
  <si>
    <t>Carrer de Joaquim Rubió i Ors, 14, 08830 Sant Boi de Llobregat, Barcelona</t>
  </si>
  <si>
    <t>raconatural.com</t>
  </si>
  <si>
    <t>936 30 19 40</t>
  </si>
  <si>
    <t>hola@raconatural.com</t>
  </si>
  <si>
    <t>Herbolari Camamilla - Viladecans</t>
  </si>
  <si>
    <t>Av. de Francesc Macià, 10, 08840 Viladecans, Barcelona</t>
  </si>
  <si>
    <t>Viladecans</t>
  </si>
  <si>
    <t>herbolaricamamilla.weebly.com</t>
  </si>
  <si>
    <t>638 08 32 94</t>
  </si>
  <si>
    <t>correu@primerpla.cat</t>
  </si>
  <si>
    <t>El cistell, tot natural</t>
  </si>
  <si>
    <t>Av. d&amp;apos;Alfons XIII, 319C, 08918 Badalona, Barcelona</t>
  </si>
  <si>
    <t>Plaça de l&amp;apos;Ermita, tienda 4, 08970 Sant Joan Despí, Barcelona</t>
  </si>
  <si>
    <t>Sant Joan Despí</t>
  </si>
  <si>
    <t>934 77 21 54</t>
  </si>
  <si>
    <t>Herbalife distribuidor independiente</t>
  </si>
  <si>
    <t>Carrer de la Riera Alta, 63, 08001 Barcelona</t>
  </si>
  <si>
    <t>wa.link</t>
  </si>
  <si>
    <t>Herbolari Ment Natural • (antiga Dietètica J Larios)</t>
  </si>
  <si>
    <t>Carrer dels Reis, 11, 08290 Cerdanyola del Vallès, Barcelona</t>
  </si>
  <si>
    <t>Cerdanyola del Vallès</t>
  </si>
  <si>
    <t>mentnatural.com</t>
  </si>
  <si>
    <t>936 92 60 36</t>
  </si>
  <si>
    <t>info@mentnatural.com</t>
  </si>
  <si>
    <t>Herboreum</t>
  </si>
  <si>
    <t>Carrer de Barcelona, 90, 08901 L&amp;apos;Hospitalet de Llobregat, Barcelona</t>
  </si>
  <si>
    <t>herboreum.com</t>
  </si>
  <si>
    <t>933 38 79 01</t>
  </si>
  <si>
    <t>Carrer de Joan Fiveller, 53, 08840 Viladecans, Barcelona</t>
  </si>
  <si>
    <t>932 53 03 87</t>
  </si>
  <si>
    <t>La Menta</t>
  </si>
  <si>
    <t>Carrer Lluís Pascual Roca, 42, 08830 Sant Boi de Llobregat, Barcelona</t>
  </si>
  <si>
    <t>936 30 31 93</t>
  </si>
  <si>
    <t>Naturdesma SL</t>
  </si>
  <si>
    <t>Carrer de Palamós, 89, 08033 Barcelona</t>
  </si>
  <si>
    <t>naturdesma.com</t>
  </si>
  <si>
    <t>933 53 92 88</t>
  </si>
  <si>
    <t>naturdesma@naturdesma.com</t>
  </si>
  <si>
    <t>Herbolari de Rubí</t>
  </si>
  <si>
    <t>Carrer de Magallanes, 6, 08191 Rubí, Barcelona</t>
  </si>
  <si>
    <t>herbolariderubi.business.site</t>
  </si>
  <si>
    <t>936 97 48 65</t>
  </si>
  <si>
    <t>Herbolari i Dietètica Montflorit</t>
  </si>
  <si>
    <t>Carrer de Montflorit, 52, 08850 Gavà, Barcelona</t>
  </si>
  <si>
    <t>Gavà</t>
  </si>
  <si>
    <t>HERBES Y COSES</t>
  </si>
  <si>
    <t>Plaça de la Vila, 19, 08620 Sant Vicenç dels Horts, Barcelona</t>
  </si>
  <si>
    <t>Sant Vicenç dels Horts</t>
  </si>
  <si>
    <t>herbesicoses.com</t>
  </si>
  <si>
    <t>936 56 50 67</t>
  </si>
  <si>
    <t>botiga@herbesicoses.com</t>
  </si>
  <si>
    <t>Herbolari la ginesta</t>
  </si>
  <si>
    <t>Carrer de Mossèn Jaume Soler i Puigvert, 40, LOCAL, 08940 Cornellà de Llobregat, Barcelona</t>
  </si>
  <si>
    <t>Dietética Online Barcelona</t>
  </si>
  <si>
    <t>Carrer Bonavista, N° 42, Bjs 1, 08940 Cornellà de Llobregat, Barcelona</t>
  </si>
  <si>
    <t>666 99 49 43</t>
  </si>
  <si>
    <t>Sandra Estivill Román</t>
  </si>
  <si>
    <t>Avinguda de la Torre Blanca, 0, 08171 Sant Cugat del Vallès, Barcelona</t>
  </si>
  <si>
    <t>Sant Cugat del Vallès</t>
  </si>
  <si>
    <t>Distribuidor independiente de Herbalife</t>
  </si>
  <si>
    <t>Carrer Tecla Sala, 3, 11, 08901 L&amp;apos;Hospitalet de Llobregat, Barcelona</t>
  </si>
  <si>
    <t>610 94 66 41</t>
  </si>
  <si>
    <t>Herboristeria Centre de Salut Natural Cent × Cent Natural Salut</t>
  </si>
  <si>
    <t>retol color VERT, Carrer de Josep Campreciós, 21, 08950 Esplugues de Llobregat, Barcelona</t>
  </si>
  <si>
    <t>637 31 99 36</t>
  </si>
  <si>
    <t>Carrer Amapolas, 7, 08906 L&amp;apos;Hospitalet de Llobregat, Barcelona</t>
  </si>
  <si>
    <t>674 11 79 83</t>
  </si>
  <si>
    <t>Herboristería La Flor de Loto</t>
  </si>
  <si>
    <t>Carrer de Coll i Pujol, 181, 08917 Badalona, Barcelona</t>
  </si>
  <si>
    <t>933 88 42 39</t>
  </si>
  <si>
    <t>HERBORISTERIA MERCEDES</t>
  </si>
  <si>
    <t>Carrer la Segarra, 7, 08940 Cornellà de Llobregat, Barcelona</t>
  </si>
  <si>
    <t>933 75 55 94</t>
  </si>
  <si>
    <t>Sanat</t>
  </si>
  <si>
    <t>Rambla Mossèn Jacint Verdaguer, 19, 08197 Valldoreix, Barcelona</t>
  </si>
  <si>
    <t>Valldoreix</t>
  </si>
  <si>
    <t>936 75 66 86</t>
  </si>
  <si>
    <t>Vida Sana Bio Alimentació Herbodiética Terapies</t>
  </si>
  <si>
    <t>Carrer de la Cultura, 19, 08922 Santa Coloma de Gramenet, Barcelona</t>
  </si>
  <si>
    <t>935 14 31 03</t>
  </si>
  <si>
    <t>Herba bona</t>
  </si>
  <si>
    <t>Carrer de Ferran Puig, 51, 08820 El Prat de Llobregat, Barcelona</t>
  </si>
  <si>
    <t>933 79 07 67</t>
  </si>
  <si>
    <t>Les Coses Bones</t>
  </si>
  <si>
    <t>Carrer de Mossèn Jacint Verdaguer, nº 116, Bjos, 08620 Sant Vicenç dels Horts, Barcelona</t>
  </si>
  <si>
    <t>936 76 82 14</t>
  </si>
  <si>
    <t>Herbodietética Rosa Gustems</t>
  </si>
  <si>
    <t>Carrer de Monturiol, 24, 08191 Rubí, Barcelona</t>
  </si>
  <si>
    <t>936 97 57 49</t>
  </si>
  <si>
    <t>Carrer Hierbabuena, 27, 08906 L&amp;apos;Hospitalet de Llobregat, Barcelona</t>
  </si>
  <si>
    <t>docs.google.com</t>
  </si>
  <si>
    <t>Herbolario QUARS MESTRE</t>
  </si>
  <si>
    <t>Carrer Primer de Maig, 26, local, 08830 Sant Boi de Llobregat, Barcelona</t>
  </si>
  <si>
    <t>herbolario.quarsmestre.com</t>
  </si>
  <si>
    <t>605 17 71 19</t>
  </si>
  <si>
    <t>La Font de la Vida - SANTIVERI</t>
  </si>
  <si>
    <t>Carrer Rafael de Casanova, 8, 08750 Molins de Rei, Barcelona</t>
  </si>
  <si>
    <t>Molins de Rei</t>
  </si>
  <si>
    <t>930 07 98 62</t>
  </si>
  <si>
    <t>Dietética SantaGemma Bio</t>
  </si>
  <si>
    <t>Av. de Barcelona, 19, 08970 Sant Joan Despí, Barcelona</t>
  </si>
  <si>
    <t>dieteticasantagemma.com</t>
  </si>
  <si>
    <t>933 73 11 64</t>
  </si>
  <si>
    <t>Niu de Salut</t>
  </si>
  <si>
    <t>Carrer de la Mare de Déu de Montserrat, 95, 08840 Viladecans, Barcelona</t>
  </si>
  <si>
    <t>niudesalut.com</t>
  </si>
  <si>
    <t>936 58 16 50</t>
  </si>
  <si>
    <t>Centre de Dietètica Pietat</t>
  </si>
  <si>
    <t>Carrer d&amp;apos;Amèrica, 87, 08924 Santa Coloma de Gramenet, Barcelona</t>
  </si>
  <si>
    <t>dieteticapiedad.com</t>
  </si>
  <si>
    <t>933 92 56 61</t>
  </si>
  <si>
    <t>info@dieteticapiedad.com</t>
  </si>
  <si>
    <t>Oheng Yuk-Ki</t>
  </si>
  <si>
    <t>C/ de València, 354, 356, 08009 Barcelona</t>
  </si>
  <si>
    <t>934 59 38 61</t>
  </si>
  <si>
    <t>••• Martín •••</t>
  </si>
  <si>
    <t>Carrer de Jaume Casanovas, 186, loc. 1, 08820 El Prat de Llobregat, Barcelona</t>
  </si>
  <si>
    <t>931 88 60 64</t>
  </si>
  <si>
    <t>L&amp;apos;Ondina</t>
  </si>
  <si>
    <t>Carrer de Guifré, 107, 08912 Badalona, Barcelona</t>
  </si>
  <si>
    <t>ondinastore.com</t>
  </si>
  <si>
    <t>934 64 21 99</t>
  </si>
  <si>
    <t>Verdesperanza</t>
  </si>
  <si>
    <t>Carrer Major, 3, 08830 Sant Boi de Llobregat, Barcelona</t>
  </si>
  <si>
    <t>931 44 27 61</t>
  </si>
  <si>
    <t>Santiveri Salud Castelldefels</t>
  </si>
  <si>
    <t>Carrer del Dr. Fleming, 36, 08860 Castelldefels, Barcelona</t>
  </si>
  <si>
    <t>Castelldefels</t>
  </si>
  <si>
    <t>937 63 61 00</t>
  </si>
  <si>
    <t>Els 5 Elements</t>
  </si>
  <si>
    <t>Carrer de les Colomeres, 108, 08850 Gavà, Barcelona</t>
  </si>
  <si>
    <t>692 35 65 44</t>
  </si>
  <si>
    <t>El Matoll Grow Shop</t>
  </si>
  <si>
    <t>Carrer de Pau Casanovas i March, 6, Local, 08620 Sant Vicenç dels Horts, Barcelona</t>
  </si>
  <si>
    <t>931 79 17 49</t>
  </si>
  <si>
    <t>Dietètica Premià</t>
  </si>
  <si>
    <t>Carrer d&amp;apos;Enric Granados, 47, 08330 Premià de Mar, Barcelona</t>
  </si>
  <si>
    <t>Premià de Mar</t>
  </si>
  <si>
    <t>935 10 48 61</t>
  </si>
  <si>
    <t>Carrer de Pablo Ruiz Picasso, 11, 08130 Santa Perpètua de Mogoda, Barcelona</t>
  </si>
  <si>
    <t>Santa Perpètua de Mogoda</t>
  </si>
  <si>
    <t>El Herbolario de Inés S.L.</t>
  </si>
  <si>
    <t>Carrer de Prat de la Riba, 41, Local, 08150 Parets del Vallès, Barcelona</t>
  </si>
  <si>
    <t>Parets del Vallès</t>
  </si>
  <si>
    <t>elherbolariodeines.com</t>
  </si>
  <si>
    <t>644 52 22 25</t>
  </si>
  <si>
    <t>Herbolari de Canet</t>
  </si>
  <si>
    <t>Riera Buscarons, 18, 08360 Canet de Mar, Barcelona</t>
  </si>
  <si>
    <t>Canet de Mar</t>
  </si>
  <si>
    <t>937 94 22 50</t>
  </si>
  <si>
    <t>Herbolari Harmonia</t>
  </si>
  <si>
    <t>Ctra. Vella, 21, 08470 Sant Celoni, Barcelona</t>
  </si>
  <si>
    <t>Sant Celoni</t>
  </si>
  <si>
    <t>938 67 14 05</t>
  </si>
  <si>
    <t>Sant Ponç Herbolari</t>
  </si>
  <si>
    <t>Plaça Major, 2, 08500 Vic, Barcelona</t>
  </si>
  <si>
    <t>Vic</t>
  </si>
  <si>
    <t>938 86 21 46</t>
  </si>
  <si>
    <t>Marsan</t>
  </si>
  <si>
    <t>Carrer dels Mercaders, 6, 17004 Girona</t>
  </si>
  <si>
    <t>Gerona</t>
  </si>
  <si>
    <t>Girona</t>
  </si>
  <si>
    <t>972 48 39 62</t>
  </si>
  <si>
    <t>Naturdiet</t>
  </si>
  <si>
    <t>Carrer del Bastiments, 20, 7º 1ª, 17006 Girona</t>
  </si>
  <si>
    <t>naturdiet.es</t>
  </si>
  <si>
    <t>NOMES ARTICLES NATURALS GIRONA, S.L</t>
  </si>
  <si>
    <t>Carrer Migdia, 95, 17003 Girona</t>
  </si>
  <si>
    <t>972 60 06 75</t>
  </si>
  <si>
    <t>The CBD Side Girona</t>
  </si>
  <si>
    <t>Carrer de Santa Clara, 5, 17001 Girona</t>
  </si>
  <si>
    <t>thecbdside.com</t>
  </si>
  <si>
    <t>656 58 97 04</t>
  </si>
  <si>
    <t>info@thecbdside.com</t>
  </si>
  <si>
    <t>Societat Naturista de Girona</t>
  </si>
  <si>
    <t>Carrer Xavier Montsalvatge, 1, 17481 Sant Julià de Ramis, Girona</t>
  </si>
  <si>
    <t>Sant Julià de Ramis</t>
  </si>
  <si>
    <t>972 17 27 51</t>
  </si>
  <si>
    <t>Terre Dearomes Tradition S L</t>
  </si>
  <si>
    <t>Carrer del Cima, 6, 17481 Sant Julià de Ramis, Girona</t>
  </si>
  <si>
    <t>972 17 22 25</t>
  </si>
  <si>
    <t>Dietètica La Tisana</t>
  </si>
  <si>
    <t>Carrer de Catalunya, 11, 17244 Cassà de la Selva, Girona</t>
  </si>
  <si>
    <t>Cassà de la Selva</t>
  </si>
  <si>
    <t>972 46 18 20</t>
  </si>
  <si>
    <t>La Dietètica de Caldes</t>
  </si>
  <si>
    <t>Plaça de Sant Esteve, 3, 17455 Caldes de Malavella, Girona</t>
  </si>
  <si>
    <t>Caldes de Malavella</t>
  </si>
  <si>
    <t>972 47 24 27</t>
  </si>
  <si>
    <t>Bisbal Natura SL</t>
  </si>
  <si>
    <t>Bisbal D&amp;apos;Empordá (la, Carrer Cavallers, 20, 17100 La Bisbal d&amp;apos;Empordà, Girona</t>
  </si>
  <si>
    <t>La Bisbal d&amp;apos;Empordà</t>
  </si>
  <si>
    <t>molsa.bio</t>
  </si>
  <si>
    <t>972 64 50 42</t>
  </si>
  <si>
    <t>Herboristeria Flor de Maig</t>
  </si>
  <si>
    <t>Carrer de Girona, 29, 17310 Lloret de Mar, Girona</t>
  </si>
  <si>
    <t>Lloret de Mar</t>
  </si>
  <si>
    <t>972 36 97 47</t>
  </si>
  <si>
    <t>Sol Terra</t>
  </si>
  <si>
    <t>Carrer Sant Francesc de Paula, 24, 17600 Figueres, Girona</t>
  </si>
  <si>
    <t>Figueres</t>
  </si>
  <si>
    <t>648 73 71 04</t>
  </si>
  <si>
    <t>El abbasi el abbasi</t>
  </si>
  <si>
    <t>17760 Vilabertran, Girona</t>
  </si>
  <si>
    <t>Vilabertran</t>
  </si>
  <si>
    <t>NATURBREDA</t>
  </si>
  <si>
    <t>Carrer Sant Iscle, 26, 17400 Breda, Girona</t>
  </si>
  <si>
    <t>Breda</t>
  </si>
  <si>
    <t>696 92 73 34</t>
  </si>
  <si>
    <t>Naturalia</t>
  </si>
  <si>
    <t>Carrer Col·legi, 5, 17600 Figueres, Girona</t>
  </si>
  <si>
    <t>naturaliaemporda.com</t>
  </si>
  <si>
    <t>972 50 93 86</t>
  </si>
  <si>
    <t>Farmasalut</t>
  </si>
  <si>
    <t>Carrer d&amp;apos;Ardales, 36, 17300 Blanes, Girona</t>
  </si>
  <si>
    <t>Blanes</t>
  </si>
  <si>
    <t>farmasalut.cat</t>
  </si>
  <si>
    <t>972 35 91 71</t>
  </si>
  <si>
    <t>Adartia</t>
  </si>
  <si>
    <t>Carrer de Pi i Margall, 30, Local 9, 17200 Palafrugell, Girona</t>
  </si>
  <si>
    <t>Palafrugell</t>
  </si>
  <si>
    <t>adartia.net</t>
  </si>
  <si>
    <t>972 30 84 65</t>
  </si>
  <si>
    <t>info@adartia.net</t>
  </si>
  <si>
    <t>Núria Puigmal Gironella</t>
  </si>
  <si>
    <t>Carrer Nou, 21, 17480 Roses, Girona</t>
  </si>
  <si>
    <t>Roses</t>
  </si>
  <si>
    <t>972 25 32 55</t>
  </si>
  <si>
    <t>Herbolari Verd Poma</t>
  </si>
  <si>
    <t>Carrer de les Termes Romanes, 17-19, Local C, 17455 Caldes de Malavella, Girona</t>
  </si>
  <si>
    <t>972 66 45 04</t>
  </si>
  <si>
    <t>Les Bones Herbes</t>
  </si>
  <si>
    <t>Carrer Caamaño, 8, 17600 Figueres, Girona</t>
  </si>
  <si>
    <t>972 67 04 07</t>
  </si>
  <si>
    <t>Herbolari Nature</t>
  </si>
  <si>
    <t>Carrer de Lluís Companys, 24, 17300 Blanes, Girona</t>
  </si>
  <si>
    <t>natureblanes.com</t>
  </si>
  <si>
    <t>972 35 15 27</t>
  </si>
  <si>
    <t>El Racó de la Salut</t>
  </si>
  <si>
    <t>Carrer de Girona, 112, 08402 Granollers, Barcelona</t>
  </si>
  <si>
    <t>Granollers</t>
  </si>
  <si>
    <t>938 40 08 47</t>
  </si>
  <si>
    <t>Les Bones Herbes S.Cv.</t>
  </si>
  <si>
    <t>Carrer de Camaño, 8, 17600 Figueres, Girona</t>
  </si>
  <si>
    <t>La Farigola</t>
  </si>
  <si>
    <t>Carrer de Primitiu Artigas, 10, BAJO, 17257 Torroella de Montgrí, Girona</t>
  </si>
  <si>
    <t>Torroella de Montgrí</t>
  </si>
  <si>
    <t>lafarigola.es</t>
  </si>
  <si>
    <t>972 75 71 22</t>
  </si>
  <si>
    <t>Herbodietètica gira-sol</t>
  </si>
  <si>
    <t>Dietètica i Herboristeria La Natura</t>
  </si>
  <si>
    <t>Passeig Pompeu Fabra, 17, 17240 Llagostera, Girona</t>
  </si>
  <si>
    <t>Llagostera</t>
  </si>
  <si>
    <t>652 46 38 40</t>
  </si>
  <si>
    <t>Iris</t>
  </si>
  <si>
    <t>Carrer Josep Ximeno, 9, 17403 Sant Hilari Sacalm, Girona</t>
  </si>
  <si>
    <t>Sant Hilari Sacalm</t>
  </si>
  <si>
    <t>972 86 89 42</t>
  </si>
  <si>
    <t>Naturhouse</t>
  </si>
  <si>
    <t>Carrer de Sant Sebastià, 87, 17200 Palafrugell, Girona</t>
  </si>
  <si>
    <t>972 10 96 06</t>
  </si>
  <si>
    <t>La Bio·tica De La Lola</t>
  </si>
  <si>
    <t>Carrer de Primitiu Artigas, 20, 17257 Torroella de Montgrí, Girona</t>
  </si>
  <si>
    <t>972 76 01 08</t>
  </si>
  <si>
    <t>Centre de Dietètica i Herboristeria LA SALUT</t>
  </si>
  <si>
    <t>Rambla de Joaquim Ruyra, 99, 17300 Blanes, Girona</t>
  </si>
  <si>
    <t>872 02 58 02</t>
  </si>
  <si>
    <t>Carrer Sant Rafael, 1, 17600 Figueres, Girona</t>
  </si>
  <si>
    <t>lamenta.net</t>
  </si>
  <si>
    <t>972 67 52 25</t>
  </si>
  <si>
    <t>Urbandiet</t>
  </si>
  <si>
    <t>Calle Arengada Nord, 1, 17740 Vilafant, Girona</t>
  </si>
  <si>
    <t>Vilafant</t>
  </si>
  <si>
    <t>972 51 66 37</t>
  </si>
  <si>
    <t>Dietètica vital</t>
  </si>
  <si>
    <t>Rambla de Joaquim Ruyra, 67, 17300 Blanes, Girona</t>
  </si>
  <si>
    <t>972 33 65 41</t>
  </si>
  <si>
    <t>Herbo-Dietética la Tisana</t>
  </si>
  <si>
    <t>Carrer de l&amp;apos;Oliva, 45, 17310 Lloret de Mar, Girona</t>
  </si>
  <si>
    <t>972 36 66 97</t>
  </si>
  <si>
    <t>Herbolari BIOSANA CADAQUÉS</t>
  </si>
  <si>
    <t>Avinguda Caritat Serinyana, 10, 17488 Cadaqués, Girona</t>
  </si>
  <si>
    <t>Cadaqués</t>
  </si>
  <si>
    <t>669 15 04 57</t>
  </si>
  <si>
    <t>NATURSARA HOSTALRIC</t>
  </si>
  <si>
    <t>Av. Coronel Estrada, 124, 17450 Hostalric, Girona</t>
  </si>
  <si>
    <t>Hostalric</t>
  </si>
  <si>
    <t>natursara.juchheim-methode.de</t>
  </si>
  <si>
    <t>972 86 43 01</t>
  </si>
  <si>
    <t>info@juchheim-methode.de</t>
  </si>
  <si>
    <t>Panacea</t>
  </si>
  <si>
    <t>Carrer Dr. Fleming, 19, 17250 Platja d&amp;apos;Aro, Girona</t>
  </si>
  <si>
    <t>Platja d&amp;apos;Aro</t>
  </si>
  <si>
    <t>872 21 89 72</t>
  </si>
  <si>
    <t>Carrer del Progrés, 5, 17005 Girona</t>
  </si>
  <si>
    <t>972 40 18 10</t>
  </si>
  <si>
    <t>Eco Pi</t>
  </si>
  <si>
    <t>Carrer de Josep Mª Pellicer, 53, 17500 Ripoll, Girona</t>
  </si>
  <si>
    <t>Ripoll</t>
  </si>
  <si>
    <t>972 70 21 51</t>
  </si>
  <si>
    <t>Trebolari</t>
  </si>
  <si>
    <t>Carrer Girona, 23, 08901 L&amp;apos;Hospitalet de Llobregat, Barcelona</t>
  </si>
  <si>
    <t>930 07 60 80</t>
  </si>
  <si>
    <t>Mónica Panicot Llagostera</t>
  </si>
  <si>
    <t>Carrer del Pare Francesc Colí, 6, 17500 Ripoll, Girona</t>
  </si>
  <si>
    <t>972 70 36 61</t>
  </si>
  <si>
    <t>MACANETA online</t>
  </si>
  <si>
    <t>Carrer de Sant Josep, 61, 17310 Lloret de Mar, Girona</t>
  </si>
  <si>
    <t>macaneta.ueniweb.com</t>
  </si>
  <si>
    <t>972 37 17 46</t>
  </si>
  <si>
    <t>vnimaka@gmail.com</t>
  </si>
  <si>
    <t>Casa de les herbes</t>
  </si>
  <si>
    <t>Carrer de Girona, 56, 08521 Bellavista, Barcelona</t>
  </si>
  <si>
    <t>Bellavista</t>
  </si>
  <si>
    <t>938 46 65 48</t>
  </si>
  <si>
    <t>Herbolari el Ginebró</t>
  </si>
  <si>
    <t>Carrer de Núria, 8, 17534 Ribes de Freser, Girona</t>
  </si>
  <si>
    <t>Ribes de Freser</t>
  </si>
  <si>
    <t>679 16 84 68</t>
  </si>
  <si>
    <t>Solstici</t>
  </si>
  <si>
    <t>Carrer Amadeu Vives, 19, 08490 Tordera, Barcelona</t>
  </si>
  <si>
    <t>Tordera</t>
  </si>
  <si>
    <t>937 64 50 23</t>
  </si>
  <si>
    <t>The CBD Side Figueres</t>
  </si>
  <si>
    <t>Carrer dels Tints, 18, 17600 Figueres, Girona</t>
  </si>
  <si>
    <t>615 84 79 02</t>
  </si>
  <si>
    <t>Saudavel Herbolario</t>
  </si>
  <si>
    <t>Avinguda de la Independència, 10, 43850 Cambrils, Tarragona</t>
  </si>
  <si>
    <t>Cambrils</t>
  </si>
  <si>
    <t>Tarragona</t>
  </si>
  <si>
    <t>saudavelherbolario.es</t>
  </si>
  <si>
    <t>977 10 70 64</t>
  </si>
  <si>
    <t>info@saudavelherbolario.es</t>
  </si>
  <si>
    <t>Herbolario Navarro Alicante</t>
  </si>
  <si>
    <t>Av. de la Estación, 21, 03003 Alicante</t>
  </si>
  <si>
    <t>966 08 10 30</t>
  </si>
  <si>
    <t>Saudavel Herbolari</t>
  </si>
  <si>
    <t>Carrer de Roger de Llúria, 35, 43850 Cambrils, Tarragona</t>
  </si>
  <si>
    <t>977 36 20 60</t>
  </si>
  <si>
    <t>Herbolario Alegría</t>
  </si>
  <si>
    <t>Pl. San Antolín, 4, 30004 Murcia</t>
  </si>
  <si>
    <t>Murcia</t>
  </si>
  <si>
    <t>herbolarioalegria.com</t>
  </si>
  <si>
    <t>968 29 09 10</t>
  </si>
  <si>
    <t>hola@herbolarioalegria.com</t>
  </si>
  <si>
    <t>Herboristería Xarxa</t>
  </si>
  <si>
    <t>Avenida das Américas, 59, 27004 Lugo</t>
  </si>
  <si>
    <t>982 26 50 41</t>
  </si>
  <si>
    <t>Calle Montijo &amp;amp;, C. Infantes, 30001 Murcia</t>
  </si>
  <si>
    <t>968 21 67 70</t>
  </si>
  <si>
    <t>Herbolario La Hiedra</t>
  </si>
  <si>
    <t>Rúa Augusto González Besada, 10, 36001 Pontevedra</t>
  </si>
  <si>
    <t>Pontevedra</t>
  </si>
  <si>
    <t>herbolariolahiedra.com</t>
  </si>
  <si>
    <t>986 86 23 66</t>
  </si>
  <si>
    <t>herbolariolahiedra@gmail.com</t>
  </si>
  <si>
    <t>Salut Natura S C P</t>
  </si>
  <si>
    <t>Carrer Pica d&amp;apos;Estats, 21, 25006 Lleida</t>
  </si>
  <si>
    <t>Lérida</t>
  </si>
  <si>
    <t>Lleida</t>
  </si>
  <si>
    <t>973 27 00 15</t>
  </si>
  <si>
    <t>natural&amp;amp;ment</t>
  </si>
  <si>
    <t>Plaça Orvepard, nº5, 25005 Lleida</t>
  </si>
  <si>
    <t>973 67 00 76</t>
  </si>
  <si>
    <t>La Botiga De Saó</t>
  </si>
  <si>
    <t>C/ del Riu Ebre, 7, 25001 Lleida</t>
  </si>
  <si>
    <t>973 20 69 39</t>
  </si>
  <si>
    <t>La Botiga de la Cris</t>
  </si>
  <si>
    <t>Carrer Hostal de la Bordeta, 14, 25001 Lleida</t>
  </si>
  <si>
    <t>973 21 39 81</t>
  </si>
  <si>
    <t>Biòtic Herboristeria i Dietètica</t>
  </si>
  <si>
    <t>Gran Passeig de Ronda, 136, 25008 Lleida</t>
  </si>
  <si>
    <t>biotic-online.com</t>
  </si>
  <si>
    <t>973 26 80 40</t>
  </si>
  <si>
    <t>bioticlleida@gmail.com</t>
  </si>
  <si>
    <t>La Natura Dietètica</t>
  </si>
  <si>
    <t>Carrer Vallcalent, 38, 25006 Lleida</t>
  </si>
  <si>
    <t>973 27 16 14</t>
  </si>
  <si>
    <t>Santiveri Dietètica i Salut</t>
  </si>
  <si>
    <t>Carrer Caldereries, 3, 25002 Lleida</t>
  </si>
  <si>
    <t>973 27 23 95</t>
  </si>
  <si>
    <t>Herbalife. Distribuidor Independiente.</t>
  </si>
  <si>
    <t>Carrer Hostal de la Bordeta, 51, 25001 Lleida</t>
  </si>
  <si>
    <t>676 73 16 57</t>
  </si>
  <si>
    <t>Reed ecològica</t>
  </si>
  <si>
    <t>Carrer Cristófol de Boleda, 1, 25006 Lleida</t>
  </si>
  <si>
    <t>reedecologica.com</t>
  </si>
  <si>
    <t>973 26 59 25</t>
  </si>
  <si>
    <t>Hervabona</t>
  </si>
  <si>
    <t>Carrer Major, 181, 25180 Alcarràs, Lleida</t>
  </si>
  <si>
    <t>Alcarràs</t>
  </si>
  <si>
    <t>973 79 52 45</t>
  </si>
  <si>
    <t>Pedra Natural Altarriba</t>
  </si>
  <si>
    <t>Carrer de Sant Pere, 86, 25400 Borges Blanques (les), Lleida</t>
  </si>
  <si>
    <t>Les Borges Blanques</t>
  </si>
  <si>
    <t>973 14 08 19</t>
  </si>
  <si>
    <t>La Violeta</t>
  </si>
  <si>
    <t>Carrer de Sant Lluís, 16, 25600 Balaguer, Lleida</t>
  </si>
  <si>
    <t>Balaguer</t>
  </si>
  <si>
    <t>973 44 76 59</t>
  </si>
  <si>
    <t>Natura</t>
  </si>
  <si>
    <t>Ronda dels Comtes d&amp;apos;Urgell, 18, 25310 Agramunt, Lleida</t>
  </si>
  <si>
    <t>Agramunt</t>
  </si>
  <si>
    <t>973 39 23 35</t>
  </si>
  <si>
    <t>Carme</t>
  </si>
  <si>
    <t>Carrer Balmes, 1, 25230 Mollerussa, Lleida</t>
  </si>
  <si>
    <t>Mollerussa</t>
  </si>
  <si>
    <t>973 71 02 64</t>
  </si>
  <si>
    <t>Herbalife. Distribuidor Independiente</t>
  </si>
  <si>
    <t>Passatge Josep Irla, 5, 25600 Balaguer, Lleida</t>
  </si>
  <si>
    <t>L&amp;apos; Herbolari de la Mila</t>
  </si>
  <si>
    <t>Carrer Major, 30, 25100 Almacelles, Lleida</t>
  </si>
  <si>
    <t>Almacelles</t>
  </si>
  <si>
    <t>699 08 11 53</t>
  </si>
  <si>
    <t>Herbolari Artemisia</t>
  </si>
  <si>
    <t>Av. Guissona, 1, 25200 Cervera, Lleida</t>
  </si>
  <si>
    <t>Cervera</t>
  </si>
  <si>
    <t>973 53 12 31</t>
  </si>
  <si>
    <t>A Cova da Meiga</t>
  </si>
  <si>
    <t>Carrer de Sant Joan, 28, 25300 Tàrrega, Lleida</t>
  </si>
  <si>
    <t>Tàrrega</t>
  </si>
  <si>
    <t>617 02 93 60</t>
  </si>
  <si>
    <t>Tienda Esoterica La Bruixeta Mollerussa</t>
  </si>
  <si>
    <t>Carrer de Domènec Cardenal, 36, 25230 Mollerussa, Lleida</t>
  </si>
  <si>
    <t>esoterismolabruixeta.es</t>
  </si>
  <si>
    <t>677 12 37 02</t>
  </si>
  <si>
    <t>Herboristeria Nogué</t>
  </si>
  <si>
    <t>Cal Nogué, 25717 Ossera, Lleida</t>
  </si>
  <si>
    <t>Ossera</t>
  </si>
  <si>
    <t>herbesossera.com</t>
  </si>
  <si>
    <t>608 93 83 48</t>
  </si>
  <si>
    <t>Remeis</t>
  </si>
  <si>
    <t>Carrer dels Canonges, 23, 25700 La Seu d&amp;apos;Urgell, Lleida</t>
  </si>
  <si>
    <t>La Seu d&amp;apos;Urgell</t>
  </si>
  <si>
    <t>973 35 46 85</t>
  </si>
  <si>
    <t>L Estel</t>
  </si>
  <si>
    <t>Carrer de Llobera, 40, 25280 Solsona, Lleida</t>
  </si>
  <si>
    <t>Solsona</t>
  </si>
  <si>
    <t>973 48 26 83</t>
  </si>
  <si>
    <t>Aquí Natura</t>
  </si>
  <si>
    <t>Carrer de Balmes, 18, 25730 Artesa de Segre, Lleida</t>
  </si>
  <si>
    <t>Artesa de Segre</t>
  </si>
  <si>
    <t>973 40 23 04</t>
  </si>
  <si>
    <t>Niu de Salut Guissona</t>
  </si>
  <si>
    <t>Carrer Fluvià, 24, 25210 Guissona, Lleida</t>
  </si>
  <si>
    <t>Guissona</t>
  </si>
  <si>
    <t>973 55 23 76</t>
  </si>
  <si>
    <t>Herbes i coses</t>
  </si>
  <si>
    <t>Avinguda de Pau Clarís, 6, 25700 La Seu d&amp;apos;Urgell, Lleida</t>
  </si>
  <si>
    <t>espacioverdezen.com</t>
  </si>
  <si>
    <t>973 35 29 79</t>
  </si>
  <si>
    <t>La Botigueta de Tàrrega</t>
  </si>
  <si>
    <t>Carrer de Santa Maria, 9, 25300 Tàrrega, Lleida</t>
  </si>
  <si>
    <t>973 80 90 33</t>
  </si>
  <si>
    <t>Herbes de l&amp;apos;Alt Pirineu</t>
  </si>
  <si>
    <t>Carrer Unic Arahos, 35, 25573 Araós, Lleida</t>
  </si>
  <si>
    <t>Araós</t>
  </si>
  <si>
    <t>herbesdelaltpirineu.com</t>
  </si>
  <si>
    <t>655 92 77 80</t>
  </si>
  <si>
    <t>info@herbesdelaltpirineu.com</t>
  </si>
  <si>
    <t>Herbolaria Encarna</t>
  </si>
  <si>
    <t>Plaça de Dalt de la Vila, 6, 08560 Manlleu, Barcelona</t>
  </si>
  <si>
    <t>Manlleu</t>
  </si>
  <si>
    <t>938 51 06 55</t>
  </si>
  <si>
    <t>Natural Solarium</t>
  </si>
  <si>
    <t>Carrer de Sant Ermengol, 13, 25700 La Seu d&amp;apos;Urgell, Lleida</t>
  </si>
  <si>
    <t>973 35 46 03</t>
  </si>
  <si>
    <t>Productos Plantarom S.L.</t>
  </si>
  <si>
    <t>Carrer Prat de la Riba, 92, 25240 Linyola, Lleida</t>
  </si>
  <si>
    <t>Linyola</t>
  </si>
  <si>
    <t>973 57 52 16</t>
  </si>
  <si>
    <t>Herbolario Dioscórides Diego García Rodríguez</t>
  </si>
  <si>
    <t>Carrer de Montserrat, 53, 08140 Caldes de Montbui, Barcelona</t>
  </si>
  <si>
    <t>Caldes de Montbui</t>
  </si>
  <si>
    <t>938 65 41 38</t>
  </si>
  <si>
    <t>Es Quate Elements</t>
  </si>
  <si>
    <t>Carrer Pietat, 14, 25550 Bossòst, Lleida</t>
  </si>
  <si>
    <t>Bossòst</t>
  </si>
  <si>
    <t>665 91 55 58</t>
  </si>
  <si>
    <t>Productos ecológicos, dietética, suplementos nutricionales</t>
  </si>
  <si>
    <t>Carrer Llorenç Villalonga, 5, 43007 Tarragona</t>
  </si>
  <si>
    <t>simplyecological.es</t>
  </si>
  <si>
    <t>977 13 96 91</t>
  </si>
  <si>
    <t>tienda.online@simply.ecological.es</t>
  </si>
  <si>
    <t>Herbolario Navarro San Vicente</t>
  </si>
  <si>
    <t>C. de Sant Vicent Màrtir, 63, 46002 València, Valencia</t>
  </si>
  <si>
    <t>963 52 28 51</t>
  </si>
  <si>
    <t>Herboristería Toy</t>
  </si>
  <si>
    <t>Carrer Sant Benilde, 4, 43006 Tarragona</t>
  </si>
  <si>
    <t>977 54 52 05</t>
  </si>
  <si>
    <t>Innerbalance</t>
  </si>
  <si>
    <t>C/ J. Baptista Plana, 13, 43005 Tarragona</t>
  </si>
  <si>
    <t>Herbolari L&amp;apos;Oliu</t>
  </si>
  <si>
    <t>C. Mossèn Salvador Ritort i Faus, 11, 43002 Tarragona</t>
  </si>
  <si>
    <t>877 02 17 25</t>
  </si>
  <si>
    <t>La Ventana Natural Torreforta</t>
  </si>
  <si>
    <t>C/ de la Segarra, 29, 43006 Tarragona</t>
  </si>
  <si>
    <t>659 07 02 14</t>
  </si>
  <si>
    <t>Els Girasols Herbolari</t>
  </si>
  <si>
    <t>Carrer de la Merceria, 5, 43003 Tarragona</t>
  </si>
  <si>
    <t>977 23 78 34</t>
  </si>
  <si>
    <t>HERBOLIFE - el teu espai natural</t>
  </si>
  <si>
    <t>Bloc Coll de Lilla, local 2, 43007 Tarragona</t>
  </si>
  <si>
    <t>877 01 22 99</t>
  </si>
  <si>
    <t>Nutrim</t>
  </si>
  <si>
    <t>C/ Cristòfor Colom, nr. 1, bajo 2, 43001 Tarragona</t>
  </si>
  <si>
    <t>977 21 64 65</t>
  </si>
  <si>
    <t>LA VENTANA NATURAL TARRAGONA</t>
  </si>
  <si>
    <t>Carrer D`ECUADOR,3 B, San Pere I Sant San Pau, 43007 Tarragona</t>
  </si>
  <si>
    <t>977 11 35 49</t>
  </si>
  <si>
    <t>Simply Ecological Vegan (botiga ecològica vegana)</t>
  </si>
  <si>
    <t>Av. Catalunya, 30, 43002 Tarragona</t>
  </si>
  <si>
    <t>simply-ecological.es</t>
  </si>
  <si>
    <t>877 65 04 37</t>
  </si>
  <si>
    <t>nutri.ecological@gmail.com</t>
  </si>
  <si>
    <t>La Cistella Vermella</t>
  </si>
  <si>
    <t>Edificio Filipinas, 43007 Tarragona</t>
  </si>
  <si>
    <t>608 27 67 16</t>
  </si>
  <si>
    <t>Simply Ecological Vegan</t>
  </si>
  <si>
    <t>ARTEMISA HERBOLARIO</t>
  </si>
  <si>
    <t>Carrer d&amp;apos;Astorga, 34, 43205 Reus, Tarragona</t>
  </si>
  <si>
    <t>Reus</t>
  </si>
  <si>
    <t>877 07 21 24</t>
  </si>
  <si>
    <t>Mel del Padrí (Joan Viñas Clemente)</t>
  </si>
  <si>
    <t>Aiguamúrcia</t>
  </si>
  <si>
    <t>606 62 48 18</t>
  </si>
  <si>
    <t>Natura Herbolari</t>
  </si>
  <si>
    <t>Riera de Miró, 19, 43204 Reus, Tarragona</t>
  </si>
  <si>
    <t>naturaherbolari.com</t>
  </si>
  <si>
    <t>977 77 16 17</t>
  </si>
  <si>
    <t>Herboristeria Casa Pià</t>
  </si>
  <si>
    <t>Carrer Major, 10, 43201 Reus, Tarragona</t>
  </si>
  <si>
    <t>casapia.cat</t>
  </si>
  <si>
    <t>977 34 52 15</t>
  </si>
  <si>
    <t>Herbolario Salou</t>
  </si>
  <si>
    <t>Via Augusta, 3, 43840 Salou, Tarragona</t>
  </si>
  <si>
    <t>Salou</t>
  </si>
  <si>
    <t>698 49 86 25</t>
  </si>
  <si>
    <t>Les Herbes Salvatges</t>
  </si>
  <si>
    <t>Raval de Robuster, 19, 43204 Reus, Tarragona</t>
  </si>
  <si>
    <t>977 34 01 82</t>
  </si>
  <si>
    <t>La Bona Salut - Herbolari Online</t>
  </si>
  <si>
    <t>El Camí de Rubió, 10, 43206 Reus, Tarragona</t>
  </si>
  <si>
    <t>labonasalut.cat</t>
  </si>
  <si>
    <t>977 59 09 25</t>
  </si>
  <si>
    <t>Casa Pires Herbolario</t>
  </si>
  <si>
    <t>Carrer de Xavier Gambús, 1, LOCAL, 43202 Reus, Tarragona</t>
  </si>
  <si>
    <t>herbolariopires.com</t>
  </si>
  <si>
    <t>877 06 37 51</t>
  </si>
  <si>
    <t>info@herbolariopires.com</t>
  </si>
  <si>
    <t>Dietètica Cabré</t>
  </si>
  <si>
    <t>Carrer dels Jurats, 19, 43205 Reus, Tarragona</t>
  </si>
  <si>
    <t>977 31 52 55</t>
  </si>
  <si>
    <t>Herbolari Casa Pià</t>
  </si>
  <si>
    <t>Carrer de Sant Joan, 11, 43201 Reus, Tarragona</t>
  </si>
  <si>
    <t>977 32 31 42</t>
  </si>
  <si>
    <t>Dietètica Serpol</t>
  </si>
  <si>
    <t>Carrer de Baldomer Galofré, 2, 43205 Reus, Tarragona</t>
  </si>
  <si>
    <t>977 91 31 67</t>
  </si>
  <si>
    <t>Isotop</t>
  </si>
  <si>
    <t>Carrer Alcalde Manuel Sardà, 5, 43206 Reus, Tarragona</t>
  </si>
  <si>
    <t>658 88 55 14</t>
  </si>
  <si>
    <t>Josep Pià Casas</t>
  </si>
  <si>
    <t>Carrer de Cambrils, 0, 43204 Reus, Tarragona</t>
  </si>
  <si>
    <t>977 12 01 15</t>
  </si>
  <si>
    <t>Carrer de Pau Casals, 23, 43850 Cambrils, Tarragona</t>
  </si>
  <si>
    <t>977 91 88 79</t>
  </si>
  <si>
    <t>Natur 24 Scp</t>
  </si>
  <si>
    <t>Carrer del País Basc, 11, 43850 Cambrils, Tarragona</t>
  </si>
  <si>
    <t>977 36 00 60</t>
  </si>
  <si>
    <t>Botjar</t>
  </si>
  <si>
    <t>Carrer de l&amp;apos;Estela, 9, 43460 Alcover, Tarragona</t>
  </si>
  <si>
    <t>Alcover</t>
  </si>
  <si>
    <t>977 76 07 07</t>
  </si>
  <si>
    <t>Realment (+bio+eco)2</t>
  </si>
  <si>
    <t>Raval del Pallol, 10, 43201 Reus, Tarragona</t>
  </si>
  <si>
    <t>649 62 14 99</t>
  </si>
  <si>
    <t>Costa de la Peixateria, 3, 43800 Valls, Tarragona</t>
  </si>
  <si>
    <t>Valls</t>
  </si>
  <si>
    <t>977 61 21 83</t>
  </si>
  <si>
    <t>Farmaherbolis</t>
  </si>
  <si>
    <t>Plaça de l&amp;apos;Església, 5, Baixos, 43330 Riudoms, Tarragona</t>
  </si>
  <si>
    <t>Riudoms</t>
  </si>
  <si>
    <t>877 07 09 17</t>
  </si>
  <si>
    <t>Carrer de Montserrat, 13, 43700 El Vendrell, Tarragona</t>
  </si>
  <si>
    <t>El Vendrell</t>
  </si>
  <si>
    <t>lesbonesherbes.com</t>
  </si>
  <si>
    <t>977 66 81 02</t>
  </si>
  <si>
    <t>Tocs de Consciència</t>
  </si>
  <si>
    <t>Carrer Bisbe Palau, 18, 43800 Valls, Tarragona</t>
  </si>
  <si>
    <t>977 61 26 36</t>
  </si>
  <si>
    <t>Botiga de la Salut</t>
  </si>
  <si>
    <t>Carrer Alt, 14, 43700 El Vendrell, Tarragona</t>
  </si>
  <si>
    <t>labotigadelasalut.com</t>
  </si>
  <si>
    <t>977 66 37 37</t>
  </si>
  <si>
    <t>su-email@ejemplo.com</t>
  </si>
  <si>
    <t>Herbodietética Cunit</t>
  </si>
  <si>
    <t>Carrer Empar Nadal, 22, 43881 Cunit, Tarragona</t>
  </si>
  <si>
    <t>Cunit</t>
  </si>
  <si>
    <t>977 67 43 94</t>
  </si>
  <si>
    <t>Herboristería Nayades &amp;amp; centro de terapias</t>
  </si>
  <si>
    <t>Carrer de la Muralla, 15, 43720 Arboç (L&amp;apos;), Tarragona</t>
  </si>
  <si>
    <t>L&amp;apos;Arboç</t>
  </si>
  <si>
    <t>herboristerianayad.wixsite.com</t>
  </si>
  <si>
    <t>977 67 19 49</t>
  </si>
  <si>
    <t>Associació Tiferet. Curso Quiromasaje, Curso Reflexología, Reiki,Terapias, Tapping, Metamórfico</t>
  </si>
  <si>
    <t>PLAÇA CULTURA DE LA PAU 7, 43201 Reus, Tarragona</t>
  </si>
  <si>
    <t>621 03 20 01</t>
  </si>
  <si>
    <t>Dietética online - Dietética &amp;amp; Herbolario Online</t>
  </si>
  <si>
    <t>Camí de les Plantes, 1 cruce con, Carrer del Calvari, s/n, 43142 El Rourell, Tarragona</t>
  </si>
  <si>
    <t>El Rourell</t>
  </si>
  <si>
    <t>dieteticaonline.es</t>
  </si>
  <si>
    <t>977 12 01 13</t>
  </si>
  <si>
    <t>info@dieteticaonline.es</t>
  </si>
  <si>
    <t>Herboristeria del Mar</t>
  </si>
  <si>
    <t>Carrer de Montserrat, 17, 43820 Calafell, Tarragona</t>
  </si>
  <si>
    <t>Calafell</t>
  </si>
  <si>
    <t>977 07 80 12</t>
  </si>
  <si>
    <t>Viva Naturez</t>
  </si>
  <si>
    <t>Carrer Empar Nadal, 8, 43881 Cunit, Tarragona</t>
  </si>
  <si>
    <t>vivanaturez.com</t>
  </si>
  <si>
    <t>623 43 05 99</t>
  </si>
  <si>
    <t>Punt Natur All</t>
  </si>
  <si>
    <t>Carrer Salvador Espriu, 9, 43895 L&amp;apos;Ampolla, Tarragona</t>
  </si>
  <si>
    <t>L&amp;apos;Ampolla</t>
  </si>
  <si>
    <t>naturalsantiveri.com</t>
  </si>
  <si>
    <t>977 46 09 61</t>
  </si>
  <si>
    <t>Santuario Flora</t>
  </si>
  <si>
    <t>Partida Vinaixarop, 53, 43894 Camarles, Tarragona</t>
  </si>
  <si>
    <t>Camarles</t>
  </si>
  <si>
    <t>641 04 14 11</t>
  </si>
  <si>
    <t>Herbolario Espai Salut</t>
  </si>
  <si>
    <t>Carrer Sant Miquel, 16, 43560 La Sénia, Tarragona</t>
  </si>
  <si>
    <t>La Sénia</t>
  </si>
  <si>
    <t>espaisalud.es</t>
  </si>
  <si>
    <t>977 57 54 81</t>
  </si>
  <si>
    <t>info@espaisalud.es</t>
  </si>
  <si>
    <t>Santiveri Tortosa (Ferreries)</t>
  </si>
  <si>
    <t>Carrer de Tarragona, 12, 43500 Tortosa, Tarragona</t>
  </si>
  <si>
    <t>Tortosa</t>
  </si>
  <si>
    <t>977 58 80 99</t>
  </si>
  <si>
    <t>ALOHA PLANETA NATURAL</t>
  </si>
  <si>
    <t>Carrer de Corsini, 69, 43870 Amposta, Tarragona</t>
  </si>
  <si>
    <t>Amposta</t>
  </si>
  <si>
    <t>655 60 10 58</t>
  </si>
  <si>
    <t>Santiveri Amposta</t>
  </si>
  <si>
    <t>Carrer Major, 45, 43870 Amposta, Tarragona</t>
  </si>
  <si>
    <t>877 21 21 21</t>
  </si>
  <si>
    <t>CC La Salera, Av. Enrique Gimeno, 82, Local C02-03, 12006, Castellón</t>
  </si>
  <si>
    <t>Castellón de la Plana</t>
  </si>
  <si>
    <t>964 63 03 54</t>
  </si>
  <si>
    <t>Stop Natural</t>
  </si>
  <si>
    <t>C. de Caleruega, 29, 28033 Madrid</t>
  </si>
  <si>
    <t>herbolariostopnatural.com</t>
  </si>
  <si>
    <t>913 83 92 74</t>
  </si>
  <si>
    <t>Herbodietética Ecovital</t>
  </si>
  <si>
    <t>Carrer Sant Joan Bosco, 7, 03005 Alacant, Alicante</t>
  </si>
  <si>
    <t>herbolarioecovital.es</t>
  </si>
  <si>
    <t>965 92 59 93</t>
  </si>
  <si>
    <t>info@herbolarioecovital.es</t>
  </si>
  <si>
    <t>Máximo Aguirre Kalea, 17, BAJO, 48011 Bilbao, Biscay</t>
  </si>
  <si>
    <t>Bilbao</t>
  </si>
  <si>
    <t>santiveri.net</t>
  </si>
  <si>
    <t>944 43 65 96</t>
  </si>
  <si>
    <t>contacto@santiveri.net</t>
  </si>
  <si>
    <t>Herbolario Yedra</t>
  </si>
  <si>
    <t>Rúa de Alfonso X o Sabio, 6, bajo, 36211 Vigo, Pontevedra</t>
  </si>
  <si>
    <t>Vigo</t>
  </si>
  <si>
    <t>986 23 79 76</t>
  </si>
  <si>
    <t>Herbodietetica Las Colinas</t>
  </si>
  <si>
    <t>C. Palmito, nº 3, Local Izquierdo, 11204 Algeciras, Cádiz</t>
  </si>
  <si>
    <t>678 26 19 63</t>
  </si>
  <si>
    <t>Herbolario Salud Natural</t>
  </si>
  <si>
    <t>C. Isabel Cabral, 1, 51001 Ceuta</t>
  </si>
  <si>
    <t>Ceuta</t>
  </si>
  <si>
    <t>Santiveri Ceuta</t>
  </si>
  <si>
    <t>P.º de la Marina Española, 8, 51001 Ceuta</t>
  </si>
  <si>
    <t>856 92 48 33</t>
  </si>
  <si>
    <t>Herbolario Navarro Alicante Agatángelo Soler</t>
  </si>
  <si>
    <t>Pl. del Alcalde Agatángelo Soler, 6, 03015 Alicante</t>
  </si>
  <si>
    <t>966 10 04 93</t>
  </si>
  <si>
    <t>Akinatura</t>
  </si>
  <si>
    <t>Av. Catedratico Soler, 38, 03007 Alicante</t>
  </si>
  <si>
    <t>akinatura.es</t>
  </si>
  <si>
    <t>966 08 35 79</t>
  </si>
  <si>
    <t>HERBOLDIET Alicante</t>
  </si>
  <si>
    <t>C/ Pintor Lorenzo Casanova, 39, 03003 Alacant, Alicante</t>
  </si>
  <si>
    <t>herboldiet.com</t>
  </si>
  <si>
    <t>966 20 10 31</t>
  </si>
  <si>
    <t>HERBORISTERIA CERAMICA PASCUAL</t>
  </si>
  <si>
    <t>Av. Alfonso El Sabio, 15, 03001 Alicante</t>
  </si>
  <si>
    <t>965 14 01 39</t>
  </si>
  <si>
    <t>Herbolario Botiga de Salud</t>
  </si>
  <si>
    <t>Comercial Venecia, Avinguda de la Costa Blanca, 21, Local 28, Centro, 03540 Alicante</t>
  </si>
  <si>
    <t>965 15 41 20</t>
  </si>
  <si>
    <t>Herboristería la Quintaesencia C.B.</t>
  </si>
  <si>
    <t>C. Poeta Sansano, 32, 03010 Alicante</t>
  </si>
  <si>
    <t>965 18 56 26</t>
  </si>
  <si>
    <t>Antonio Guerrero Rodríguez</t>
  </si>
  <si>
    <t>C. Padre Recaredo de Los Rios, 57, 03005 Alicante</t>
  </si>
  <si>
    <t>965 12 55 24</t>
  </si>
  <si>
    <t>Galymar</t>
  </si>
  <si>
    <t>C/ València, 15, 03012 Alacant, Alicante</t>
  </si>
  <si>
    <t>965 21 85 52</t>
  </si>
  <si>
    <t>HERBODIETETICA LA FUENTE</t>
  </si>
  <si>
    <t>Avinguda Jaume I, 12, 03009 Alacant, Alicante</t>
  </si>
  <si>
    <t>966 57 54 71</t>
  </si>
  <si>
    <t>Herba Sana Herboristería</t>
  </si>
  <si>
    <t>C. Monforte del Cid, 1, 03012 Alicante</t>
  </si>
  <si>
    <t>Biotika / Kunga - Alimentos Dietéticos y Naturales</t>
  </si>
  <si>
    <t>Pl. Nueva, 17, 03001 Alicante</t>
  </si>
  <si>
    <t>biotikatienda.com</t>
  </si>
  <si>
    <t>965 20 86 00</t>
  </si>
  <si>
    <t>Herbolario Nadin Internacional Dietetica SL</t>
  </si>
  <si>
    <t>Plaza Calvo Sotelo, 18, 03001 Alicante</t>
  </si>
  <si>
    <t>965 21 14 68</t>
  </si>
  <si>
    <t>Naturali Es</t>
  </si>
  <si>
    <t>C. Bailarín José Espadero, 16, 03015 Alicante</t>
  </si>
  <si>
    <t>618 61 11 54</t>
  </si>
  <si>
    <t>Mama Tierra</t>
  </si>
  <si>
    <t>CC FONTANA, Av. de Holanda, 12, LOCAL 38, 03540 Alacant, Alicante</t>
  </si>
  <si>
    <t>dieteticamamatierra.com</t>
  </si>
  <si>
    <t>687 43 86 69</t>
  </si>
  <si>
    <t>Agua de Ríos</t>
  </si>
  <si>
    <t>Carrer Castaños, 42, 03001 Alacant, Alicante</t>
  </si>
  <si>
    <t>600 89 53 66</t>
  </si>
  <si>
    <t>Juan Andrés Cantos Requena</t>
  </si>
  <si>
    <t>Gaia Herbal Shop</t>
  </si>
  <si>
    <t>Av. de la Estación, 5, C.C La Fnac, local 38, 03003 Alicante</t>
  </si>
  <si>
    <t>965 92 85 08</t>
  </si>
  <si>
    <t>Corpore Nature</t>
  </si>
  <si>
    <t>Calle Deportista Navarro Olcina, 13, 03015 Alicante</t>
  </si>
  <si>
    <t>674 20 07 50</t>
  </si>
  <si>
    <t>Herbolario San Gabriel</t>
  </si>
  <si>
    <t>03008 Alicante (Alacant), Alicante</t>
  </si>
  <si>
    <t>965 10 05 44</t>
  </si>
  <si>
    <t>Apoyos Médicos Optima Sports S L</t>
  </si>
  <si>
    <t>Calle Dr. Gadea, 11, 03550 Sant Joan d&amp;apos;Alacant, Alicante</t>
  </si>
  <si>
    <t>San Juan de Alicante</t>
  </si>
  <si>
    <t>965 65 77 87</t>
  </si>
  <si>
    <t>Herboristería Quinto</t>
  </si>
  <si>
    <t>C. Francisco Montero Pérez, 38, 03009 Alicante</t>
  </si>
  <si>
    <t>herboristeriaquinto.com</t>
  </si>
  <si>
    <t>692 66 18 07</t>
  </si>
  <si>
    <t>pedidos@herboristeriaquinto.com</t>
  </si>
  <si>
    <t>Herbolario Salud Natural Sanvicente</t>
  </si>
  <si>
    <t>C. Gral. Ibáñez, 8, 03690 Sant Vicent del Raspeig, Alicante</t>
  </si>
  <si>
    <t>San Vicente del Raspeig</t>
  </si>
  <si>
    <t>865 80 21 93</t>
  </si>
  <si>
    <t>herbodietetica madreselva</t>
  </si>
  <si>
    <t>C. Pintor Picasso, 60, 03690 Sant Vicent del Raspeig, Alicante</t>
  </si>
  <si>
    <t>965 67 11 41</t>
  </si>
  <si>
    <t>El Jardín de Nung</t>
  </si>
  <si>
    <t>Agost</t>
  </si>
  <si>
    <t>eljardindenung.com</t>
  </si>
  <si>
    <t>611 42 40 21</t>
  </si>
  <si>
    <t>info@eljardindenung.com</t>
  </si>
  <si>
    <t>Parafarmacia Mediterranea</t>
  </si>
  <si>
    <t>Av. Padre Espla, 39, 03013 Alicante</t>
  </si>
  <si>
    <t>965 14 33 79</t>
  </si>
  <si>
    <t>C. Pintor Antonio Amorós, 4, 03015 Alicante</t>
  </si>
  <si>
    <t>965 15 22 06</t>
  </si>
  <si>
    <t>Radha-Kunda Herbolario</t>
  </si>
  <si>
    <t>Calle Dr. Fleming, 46, 03690 Sant Vicent del Raspeig, Alicante</t>
  </si>
  <si>
    <t>radha-kunda.com</t>
  </si>
  <si>
    <t>info@radha-kunda.com</t>
  </si>
  <si>
    <t>Eduardo Plaza López</t>
  </si>
  <si>
    <t>C. Onil, 2, 03207 Altabix, Alicante</t>
  </si>
  <si>
    <t>Altabix</t>
  </si>
  <si>
    <t>965 45 58 67</t>
  </si>
  <si>
    <t>Herboristería Osuna</t>
  </si>
  <si>
    <t>Calle Dr. Fleming, 37, 03690 Sant Vicent del Raspeig, Alicante</t>
  </si>
  <si>
    <t>Sense Alimentacion</t>
  </si>
  <si>
    <t>Plaza Sta. Faz, 4, 03690 Sant Vicent del Raspeig, Alicante</t>
  </si>
  <si>
    <t>glutencero.es</t>
  </si>
  <si>
    <t>966 14 42 59</t>
  </si>
  <si>
    <t>Sabor de la Tierra</t>
  </si>
  <si>
    <t>Carre Mare de Déu del Pilar, nº68 bajo, 03110 Mutxamel, Alicante</t>
  </si>
  <si>
    <t>Mutxamel</t>
  </si>
  <si>
    <t>965 95 64 56</t>
  </si>
  <si>
    <t>Herbolario online DeNatural | Productos Naturales</t>
  </si>
  <si>
    <t>Carrer Artes Gráficas, 1, 03690 Sant Vicent del Raspeig, Alicante</t>
  </si>
  <si>
    <t>denatural.es</t>
  </si>
  <si>
    <t>865 86 61 02</t>
  </si>
  <si>
    <t>info@denatural.es</t>
  </si>
  <si>
    <t>Herbolario El Arbol De La Vida</t>
  </si>
  <si>
    <t>Carrer les Acàcies, nº 12, 03320 Torre del Pla, Alicante</t>
  </si>
  <si>
    <t>Torrellano</t>
  </si>
  <si>
    <t>645 41 85 49</t>
  </si>
  <si>
    <t>Farmaltet, Herboristería y Parafarmacia</t>
  </si>
  <si>
    <t>Carrer Alacant, nº 2, 03195 L&amp;apos;Altet, Alicante</t>
  </si>
  <si>
    <t>El Altet</t>
  </si>
  <si>
    <t>965 68 76 68</t>
  </si>
  <si>
    <t>Herboristería el altet</t>
  </si>
  <si>
    <t>Carrer Galeote, 8, 03195 L&amp;apos;Altet, Alicante</t>
  </si>
  <si>
    <t>697 74 87 35</t>
  </si>
  <si>
    <t>Herbodiet</t>
  </si>
  <si>
    <t>Carrer de Sant Francesc, 8, Carrer de Sant Francesc, Nº8, Local 2, 03560 El Campello, Alicante</t>
  </si>
  <si>
    <t>herbodiet.com</t>
  </si>
  <si>
    <t>966 37 20 68</t>
  </si>
  <si>
    <t>pedidos@herbodiet.com</t>
  </si>
  <si>
    <t>Pepa Garri: Herbolario, Dietética y Nutrición</t>
  </si>
  <si>
    <t>Carrer Marquès Molins, 16, 03130 Santa Pola, Alicante</t>
  </si>
  <si>
    <t>Santa Pola</t>
  </si>
  <si>
    <t>965 41 63 90</t>
  </si>
  <si>
    <t>La Ventana Natural Santa Pola</t>
  </si>
  <si>
    <t>Calle Iglesia, Nº 8, 03130 Santa Pola, Alicante</t>
  </si>
  <si>
    <t>865 71 30 41</t>
  </si>
  <si>
    <t>Herbolario Marga</t>
  </si>
  <si>
    <t>Calle Obispo Winibal, 38, 03202 Elche, Alicante</t>
  </si>
  <si>
    <t>Elche</t>
  </si>
  <si>
    <t>herbolariomarga.com</t>
  </si>
  <si>
    <t>965 42 03 85</t>
  </si>
  <si>
    <t>Herbolario Mundo Natural</t>
  </si>
  <si>
    <t>Carrer Camí dels Magros, 3, 03206 Elx, Alicante</t>
  </si>
  <si>
    <t>965 46 64 91</t>
  </si>
  <si>
    <t>Herbolario Navarro Elche</t>
  </si>
  <si>
    <t>Carrer Corredora, 29, 03202 Elx, Alicante</t>
  </si>
  <si>
    <t>966 20 99 89</t>
  </si>
  <si>
    <t>Fuente de la Salud</t>
  </si>
  <si>
    <t>Carrer Gabriel Miró, 17, 03130 Santa Pola, Alicante</t>
  </si>
  <si>
    <t>966 69 15 35</t>
  </si>
  <si>
    <t>Herborístería La Clau</t>
  </si>
  <si>
    <t>C/ Major, 12, 03130 Santa Pola, Alicante</t>
  </si>
  <si>
    <t>herboristerialaclau.es</t>
  </si>
  <si>
    <t>965 41 52 42</t>
  </si>
  <si>
    <t>Herbolario la casa natural</t>
  </si>
  <si>
    <t>n°22, Av. de la Constitución, 03660 Novelda, Alicante</t>
  </si>
  <si>
    <t>Novelda</t>
  </si>
  <si>
    <t>965 08 33 78</t>
  </si>
  <si>
    <t>El Racó Natural</t>
  </si>
  <si>
    <t>C. Vicent Andrés Estellés, 18, 03202 Elx, Alicante</t>
  </si>
  <si>
    <t>966 29 09 06</t>
  </si>
  <si>
    <t>herbolario Radha Kunda</t>
  </si>
  <si>
    <t>Carrer José Grau Niñoles, 18, 03205 Elx, Alicante</t>
  </si>
  <si>
    <t>634 58 80 82</t>
  </si>
  <si>
    <t>Herbolario Pléyades</t>
  </si>
  <si>
    <t>Carrer Verge dels Desemparats, 50, Bajos, 03660 Novelda, Alicante</t>
  </si>
  <si>
    <t>966 19 78 20</t>
  </si>
  <si>
    <t>Herbolario Artemisa</t>
  </si>
  <si>
    <t>Carrer Manuel Garrigós Alberola, 8, 03202 Elx, Alicante</t>
  </si>
  <si>
    <t>herbolarioartemisa.es</t>
  </si>
  <si>
    <t>965 42 08 17</t>
  </si>
  <si>
    <t>info@herbolarioartemisa.es</t>
  </si>
  <si>
    <t>Herbolari Dietética y Salud</t>
  </si>
  <si>
    <t>Carrer Reis Catòlics, 15, 03440 Ibi, Alicante</t>
  </si>
  <si>
    <t>Ibi</t>
  </si>
  <si>
    <t>966 55 24 24</t>
  </si>
  <si>
    <t>HERBOLARIO RHAZES</t>
  </si>
  <si>
    <t>C. Reyes Católicos, 60, 03600 Elda, Alicante</t>
  </si>
  <si>
    <t>Elda</t>
  </si>
  <si>
    <t>herbolariorhazes.com</t>
  </si>
  <si>
    <t>965 39 05 02</t>
  </si>
  <si>
    <t>asesor7229@tlvpaginasamarillas.es</t>
  </si>
  <si>
    <t>AKINATURA ELCHE</t>
  </si>
  <si>
    <t>Carrer Andreu Castillejos, 12, 03201 Elx, Alicante</t>
  </si>
  <si>
    <t>865 72 15 52</t>
  </si>
  <si>
    <t>Herbolario Révola</t>
  </si>
  <si>
    <t>Av. de Madrid, 7, 03330 Crevillent, Alicante</t>
  </si>
  <si>
    <t>Crevillente</t>
  </si>
  <si>
    <t>607 01 76 82</t>
  </si>
  <si>
    <t>Centro Dietético Elche</t>
  </si>
  <si>
    <t>C. Pere Joan Perpinyà, 13, 03204 Elx, Alicante</t>
  </si>
  <si>
    <t>695 85 85 88</t>
  </si>
  <si>
    <t>Herbolario Iris</t>
  </si>
  <si>
    <t>C. Pablo Picasso, 79, 03600 Elda, Alicante</t>
  </si>
  <si>
    <t>965 38 05 27</t>
  </si>
  <si>
    <t>Herbolario-yoga NIMAGAI</t>
  </si>
  <si>
    <t>C. Joaquín González, 2, 03170 Rojales, Alicante</t>
  </si>
  <si>
    <t>Rojales</t>
  </si>
  <si>
    <t>Herbolario Dosol</t>
  </si>
  <si>
    <t>Carrer de Tomàs Ortuño, 38, 03501 Benidorm, Alicante</t>
  </si>
  <si>
    <t>Benidorm</t>
  </si>
  <si>
    <t>965 86 93 23</t>
  </si>
  <si>
    <t>Farmaplant SL</t>
  </si>
  <si>
    <t>Calle Juan Carlos I, 49, 03600 Elda, Alicante</t>
  </si>
  <si>
    <t>965 38 64 39</t>
  </si>
  <si>
    <t>Herbolario - Dietética - Iris - Elche - Terapia Craneosacral</t>
  </si>
  <si>
    <t>Carrer del Capità Antoni Mena, 42, 03201 Elx, Alicante</t>
  </si>
  <si>
    <t>irissaludnatural.es</t>
  </si>
  <si>
    <t>966 66 19 33</t>
  </si>
  <si>
    <t>info@irissaludnatural.es</t>
  </si>
  <si>
    <t>Herboristería Salud Natural</t>
  </si>
  <si>
    <t>Plaza San Vicente, 1, 03430 Onil, Alicante</t>
  </si>
  <si>
    <t>Onil</t>
  </si>
  <si>
    <t>626 68 71 96</t>
  </si>
  <si>
    <t>La Tienda Amarilla. Herbolario y Ecotienda - CRUCE</t>
  </si>
  <si>
    <t>Carrer de Tomàs Ortuño, 94, 03501 Benidorm, Alicante</t>
  </si>
  <si>
    <t>latiendaamarilla.com</t>
  </si>
  <si>
    <t>965 86 47 18</t>
  </si>
  <si>
    <t>info@latiendaamarilla.com</t>
  </si>
  <si>
    <t>Marso Salud</t>
  </si>
  <si>
    <t>C. Poeta Zorrilla, 27, 03600 Elda, Alicante</t>
  </si>
  <si>
    <t>marsosalud.es</t>
  </si>
  <si>
    <t>616 04 65 35</t>
  </si>
  <si>
    <t>nievesmarsosalud@gmail.com</t>
  </si>
  <si>
    <t>ikigaisaludconsciente</t>
  </si>
  <si>
    <t>Fco.Quevedo, Urbanizacion la Marina, local 14, 03177 San Fulgencio, Alicante</t>
  </si>
  <si>
    <t>San Fulgencio</t>
  </si>
  <si>
    <t>ikigaisaludconsciente.com</t>
  </si>
  <si>
    <t>640 66 57 38</t>
  </si>
  <si>
    <t>info@ikigaisaludconsciente.com</t>
  </si>
  <si>
    <t>Herbolario Radha Kunda</t>
  </si>
  <si>
    <t>C. Pedrito Rico, 7, 03600 Elda, Alicante</t>
  </si>
  <si>
    <t>965 38 72 90</t>
  </si>
  <si>
    <t>Herbolario la tisana</t>
  </si>
  <si>
    <t>Carrer Sant Tomas, 03330 Crevillent, Alicante</t>
  </si>
  <si>
    <t>966 23 05 52</t>
  </si>
  <si>
    <t>Crevi-Salud</t>
  </si>
  <si>
    <t>Mercado de abastos de, Alicante</t>
  </si>
  <si>
    <t>965 40 32 84</t>
  </si>
  <si>
    <t>Pl. Cervantes, 12, 03630 Sax, Alicante</t>
  </si>
  <si>
    <t>Sax</t>
  </si>
  <si>
    <t>965 47 48 78</t>
  </si>
  <si>
    <t>Dietetica Nieves</t>
  </si>
  <si>
    <t>C. Granada, 19, 03680 Aspe, Alicante</t>
  </si>
  <si>
    <t>Aspe</t>
  </si>
  <si>
    <t>Krauterhaus Sankt Bernhard S.L.</t>
  </si>
  <si>
    <t>C. Gambo, 3, 03501 Benidorm, Alicante</t>
  </si>
  <si>
    <t>965 85 86 63</t>
  </si>
  <si>
    <t>Herbolario Passiflora</t>
  </si>
  <si>
    <t>C/ del Marqués de Comillas, 13, 03501 Benidorm, Alicante</t>
  </si>
  <si>
    <t>689 17 08 55</t>
  </si>
  <si>
    <t>Herbodietética Iniesta</t>
  </si>
  <si>
    <t>C. Velázquez, 17, 03600 Elda, Alicante</t>
  </si>
  <si>
    <t>965 39 38 40</t>
  </si>
  <si>
    <t>VIDA SANA Herbolario - Dietetica</t>
  </si>
  <si>
    <t>Av. de Madrid, 34, 03610 Petrer, Alicante</t>
  </si>
  <si>
    <t>Petrer</t>
  </si>
  <si>
    <t>965 37 66 99</t>
  </si>
  <si>
    <t>Herbolario las gemelas</t>
  </si>
  <si>
    <t>Av. Alfonso XIII, 43, 03600 Elda, Alicante</t>
  </si>
  <si>
    <t>herbolariolasgemelas.com</t>
  </si>
  <si>
    <t>688 70 28 90</t>
  </si>
  <si>
    <t>hola@herbolariolasgemelas.com</t>
  </si>
  <si>
    <t>Autentico Original Bibi</t>
  </si>
  <si>
    <t>Carrer Doctor Álvaro Esquerdo, 29, 03570 La Vila Joiosa, Alicante</t>
  </si>
  <si>
    <t>Villajoyosa</t>
  </si>
  <si>
    <t>autenticooriginalbibi.es</t>
  </si>
  <si>
    <t>603 12 83 90</t>
  </si>
  <si>
    <t>autenticooriginalbibi@gmail.com</t>
  </si>
  <si>
    <t>Eco-tienda Mhenta</t>
  </si>
  <si>
    <t>C. Teodoro Alenda, 19, 03680 Aspe, Alicante</t>
  </si>
  <si>
    <t>mhenta.com</t>
  </si>
  <si>
    <t>965 49 49 02</t>
  </si>
  <si>
    <t>tiendaonline@mhenta.com</t>
  </si>
  <si>
    <t>Herbolario La Botica de Amalia</t>
  </si>
  <si>
    <t>C. Caballero de Rodas, 34, 03181 Torrevieja, Alicante</t>
  </si>
  <si>
    <t>Torrevieja</t>
  </si>
  <si>
    <t>laboticadeamalia.com</t>
  </si>
  <si>
    <t>966 92 81 30</t>
  </si>
  <si>
    <t>info@laboticadeamalia.com</t>
  </si>
  <si>
    <t>Herbolario Ceres</t>
  </si>
  <si>
    <t>C. Pi y Margall, 10, 03600 Elda, Alicante</t>
  </si>
  <si>
    <t>965 38 32 80</t>
  </si>
  <si>
    <t>NATURALmente Hondon</t>
  </si>
  <si>
    <t>C. Horno, 4, 03688 El Fondó de les Neus, Alicante</t>
  </si>
  <si>
    <t>Hondón de las Nieves</t>
  </si>
  <si>
    <t>617 17 57 49</t>
  </si>
  <si>
    <t>ECOTIENDA LA FLOR DE LA VIDA</t>
  </si>
  <si>
    <t>C. Montesineros Ausentes, Nº4, 03187 Los Montesinos, Alicante</t>
  </si>
  <si>
    <t>Los Montesinos</t>
  </si>
  <si>
    <t>966 72 05 66</t>
  </si>
  <si>
    <t>Herbolario Nectar</t>
  </si>
  <si>
    <t>Mercado Central de, Calle Juan Carlos I, pto, 16, 03600 Elda, Alicante</t>
  </si>
  <si>
    <t>635 81 80 76</t>
  </si>
  <si>
    <t>HERBOLARIO EL RINCON</t>
  </si>
  <si>
    <t>C. de Londres, 03503 Benidorm, Alicante</t>
  </si>
  <si>
    <t>966 80 99 32</t>
  </si>
  <si>
    <t>Herbolario Torrevieja | Esencias de la Tierra</t>
  </si>
  <si>
    <t>C. Maria Parodi, 1, 03181 Torrevieja, Alicante</t>
  </si>
  <si>
    <t>somostorrevieja.com</t>
  </si>
  <si>
    <t>965 08 42 68</t>
  </si>
  <si>
    <t>info@somostorrevieja.com</t>
  </si>
  <si>
    <t>Herbodietetica Mariola</t>
  </si>
  <si>
    <t>C. Sant Tomàs, 21, 03801 Alcoi, Alicante</t>
  </si>
  <si>
    <t>Alcoy</t>
  </si>
  <si>
    <t>965 54 70 09</t>
  </si>
  <si>
    <t>Montserrat Pascual Alborch</t>
  </si>
  <si>
    <t>Passeig del Comtat, 22, 03820 Cocentaina, Alicante</t>
  </si>
  <si>
    <t>Cocentaina</t>
  </si>
  <si>
    <t>ArtJova - Inciensos Naturales Artesanos en Alicante</t>
  </si>
  <si>
    <t>LA BENIATA, Carrer Filà Verds, 4, 03802 Alcoi, Alicante</t>
  </si>
  <si>
    <t>inciensosnaturales.com</t>
  </si>
  <si>
    <t>615 63 13 52</t>
  </si>
  <si>
    <t>no-reply@inciensosnaturales.com</t>
  </si>
  <si>
    <t>Herbolario Aloe&amp;apos;s</t>
  </si>
  <si>
    <t>C. Caballero de Rodas, 74, 03182 Torrevieja, Alicante</t>
  </si>
  <si>
    <t>965 59 80 91</t>
  </si>
  <si>
    <t>Herbolario Health Shop</t>
  </si>
  <si>
    <t>ALFREDO NOBEL 220 EDIFICIO LOMAS PLAYA IV Nº 103, 03188 La Mata, Alicante</t>
  </si>
  <si>
    <t>La Mata</t>
  </si>
  <si>
    <t>Aguamarina C.B.</t>
  </si>
  <si>
    <t>Calle Cristóbal Amoro, 12, 03400 Villena, Alicante</t>
  </si>
  <si>
    <t>Villena</t>
  </si>
  <si>
    <t>965 34 10 06</t>
  </si>
  <si>
    <t>Carrer els Alçamora, 37, 03802 Alcoi, Alicante</t>
  </si>
  <si>
    <t>herbodieteticavida.com</t>
  </si>
  <si>
    <t>965 33 78 02</t>
  </si>
  <si>
    <t>info@herbodieteticamariola.com</t>
  </si>
  <si>
    <t>Herbolario Navarro Orihuela</t>
  </si>
  <si>
    <t>Pl. Nueva, 7, 03300 Orihuela, Alicante</t>
  </si>
  <si>
    <t>Orihuela</t>
  </si>
  <si>
    <t>966 34 02 85</t>
  </si>
  <si>
    <t>Herboristeria Lalu</t>
  </si>
  <si>
    <t>Santiago el Mayor, 46, 03340 Albatera, Alicante</t>
  </si>
  <si>
    <t>Albatera</t>
  </si>
  <si>
    <t>965 48 53 86</t>
  </si>
  <si>
    <t>HERBOLARIO LA ROSA</t>
  </si>
  <si>
    <t>C. San Agustín, 16, 03300 Orihuela, Alicante</t>
  </si>
  <si>
    <t>606 74 73 11</t>
  </si>
  <si>
    <t>Zenia Natural - Herbolario. Health Shop, Massage &amp;amp; Acupuncture</t>
  </si>
  <si>
    <t>C. San Antonio Zen, 5, Local 10, 03189 La Zenia, Alicante</t>
  </si>
  <si>
    <t>La Zenia</t>
  </si>
  <si>
    <t>zenianatural.es</t>
  </si>
  <si>
    <t>865 51 47 72</t>
  </si>
  <si>
    <t>info@zenianatural.es</t>
  </si>
  <si>
    <t>HERBOLARIO SANSANO</t>
  </si>
  <si>
    <t>C. Aragon, 11, 03300 Orihuela, Alicante</t>
  </si>
  <si>
    <t>966 74 35 94</t>
  </si>
  <si>
    <t>Herbolario Lomas Natural</t>
  </si>
  <si>
    <t>Frente al Rte Sunshine, Av. Alfredo Nobel, 211, 220, 03183 Torrevieja, Alicante</t>
  </si>
  <si>
    <t>689 93 65 98</t>
  </si>
  <si>
    <t>Krauterhaus Sankt Bernhard</t>
  </si>
  <si>
    <t>Av. Gabriel Miró, 7, 03710 Calp, Alicante</t>
  </si>
  <si>
    <t>Calpe</t>
  </si>
  <si>
    <t>965 83 68 07</t>
  </si>
  <si>
    <t>Herbolario La ventana natural Benissa</t>
  </si>
  <si>
    <t>Carrer Nou, n15, 03720 Benissa, Alicante</t>
  </si>
  <si>
    <t>Benisa</t>
  </si>
  <si>
    <t>laventananaturalbenissa.com</t>
  </si>
  <si>
    <t>965 73 09 57</t>
  </si>
  <si>
    <t>info@laventananaturalbenissa.com</t>
  </si>
  <si>
    <t>Dietetica, miel natural</t>
  </si>
  <si>
    <t>Av. de Benidorm, 12, 03792 Parcent, Alicante</t>
  </si>
  <si>
    <t>Parcent</t>
  </si>
  <si>
    <t>966 40 54 66</t>
  </si>
  <si>
    <t>Otro Mundo</t>
  </si>
  <si>
    <t>Calle, Cmo de los Almendros, 2, 03315 La Murada, Alicante</t>
  </si>
  <si>
    <t>La Murada</t>
  </si>
  <si>
    <t>622 72 72 82</t>
  </si>
  <si>
    <t>Herbolario Navarro Dénia</t>
  </si>
  <si>
    <t>Carrer del Marqués de Campo, 60, 03700 Dénia, Alicante</t>
  </si>
  <si>
    <t>Denia</t>
  </si>
  <si>
    <t>966 43 05 94</t>
  </si>
  <si>
    <t>Grupo Lab. Nale</t>
  </si>
  <si>
    <t>Carrer Galícia, 17, A, 03640 Monòver, Alicante</t>
  </si>
  <si>
    <t>Monóvar</t>
  </si>
  <si>
    <t>laboratoriosnale.com</t>
  </si>
  <si>
    <t>966 96 02 32</t>
  </si>
  <si>
    <t>info@laboratoriosnale.com</t>
  </si>
  <si>
    <t>Herbolario D. Mora</t>
  </si>
  <si>
    <t>Carrer del Filet de Fora, 86, 03203 Elx, Alicante</t>
  </si>
  <si>
    <t>688 79 49 74</t>
  </si>
  <si>
    <t>Barrachina</t>
  </si>
  <si>
    <t>Carrer d&amp;apos;Alcossebre, 19, 12100 El Grao de Castellón, Castelló</t>
  </si>
  <si>
    <t>El Grao de Castellón</t>
  </si>
  <si>
    <t>964 28 86 34</t>
  </si>
  <si>
    <t>Herbolario Navarro Castelló</t>
  </si>
  <si>
    <t>Plaça Real, 1, 12001 Castelló de la Plana, Castelló</t>
  </si>
  <si>
    <t>964 21 50 86</t>
  </si>
  <si>
    <t>Espai Verd Castellon</t>
  </si>
  <si>
    <t>Av. dels Germans Bou, 11, bajo, 12003 Castelló de la Plana, Castelló</t>
  </si>
  <si>
    <t>964 05 16 26</t>
  </si>
  <si>
    <t>Herbolario el Camino Natural Castellón</t>
  </si>
  <si>
    <t>Carrer Riu de la Senia, 3, BAJO, 12005 Castellón de la Plana, Castellón</t>
  </si>
  <si>
    <t>693 69 66 87</t>
  </si>
  <si>
    <t>HERBOLARIO HERBALIA</t>
  </si>
  <si>
    <t>Carrer d&amp;apos;Enmig, 105, 12001 Castelló de la Plana, Castelló</t>
  </si>
  <si>
    <t>herbalia.es</t>
  </si>
  <si>
    <t>964 25 52 57</t>
  </si>
  <si>
    <t>Herboristería Barrachina</t>
  </si>
  <si>
    <t>Rda. del Millars, 97, 12002 Castellón de la Plana, Castellón</t>
  </si>
  <si>
    <t>964 25 73 54</t>
  </si>
  <si>
    <t>Regims C.b</t>
  </si>
  <si>
    <t>Carrer de Bartomeu Reus, 4, 12002 Castelló de la Plana, Castelló</t>
  </si>
  <si>
    <t>964 23 15 46</t>
  </si>
  <si>
    <t>Herboristeria Tradicional Yerbas Vivas</t>
  </si>
  <si>
    <t>Carrer Josep Pascual Tirado, 5, 12001 Castelló de la Plana, Castelló</t>
  </si>
  <si>
    <t>José Carrasco Fernández</t>
  </si>
  <si>
    <t>964 23 47 15</t>
  </si>
  <si>
    <t>Tiendas Santiveri</t>
  </si>
  <si>
    <t>Carrer de Sant Vicent, 41, 12002 Castelló de la Plana, Castelló</t>
  </si>
  <si>
    <t>964 21 26 51</t>
  </si>
  <si>
    <t>Herbodietética y Nutrición RAYO DE SOL</t>
  </si>
  <si>
    <t>Plaça del País Valencià, 18, local 4, 12002 Castellón de la Plana, Castellón</t>
  </si>
  <si>
    <t>675 63 58 35</t>
  </si>
  <si>
    <t>HERBOLARIO CASTELLÓN</t>
  </si>
  <si>
    <t>Carrer Major Sant Jaume, 52, 12540 Vila-real, Castelló</t>
  </si>
  <si>
    <t>herbolariocastellon.es</t>
  </si>
  <si>
    <t>964 86 60 06</t>
  </si>
  <si>
    <t>info@herbolariocastellon.es</t>
  </si>
  <si>
    <t>El Món de Silvia</t>
  </si>
  <si>
    <t>Av. de Jose Ortiz, num 13, bajo, 12550 Almassora, Castellón</t>
  </si>
  <si>
    <t>Almazora</t>
  </si>
  <si>
    <t>964 04 95 24</t>
  </si>
  <si>
    <t>EL SABOR DE LA MANCHA - HERBORISTERÍA</t>
  </si>
  <si>
    <t>Mayor San Jaime,45, 661 74 27 18, 12540 Villarreal, Castellón</t>
  </si>
  <si>
    <t>elsabordelamancha.galeon.com</t>
  </si>
  <si>
    <t>661 74 27 18</t>
  </si>
  <si>
    <t>Naturaldea</t>
  </si>
  <si>
    <t>Plaça de l&amp;apos;Estació, 9, 12560 Benicàssim, Castelló</t>
  </si>
  <si>
    <t>Benicasim</t>
  </si>
  <si>
    <t>naturaldea.es</t>
  </si>
  <si>
    <t>964 30 38 39</t>
  </si>
  <si>
    <t>webmaster@naturaldea.es</t>
  </si>
  <si>
    <t>Herboristeria MAXI NATUR</t>
  </si>
  <si>
    <t>Carrer Nàpols, 7, 12540 Vila-real, Castelló</t>
  </si>
  <si>
    <t>666 94 01 20</t>
  </si>
  <si>
    <t>Herbodietètica Rafa</t>
  </si>
  <si>
    <t>Av. València, 4, 12530 Borriana, Castelló</t>
  </si>
  <si>
    <t>Burriana</t>
  </si>
  <si>
    <t>964 57 14 41</t>
  </si>
  <si>
    <t>NATURAL ABELLA</t>
  </si>
  <si>
    <t>Carrer l&amp;apos;Escorredor, 6, 12530 Borriana, Castelló</t>
  </si>
  <si>
    <t>964 57 04 46</t>
  </si>
  <si>
    <t>Herbolari Fernando Tel</t>
  </si>
  <si>
    <t>Carrer Ample, 10, 12520 Nules, Castelló</t>
  </si>
  <si>
    <t>Nules</t>
  </si>
  <si>
    <t>herbolariofernandotel.com</t>
  </si>
  <si>
    <t>964 67 28 69</t>
  </si>
  <si>
    <t>herbolarifernandotel@gmail.com</t>
  </si>
  <si>
    <t>HERBORISTERÍA HNOS. GIMENO</t>
  </si>
  <si>
    <t>Avinguda de Montendre, 4, 12200 Onda, Castelló</t>
  </si>
  <si>
    <t>Onda</t>
  </si>
  <si>
    <t>964 74 17 41</t>
  </si>
  <si>
    <t>Herboristería Naturev - Centro de Terapias Naturales</t>
  </si>
  <si>
    <t>Carrer Barceloneta Alta, 3, 12110 L&amp;apos;Alcora, Castelló</t>
  </si>
  <si>
    <t>Alcora</t>
  </si>
  <si>
    <t>herboristerianaturev.es</t>
  </si>
  <si>
    <t>666 34 14 36</t>
  </si>
  <si>
    <t>Parafarmàcia Elvira Vidal</t>
  </si>
  <si>
    <t>Avinguda José Izquierdo, 85, 12539 Les Alqueries, Castellón</t>
  </si>
  <si>
    <t>Alquerías del Niño Perdido</t>
  </si>
  <si>
    <t>699 73 11 70</t>
  </si>
  <si>
    <t>Herboristería Sabor Del Monte</t>
  </si>
  <si>
    <t>Avinguda Jaume I, 44, 12600 La Vall d&amp;apos;Uixó, Castelló</t>
  </si>
  <si>
    <t>Vall de Uxó</t>
  </si>
  <si>
    <t>sabordelmonte.es</t>
  </si>
  <si>
    <t>964 05 20 10</t>
  </si>
  <si>
    <t>tienda@sabordelmonte.es</t>
  </si>
  <si>
    <t>Dietética y Regalo Uriel</t>
  </si>
  <si>
    <t>Av. Suroeste, 74, 12600 la Vall d&amp;apos;Uixó, Castellón</t>
  </si>
  <si>
    <t>964 66 19 00</t>
  </si>
  <si>
    <t>La Herboristería</t>
  </si>
  <si>
    <t>Carrer Benigafull, 44, 12600 La Vall d&amp;apos;Uixó, Castelló</t>
  </si>
  <si>
    <t>964 66 54 27</t>
  </si>
  <si>
    <t>González José Manuel</t>
  </si>
  <si>
    <t>Av. de València, 3, 12579 Alcossebre, Castelló</t>
  </si>
  <si>
    <t>Alcocéber</t>
  </si>
  <si>
    <t>964 41 44 71</t>
  </si>
  <si>
    <t>El caldero de Morrigan</t>
  </si>
  <si>
    <t>Carrer Colom, 7, 12540 Vila-real, Castelló</t>
  </si>
  <si>
    <t>964 81 91 72</t>
  </si>
  <si>
    <t>José Manuel González Zubia</t>
  </si>
  <si>
    <t>Carrer d&amp;apos;Alcalà de Xivert, 3b, 12579 Alcossebre, Castelló</t>
  </si>
  <si>
    <t>608 12 81 97</t>
  </si>
  <si>
    <t>Elena Sorli Cornelles</t>
  </si>
  <si>
    <t>Carrer Alqueria de Poaig, 0 S/N, 12580 Benicarló, Castelló</t>
  </si>
  <si>
    <t>Benicarló</t>
  </si>
  <si>
    <t>964 47 37 25</t>
  </si>
  <si>
    <t>Mil Fulles</t>
  </si>
  <si>
    <t>Carrer Roders, 1, 46270 Castelló, Valencia</t>
  </si>
  <si>
    <t>625 68 28 22</t>
  </si>
  <si>
    <t>Adoración Hipólita Gil Ramón</t>
  </si>
  <si>
    <t>Carrer del Pont, 71, 12500 Vinaròs, Castelló</t>
  </si>
  <si>
    <t>Vinaròs</t>
  </si>
  <si>
    <t>964 45 41 27</t>
  </si>
  <si>
    <t>Centre Dietetic EMMA</t>
  </si>
  <si>
    <t>Carrer Nou, 15, 46670 La Pobla Llarga, Valencia</t>
  </si>
  <si>
    <t>Puebla Larga</t>
  </si>
  <si>
    <t>Carrer de l&amp;apos;Arquebisbe Mayoral, 20, 46002 València, Valencia</t>
  </si>
  <si>
    <t>Herbolario Navarro Àngel Guimerà</t>
  </si>
  <si>
    <t>C/ d&amp;apos;Àngel Guimerà, 33, 46008 València, Valencia</t>
  </si>
  <si>
    <t>963 84 35 52</t>
  </si>
  <si>
    <t>Herbolario Navarro Avenida Aragón</t>
  </si>
  <si>
    <t>Av. d&amp;apos;Aragó, 13, 46010 València, Valencia</t>
  </si>
  <si>
    <t>963 69 72 82</t>
  </si>
  <si>
    <t>Herbolario Navarro Peris y Valero</t>
  </si>
  <si>
    <t>Av. de Peris i Valero, 188, 46004 València, Valencia</t>
  </si>
  <si>
    <t>963 81 81 71</t>
  </si>
  <si>
    <t>Herbolario Salvador Navarro</t>
  </si>
  <si>
    <t>Carrer de Mossèn Femenia, 1, 46006 València, Valencia</t>
  </si>
  <si>
    <t>herbolariosnavarro.com</t>
  </si>
  <si>
    <t>963 73 85 87</t>
  </si>
  <si>
    <t>info@herbolariosnavarro.com</t>
  </si>
  <si>
    <t>Av. de Gaspar Aguilar, 34, 46017 València, Valencia</t>
  </si>
  <si>
    <t>961 33 09 73</t>
  </si>
  <si>
    <t>Terra Verda</t>
  </si>
  <si>
    <t>Carrer de les Ánimes, 3, 46002 València, Valencia</t>
  </si>
  <si>
    <t>Les Herbetes, herbolario, dietista y fitoterapia</t>
  </si>
  <si>
    <t>Carrer de Martí Grajales, 9, 46011 València, Valencia</t>
  </si>
  <si>
    <t>lesherbetes.com</t>
  </si>
  <si>
    <t>963 81 18 03</t>
  </si>
  <si>
    <t>lesherbetes@gmail.com</t>
  </si>
  <si>
    <t>Herbolario Y Dietética Emília Tomás</t>
  </si>
  <si>
    <t>Mercat Central, Plaça de la Ciutat de Bruges, s/n, 46001 Valencia</t>
  </si>
  <si>
    <t>963 82 91 30</t>
  </si>
  <si>
    <t>Herbolario Ecotienda. la Esencia de La Tierra</t>
  </si>
  <si>
    <t>C. de Jesús, 88, 46007 València, Valencia</t>
  </si>
  <si>
    <t>963 80 03 25</t>
  </si>
  <si>
    <t>Herbolari Tamarind</t>
  </si>
  <si>
    <t>Carrer del Pare Urbà, 18, 46009 València, Valencia</t>
  </si>
  <si>
    <t>960 09 83 60</t>
  </si>
  <si>
    <t>Anís Verde - Herboristería Valencia</t>
  </si>
  <si>
    <t>C/ de Torrent, 4, Bajo, 46014 Valencia</t>
  </si>
  <si>
    <t>963 57 51 98</t>
  </si>
  <si>
    <t>Herboristería Yerbas Vivas (Plaza de la Merced)</t>
  </si>
  <si>
    <t>Carrer del Músic Peydró, 1, 46001 València, Valencia</t>
  </si>
  <si>
    <t>963 94 30 59</t>
  </si>
  <si>
    <t>La Ventana Natural Valencia 2</t>
  </si>
  <si>
    <t>Carrer de Pere III el Gran, 2, 46005 València, Valencia</t>
  </si>
  <si>
    <t>961 47 46 24</t>
  </si>
  <si>
    <t>Lavanda</t>
  </si>
  <si>
    <t>Plaça de Sant Felip Neri, 0 S N, 46001 València</t>
  </si>
  <si>
    <t>Ademuz</t>
  </si>
  <si>
    <t>València</t>
  </si>
  <si>
    <t>963 69 34 72</t>
  </si>
  <si>
    <t>Herbolario El Aljibe</t>
  </si>
  <si>
    <t>Carrer de Leandro de Saralegui, 7, 46021 València, Valencia</t>
  </si>
  <si>
    <t>elaljibevlc.com</t>
  </si>
  <si>
    <t>601 27 80 29</t>
  </si>
  <si>
    <t>Herbolari-Herbodietètica Teràpia Natural</t>
  </si>
  <si>
    <t>Carrer de Fra Pere Vives, 16, 46009 València, Valencia</t>
  </si>
  <si>
    <t>963 27 80 83</t>
  </si>
  <si>
    <t>Herbolario Ecoasis</t>
  </si>
  <si>
    <t>Carrer de Ramón Gordillo, 7, 46010 València, Valencia</t>
  </si>
  <si>
    <t>ecoasisvalencia.com</t>
  </si>
  <si>
    <t>963 06 73 12</t>
  </si>
  <si>
    <t>info@ecoasisvalencia.com</t>
  </si>
  <si>
    <t>Herbes i arrels</t>
  </si>
  <si>
    <t>Carrer de Bilbao, 38, 46009 València, Valencia</t>
  </si>
  <si>
    <t>herbesiarrels.com</t>
  </si>
  <si>
    <t>647 46 40 19</t>
  </si>
  <si>
    <t>lorena@herbesiarrels.com</t>
  </si>
  <si>
    <t>Herbolario Ecoteca del Mediterrani</t>
  </si>
  <si>
    <t>Carrer de l&amp;apos;Explorador Andrés, 34, 46022 València, Valencia</t>
  </si>
  <si>
    <t>ecotecamediterrani.com</t>
  </si>
  <si>
    <t>674 57 08 70</t>
  </si>
  <si>
    <t>Carrer de Sant Joan Bosco, 48, 46019 València, Valencia</t>
  </si>
  <si>
    <t>963 65 36 86</t>
  </si>
  <si>
    <t>Herboristería Dietética Copein</t>
  </si>
  <si>
    <t>Carrer de Molinell, 7, 46010 València, Valencia</t>
  </si>
  <si>
    <t>963 60 56 41</t>
  </si>
  <si>
    <t>Herdico</t>
  </si>
  <si>
    <t>Carrer de Rodríguez de Cepeda, 55, 46021 València, Valencia</t>
  </si>
  <si>
    <t>660 19 99 93</t>
  </si>
  <si>
    <t>Herboristería Hydrangea Valencia</t>
  </si>
  <si>
    <t>C. de l&amp;apos;Arxiduc Carles, 19, 46018 València, Valencia</t>
  </si>
  <si>
    <t>herboristeria-hdg.com</t>
  </si>
  <si>
    <t>962 06 96 29</t>
  </si>
  <si>
    <t>Herboristería Vicente Ripoll Pérez</t>
  </si>
  <si>
    <t>Carrer de la Visitació, 10, 46009 València, Valencia</t>
  </si>
  <si>
    <t>963 48 72 11</t>
  </si>
  <si>
    <t>Biocesta</t>
  </si>
  <si>
    <t>C. d&amp;apos;Oltà, 40, 46026 València, Valencia</t>
  </si>
  <si>
    <t>biocesta.com</t>
  </si>
  <si>
    <t>963 73 87 39</t>
  </si>
  <si>
    <t>biocesta@yahoo.es</t>
  </si>
  <si>
    <t>Herbolario La Ventana Natural Market Valencia</t>
  </si>
  <si>
    <t>Avinguda de l&amp;apos;Institut Obrer de València, 8, 46013 València, Valencia</t>
  </si>
  <si>
    <t>961 36 37 53</t>
  </si>
  <si>
    <t>María Piedad Buso Martínez</t>
  </si>
  <si>
    <t>Avinguda del Doctor Waksman, 35, 46006 València, Valencia</t>
  </si>
  <si>
    <t>963 34 37 93</t>
  </si>
  <si>
    <t>Av. del Puerto, 121, 46022 Valencia</t>
  </si>
  <si>
    <t>961 11 81 31</t>
  </si>
  <si>
    <t>Adolfo Sánchez Delamo</t>
  </si>
  <si>
    <t>Avinguda de l&amp;apos;Oest, 0, 46001 València, Valencia</t>
  </si>
  <si>
    <t>645 15 77 67</t>
  </si>
  <si>
    <t>Cosnatura C.B.</t>
  </si>
  <si>
    <t>C. de l&amp;apos;Argenter Suárez, 16, 46009 València, Valencia</t>
  </si>
  <si>
    <t>963 66 81 30</t>
  </si>
  <si>
    <t>Herbolari Sant Isidre</t>
  </si>
  <si>
    <t>C. de l&amp;apos;Arquitecte Segura de Lago, 7, 46014 València, Valencia</t>
  </si>
  <si>
    <t>963 28 56 56</t>
  </si>
  <si>
    <t>Enebro</t>
  </si>
  <si>
    <t>Carrer de Joan Baptista Vives, 8, 46018 València, Valencia</t>
  </si>
  <si>
    <t>963 79 97 57</t>
  </si>
  <si>
    <t>Herbolisteria Flor del Turia</t>
  </si>
  <si>
    <t>Carrer de la Serra Martés, 18, bajo izda, 46015 Valencia</t>
  </si>
  <si>
    <t>963 46 03 09</t>
  </si>
  <si>
    <t>Carrer de Santa Teresa, 27, 46920 Mislata, Valencia</t>
  </si>
  <si>
    <t>Mislata</t>
  </si>
  <si>
    <t>961 09 45 65</t>
  </si>
  <si>
    <t>Herbolario Quart</t>
  </si>
  <si>
    <t>Carrer de Quart, 119, 46008 València, Valencia</t>
  </si>
  <si>
    <t>herbolarioquart.es</t>
  </si>
  <si>
    <t>638 76 04 89</t>
  </si>
  <si>
    <t>contacto@herbolarioquart.es</t>
  </si>
  <si>
    <t>Delcampo</t>
  </si>
  <si>
    <t>Carrer de Josep Grollo, 72, 46025 València, Valencia</t>
  </si>
  <si>
    <t>Radha-Green</t>
  </si>
  <si>
    <t>Carrer d&amp;apos;Aiora, 20, 46018 València, Valencia</t>
  </si>
  <si>
    <t>radha-green.com</t>
  </si>
  <si>
    <t>963 23 81 46</t>
  </si>
  <si>
    <t>Herboristería Miel de Caña</t>
  </si>
  <si>
    <t>C. dels Carters, 4, 46007 València, Valencia</t>
  </si>
  <si>
    <t>963 78 15 28</t>
  </si>
  <si>
    <t>Yerbas Vivas (Plaza de la Merced)</t>
  </si>
  <si>
    <t>yerbasvivas.es</t>
  </si>
  <si>
    <t>info@yerbasvivas.es</t>
  </si>
  <si>
    <t>Dietética Sai</t>
  </si>
  <si>
    <t>Carrer de la Dama d&amp;apos;Elx, 18, 46023 València, Valencia</t>
  </si>
  <si>
    <t>963 32 80 00</t>
  </si>
  <si>
    <t>María José Villaescusa Díaz</t>
  </si>
  <si>
    <t>Carrer de Llombai, 4, 46018 València, Valencia</t>
  </si>
  <si>
    <t>626 23 11 23</t>
  </si>
  <si>
    <t>verdesalud</t>
  </si>
  <si>
    <t>verdesalud.com</t>
  </si>
  <si>
    <t>673 63 87 90</t>
  </si>
  <si>
    <t>admin@verdesalud.com</t>
  </si>
  <si>
    <t>Lirio de Mar Herbolario</t>
  </si>
  <si>
    <t>Carrer de Cadis, 38, 46006 València, Valencia</t>
  </si>
  <si>
    <t>677 01 62 64</t>
  </si>
  <si>
    <t>L&amp;apos;HERBORIA NATURAL</t>
  </si>
  <si>
    <t>ACCESO POR, Calle HUMANISTA MARINER, 10, BAJO 3, IZQ cruze con, C. del Músic Barbieri, 4, 46018 Valencia</t>
  </si>
  <si>
    <t>960 23 08 92</t>
  </si>
  <si>
    <t>El Pozo de la salud</t>
  </si>
  <si>
    <t>Herber 1997</t>
  </si>
  <si>
    <t>Carrer de Cirilo Amorós, 11, 46004 València, Valencia</t>
  </si>
  <si>
    <t>Herbolario Roig</t>
  </si>
  <si>
    <t>Carrer de Conchita Piquer, n-6, bajo 2izq, 46015 València, Valencia</t>
  </si>
  <si>
    <t>963 12 14 26</t>
  </si>
  <si>
    <t>Herboristería La Luz</t>
  </si>
  <si>
    <t>Carrer de Joan Batista Comes, 9, 46950 Xirivella, Valencia</t>
  </si>
  <si>
    <t>Chirivella</t>
  </si>
  <si>
    <t>herboristerialaluz.es</t>
  </si>
  <si>
    <t>961 13 19 40</t>
  </si>
  <si>
    <t>Herbolario La Flor de la Vida</t>
  </si>
  <si>
    <t>Carrer del Poeta Serrano Clavero, 24, 46025 València, Valencia</t>
  </si>
  <si>
    <t>florvida.net</t>
  </si>
  <si>
    <t>615 41 04 80</t>
  </si>
  <si>
    <t>info@florvida.net</t>
  </si>
  <si>
    <t>Valverde Colmado Ecológico</t>
  </si>
  <si>
    <t>Pl. del Baró de Cortés, 0 S N, 46001 València, Valencia</t>
  </si>
  <si>
    <t>963 33 55 56</t>
  </si>
  <si>
    <t>Herborsteria,Dietética y Masaje Yolanda</t>
  </si>
  <si>
    <t>Carrer de Murillo, 9, bajo, 46920 Mislata, Valencia</t>
  </si>
  <si>
    <t>herbolarioyolandasalcedo.es</t>
  </si>
  <si>
    <t>722 45 53 82</t>
  </si>
  <si>
    <t>TILA &amp;amp; MENTA</t>
  </si>
  <si>
    <t>Carrer de Dolores Marqués, 8, bajo 4, 46020 València, Valencia</t>
  </si>
  <si>
    <t>tilaymenta.com</t>
  </si>
  <si>
    <t>960 51 40 18</t>
  </si>
  <si>
    <t>Carrer de Francesc de Bellvís, 2, 46022 València, Valencia</t>
  </si>
  <si>
    <t>655 26 95 16</t>
  </si>
  <si>
    <t>Herbasana Herbolario</t>
  </si>
  <si>
    <t>Av. del Camí Nou, 32, 46950 Xirivella, Valencia</t>
  </si>
  <si>
    <t>herbasanaherbolario.com</t>
  </si>
  <si>
    <t>963 83 30 77</t>
  </si>
  <si>
    <t>Herbolario naturalmente lucrecia</t>
  </si>
  <si>
    <t>Carrer de Sant Vicent de Paül, 17, 46019 València, Valencia</t>
  </si>
  <si>
    <t>635 68 98 85</t>
  </si>
  <si>
    <t>Herboristería Madre Tierra</t>
  </si>
  <si>
    <t>Mercat Municipal, Puesto, Carrer del 9 d&amp;apos;Octubre, 4, N° 2, 46910 Sedaví, Valencia</t>
  </si>
  <si>
    <t>Sedaví</t>
  </si>
  <si>
    <t>616 30 44 16</t>
  </si>
  <si>
    <t>El Remei Herbolari Burjassot</t>
  </si>
  <si>
    <t>Mercado Municipal de, C. Mariano Segarra, 3, 46100 Burjassot, Valencia</t>
  </si>
  <si>
    <t>Burjasot</t>
  </si>
  <si>
    <t>675 66 41 73</t>
  </si>
  <si>
    <t>Avet natural</t>
  </si>
  <si>
    <t>Carrer de València, 11, 46910 Sedaví, Valencia</t>
  </si>
  <si>
    <t>avetnatural.com</t>
  </si>
  <si>
    <t>963 75 51 56</t>
  </si>
  <si>
    <t>info@avetnatural.com</t>
  </si>
  <si>
    <t>Vidamassana</t>
  </si>
  <si>
    <t>Carrer dels Germans Villalonga, 1, 46020 València, Valencia</t>
  </si>
  <si>
    <t>vidamassana.net</t>
  </si>
  <si>
    <t>722 37 87 00</t>
  </si>
  <si>
    <t>vidamassana.net@gmail.com</t>
  </si>
  <si>
    <t>Raíces Vivas, Herboristería y Terapias naturales</t>
  </si>
  <si>
    <t>Carrer de Joan Llorenç, 48, bajo, 46008 Valencia</t>
  </si>
  <si>
    <t>960 26 13 65</t>
  </si>
  <si>
    <t>Timonet Ecotenda Herbolari (Herboristería)</t>
  </si>
  <si>
    <t>Carrer Cardenal Benlloch, 20, 46200 Paiporta, Valencia</t>
  </si>
  <si>
    <t>Paiporta</t>
  </si>
  <si>
    <t>timonet.es</t>
  </si>
  <si>
    <t>961 29 38 00</t>
  </si>
  <si>
    <t>info@timonet.es</t>
  </si>
  <si>
    <t>Herbolario Estrella Psicotrónica</t>
  </si>
  <si>
    <t>46007 Valencia</t>
  </si>
  <si>
    <t>herbolarioestrellapsicotronica.com</t>
  </si>
  <si>
    <t>963 80 08 81</t>
  </si>
  <si>
    <t>Herboristeria Romina</t>
  </si>
  <si>
    <t>Calle plaza mercado de jesus, 46007 Valencia</t>
  </si>
  <si>
    <t>g.page</t>
  </si>
  <si>
    <t>627 35 62 73</t>
  </si>
  <si>
    <t>Herboterapia</t>
  </si>
  <si>
    <t>Av. de Madrid, 79, 46910 Sedaví, Valencia</t>
  </si>
  <si>
    <t>635 50 17 05</t>
  </si>
  <si>
    <t>Herboristeria ESENCIA</t>
  </si>
  <si>
    <t>Avinguda d&amp;apos;Amado Granell Mesado, 36, 46004 València, Valencia</t>
  </si>
  <si>
    <t>961 13 38 47</t>
  </si>
  <si>
    <t>Qijesus Herbolario y Terapias</t>
  </si>
  <si>
    <t>Carrer de Salas Quiroga, 3, bajo, 46007 Valencia</t>
  </si>
  <si>
    <t>962 55 07 60</t>
  </si>
  <si>
    <t>Psicoherbes</t>
  </si>
  <si>
    <t>Carrer de, C/ de Conca, 106, 46018 Valencia</t>
  </si>
  <si>
    <t>L&amp;apos;Herbolari de Vero</t>
  </si>
  <si>
    <t>Plaça Cervantes, 20, 46200 Paiporta, Valencia</t>
  </si>
  <si>
    <t>661 42 41 19</t>
  </si>
  <si>
    <t>Les Arrels</t>
  </si>
  <si>
    <t>Carrer Botànic Cavanilles, 12, 46120 Alboraia, Valencia</t>
  </si>
  <si>
    <t>Alboraya</t>
  </si>
  <si>
    <t>lesarrels.com</t>
  </si>
  <si>
    <t>961 93 18 13</t>
  </si>
  <si>
    <t>info@yourdomain.com</t>
  </si>
  <si>
    <t>Herbolario Sana Cuerpo y Mente</t>
  </si>
  <si>
    <t>Carrer de Espartero, 50, Bajo, 46100 Burjassot, Valencia</t>
  </si>
  <si>
    <t>634 36 12 32</t>
  </si>
  <si>
    <t>Herboristería Hydrangea (Santiveri)</t>
  </si>
  <si>
    <t>Av. Sant Onofre, 33, 46930 Quart de Poblet, Valencia</t>
  </si>
  <si>
    <t>Cuart de Poblet</t>
  </si>
  <si>
    <t>961 52 13 10</t>
  </si>
  <si>
    <t>HERBORISTERIA HYDRANGEA III</t>
  </si>
  <si>
    <t>C. Padre Jesús Fernández, 12, 46930 Quart de Poblet, Valencia</t>
  </si>
  <si>
    <t>960 81 89 96</t>
  </si>
  <si>
    <t>Timonet Ecotenda Herbolari Benetússer</t>
  </si>
  <si>
    <t>Mercado de, C/ Carrer Gomez Ferrer, Parada, 1, 46910 Benetússer, Valencia</t>
  </si>
  <si>
    <t>Benetúser</t>
  </si>
  <si>
    <t>645 60 47 98</t>
  </si>
  <si>
    <t>Herbonova Picanya</t>
  </si>
  <si>
    <t>Carrer Verge del Pilar, 12, 1, 46210 Picanya, Valencia</t>
  </si>
  <si>
    <t>Picaña</t>
  </si>
  <si>
    <t>611 42 19 95</t>
  </si>
  <si>
    <t>Herbolario Navarro Burjassot</t>
  </si>
  <si>
    <t>Carretera de Llíria, 26, 46100 Burjassot, Valencia</t>
  </si>
  <si>
    <t>962 06 08 71</t>
  </si>
  <si>
    <t>Carrer Major, 4, 46980 Paterna, Valencia</t>
  </si>
  <si>
    <t>Paterna</t>
  </si>
  <si>
    <t>963 31 64 33</t>
  </si>
  <si>
    <t>Avinguda del País Valencià, 10, 46970 Alaquàs, Valencia</t>
  </si>
  <si>
    <t>Alacuás</t>
  </si>
  <si>
    <t>961 81 45 29</t>
  </si>
  <si>
    <t>La Botiga de Les Herbes</t>
  </si>
  <si>
    <t>Carrer Ribarroja, 48, 46940 Manises, Valencia</t>
  </si>
  <si>
    <t>Manises</t>
  </si>
  <si>
    <t>961 54 81 14</t>
  </si>
  <si>
    <t>TERRA VERDA</t>
  </si>
  <si>
    <t>Avinguda de Blasco Ibáñez, 15, 46470 Massanassa, Valencia</t>
  </si>
  <si>
    <t>Masanasa</t>
  </si>
  <si>
    <t>961 25 31 81</t>
  </si>
  <si>
    <t>Herbodietética Molina</t>
  </si>
  <si>
    <t>Av. Blasco Ibáñez, 13, Dcha, 46940 Manises, Valencia</t>
  </si>
  <si>
    <t>661 57 15 11</t>
  </si>
  <si>
    <t>La Botica de Malù</t>
  </si>
  <si>
    <t>Carrer Julio Colomer, 4, 46910 Alfafar, Valencia</t>
  </si>
  <si>
    <t>Alfafar</t>
  </si>
  <si>
    <t>655 65 85 82</t>
  </si>
  <si>
    <t>Herboristería Espigol</t>
  </si>
  <si>
    <t>Plaça del Mestre Giner, 5, 46900 Torrent, Valencia</t>
  </si>
  <si>
    <t>Torrent</t>
  </si>
  <si>
    <t>961 56 28 95</t>
  </si>
  <si>
    <t>Naturexpress</t>
  </si>
  <si>
    <t>Camí del Port, 143, oficina 1, 46470 Catarroja, Valencia</t>
  </si>
  <si>
    <t>Catarroja</t>
  </si>
  <si>
    <t>902 10 66 50</t>
  </si>
  <si>
    <t>Herbolario Navarro Torrent</t>
  </si>
  <si>
    <t>Avinguda al Vedat, 95, 46900 Torrent, Valencia</t>
  </si>
  <si>
    <t>961 58 96 41</t>
  </si>
  <si>
    <t>Herbolari Maria Dolores Lázaro Macián</t>
  </si>
  <si>
    <t>Camí Real, 74, 46470 Catarroja, Valencia</t>
  </si>
  <si>
    <t>L&amp;apos;Herbolari de Bárbara</t>
  </si>
  <si>
    <t>Carrer de Lope de Rueda, numero 1, 46900 Torrent, Valencia</t>
  </si>
  <si>
    <t>657 36 40 09</t>
  </si>
  <si>
    <t>Carrer Joan Giner, s/n, 46470 Catarroja, Valencia</t>
  </si>
  <si>
    <t>635 70 79 56</t>
  </si>
  <si>
    <t>Carrer Ausiàs March, 20, 46133 Meliana, Valencia</t>
  </si>
  <si>
    <t>Meliana</t>
  </si>
  <si>
    <t>monnatural.es</t>
  </si>
  <si>
    <t>961 49 97 88</t>
  </si>
  <si>
    <t>tienda@monnatural.es</t>
  </si>
  <si>
    <t>La Natura Dietètica i Herbolari</t>
  </si>
  <si>
    <t>Carrer de Moralets, 4, 46900 Torrent, Valencia</t>
  </si>
  <si>
    <t>961 09 96 06</t>
  </si>
  <si>
    <t>Growshop Marx</t>
  </si>
  <si>
    <t>Carrer Metge Ballester, 113, 46980 Manises, Valencia</t>
  </si>
  <si>
    <t>Herbassana</t>
  </si>
  <si>
    <t>Carrer de Francisco Bohigues, 5, 46460 Silla, Valencia</t>
  </si>
  <si>
    <t>Silla</t>
  </si>
  <si>
    <t>961 20 00 90</t>
  </si>
  <si>
    <t>Marina García Chanza</t>
  </si>
  <si>
    <t>Carrer de València, 44, 46460 Silla, Valencia</t>
  </si>
  <si>
    <t>961 21 21 76</t>
  </si>
  <si>
    <t>Herbal Market</t>
  </si>
  <si>
    <t>Carrer de Federico García Lorca, 30, 46980 Paterna, Valencia</t>
  </si>
  <si>
    <t>herbalmarket.es</t>
  </si>
  <si>
    <t>info@herbalmarket.es</t>
  </si>
  <si>
    <t>Herbodietetica Juani</t>
  </si>
  <si>
    <t>Av. Mestre Serrano, 2, 46290 Alcàsser, Valencia</t>
  </si>
  <si>
    <t>Alcácer</t>
  </si>
  <si>
    <t>961 24 12 78</t>
  </si>
  <si>
    <t>Av. de les Corts Valencianes, 9, 46183 València, Valencia</t>
  </si>
  <si>
    <t>962 74 38 43</t>
  </si>
  <si>
    <t>L&amp;apos;arbre de la vida</t>
  </si>
  <si>
    <t>C. Santos de la Piedra, 3, 46117 Bétera, Valencia</t>
  </si>
  <si>
    <t>Bétera</t>
  </si>
  <si>
    <t>961 04 65 05</t>
  </si>
  <si>
    <t>Carrer Major, 58, 46220 Picassent, Valencia</t>
  </si>
  <si>
    <t>Picassent</t>
  </si>
  <si>
    <t>961 23 36 93</t>
  </si>
  <si>
    <t>Santiveri Picassent</t>
  </si>
  <si>
    <t>Carrer Gómez Ferrer, 33, 46220 Picassent, Valencia</t>
  </si>
  <si>
    <t>Herboristeria Herbasalut</t>
  </si>
  <si>
    <t>Carrer Major, 5, 46138 Rafelbunyol, Valencia</t>
  </si>
  <si>
    <t>Rafelbuñol</t>
  </si>
  <si>
    <t>961 41 15 52</t>
  </si>
  <si>
    <t>Ribera Verda</t>
  </si>
  <si>
    <t>Frente Ambulatorio, Carrer de les Palmeres, nº 4, 46410 Sueca, Valencia</t>
  </si>
  <si>
    <t>Sueca</t>
  </si>
  <si>
    <t>656 89 80 43</t>
  </si>
  <si>
    <t>Herbodietètica Benifaio</t>
  </si>
  <si>
    <t>Carrer Major, 112, 46450 Benifaió, Valencia</t>
  </si>
  <si>
    <t>Benifayó</t>
  </si>
  <si>
    <t>961 79 46 10</t>
  </si>
  <si>
    <t>Herbolario La Ribera Coop.v.</t>
  </si>
  <si>
    <t>Carrer del mercat 4 caseta, 49, 46410 Sueca, Valencia</t>
  </si>
  <si>
    <t>619 08 62 46</t>
  </si>
  <si>
    <t>Herbo Vida</t>
  </si>
  <si>
    <t>Carrer del Vall, 53, 46400 Cullera, Valencia</t>
  </si>
  <si>
    <t>Cullera</t>
  </si>
  <si>
    <t>961 73 02 35</t>
  </si>
  <si>
    <t>Ana Milagrosa Giner Escribá</t>
  </si>
  <si>
    <t>Carrer Hort dels Frares, 56, 46600 Alzira, Valencia</t>
  </si>
  <si>
    <t>Alcira</t>
  </si>
  <si>
    <t>962 41 56 39</t>
  </si>
  <si>
    <t>BIONISIMO SALUD INTEGRAL</t>
  </si>
  <si>
    <t>Carrer Joaquín Rodrigo, 2, 46500 Sagunt, Valencia</t>
  </si>
  <si>
    <t>Sagunto</t>
  </si>
  <si>
    <t>bionisimo.es</t>
  </si>
  <si>
    <t>651 59 77 10</t>
  </si>
  <si>
    <t>info@bionisimo.es</t>
  </si>
  <si>
    <t>Ortoplant</t>
  </si>
  <si>
    <t>961 87 25 69</t>
  </si>
  <si>
    <t>Carrer Ferrocarril d&amp;apos;Alcoi, 40, 46701 Gandia, Valencia</t>
  </si>
  <si>
    <t>Gandía</t>
  </si>
  <si>
    <t>962 95 43 88</t>
  </si>
  <si>
    <t>Herbolari</t>
  </si>
  <si>
    <t>Duque Carlos de Borja, 15, 46701 Gandia, Valencia</t>
  </si>
  <si>
    <t>apivida.es</t>
  </si>
  <si>
    <t>962 87 74 39</t>
  </si>
  <si>
    <t>Más Cuidarse</t>
  </si>
  <si>
    <t>Av. de la Ribera Alta, 12, Bajo Izquierda, 46260 Alberic, Valencia, Valencia</t>
  </si>
  <si>
    <t>Alberique</t>
  </si>
  <si>
    <t>mascuidarse.es</t>
  </si>
  <si>
    <t>644 43 69 93</t>
  </si>
  <si>
    <t>mascuidarse@gmail.com</t>
  </si>
  <si>
    <t>Herbolario La Botica Natural, Centro Dietético</t>
  </si>
  <si>
    <t>Pl. España, 9 A, BAJO, 06002 Badajoz</t>
  </si>
  <si>
    <t>Badajoz</t>
  </si>
  <si>
    <t>653 77 80 03</t>
  </si>
  <si>
    <t>Herbolario Sol</t>
  </si>
  <si>
    <t>C. Rafael Lucenqui, 15, 06004 Badajoz</t>
  </si>
  <si>
    <t>924 22 46 95</t>
  </si>
  <si>
    <t>La Botica Natural, Herbolario y Dietista</t>
  </si>
  <si>
    <t>Av. Ricardo Carapeto Zambrano, 6, BAJO, 06008 Badajoz</t>
  </si>
  <si>
    <t>666 63 38 67</t>
  </si>
  <si>
    <t>C. República Argentina, 14B, 06005 Badajoz</t>
  </si>
  <si>
    <t>924 26 24 20</t>
  </si>
  <si>
    <t>Herboristería Nieves</t>
  </si>
  <si>
    <t>C. Bartolomé José Gallardo, 06001 Badajoz</t>
  </si>
  <si>
    <t>924 24 99 64</t>
  </si>
  <si>
    <t>Herbolario Carmen Zambrano</t>
  </si>
  <si>
    <t>Av. Jose María Alcaraz y Alenda, 10, 06011 Badajoz</t>
  </si>
  <si>
    <t>924 26 01 38</t>
  </si>
  <si>
    <t>Acedo Tamurejo, V.</t>
  </si>
  <si>
    <t>Av. Juan Sebastián Elcano, 15, 06003 Badajoz</t>
  </si>
  <si>
    <t>924 24 77 62</t>
  </si>
  <si>
    <t>Herdisa</t>
  </si>
  <si>
    <t>Av. Sinforiano Madroñero, 33, 06011 Badajoz</t>
  </si>
  <si>
    <t>924 23 04 59</t>
  </si>
  <si>
    <t>La Rebotica de Mari Carmen - Santiveri</t>
  </si>
  <si>
    <t>C. Vara, 1, 06185 Valdelacalzada, Badajoz</t>
  </si>
  <si>
    <t>Valdelacalzada</t>
  </si>
  <si>
    <t>686 36 22 30</t>
  </si>
  <si>
    <t>Herbolario Santa Eulalia Montijo</t>
  </si>
  <si>
    <t>Campo de la Iglesia, 41, 06480 Montijo, Badajoz</t>
  </si>
  <si>
    <t>Montijo</t>
  </si>
  <si>
    <t>924 45 27 93</t>
  </si>
  <si>
    <t>C. Teide, 06480 Montijo, Badajoz</t>
  </si>
  <si>
    <t>Esther Perís Morales</t>
  </si>
  <si>
    <t>C. Extremadura, 1, 06480 Montijo, Badajoz</t>
  </si>
  <si>
    <t>924 45 33 35</t>
  </si>
  <si>
    <t>Herbodietética Lola</t>
  </si>
  <si>
    <t>C. Colón, 6, 06510 Alburquerque, Badajoz</t>
  </si>
  <si>
    <t>Alburquerque</t>
  </si>
  <si>
    <t>615 59 74 70</t>
  </si>
  <si>
    <t>Herbolario Loly</t>
  </si>
  <si>
    <t>C. Viñas, 13, 06200 Almendralejo, Badajoz</t>
  </si>
  <si>
    <t>Almendralejo</t>
  </si>
  <si>
    <t>924 66 43 19</t>
  </si>
  <si>
    <t>Herbolario Santa Eulalia C B</t>
  </si>
  <si>
    <t>C. Félix Valverde Lillo, 16, 06800 Mérida, Badajoz</t>
  </si>
  <si>
    <t>Mérida</t>
  </si>
  <si>
    <t>924 30 02 31</t>
  </si>
  <si>
    <t>Herbodietética Mari Fé.</t>
  </si>
  <si>
    <t>C. Miguel de Cervantes, 14, 06800 Mérida, Badajoz</t>
  </si>
  <si>
    <t>924 31 66 14</t>
  </si>
  <si>
    <t>Herbolario Flor</t>
  </si>
  <si>
    <t>C. Almonaster la Real, 9, 06800 Mérida, Badajoz</t>
  </si>
  <si>
    <t>herbolarioflor.com</t>
  </si>
  <si>
    <t>924 33 03 11</t>
  </si>
  <si>
    <t>Don Benito Nature Herbolario</t>
  </si>
  <si>
    <t>Herbolario, C/ Ayala, 3, local, 06400 Don Benito, Badajoz</t>
  </si>
  <si>
    <t>Don Benito</t>
  </si>
  <si>
    <t>623 13 71 74</t>
  </si>
  <si>
    <t>Pronatura</t>
  </si>
  <si>
    <t>C. Sta. Clara, 6, 06300 Zafra, Badajoz</t>
  </si>
  <si>
    <t>Zafra</t>
  </si>
  <si>
    <t>extremaduradavida.com</t>
  </si>
  <si>
    <t>924 03 27 88</t>
  </si>
  <si>
    <t>HerboZafra (antes Santiveri-Zafra)</t>
  </si>
  <si>
    <t>C. Campo Marín, 6A, 06300 Zafra, Badajoz</t>
  </si>
  <si>
    <t>924 55 39 89</t>
  </si>
  <si>
    <t>Natursara</t>
  </si>
  <si>
    <t>Calle Luis de Lemus, 7, 06900 Llerena, Badajoz</t>
  </si>
  <si>
    <t>Llerena</t>
  </si>
  <si>
    <t>924 87 25 44</t>
  </si>
  <si>
    <t>Tienda DUAL</t>
  </si>
  <si>
    <t>C. Colón, 31, 06500 San Vicente de Alcántara, Badajoz</t>
  </si>
  <si>
    <t>San Vicente de Alcántara</t>
  </si>
  <si>
    <t>924 41 04 55</t>
  </si>
  <si>
    <t>Santiveri Villanueva de la Serena Herbolario</t>
  </si>
  <si>
    <t>C. San Francisco, 20, 06700 Villanueva de la Serena, Badajoz</t>
  </si>
  <si>
    <t>Villanueva de la Serena</t>
  </si>
  <si>
    <t>924 84 09 68</t>
  </si>
  <si>
    <t>Lopuedocomer Herbodietetica</t>
  </si>
  <si>
    <t>C. Los Mesones, 7, 06260 Monesterio, Badajoz</t>
  </si>
  <si>
    <t>Monesterio</t>
  </si>
  <si>
    <t>670 55 62 44</t>
  </si>
  <si>
    <t>La Ventana Natural Villanueva de la Serena</t>
  </si>
  <si>
    <t>C. Hernán Cortés, 118, 06700 Villanueva de la Serena, Badajoz</t>
  </si>
  <si>
    <t>924 84 08 29</t>
  </si>
  <si>
    <t>Pharmalife</t>
  </si>
  <si>
    <t>Calle, Pl. Constitución, 06480 Montijo, Badajoz</t>
  </si>
  <si>
    <t>pharmalife.ueniweb.com</t>
  </si>
  <si>
    <t>lperezm6644@hotmail.com</t>
  </si>
  <si>
    <t>El Rincón de Amalia-Parafarmacia</t>
  </si>
  <si>
    <t>06420 Castuera, Badajoz</t>
  </si>
  <si>
    <t>Castuera</t>
  </si>
  <si>
    <t>635 50 11 45</t>
  </si>
  <si>
    <t>Herbolario Naturbio Ricardi</t>
  </si>
  <si>
    <t>C. Laguna, 107, 06420 Castuera, Badajoz</t>
  </si>
  <si>
    <t>naturbio.es</t>
  </si>
  <si>
    <t>640 56 44 75</t>
  </si>
  <si>
    <t>info@naturbio.es</t>
  </si>
  <si>
    <t>BÁLSAMO CONTRA ARTRITIS ARTROSIS NATURSANY - ZAFRA EXTREMADURA</t>
  </si>
  <si>
    <t>C. Sevilla, 40, 06300 Zafra, Badajoz</t>
  </si>
  <si>
    <t>natursany.com</t>
  </si>
  <si>
    <t>625 13 56 97</t>
  </si>
  <si>
    <t>clientes@natursany.com</t>
  </si>
  <si>
    <t>SAGITARIO PROMOCIONES ECONOMICAS S.L.</t>
  </si>
  <si>
    <t>C. Calderón de la Barca, 1, 06800 Mérida, Badajoz</t>
  </si>
  <si>
    <t>924 31 16 55</t>
  </si>
  <si>
    <t>Isa Flor</t>
  </si>
  <si>
    <t>C. Regajo, 6, 10100 Miajadas, Cáceres</t>
  </si>
  <si>
    <t>Miajadas</t>
  </si>
  <si>
    <t>Cáceres</t>
  </si>
  <si>
    <t>927 34 73 50</t>
  </si>
  <si>
    <t>Nature CBD</t>
  </si>
  <si>
    <t>C. Alonso Zamora Vicente, 9, 06800 Mérida, Badajoz</t>
  </si>
  <si>
    <t>Calle del Cmo Llano, 30, 10002 Cáceres</t>
  </si>
  <si>
    <t>herbolariohierbabuena.net</t>
  </si>
  <si>
    <t>927 21 57 20</t>
  </si>
  <si>
    <t>info@herbolariohierbabuena.net</t>
  </si>
  <si>
    <t>Herbolario El Agave</t>
  </si>
  <si>
    <t>C. Ramón y Cajal, 7, 10100 Miajadas, Cáceres</t>
  </si>
  <si>
    <t>927 16 13 81</t>
  </si>
  <si>
    <t>Herbolario Candy</t>
  </si>
  <si>
    <t>Av. Isabel de Moctezuma, 9, 10005 Cáceres</t>
  </si>
  <si>
    <t>herbolariocandy.com</t>
  </si>
  <si>
    <t>927 21 47 41</t>
  </si>
  <si>
    <t>info@herbolariocandy.com</t>
  </si>
  <si>
    <t>Herbolario Donde Isabel</t>
  </si>
  <si>
    <t>Av. Ejército, 24, 06670 Herrera del Duque, Badajoz</t>
  </si>
  <si>
    <t>Herrera del Duque</t>
  </si>
  <si>
    <t>627 92 79 59</t>
  </si>
  <si>
    <t>Arganium Siruela</t>
  </si>
  <si>
    <t>C. Hospital, 18, 06650 Siruela, Badajoz</t>
  </si>
  <si>
    <t>Siruela</t>
  </si>
  <si>
    <t>655 20 57 50</t>
  </si>
  <si>
    <t>Rosa Carron González</t>
  </si>
  <si>
    <t>C. Badajoz, 28, 28931 Móstoles, Madrid</t>
  </si>
  <si>
    <t>916 45 18 79</t>
  </si>
  <si>
    <t>Aizul Bienestar Parafarmacia y Herbolario</t>
  </si>
  <si>
    <t>Plaza Mayor, 15, 10600 Plasencia, Cáceres</t>
  </si>
  <si>
    <t>Plasencia</t>
  </si>
  <si>
    <t>927 04 05 08</t>
  </si>
  <si>
    <t>Herbolario Arcoiris</t>
  </si>
  <si>
    <t>Av. Virgen de Argeme, 52, 10800 Coria, Cáceres</t>
  </si>
  <si>
    <t>Coria</t>
  </si>
  <si>
    <t>659 60 35 88</t>
  </si>
  <si>
    <t>C. Gil Cordero, 16, 10001 Cáceres</t>
  </si>
  <si>
    <t>927 22 69 36</t>
  </si>
  <si>
    <t>Herbolario Mandrágora</t>
  </si>
  <si>
    <t>Av. Isabel de Moctezuma, N5, 10005 Cáceres</t>
  </si>
  <si>
    <t>927 21 44 21</t>
  </si>
  <si>
    <t>Maria Isabel Blasco Nuñez</t>
  </si>
  <si>
    <t>Av. Héroes de Baler, 23, 5ª d, 10004 Cáceres</t>
  </si>
  <si>
    <t>680 71 97 11</t>
  </si>
  <si>
    <t>Alternative CBD</t>
  </si>
  <si>
    <t>C. San Pedro, 4, local 7, 10003 Cáceres</t>
  </si>
  <si>
    <t>alternativecbd.es</t>
  </si>
  <si>
    <t>681 90 62 61</t>
  </si>
  <si>
    <t>info@alternativecbd.es</t>
  </si>
  <si>
    <t>CBD Universo</t>
  </si>
  <si>
    <t>C. Antonio Floriano Cumbreño, Portal 9, 10005 Cáceres</t>
  </si>
  <si>
    <t>cbduniverso.com</t>
  </si>
  <si>
    <t>622 92 45 06</t>
  </si>
  <si>
    <t>Herbolario Nuevo Ceylan</t>
  </si>
  <si>
    <t>C. Rúa Zapatería, 31, 10600 Plasencia, Cáceres</t>
  </si>
  <si>
    <t>927 76 21 24</t>
  </si>
  <si>
    <t>HERBODIETETICA SIERRA DE GATA Superfood And Supplement</t>
  </si>
  <si>
    <t>C. San Lorenzo, 1, 10850 Hoyos, Cáceres</t>
  </si>
  <si>
    <t>Hoyos</t>
  </si>
  <si>
    <t>687 48 99 91</t>
  </si>
  <si>
    <t>BIO ANANDA HERBOLARIO Y HERBODIETÉTICA EN JARANDILLA DE LA VERA</t>
  </si>
  <si>
    <t>Av. de la Vera Alta, Nº16, 10450 Jarandilla de la Vera, Cáceres</t>
  </si>
  <si>
    <t>Jarandilla de la Vera</t>
  </si>
  <si>
    <t>622 53 51 57</t>
  </si>
  <si>
    <t>Espacio Saludable Ana&amp;apos;s</t>
  </si>
  <si>
    <t>Pl. del Cristo, 3, 10120 Logrosán, Cáceres</t>
  </si>
  <si>
    <t>Logrosán</t>
  </si>
  <si>
    <t>608 79 46 54</t>
  </si>
  <si>
    <t>CHB Herbolario</t>
  </si>
  <si>
    <t>C. Fuente Vieja, 11, 10460 Losar de la Vera, Cáceres</t>
  </si>
  <si>
    <t>Losar de la Vera</t>
  </si>
  <si>
    <t>679 66 33 36</t>
  </si>
  <si>
    <t>Pachamama Herbolario</t>
  </si>
  <si>
    <t>Tr.ª de España, 4, 10700 Hervás, Cáceres</t>
  </si>
  <si>
    <t>Hervás</t>
  </si>
  <si>
    <t>687 60 93 56</t>
  </si>
  <si>
    <t>La Rosa Negra Herbolario</t>
  </si>
  <si>
    <t>C. Alfonso XIII, 1, 10300 Navalmoral de la Mata, Cáceres</t>
  </si>
  <si>
    <t>Navalmoral de la Mata</t>
  </si>
  <si>
    <t>larosanegraherbolario.com</t>
  </si>
  <si>
    <t>722 60 47 42</t>
  </si>
  <si>
    <t>HERBODIETETICA</t>
  </si>
  <si>
    <t>Nuevo Herbolario Nuestra Señora de Fatima</t>
  </si>
  <si>
    <t>C/ Ronda de Gredos, 34, 10318 Pueblonuevo de Miramontes, Cáceres</t>
  </si>
  <si>
    <t>Pueblonuevo de Miramontes</t>
  </si>
  <si>
    <t>hermanomanuel.com</t>
  </si>
  <si>
    <t>927 57 32 68</t>
  </si>
  <si>
    <t>Herbolario Díaz</t>
  </si>
  <si>
    <t>Avd, C. Antonio M&amp;apos; Concha, 51, 10300 Navalmoral de la Mata, Cáceres</t>
  </si>
  <si>
    <t>Herbolario Eva</t>
  </si>
  <si>
    <t>C. Cáceres, 2, 28921 Alcorcón, Madrid</t>
  </si>
  <si>
    <t>916 41 51 88</t>
  </si>
  <si>
    <t>Herbolario santa gema alcorcon</t>
  </si>
  <si>
    <t>C. Sta. Gema, 2, 28921 Alcorcón, Madrid</t>
  </si>
  <si>
    <t>666 58 62 33</t>
  </si>
  <si>
    <t>Herbolario&amp;apos;s Arte Sano</t>
  </si>
  <si>
    <t>C. del Ferrocarril, 39, 28045 Madrid</t>
  </si>
  <si>
    <t>herbolariosartesano.com</t>
  </si>
  <si>
    <t>912 55 22 36</t>
  </si>
  <si>
    <t>info@sitecuidas.com</t>
  </si>
  <si>
    <t>Herbolario Brezos Blancos</t>
  </si>
  <si>
    <t>C. Claudio Sánchez Albornoz, 28922 Alcorcón, Madrid</t>
  </si>
  <si>
    <t>910 02 10 08</t>
  </si>
  <si>
    <t>Natura Terra</t>
  </si>
  <si>
    <t>Rúa Poeta Curros Enríquez, 26, 27004 Lugo</t>
  </si>
  <si>
    <t>982 87 36 02</t>
  </si>
  <si>
    <t>Verxel</t>
  </si>
  <si>
    <t>Rúa Montero Ríos, 41, 27002 Lugo</t>
  </si>
  <si>
    <t>verxel.es</t>
  </si>
  <si>
    <t>982 25 18 27</t>
  </si>
  <si>
    <t>Herboristería-parafarmacia Aceña de Olga</t>
  </si>
  <si>
    <t>Rúa Agro da Torna, 1, 27002 Lugo</t>
  </si>
  <si>
    <t>982 24 12 61</t>
  </si>
  <si>
    <t>Mel Fror</t>
  </si>
  <si>
    <t>R. San Pedro, 41, 27001 Lugo</t>
  </si>
  <si>
    <t>melfror.com</t>
  </si>
  <si>
    <t>982 24 12 02</t>
  </si>
  <si>
    <t>info@melfror.com</t>
  </si>
  <si>
    <t>Terapias Nova Era</t>
  </si>
  <si>
    <t>Rúa Monforte, 23, bajo, 27003 Lugo</t>
  </si>
  <si>
    <t>terapiasnovaera.com</t>
  </si>
  <si>
    <t>982 25 41 55</t>
  </si>
  <si>
    <t>info@terapiasnovaera.com</t>
  </si>
  <si>
    <t>Lamas Conde M</t>
  </si>
  <si>
    <t>Rúa Montero Ríos, 21, 27002 Lugo</t>
  </si>
  <si>
    <t>Av. Infanta Elena, 213 Centro Comercial AS TERMAS, 27003 Lugo</t>
  </si>
  <si>
    <t>982 21 96 16</t>
  </si>
  <si>
    <t>Rúa Montevideo, 2, 27001 Lugo</t>
  </si>
  <si>
    <t>982 25 42 90</t>
  </si>
  <si>
    <t>Linva Dietética y Nutrición</t>
  </si>
  <si>
    <t>Rua Calvo Sotelo, 117, Bajo, 27600 Sarria, Lugo</t>
  </si>
  <si>
    <t>Sarria</t>
  </si>
  <si>
    <t>982 53 20 29</t>
  </si>
  <si>
    <t>Ecoespazo VITRIOL</t>
  </si>
  <si>
    <t>Rúa Diego Pazos, 18, 27600 Sarria, Lugo</t>
  </si>
  <si>
    <t>ecoespazovitriol.com</t>
  </si>
  <si>
    <t>982 88 66 16</t>
  </si>
  <si>
    <t>ecoespazovitriol@gmail.com</t>
  </si>
  <si>
    <t>Elvira Coello Coello</t>
  </si>
  <si>
    <t>Calle Da Pravia, 46, 27800 Vilalba, Lugo</t>
  </si>
  <si>
    <t>Villalba</t>
  </si>
  <si>
    <t>982 51 20 95</t>
  </si>
  <si>
    <t>Rúa Cardenal Rodrigo de Castro, 38, 27400 Monforte de Lemos, Lugo</t>
  </si>
  <si>
    <t>Monforte de Lemos</t>
  </si>
  <si>
    <t>982 41 14 62</t>
  </si>
  <si>
    <t>Ecocentro Natureza</t>
  </si>
  <si>
    <t>Av. de Galicia, 52, 27400 Monforte de Lemos, Lugo</t>
  </si>
  <si>
    <t>982 40 47 97</t>
  </si>
  <si>
    <t>Alvarez López M</t>
  </si>
  <si>
    <t>982 40 44 79</t>
  </si>
  <si>
    <t>Herboristería Milenrama</t>
  </si>
  <si>
    <t>Rúa de Emilia Pardo Bazán, 2, 27500 Chantada, Lugo</t>
  </si>
  <si>
    <t>Chantada</t>
  </si>
  <si>
    <t>982 44 00 68</t>
  </si>
  <si>
    <t>Rúa Cardenal Rodrigo de Castro, 21, 27400 Monforte de Lemos, Lugo</t>
  </si>
  <si>
    <t>santiverimonforte.com</t>
  </si>
  <si>
    <t>982 41 09 14</t>
  </si>
  <si>
    <t>info@santiverimonforte.com</t>
  </si>
  <si>
    <t>Nenufar</t>
  </si>
  <si>
    <t>Praza Mestre Mateo, 4, bajo 1, 15004 A Coruña</t>
  </si>
  <si>
    <t>La Coruña</t>
  </si>
  <si>
    <t>A Coruña</t>
  </si>
  <si>
    <t>herbolarionenufar.com</t>
  </si>
  <si>
    <t>981 92 66 57</t>
  </si>
  <si>
    <t>Herboristerías Allariz</t>
  </si>
  <si>
    <t>Av. Salvador de Madariaga, 45, Bajo, 15008 A Coruña</t>
  </si>
  <si>
    <t>herbolarioallariz.com</t>
  </si>
  <si>
    <t>981 29 69 28</t>
  </si>
  <si>
    <t>info@herbolarioallariz.com</t>
  </si>
  <si>
    <t>El Herbolario D Luisa</t>
  </si>
  <si>
    <t>15001 La Coruña</t>
  </si>
  <si>
    <t>881 89 62 02</t>
  </si>
  <si>
    <t>Estalitroque herboristería e saúde</t>
  </si>
  <si>
    <t>Rúa Wenceslao Calvo Garra, 8, 36500 Lalín, Pontevedra</t>
  </si>
  <si>
    <t>Lalín</t>
  </si>
  <si>
    <t>986 78 41 21</t>
  </si>
  <si>
    <t>HERBOLARIOS ROSY</t>
  </si>
  <si>
    <t>Rúa do Progreso, 85, 32003 Ourense</t>
  </si>
  <si>
    <t>Ourense</t>
  </si>
  <si>
    <t>988 22 68 13</t>
  </si>
  <si>
    <t>Herbolario As Marbelas</t>
  </si>
  <si>
    <t>Rúa da Coruña, 2, 32005 Ourense</t>
  </si>
  <si>
    <t>herbolarioasmarbelas.es</t>
  </si>
  <si>
    <t>988 10 66 25</t>
  </si>
  <si>
    <t>info@herbolarioasMarbelas.es</t>
  </si>
  <si>
    <t>Herboristería Senega</t>
  </si>
  <si>
    <t>Calle PASEO, 24 LOC;2;GALERIAS SOL, 32003 Ourense</t>
  </si>
  <si>
    <t>herboristeriasenega.es</t>
  </si>
  <si>
    <t>988 24 10 95</t>
  </si>
  <si>
    <t>info@herboristeriasenega.es</t>
  </si>
  <si>
    <t>Mastersol</t>
  </si>
  <si>
    <t>Rúa Vicente Risco, 26, 32001 Ourense</t>
  </si>
  <si>
    <t>988 21 96 03</t>
  </si>
  <si>
    <t>Milhflor - Progreso</t>
  </si>
  <si>
    <t>Rúa do Progreso, 23, 32005 Ourense</t>
  </si>
  <si>
    <t>988 24 60 94</t>
  </si>
  <si>
    <t>Milhflor</t>
  </si>
  <si>
    <t>Cardenal de Quevedo, 4, 32004 Ourense, Province of Ourense</t>
  </si>
  <si>
    <t>Province of Ourense</t>
  </si>
  <si>
    <t>milhflor.com</t>
  </si>
  <si>
    <t>988 24 92 45</t>
  </si>
  <si>
    <t>tienda@milhflor.com</t>
  </si>
  <si>
    <t>Milhflor Sl</t>
  </si>
  <si>
    <t>Rúa Pena Corneira, 6, 32005 Ourense</t>
  </si>
  <si>
    <t>988 22 81 60</t>
  </si>
  <si>
    <t>Milhflor - Fleming</t>
  </si>
  <si>
    <t>Rúa Doutor Fleming, 51, 32003 Ourense</t>
  </si>
  <si>
    <t>988 23 63 93</t>
  </si>
  <si>
    <t>O Buxo</t>
  </si>
  <si>
    <t>32002 Ourense</t>
  </si>
  <si>
    <t>988 24 47 94</t>
  </si>
  <si>
    <t>El Bazar Natural ®</t>
  </si>
  <si>
    <t>Ourense, 32830 Ourense</t>
  </si>
  <si>
    <t>elbazarnatural.com</t>
  </si>
  <si>
    <t>988 54 42 00</t>
  </si>
  <si>
    <t>correo@elbazarnatural.com</t>
  </si>
  <si>
    <t>alternativanatural.org</t>
  </si>
  <si>
    <t>Allariz</t>
  </si>
  <si>
    <t>661 56 86 79</t>
  </si>
  <si>
    <t>Gaia Contigo</t>
  </si>
  <si>
    <t>Rúa do Areal, 9, Bajo Izquierda, 32890 Barbadás, Province of Ourense</t>
  </si>
  <si>
    <t>Barbadás</t>
  </si>
  <si>
    <t>gaiacontigo.com</t>
  </si>
  <si>
    <t>604 08 91 28</t>
  </si>
  <si>
    <t>info@gaiacontigo.com</t>
  </si>
  <si>
    <t>Menta</t>
  </si>
  <si>
    <t>Rúa Cesáreo Tizón, 25, 32500 O Carballiño, Ourense</t>
  </si>
  <si>
    <t>Carballino</t>
  </si>
  <si>
    <t>988 27 41 23</t>
  </si>
  <si>
    <t>Herbolimia</t>
  </si>
  <si>
    <t>Rúa Dous de Maio, 21, 32630 Xinzo de Limia, Ourense</t>
  </si>
  <si>
    <t>Xinzo de Limia</t>
  </si>
  <si>
    <t>988 68 81 37</t>
  </si>
  <si>
    <t>Herbolario Salón de Belleza Cleopatra</t>
  </si>
  <si>
    <t>Rúa Carballiño, 54, Bajo, 32416 Ribadavia, Province of Ourense</t>
  </si>
  <si>
    <t>Ribadavia</t>
  </si>
  <si>
    <t>988 47 21 24</t>
  </si>
  <si>
    <t>Centro Dietetico-Herbolario Kuki Prada</t>
  </si>
  <si>
    <t>Rúa do Progreso, 34, bajo a, 32350 A Rúa, Province of Ourense</t>
  </si>
  <si>
    <t>La Rúa</t>
  </si>
  <si>
    <t>696 61 26 10</t>
  </si>
  <si>
    <t>Herbolario &amp;quot;Belladona&amp;quot;</t>
  </si>
  <si>
    <t>Rúa San Roque, 10, 32550 Viana do Bolo, Ourense</t>
  </si>
  <si>
    <t>Viana do Bollo</t>
  </si>
  <si>
    <t>988 32 99 09</t>
  </si>
  <si>
    <t>Rúa Lisa, 32600 Verín, Ourense</t>
  </si>
  <si>
    <t>Verín</t>
  </si>
  <si>
    <t>988 41 37 04</t>
  </si>
  <si>
    <t>El herbolario de Inma</t>
  </si>
  <si>
    <t>C/ Doctor Vila. N°6, Bajo 2, 32350, Province of Ourense</t>
  </si>
  <si>
    <t>988 31 10 53</t>
  </si>
  <si>
    <t>Farmarosa</t>
  </si>
  <si>
    <t>Av. Luis Espada, 59, 32600 Verín, Province of Ourense</t>
  </si>
  <si>
    <t>988 41 16 64</t>
  </si>
  <si>
    <t>HERBOLARIO EL OLIVO</t>
  </si>
  <si>
    <t>Rúa Lauro Olmo, bajo, 32300 O Barco, Province of Ourense</t>
  </si>
  <si>
    <t>El Barco de Valdeorras</t>
  </si>
  <si>
    <t>herbolarioelolivo.es</t>
  </si>
  <si>
    <t>988 32 53 37</t>
  </si>
  <si>
    <t>your@email.com</t>
  </si>
  <si>
    <t>Eco Natural</t>
  </si>
  <si>
    <t>Rúa Antón Fraguas, 2407, 36004 Pontevedra</t>
  </si>
  <si>
    <t>986 85 61 46</t>
  </si>
  <si>
    <t>Herbolario Mas Salud</t>
  </si>
  <si>
    <t>Av. Raíña Vitoria Uxía, 2, 36001 Pontevedra</t>
  </si>
  <si>
    <t>986 84 70 49</t>
  </si>
  <si>
    <t>Rúa Peregrina, 49, 36003 Pontevedra</t>
  </si>
  <si>
    <t>Herboristeria Baquero-Guillen</t>
  </si>
  <si>
    <t>Rúa Echegaray, 4-28, 36002 Pontevedra</t>
  </si>
  <si>
    <t>986 86 29 09</t>
  </si>
  <si>
    <t>Herbolario INTEGRAL</t>
  </si>
  <si>
    <t>Rúa Marqués de Riestra, 24, 36001 Pontevedra</t>
  </si>
  <si>
    <t>986 85 67 44</t>
  </si>
  <si>
    <t>La Ventana Natural Pontevedra</t>
  </si>
  <si>
    <t>Agolada</t>
  </si>
  <si>
    <t>986 09 64 95</t>
  </si>
  <si>
    <t>Sra. Florinda</t>
  </si>
  <si>
    <t>Rúa Antón Fraguas, 1, 36004 Pontevedra</t>
  </si>
  <si>
    <t>sraflorinda.com</t>
  </si>
  <si>
    <t>886 90 84 94</t>
  </si>
  <si>
    <t>central@sraflorinda.com</t>
  </si>
  <si>
    <t>DISTRIBUCION DE PRODUCTOS NATURALES Y DIETETICOS PARA GALICIA... DISTRIGALICIA-DIETETICA</t>
  </si>
  <si>
    <t>Rúa Condesa de Pardo Bazán, 36002 Pontevedra</t>
  </si>
  <si>
    <t>607 60 06 39</t>
  </si>
  <si>
    <t>The Cream CBD Shop</t>
  </si>
  <si>
    <t>Praza da Verdura, 36002 Pontevedra</t>
  </si>
  <si>
    <t>Yin Yang</t>
  </si>
  <si>
    <t>Calle Alcalde Ezequiel Masoni, 12, 36900 Marín, Pontevedra</t>
  </si>
  <si>
    <t>Marín</t>
  </si>
  <si>
    <t>986 89 11 89</t>
  </si>
  <si>
    <t>AQUAZEN</t>
  </si>
  <si>
    <t>Rúa Doutor Touriño Gamallo, 8, bajo, 36900 Marín, Pontevedra</t>
  </si>
  <si>
    <t>886 20 30 35</t>
  </si>
  <si>
    <t>Julia Novegil</t>
  </si>
  <si>
    <t>Rúa Jaime Janer, 38, 36900 Marín, Pontevedra</t>
  </si>
  <si>
    <t>julianovegil.es</t>
  </si>
  <si>
    <t>Kinua Tenda Bio</t>
  </si>
  <si>
    <t>Av. de Pontevedra, 23, bajo B, 36820 Ponte Caldelas, Pontevedra</t>
  </si>
  <si>
    <t>Puentecaldelas</t>
  </si>
  <si>
    <t>986 76 84 45</t>
  </si>
  <si>
    <t>HERBOTERO, S.L</t>
  </si>
  <si>
    <t>Rúa do Progreso, 13, 36960 Sanxenxo, Pontevedra</t>
  </si>
  <si>
    <t>Sanjenjo</t>
  </si>
  <si>
    <t>886 16 66 07</t>
  </si>
  <si>
    <t>Mundo Natural</t>
  </si>
  <si>
    <t>Rúa Xeneral Rubín, 25, 36800 Redondela, Pontevedra</t>
  </si>
  <si>
    <t>Redondela</t>
  </si>
  <si>
    <t>mundonaturalredondela.com</t>
  </si>
  <si>
    <t>986 40 31 70</t>
  </si>
  <si>
    <t>hola@miempresa.es</t>
  </si>
  <si>
    <t>Centro Dietético Hortelán Moaña</t>
  </si>
  <si>
    <t>Av. de Concepción Arenal, 220, 36959 Moaña, Pontevedra</t>
  </si>
  <si>
    <t>Moaña</t>
  </si>
  <si>
    <t>hortelan.com</t>
  </si>
  <si>
    <t>986 31 54 64</t>
  </si>
  <si>
    <t>herbolario@hortelan.com</t>
  </si>
  <si>
    <t>Mercasaude Herbolario y Dietética</t>
  </si>
  <si>
    <t>Rúa Xoan Fuentes Echevarría, 9, local 3, 36650 Caldas de Reis, Pontevedra</t>
  </si>
  <si>
    <t>Caldas de Reyes</t>
  </si>
  <si>
    <t>637 98 99 10</t>
  </si>
  <si>
    <t>A Ventana Natural</t>
  </si>
  <si>
    <t>Rúa Alfonso XII, 26, bajo, 36800 Redondela, Pontevedra</t>
  </si>
  <si>
    <t>651 88 81 85</t>
  </si>
  <si>
    <t>Centro Dietético Hortelán Cangas</t>
  </si>
  <si>
    <t>Rúa de Mendez Núñez, 6, 36940 Cangas, Pontevedra</t>
  </si>
  <si>
    <t>Cangas</t>
  </si>
  <si>
    <t>986 30 53 44</t>
  </si>
  <si>
    <t>BODIET, Centro de Dietética y Salud</t>
  </si>
  <si>
    <t>Rúa Salgueiral, 9, 36800 Redondela, Pontevedra</t>
  </si>
  <si>
    <t>986 13 58 43</t>
  </si>
  <si>
    <t>Eco Cash</t>
  </si>
  <si>
    <t>Rúa Cunchido de Arriba, nº1, 36940 Darbo, Pontevedra</t>
  </si>
  <si>
    <t>Darbo</t>
  </si>
  <si>
    <t>ecocash.es</t>
  </si>
  <si>
    <t>986 30 23 43</t>
  </si>
  <si>
    <t>david@ecocash.es</t>
  </si>
  <si>
    <t>Silvia Pastoriza Corrales</t>
  </si>
  <si>
    <t>Av. Fragata Lealtad, 12, 36950 Moaña, Pontevedra</t>
  </si>
  <si>
    <t>A Herbotiquiña</t>
  </si>
  <si>
    <t>Rúa Romero Ortiz, 3, 36600 Vilagarcía de Arousa, Pontevedra</t>
  </si>
  <si>
    <t>Villagarcía de Arosa</t>
  </si>
  <si>
    <t>986 51 23 40</t>
  </si>
  <si>
    <t>Herbosaúde</t>
  </si>
  <si>
    <t>Rúa Castelao, 19, 36980 O Grove, Pontevedra</t>
  </si>
  <si>
    <t>El Grove</t>
  </si>
  <si>
    <t>986 73 38 48</t>
  </si>
  <si>
    <t>La Bola de Cristal</t>
  </si>
  <si>
    <t>Rúa García Caamaño, 19, 36600 Vilagarcía de Arousa, Pontevedra</t>
  </si>
  <si>
    <t>986 50 19 06</t>
  </si>
  <si>
    <t>Herbolario Carmen Alimentación Natural</t>
  </si>
  <si>
    <t>Rúa Castelao, n 27, 36980 O Grove, Pontevedra</t>
  </si>
  <si>
    <t>986 73 36 44</t>
  </si>
  <si>
    <t>Naturshop</t>
  </si>
  <si>
    <t>Rúa Travesía de Vigo, 167, 36207 Vigo, Pontevedra</t>
  </si>
  <si>
    <t>naturshop.es</t>
  </si>
  <si>
    <t>986 37 90 40</t>
  </si>
  <si>
    <t>info@naturshop.es</t>
  </si>
  <si>
    <t>Botanica Herbolario Parafarmacia</t>
  </si>
  <si>
    <t>Rúa Ramón González, 60, 36400 O Porriño, Pontevedra</t>
  </si>
  <si>
    <t>Porriño</t>
  </si>
  <si>
    <t>986 17 31 53</t>
  </si>
  <si>
    <t>La Botica De Villa Herboristeria</t>
  </si>
  <si>
    <t>Rúa Alejandro Cerecedo, 3, bajo, 36600 Vilagarcía de Arousa, Pontevedra</t>
  </si>
  <si>
    <t>986 50 96 92</t>
  </si>
  <si>
    <t>Llanten</t>
  </si>
  <si>
    <t>Rúa de Barcelona, 86, 36211 Vigo, Pontevedra</t>
  </si>
  <si>
    <t>986 41 90 14</t>
  </si>
  <si>
    <t>Fume De Carozo</t>
  </si>
  <si>
    <t>Praza da Independencia, 6, 36600 Vilagarcía de Arousa, Pontevedra</t>
  </si>
  <si>
    <t>986 07 31 35</t>
  </si>
  <si>
    <t>Herbolario Kaizen</t>
  </si>
  <si>
    <t>Rúa de Sanjurjo Badía, 107, 36207 Vigo, Pontevedra</t>
  </si>
  <si>
    <t>kaizenbio.es</t>
  </si>
  <si>
    <t>604 02 38 16</t>
  </si>
  <si>
    <t>info@kaizenbio.es</t>
  </si>
  <si>
    <t>LavandaBio</t>
  </si>
  <si>
    <t>Rúa de García Barbón, 100, 36201 Vigo, Pontevedra</t>
  </si>
  <si>
    <t>herboristeriavigo.com</t>
  </si>
  <si>
    <t>680 59 05 56</t>
  </si>
  <si>
    <t>Dietsana</t>
  </si>
  <si>
    <t>R. Alcalde Daniel Ojea, 10, 36860 Ponteareas, Pontevedra</t>
  </si>
  <si>
    <t>Puenteareas</t>
  </si>
  <si>
    <t>986 64 27 19</t>
  </si>
  <si>
    <t>Rúa de García Barbón, 101 A, local 8, bajo, 36201 Vigo, Pontevedra</t>
  </si>
  <si>
    <t>886 13 40 86</t>
  </si>
  <si>
    <t>Rubén Pousada Calvar</t>
  </si>
  <si>
    <t>Rúa de Xosé Alexandre Cribeiro, 2, 36940 Cangas, Pontevedra</t>
  </si>
  <si>
    <t>Hierbabuena</t>
  </si>
  <si>
    <t>Rúa Alejandro Cerecedo, 8, 36600 Vilagarcía de Arousa, Pontevedra</t>
  </si>
  <si>
    <t>salnesclick.es</t>
  </si>
  <si>
    <t>986 50 62 76</t>
  </si>
  <si>
    <t>info@salnesclick.es</t>
  </si>
  <si>
    <t>Herboristeria Sante</t>
  </si>
  <si>
    <t>Rúa de Sanjurjo Badía, 131, 36207 Vigo, Pontevedra</t>
  </si>
  <si>
    <t>986 37 92 02</t>
  </si>
  <si>
    <t>O Recuncho de Artemisa</t>
  </si>
  <si>
    <t>Av. do Fragoso, 87, 36210 Vigo, Pontevedra</t>
  </si>
  <si>
    <t>orecunchodeartemisa.com</t>
  </si>
  <si>
    <t>986 19 81 14</t>
  </si>
  <si>
    <t>info@orecunchodeartemisa.com</t>
  </si>
  <si>
    <t>Brionia Herboristería</t>
  </si>
  <si>
    <t>Av. da Florida, 42, BAJO, 36210 Vigo, Pontevedra</t>
  </si>
  <si>
    <t>brioniacentronaturista.com</t>
  </si>
  <si>
    <t>986 23 97 83</t>
  </si>
  <si>
    <t>Shambala</t>
  </si>
  <si>
    <t>Rúa Ferrol, 1, 36940 Cangas, Pontevedra</t>
  </si>
  <si>
    <t>986 39 20 48</t>
  </si>
  <si>
    <t>Herbanatura</t>
  </si>
  <si>
    <t>Av. do Fragoso, 24, 36210 Vigo, Pontevedra</t>
  </si>
  <si>
    <t>986 20 59 61</t>
  </si>
  <si>
    <t>Herbolario las Buenas Hierbas</t>
  </si>
  <si>
    <t>P.º de Calvo Sotelo, 13, 36700 Tui, Pontevedra</t>
  </si>
  <si>
    <t>Tuy</t>
  </si>
  <si>
    <t>986 60 19 30</t>
  </si>
  <si>
    <t>Pharmagreen S.L</t>
  </si>
  <si>
    <t>Rúa Martín Echegaray, 28, 36209 Vigo, Pontevedra</t>
  </si>
  <si>
    <t>pharmagreen.es</t>
  </si>
  <si>
    <t>986 29 26 46</t>
  </si>
  <si>
    <t>info@pharmagreen.es</t>
  </si>
  <si>
    <t>Planeta Orgánico - Herbolario Baiona</t>
  </si>
  <si>
    <t>Rúa Laxe, 3, Bajo, 36300 Baiona, Pontevedra</t>
  </si>
  <si>
    <t>Bayona</t>
  </si>
  <si>
    <t>697 30 61 11</t>
  </si>
  <si>
    <t>Central Dietética de Vigo</t>
  </si>
  <si>
    <t>Av. Alcalde Gregorio Espino, 39, 36205 Vigo, Pontevedra</t>
  </si>
  <si>
    <t>986 26 00 49</t>
  </si>
  <si>
    <t>Centro Naturista</t>
  </si>
  <si>
    <t>Av. das Camelias, 68, 36211 Vigo, Pontevedra</t>
  </si>
  <si>
    <t>986 20 51 15</t>
  </si>
  <si>
    <t>Parafarmacia Casal</t>
  </si>
  <si>
    <t>Rúa N 2, 5, 36660 Moraña, Pontevedra</t>
  </si>
  <si>
    <t>Moraña</t>
  </si>
  <si>
    <t>986 55 30 73</t>
  </si>
  <si>
    <t>Herbolario Eneldo</t>
  </si>
  <si>
    <t>Praza Eugenio Fadrique, 8, 36208 Vigo, Pontevedra</t>
  </si>
  <si>
    <t>986 20 49 27</t>
  </si>
  <si>
    <t>Herboristeria arbore da vida</t>
  </si>
  <si>
    <t>Rúa López Mora, nº60, Bajo, 36211 Vigo, Pontevedra</t>
  </si>
  <si>
    <t>arboredavida.es</t>
  </si>
  <si>
    <t>604 03 65 54</t>
  </si>
  <si>
    <t>tienda@arboredavida.es</t>
  </si>
  <si>
    <t>Calle Damas apostólicas, 17 C.C. SIGLO XXI local 25, 36370 San Pedro da Ramallosa, Pontevedra</t>
  </si>
  <si>
    <t>San Pedro de la Ramallosa</t>
  </si>
  <si>
    <t>986 35 49 64</t>
  </si>
  <si>
    <t>Herboristería Natura</t>
  </si>
  <si>
    <t>Rúa de Urzaiz, 144, 36205 Vigo, Pontevedra</t>
  </si>
  <si>
    <t>986 27 01 01</t>
  </si>
  <si>
    <t>Mimaté Salud Natural</t>
  </si>
  <si>
    <t>Travesía Antonio Palacios F, 36400 O Porriño, Pontevedra</t>
  </si>
  <si>
    <t>mimatesaludnatural.com</t>
  </si>
  <si>
    <t>886 12 83 85</t>
  </si>
  <si>
    <t>info@mimatesaludnatural.com</t>
  </si>
  <si>
    <t>ELIXIR BIOTIENDA</t>
  </si>
  <si>
    <t>Rúa México, 62, 36204 Vigo, Pontevedra</t>
  </si>
  <si>
    <t>elixirbiotienda.es</t>
  </si>
  <si>
    <t>630 03 04 56</t>
  </si>
  <si>
    <t>elixirbiotienda@gmail.com</t>
  </si>
  <si>
    <t>José Carlos Fernández Fernández</t>
  </si>
  <si>
    <t>Rúa Tomás A. Alonso, 285, 36208 Vigo, Pontevedra</t>
  </si>
  <si>
    <t>986 20 39 53</t>
  </si>
  <si>
    <t>Farmanatur</t>
  </si>
  <si>
    <t>Rúa Irida, nº 9, local 2, 36680 A Estrada, Pontevedra</t>
  </si>
  <si>
    <t>La Estrada</t>
  </si>
  <si>
    <t>679 53 45 46</t>
  </si>
  <si>
    <t>Herboristeria HIERBABUENA Baiona</t>
  </si>
  <si>
    <t>Rúa Carabela a Pinta, 22, 36300 Baiona, Pontevedra</t>
  </si>
  <si>
    <t>604 08 63 92</t>
  </si>
  <si>
    <t>Alonso Rodríguez N</t>
  </si>
  <si>
    <t>Rúa de Venezuela, 27, 36203 Vigo, Pontevedra</t>
  </si>
  <si>
    <t>986 47 09 37</t>
  </si>
  <si>
    <t>Parafarmacia Herbolario Rosario</t>
  </si>
  <si>
    <t>Av. de Galicia, 41, 36470 Salceda de Caselas, Pontevedra</t>
  </si>
  <si>
    <t>Salceda de Caselas</t>
  </si>
  <si>
    <t>parafarmaciasalceda.wixsite.com</t>
  </si>
  <si>
    <t>986 34 96 04</t>
  </si>
  <si>
    <t>Sabia Natura</t>
  </si>
  <si>
    <t>Rúa Justo Martínez, 13, 36680 A Estrada, Pontevedra</t>
  </si>
  <si>
    <t>986 57 37 74</t>
  </si>
  <si>
    <t>Rúa de Urzaiz, 223, 36205 Vigo, Pontevedra</t>
  </si>
  <si>
    <t>698 14 91 64</t>
  </si>
  <si>
    <t>Bambú Herboristería</t>
  </si>
  <si>
    <t>Av. Elduayen, 4, BAJO, 36380 Gondomar, Pontevedra</t>
  </si>
  <si>
    <t>Gondomar</t>
  </si>
  <si>
    <t>herboristeriabambu.com</t>
  </si>
  <si>
    <t>986 36 90 33</t>
  </si>
  <si>
    <t>El Reco</t>
  </si>
  <si>
    <t>Rúa Concepción Arenal, 45, 36780 A Guarda, Pontevedra</t>
  </si>
  <si>
    <t>La Guardia</t>
  </si>
  <si>
    <t>Las Hierbas Salvajes de Vigo</t>
  </si>
  <si>
    <t>Calle de Paraguay, 5, 36204 Vigo, Pontevedra</t>
  </si>
  <si>
    <t>mitiendaair.es</t>
  </si>
  <si>
    <t>986 41 99 60</t>
  </si>
  <si>
    <t>info@aigclassic.com</t>
  </si>
  <si>
    <t>Parafarmacia Herbolario Cañiza</t>
  </si>
  <si>
    <t>Rúa do Carme, 18, 36880 A Cañiza, Pontevedra</t>
  </si>
  <si>
    <t>La Cañiza</t>
  </si>
  <si>
    <t>616 46 93 40</t>
  </si>
  <si>
    <t>Exialoe - Productos Naturales con Aloe Vera</t>
  </si>
  <si>
    <t>Calle Monte del Sino, 29, 36206 Vigo, Pontevedra</t>
  </si>
  <si>
    <t>exialoe.es</t>
  </si>
  <si>
    <t>607 39 92 84</t>
  </si>
  <si>
    <t>aloe@euroexito.com</t>
  </si>
  <si>
    <t>Herboristeria Florida 33</t>
  </si>
  <si>
    <t>Av. da Florida, 33, 36210 Vigo, Pontevedra</t>
  </si>
  <si>
    <t>herboristeriaflorida33.com</t>
  </si>
  <si>
    <t>986 29 25 01</t>
  </si>
  <si>
    <t>info@herboristeriaflorida33.com</t>
  </si>
  <si>
    <t>HERBOLARIO NATUREZA</t>
  </si>
  <si>
    <t>R. do Ecuador, 1, 36203 Vigo, Pontevedra</t>
  </si>
  <si>
    <t>Santiveri Tui</t>
  </si>
  <si>
    <t>R. Foxo, 5, 36700 Tui, Pontevedra</t>
  </si>
  <si>
    <t>entreplantastui.com</t>
  </si>
  <si>
    <t>986 60 04 62</t>
  </si>
  <si>
    <t>info@entreplantastui.com</t>
  </si>
  <si>
    <t>Rúa da República Arxentina, 21, 36201 Vigo, Pontevedra</t>
  </si>
  <si>
    <t>986 22 58 65</t>
  </si>
  <si>
    <t>La Tía María cbd O Porriño</t>
  </si>
  <si>
    <t>Rúa Ramiranes, 8, 36400 O Porriño, Pontevedra</t>
  </si>
  <si>
    <t>621 28 95 90</t>
  </si>
  <si>
    <t>Botica87vigo</t>
  </si>
  <si>
    <t>Av. Hispanidade, 112, 36203 Vigo, Pontevedra</t>
  </si>
  <si>
    <t>652 68 55 35</t>
  </si>
  <si>
    <t>Maravilla</t>
  </si>
  <si>
    <t>C. Jerusalén, 19, 28981 Parla, Madrid</t>
  </si>
  <si>
    <t>916 99 10 93</t>
  </si>
  <si>
    <t>Herbolario Las Nieves</t>
  </si>
  <si>
    <t>C. de Federico Gutiérrez, 10, 28027 Madrid</t>
  </si>
  <si>
    <t>914 07 29 45</t>
  </si>
  <si>
    <t>Herbolario Espliego</t>
  </si>
  <si>
    <t>Pl. del Ángel, 1, 28012 Madrid</t>
  </si>
  <si>
    <t>herbolarioespliego.es</t>
  </si>
  <si>
    <t>638 41 94 84</t>
  </si>
  <si>
    <t>Herbolario Body And Soul</t>
  </si>
  <si>
    <t>P.º de San Sebastián, 28, 28490 Becerril de la Sierra, Madrid</t>
  </si>
  <si>
    <t>Becerril de la Sierra</t>
  </si>
  <si>
    <t>herbolariobodyandsoul.com</t>
  </si>
  <si>
    <t>918 55 60 41</t>
  </si>
  <si>
    <t>info@herbolariobodyandsoul.com</t>
  </si>
  <si>
    <t>Centro herbolario Piedraluna, salud y bienestar</t>
  </si>
  <si>
    <t>C/Carretera Ávila nº22, 05500 Piedrahíta, Ávila</t>
  </si>
  <si>
    <t>Piedrahíta</t>
  </si>
  <si>
    <t>piedralunacentro.com</t>
  </si>
  <si>
    <t>635 52 27 46</t>
  </si>
  <si>
    <t>Herboristería Herba</t>
  </si>
  <si>
    <t>C. Duquesa de la Victoria, 8, 26003 Logroño, La Rioja</t>
  </si>
  <si>
    <t>941 24 36 78</t>
  </si>
  <si>
    <t>Herbolario Navarro Logroño</t>
  </si>
  <si>
    <t>Av. Gran Vía Juan Carlos I, 20, 26001 Logroño, La Rioja</t>
  </si>
  <si>
    <t>941 10 32 28</t>
  </si>
  <si>
    <t>Hierbabuena Herbolario</t>
  </si>
  <si>
    <t>C. Capitán Gaona, 3, 26001 Logroño, La Rioja</t>
  </si>
  <si>
    <t>hierbabuenaherbolario.com</t>
  </si>
  <si>
    <t>941 24 27 93</t>
  </si>
  <si>
    <t>susanahierbabuena@gmail.com</t>
  </si>
  <si>
    <t>Elía S</t>
  </si>
  <si>
    <t>C. de la Rioja, 86, 28915 Leganés, Madrid</t>
  </si>
  <si>
    <t>916 88 22 78</t>
  </si>
  <si>
    <t>Herboristería Caléndula</t>
  </si>
  <si>
    <t>C. Estambrera, 8, 26006 Logroño, La Rioja</t>
  </si>
  <si>
    <t>tiendacalendula.com</t>
  </si>
  <si>
    <t>941 50 96 44</t>
  </si>
  <si>
    <t>Vernalis</t>
  </si>
  <si>
    <t>C. de Juan XXIII, 15, 26003 Logroño, La Rioja</t>
  </si>
  <si>
    <t>941 25 68 23</t>
  </si>
  <si>
    <t>Miguel Angel Argaiz Sain y Otro C B</t>
  </si>
  <si>
    <t>Av. de Valvanera, 11, 26500 Calahorra, La Rioja</t>
  </si>
  <si>
    <t>Calahorra</t>
  </si>
  <si>
    <t>941 14 66 64</t>
  </si>
  <si>
    <t>Catanatura</t>
  </si>
  <si>
    <t>Av. Gran Vía Juan Carlos I, 41, Local, 26004 Logroño, La Rioja</t>
  </si>
  <si>
    <t>catanatura.es</t>
  </si>
  <si>
    <t>941 57 86 13</t>
  </si>
  <si>
    <t>catanatura@catanatura.com</t>
  </si>
  <si>
    <t>El Valle Eco</t>
  </si>
  <si>
    <t>C. Siete Infantes de Lara, 3, 26007 Logroño, La Rioja</t>
  </si>
  <si>
    <t>941 89 33 95</t>
  </si>
  <si>
    <t>Herbo - Estética Sándalo</t>
  </si>
  <si>
    <t>Calle Teniente Coronel Santos Ascarza, 26, bajo, 26004, 26004, La Rioja</t>
  </si>
  <si>
    <t>941 24 85 15</t>
  </si>
  <si>
    <t>Herboristeria Centro de la Madre Tierra</t>
  </si>
  <si>
    <t>C. Ramírez de Velasco, 10, 26005 Logroño, La Rioja</t>
  </si>
  <si>
    <t>941 50 24 16</t>
  </si>
  <si>
    <t>MIGUEL ANGEL ARGAIZ SAINZ Y OTRO</t>
  </si>
  <si>
    <t>C. Preciados, 3, 26580 Arnedo, La Rioja</t>
  </si>
  <si>
    <t>Arnedo</t>
  </si>
  <si>
    <t>941 38 39 22</t>
  </si>
  <si>
    <t>Centro Dietético tu salud es natural</t>
  </si>
  <si>
    <t>Av. Pérez Galdós, 52, 54, 26002 Logroño, La Rioja</t>
  </si>
  <si>
    <t>941 02 14 01</t>
  </si>
  <si>
    <t>Av. Pérez Galdós, 46, 26002 Logroño, La Rioja</t>
  </si>
  <si>
    <t>941 22 87 74</t>
  </si>
  <si>
    <t>Parafarmacia Herbodietetica Mirian</t>
  </si>
  <si>
    <t>C. Virrey Lizana, 2, 26580 Arnedo, La Rioja</t>
  </si>
  <si>
    <t>941 38 11 88</t>
  </si>
  <si>
    <t>Jacaranda Herbolario</t>
  </si>
  <si>
    <t>Calle Chile, 5, 26002 Logroño, La Rioja</t>
  </si>
  <si>
    <t>jacarandaherbolario.es</t>
  </si>
  <si>
    <t>941 03 58 84</t>
  </si>
  <si>
    <t>jacaranda821@hotmail.com</t>
  </si>
  <si>
    <t>Herbolario Santiveri Calahorra</t>
  </si>
  <si>
    <t>C. Gral. Gallarza, 27, bajo, 26500 Calahorra, La Rioja</t>
  </si>
  <si>
    <t>941 89 70 23</t>
  </si>
  <si>
    <t>Centro Dietetico Gasteiz</t>
  </si>
  <si>
    <t>Reyes de Navarra Kalea, 12, 01002 Gasteiz, Araba</t>
  </si>
  <si>
    <t>Vitoria-Gasteiz</t>
  </si>
  <si>
    <t>Araba</t>
  </si>
  <si>
    <t>centrodieteticogasteiz.com</t>
  </si>
  <si>
    <t>945 27 87 00</t>
  </si>
  <si>
    <t>centrodieteticogasteiz@yahoo.es</t>
  </si>
  <si>
    <t>Jesús Angel Bravo Esparza</t>
  </si>
  <si>
    <t>C. San Blas, 6, 31580 Lodosa, Navarra</t>
  </si>
  <si>
    <t>Lodosa</t>
  </si>
  <si>
    <t>Consulta De Masaje Y Osteopatía José Ángel Rodríguez</t>
  </si>
  <si>
    <t>C. Siete Infantes de Lara, 16, 26007 Logroño, La Rioja</t>
  </si>
  <si>
    <t>osteopatiajoseangelrodriguez.com</t>
  </si>
  <si>
    <t>659 61 48 70</t>
  </si>
  <si>
    <t>jangelralfaro@gmail.com</t>
  </si>
  <si>
    <t>Begin Vegan</t>
  </si>
  <si>
    <t>C. Somosierra, 17, 26002 Logroño, La Rioja</t>
  </si>
  <si>
    <t>beginvegan.es</t>
  </si>
  <si>
    <t>941 57 25 72</t>
  </si>
  <si>
    <t>info@beginvegan.es</t>
  </si>
  <si>
    <t>Oyon Nature</t>
  </si>
  <si>
    <t>Av. de Navarra, 55, 01320 Oyón-Oion, Álava</t>
  </si>
  <si>
    <t>Oyón</t>
  </si>
  <si>
    <t>Álava</t>
  </si>
  <si>
    <t>945 19 82 97</t>
  </si>
  <si>
    <t>LA VENTANA NATURAL VITORIA</t>
  </si>
  <si>
    <t>Provincia Plaza, 11, 01001 Gasteiz, Araba</t>
  </si>
  <si>
    <t>945 04 26 83</t>
  </si>
  <si>
    <t>Cannabicum, La Alacena de CBD</t>
  </si>
  <si>
    <t>Calle Dr. Múgica, 4, 26002 Logroño, La Rioja</t>
  </si>
  <si>
    <t>624 25 79 44</t>
  </si>
  <si>
    <t>Herbodietética Salvia</t>
  </si>
  <si>
    <t>C. Batondoa, 2, BJ, 31600 Burlada, Navarra</t>
  </si>
  <si>
    <t>Burlada</t>
  </si>
  <si>
    <t>herbodieteticasalviasl.com</t>
  </si>
  <si>
    <t>948 10 41 49</t>
  </si>
  <si>
    <t>info@herbodieteticasalviasl.com</t>
  </si>
  <si>
    <t>Herboristería La Espiga De Oro</t>
  </si>
  <si>
    <t>C. Pablo Sarasate, 11, 31500 Tudela, Navarra</t>
  </si>
  <si>
    <t>Tudela</t>
  </si>
  <si>
    <t>948 82 41 45</t>
  </si>
  <si>
    <t>Arganium Natural Melilla</t>
  </si>
  <si>
    <t>C. Pablo Vallescá, 52001 Melilla</t>
  </si>
  <si>
    <t>Melilla</t>
  </si>
  <si>
    <t>951 77 90 97</t>
  </si>
  <si>
    <t>Artemisa Melilla</t>
  </si>
  <si>
    <t>C. la Legión, 77, 52006 Melilla</t>
  </si>
  <si>
    <t>640 11 57 31</t>
  </si>
  <si>
    <t>Herboristería Jalea Real</t>
  </si>
  <si>
    <t>P.º Marítimo Francisco Mir Berlanga, 9, LOCAL 1, 52006 Melilla</t>
  </si>
  <si>
    <t>herboristeriajaleareal.com</t>
  </si>
  <si>
    <t>690 22 70 14</t>
  </si>
  <si>
    <t>molinaespa@hotmail.com</t>
  </si>
  <si>
    <t>Ingar Radio</t>
  </si>
  <si>
    <t>C. Abdelkader, 3, 52001 Melilla</t>
  </si>
  <si>
    <t>952 68 21 00</t>
  </si>
  <si>
    <t>Ana Gómez Maza</t>
  </si>
  <si>
    <t>C. Hernando de Zafra, 12, 52003 Melilla</t>
  </si>
  <si>
    <t>952 68 11 98</t>
  </si>
  <si>
    <t>Herbolario Plaza De Las Flores</t>
  </si>
  <si>
    <t>C. Jiménez Baeza, 6, 30004 Murcia</t>
  </si>
  <si>
    <t>868 24 74 95</t>
  </si>
  <si>
    <t>Herbolario Navarro Murcia</t>
  </si>
  <si>
    <t>Av. de la Libertad, 1, 30009 Murcia</t>
  </si>
  <si>
    <t>960 01 11 37</t>
  </si>
  <si>
    <t>Herbolario La ventana natural Market Murcia</t>
  </si>
  <si>
    <t>Calle Sta. Joaquina de Vedruna, 2, 30002 Murcia</t>
  </si>
  <si>
    <t>laventananaturalmurcia.com</t>
  </si>
  <si>
    <t>685 24 08 80</t>
  </si>
  <si>
    <t>info@laventananaturalmurcia.com</t>
  </si>
  <si>
    <t>Herbolario El Carmen</t>
  </si>
  <si>
    <t>C. Madre Elisea Oliver Molina, 4, 30002 Murcia</t>
  </si>
  <si>
    <t>868 24 59 35</t>
  </si>
  <si>
    <t>Tu Herbolario</t>
  </si>
  <si>
    <t>Rda. de Garay, 13, 30003 Murcia</t>
  </si>
  <si>
    <t>968 22 25 79</t>
  </si>
  <si>
    <t>Herbolario La Flota</t>
  </si>
  <si>
    <t>Av. Victoria, 8, local 2, 30007 Murcia</t>
  </si>
  <si>
    <t>herbolariolaflota.es</t>
  </si>
  <si>
    <t>623 18 56 76</t>
  </si>
  <si>
    <t>herbolario.laflota@gmail.com</t>
  </si>
  <si>
    <t>Av. San Juan de la Cruz, 30011 Murcia</t>
  </si>
  <si>
    <t>herbolariomurcia.com</t>
  </si>
  <si>
    <t>968 35 27 57</t>
  </si>
  <si>
    <t>Av. Marqués de Los Vélez, 52, 30007 Murcia</t>
  </si>
  <si>
    <t>868 61 98 49</t>
  </si>
  <si>
    <t>Centro Dietetico tu salud es natural</t>
  </si>
  <si>
    <t>Av. Miguel de Cervantes, 11, bajo, 30009 Murcia</t>
  </si>
  <si>
    <t>868 95 51 66</t>
  </si>
  <si>
    <t>El Herbolario de Raquel</t>
  </si>
  <si>
    <t>P.º Marqués de Corvera, nº 32, bajo, 30002 Murcia</t>
  </si>
  <si>
    <t>968 96 62 00</t>
  </si>
  <si>
    <t>Herbolario Naturalex Murcia</t>
  </si>
  <si>
    <t>de la Bajo Complejo Princesa, Av. de la Libertad, 6, 30009 Murcia</t>
  </si>
  <si>
    <t>naturalex.net</t>
  </si>
  <si>
    <t>868 07 71 51</t>
  </si>
  <si>
    <t>naturalex@naturalex.net</t>
  </si>
  <si>
    <t>Herboristería Romo</t>
  </si>
  <si>
    <t>C. Torre de Romo, 10, 30002 Murcia</t>
  </si>
  <si>
    <t>968 25 50 61</t>
  </si>
  <si>
    <t>Herbolario Lidia</t>
  </si>
  <si>
    <t>C. Sierra Espuña, 16, 30009 Murcia</t>
  </si>
  <si>
    <t>herbolariolidia.com</t>
  </si>
  <si>
    <t>968 28 73 20</t>
  </si>
  <si>
    <t>info@herbolariolidia.com</t>
  </si>
  <si>
    <t>C. San Antón, 28, 30009 Murcia</t>
  </si>
  <si>
    <t>622 87 88 12</t>
  </si>
  <si>
    <t>C. Ruiz Hidalgo, 10, 30002 Murcia</t>
  </si>
  <si>
    <t>968 25 82 16</t>
  </si>
  <si>
    <t>🌲Herbolario San Antón</t>
  </si>
  <si>
    <t>C. las Norias, 2, 30009 Murcia</t>
  </si>
  <si>
    <t>verzonalaguia.es</t>
  </si>
  <si>
    <t>968 07 29 49</t>
  </si>
  <si>
    <t>info@verzonalaguia.es</t>
  </si>
  <si>
    <t>Herbolario Acuario</t>
  </si>
  <si>
    <t>C. Pintor Almela Costa, 24, 30011 Murcia</t>
  </si>
  <si>
    <t>968 93 33 39</t>
  </si>
  <si>
    <t>Linneo</t>
  </si>
  <si>
    <t>C. Obispo Frutos, 1, 30003 Murcia</t>
  </si>
  <si>
    <t>968 23 48 46</t>
  </si>
  <si>
    <t>El herbolario de Lucía</t>
  </si>
  <si>
    <t>Abanilla</t>
  </si>
  <si>
    <t>968 02 49 64</t>
  </si>
  <si>
    <t>Herbolario Green</t>
  </si>
  <si>
    <t>herbolariogreen.com</t>
  </si>
  <si>
    <t>688 92 88 33</t>
  </si>
  <si>
    <t>info@herbolariogreen.com</t>
  </si>
  <si>
    <t>Herbolario El Romero</t>
  </si>
  <si>
    <t>P.º Marqués de Corvera, 2, 30002 Murcia</t>
  </si>
  <si>
    <t>968 26 80 92</t>
  </si>
  <si>
    <t>Naturalex | Centro Biodinámico Integrativo Kocoon</t>
  </si>
  <si>
    <t>Av. General Primo de Rivera, 9, Entlo A, 30009 Murcia</t>
  </si>
  <si>
    <t>Herbolario Alquibla</t>
  </si>
  <si>
    <t>30007 Murcia</t>
  </si>
  <si>
    <t>Herbolario Aguador Natural</t>
  </si>
  <si>
    <t>Av. de Sta. Catalina, 2, 30152 Murcia</t>
  </si>
  <si>
    <t>968 26 35 01</t>
  </si>
  <si>
    <t>HERBORISTERÍA HERBARIUM</t>
  </si>
  <si>
    <t>C. Vista Alegre, 14, 30007 Murcia</t>
  </si>
  <si>
    <t>herbarium.es</t>
  </si>
  <si>
    <t>615 23 84 04</t>
  </si>
  <si>
    <t>info@herbarium.es</t>
  </si>
  <si>
    <t>Spliego Natural Shop</t>
  </si>
  <si>
    <t>C. Jaime I el Conquistador, nº2, Bajo, 30008 Murcia</t>
  </si>
  <si>
    <t>spliego.com</t>
  </si>
  <si>
    <t>968 24 16 69</t>
  </si>
  <si>
    <t>Ajedrea</t>
  </si>
  <si>
    <t>Calle Sda Enmedio, 0 S/N, 30009</t>
  </si>
  <si>
    <t>30009</t>
  </si>
  <si>
    <t>968 93 03 27</t>
  </si>
  <si>
    <t>Herbolario Asclepios Espinardo</t>
  </si>
  <si>
    <t>C. Clavel, 8, 30100 Espinardo, Murcia</t>
  </si>
  <si>
    <t>Espinardo</t>
  </si>
  <si>
    <t>968 30 82 44</t>
  </si>
  <si>
    <t>Herbolario V Esencia</t>
  </si>
  <si>
    <t>C. Reina Sofía, 7, 30007 Murcia</t>
  </si>
  <si>
    <t>herbolario5esencia.com</t>
  </si>
  <si>
    <t>968 90 38 27</t>
  </si>
  <si>
    <t>Herbolario Eco Natura Ronda Sur</t>
  </si>
  <si>
    <t>C. Pedáneo José Sánchez Mompeán, 30010 Murcia</t>
  </si>
  <si>
    <t>688 79 18 44</t>
  </si>
  <si>
    <t>ROSA MARIA GARCIA BAÑOS Y OTROS C.B.</t>
  </si>
  <si>
    <t>C. Clavel, 8, 30012 Murcia</t>
  </si>
  <si>
    <t>Herbodietética Gaia</t>
  </si>
  <si>
    <t>C. Pantano del Cenajo, 4, Bajo 1, 30007 Murcia</t>
  </si>
  <si>
    <t>herbolariogaia.es</t>
  </si>
  <si>
    <t>722 66 82 26</t>
  </si>
  <si>
    <t>info@herbolariogaia.es</t>
  </si>
  <si>
    <t>Amaranto Herbolarios</t>
  </si>
  <si>
    <t>C. Mayor, 80, 30006 Puente Tocinos, Murcia</t>
  </si>
  <si>
    <t>Puente Tocinos</t>
  </si>
  <si>
    <t>amarantoherbolarios.es</t>
  </si>
  <si>
    <t>868 91 19 51</t>
  </si>
  <si>
    <t>Asesoría Y Proyectos Marsans S L N U</t>
  </si>
  <si>
    <t>Calle Laurel, 24 ( Urb Los Rectores ), 30009 Murcia</t>
  </si>
  <si>
    <t>968 89 99 09</t>
  </si>
  <si>
    <t>La Cesta Sana Herbolario</t>
  </si>
  <si>
    <t>enrique tierno galvan, 2, 30110 Cabezo de Torres, Murcia</t>
  </si>
  <si>
    <t>Cabezo de Torres</t>
  </si>
  <si>
    <t>Herbolario Casillas</t>
  </si>
  <si>
    <t>C. del Pino, 30007 Casillas, Murcia</t>
  </si>
  <si>
    <t>Casillas</t>
  </si>
  <si>
    <t>968 30 26 76</t>
  </si>
  <si>
    <t>El Herbolario de Sandra</t>
  </si>
  <si>
    <t>C. Principado, 1, 30110 Cabezo de Torres, Murcia</t>
  </si>
  <si>
    <t>868 94 13 14</t>
  </si>
  <si>
    <t>Esenciasbionatura</t>
  </si>
  <si>
    <t>C. Mayor, 80, 30120 El Palmar, Murcia</t>
  </si>
  <si>
    <t>El Palmar</t>
  </si>
  <si>
    <t>esenciasbionatura.es</t>
  </si>
  <si>
    <t>627 82 39 90</t>
  </si>
  <si>
    <t>esenciasbionatura@gmail.com</t>
  </si>
  <si>
    <t>Herbolario Ecotienda Miriam</t>
  </si>
  <si>
    <t>Av. Montegrande, 47, 30579 Murcia</t>
  </si>
  <si>
    <t>968 82 46 49</t>
  </si>
  <si>
    <t>INFUTISA Infusiones y tés</t>
  </si>
  <si>
    <t>Av. José Bautista Frutos, 16, 30100 Murcia</t>
  </si>
  <si>
    <t>infutisa.es</t>
  </si>
  <si>
    <t>968 83 56 19</t>
  </si>
  <si>
    <t>info@infutisa.es</t>
  </si>
  <si>
    <t>Av. Monteazahar, 7, 30570 Beniaján, Murcia</t>
  </si>
  <si>
    <t>Beniaján</t>
  </si>
  <si>
    <t>868 91 14 72</t>
  </si>
  <si>
    <t>Bio Botica Alternativa Natural</t>
  </si>
  <si>
    <t>Plaza Entrevías, 30820 Alcantarilla, Murcia</t>
  </si>
  <si>
    <t>Alcantarilla</t>
  </si>
  <si>
    <t>968 89 41 95</t>
  </si>
  <si>
    <t>HERBOLARIO CARMEN</t>
  </si>
  <si>
    <t>Plaza Entrevías, 4, 30820 Alcantarilla, Murcia</t>
  </si>
  <si>
    <t>968 89 31 85</t>
  </si>
  <si>
    <t>Murciana De Herboristería</t>
  </si>
  <si>
    <t>C. Mar Mediterráneo, 6, 30163 Cobatillas, Murcia</t>
  </si>
  <si>
    <t>Cobatillas</t>
  </si>
  <si>
    <t>muherb.com</t>
  </si>
  <si>
    <t>968 86 18 72</t>
  </si>
  <si>
    <t>alguien@muherb.com</t>
  </si>
  <si>
    <t>Armonía herbolario</t>
  </si>
  <si>
    <t>C. Sagunto, 3, 30820 Alcantarilla, Murcia</t>
  </si>
  <si>
    <t>elrinconarmonia.es</t>
  </si>
  <si>
    <t>675 91 47 21</t>
  </si>
  <si>
    <t>Farmanatural (Herbolario y medicina natural)</t>
  </si>
  <si>
    <t>C. Enrique Bernal Capel, 30500 Molina de Segura, Murcia</t>
  </si>
  <si>
    <t>Molina de Segura</t>
  </si>
  <si>
    <t>968 93 92 14</t>
  </si>
  <si>
    <t>Santiveri Alcantarilla</t>
  </si>
  <si>
    <t>Cl. Mayor, 85, 30820 Alcantarilla, Murcia</t>
  </si>
  <si>
    <t>868 94 85 95</t>
  </si>
  <si>
    <t>Herbolario La Ventana Natural Altorreal</t>
  </si>
  <si>
    <t>Avda.del Golf C.C.Green Park, local 13-A, 30506 Molina de Segura, Murcia</t>
  </si>
  <si>
    <t>readyme.app</t>
  </si>
  <si>
    <t>664 66 22 60</t>
  </si>
  <si>
    <t>contacto@readyme.es</t>
  </si>
  <si>
    <t>HERBOSANA HERBOLARIO</t>
  </si>
  <si>
    <t>C. de la Gloria, 7, 30140 Santomera, Murcia</t>
  </si>
  <si>
    <t>Santomera</t>
  </si>
  <si>
    <t>TAO a la Armonía</t>
  </si>
  <si>
    <t>taoalaarmonia.es</t>
  </si>
  <si>
    <t>868 97 24 48</t>
  </si>
  <si>
    <t>Herbolario Asclepios Molina De Segura</t>
  </si>
  <si>
    <t>Av. del Parque, nº8, 30500 Molina de Segura, Murcia</t>
  </si>
  <si>
    <t>968 93 92 28</t>
  </si>
  <si>
    <t>Pura Vida</t>
  </si>
  <si>
    <t>Av. Juan Carlos I, 36, 30140 Santomera, Murcia</t>
  </si>
  <si>
    <t>968 86 13 36</t>
  </si>
  <si>
    <t>Herbolario Eleora</t>
  </si>
  <si>
    <t>C. D&amp;apos;estoup, 36, 30565 Las Torres de Cotillas, Murcia</t>
  </si>
  <si>
    <t>Las Torres de Cotillas</t>
  </si>
  <si>
    <t>633 24 99 51</t>
  </si>
  <si>
    <t>Av. de Madrid, 2, 30500 Molina de Segura, Murcia</t>
  </si>
  <si>
    <t>868 24 33 99</t>
  </si>
  <si>
    <t>C. Andrés Segovia, 55, 30565 Las Torres de Cotillas, Murcia</t>
  </si>
  <si>
    <t>latiendaverde.es</t>
  </si>
  <si>
    <t>968 62 31 83</t>
  </si>
  <si>
    <t>info@latiendaverde.es</t>
  </si>
  <si>
    <t>Herbolario La Ventana Natural Las Torres de Cotillas (Antes El rincón de la salud)</t>
  </si>
  <si>
    <t>Av. Reyes Católicos, 37, 30565 Las Torres de Cotillas, Murcia</t>
  </si>
  <si>
    <t>laventananaturallastorresdecotillas.com</t>
  </si>
  <si>
    <t>968 62 69 27</t>
  </si>
  <si>
    <t>Elisa Isabel Martínez Almarcha</t>
  </si>
  <si>
    <t>C. Nicolás de las Peñas, 0, 30130 Beniel, Murcia</t>
  </si>
  <si>
    <t>Beniel</t>
  </si>
  <si>
    <t>968 60 00 75</t>
  </si>
  <si>
    <t>Herboristería Natussi</t>
  </si>
  <si>
    <t>Calle Ramón y Cajal, 23 y, Av. Antonete Gálvez, 34, 30600 Archena, Murcia</t>
  </si>
  <si>
    <t>Archena</t>
  </si>
  <si>
    <t>968 67 34 86</t>
  </si>
  <si>
    <t>Herbolario Naturysa</t>
  </si>
  <si>
    <t>C. Ángel Guirao Almansa, 16, 30562 Ceutí, Murcia</t>
  </si>
  <si>
    <t>Ceutí</t>
  </si>
  <si>
    <t>968 68 79 03</t>
  </si>
  <si>
    <t>Infutisa Infusiones ®</t>
  </si>
  <si>
    <t>Pol. Industrial San Martín, Murcia, C. Castillo de Caravaca, 26, 30564 Lorquí, Murcia</t>
  </si>
  <si>
    <t>Lorquí</t>
  </si>
  <si>
    <t>infutisa.net</t>
  </si>
  <si>
    <t>968 83 06 62</t>
  </si>
  <si>
    <t>infusiones@infutisa.net</t>
  </si>
  <si>
    <t>Comercial Gravi Libros sl</t>
  </si>
  <si>
    <t>Calle Iglesia, 34, bajo, 30833 Sangonera la Verde, Murcia</t>
  </si>
  <si>
    <t>Sangonera la Verde</t>
  </si>
  <si>
    <t>968 88 66 34</t>
  </si>
  <si>
    <t>Herbolario Dulce María</t>
  </si>
  <si>
    <t>C/ los Luisos, 38, 30710 Los Alcázares, Murcia</t>
  </si>
  <si>
    <t>Los Alcázares</t>
  </si>
  <si>
    <t>herbolariodulcemaria.com</t>
  </si>
  <si>
    <t>968 17 08 61</t>
  </si>
  <si>
    <t>info@herbolariodulcemaria.com</t>
  </si>
  <si>
    <t>Herbolario Naturaleza</t>
  </si>
  <si>
    <t>C. de Cartagena, 14, 30700 Torre-Pacheco, Murcia</t>
  </si>
  <si>
    <t>Torre-Pacheco</t>
  </si>
  <si>
    <t>968 57 86 61</t>
  </si>
  <si>
    <t>Botica Las Virtudes Naturales</t>
  </si>
  <si>
    <t>C. Ruiseñor, N°8, 30594 Pozo Estrecho, Murcia</t>
  </si>
  <si>
    <t>Pozo Estrecho</t>
  </si>
  <si>
    <t>648 09 90 00</t>
  </si>
  <si>
    <t>Herbolario La Unión</t>
  </si>
  <si>
    <t>C. Mayor, 96, 30360 La Unión, Murcia</t>
  </si>
  <si>
    <t>La Unión</t>
  </si>
  <si>
    <t>herbolariolaunion.com</t>
  </si>
  <si>
    <t>968 56 06 38</t>
  </si>
  <si>
    <t>info@herbolariolaunion.com</t>
  </si>
  <si>
    <t>La tienda verde de Alhama de Murcia</t>
  </si>
  <si>
    <t>C. Los Pasos, 4, 30840 Alhama de Murcia, Murcia</t>
  </si>
  <si>
    <t>Alhama de Murcia</t>
  </si>
  <si>
    <t>tutiendaverde.es</t>
  </si>
  <si>
    <t>968 63 18 09</t>
  </si>
  <si>
    <t>info@tutiendaverde.es</t>
  </si>
  <si>
    <t>Vivo Natural</t>
  </si>
  <si>
    <t>C. Antonio Garrigues, 48, 30850 Totana, Murcia</t>
  </si>
  <si>
    <t>Totana</t>
  </si>
  <si>
    <t>vivonatural.es</t>
  </si>
  <si>
    <t>info@vivonatural.es</t>
  </si>
  <si>
    <t>C. Pedro López, 5B, 30700 Torre-Pacheco, Murcia</t>
  </si>
  <si>
    <t>dieteticahierbabuena.es</t>
  </si>
  <si>
    <t>968 57 94 18</t>
  </si>
  <si>
    <t>Herbolario Miel de Mar</t>
  </si>
  <si>
    <t>C. Río Ter, 31, 30710 Los Alcázares, Murcia</t>
  </si>
  <si>
    <t>herbolariomieldemar.com</t>
  </si>
  <si>
    <t>631 97 94 33</t>
  </si>
  <si>
    <t>C. Carmen, 49, 30201 Cartagena, Murcia</t>
  </si>
  <si>
    <t>Cartagena</t>
  </si>
  <si>
    <t>968 14 85 14</t>
  </si>
  <si>
    <t>Herbolario Taray</t>
  </si>
  <si>
    <t>C. Virgen de los Dolores, 6, 30390 La Aljorra, Murcia</t>
  </si>
  <si>
    <t>La Aljorra</t>
  </si>
  <si>
    <t>968 16 41 85</t>
  </si>
  <si>
    <t>Herbolario Santiveri Los Dolores</t>
  </si>
  <si>
    <t>C. Conesa Calderón, 10, 30310 Cartagena, Murcia</t>
  </si>
  <si>
    <t>968 12 67 33</t>
  </si>
  <si>
    <t>Eco Bio Tu Herbolario</t>
  </si>
  <si>
    <t>C. Jiménez de la Espada, 29, 30204 Cartagena, Murcia</t>
  </si>
  <si>
    <t>ecobiotuherbolario.com</t>
  </si>
  <si>
    <t>968 11 34 11</t>
  </si>
  <si>
    <t>Herbolario Tara Verde</t>
  </si>
  <si>
    <t>Av. de Murcia, 107, 30180 Bullas, Murcia</t>
  </si>
  <si>
    <t>Bullas</t>
  </si>
  <si>
    <t>679 60 22 36</t>
  </si>
  <si>
    <t>Herbolario Ecomandala</t>
  </si>
  <si>
    <t>Av. de Venecia, 20, bajo 5, 30319 Cartagena, Murcia</t>
  </si>
  <si>
    <t>868 06 12 99</t>
  </si>
  <si>
    <t>Crisálida</t>
  </si>
  <si>
    <t>C/ Monte San Juan 21, Urbanización Alcalde Cartagena, 30394 Cartagena</t>
  </si>
  <si>
    <t>968 31 54 11</t>
  </si>
  <si>
    <t>Herboristeria D.Puertas</t>
  </si>
  <si>
    <t>C. del H. B. Cayuela, 8, 30850 Totana, Murcia</t>
  </si>
  <si>
    <t>968 42 53 17</t>
  </si>
  <si>
    <t>Herbalife Distribuidor independiente</t>
  </si>
  <si>
    <t>C. Jesús López Rizo, 35, 30700 Torre-Pacheco, Murcia</t>
  </si>
  <si>
    <t>696 61 46 50</t>
  </si>
  <si>
    <t>❤️ Herbolario La Botica ⭐ Complementos alimenticios, productos ecológicos, infusiones</t>
  </si>
  <si>
    <t>C. Valencia, 9, 30520 Jumilla, Murcia</t>
  </si>
  <si>
    <t>Jumilla</t>
  </si>
  <si>
    <t>herbolariolaboticajumilla.es</t>
  </si>
  <si>
    <t>968 78 25 58</t>
  </si>
  <si>
    <t>boticacarmen@hotmail.com</t>
  </si>
  <si>
    <t>Herbolario Mandala</t>
  </si>
  <si>
    <t>C. Corredera, 8, 30800 Lorca, Murcia</t>
  </si>
  <si>
    <t>Lorca</t>
  </si>
  <si>
    <t>ayanareposteria.es</t>
  </si>
  <si>
    <t>615 82 53 85</t>
  </si>
  <si>
    <t>tienda@ayanareposteria.es</t>
  </si>
  <si>
    <t>Herboristería Europa</t>
  </si>
  <si>
    <t>Av. Europa, 21, bajo, 30800 Lorca, Murcia</t>
  </si>
  <si>
    <t>693 74 67 49</t>
  </si>
  <si>
    <t>Herbolario Martínez</t>
  </si>
  <si>
    <t>herbolariomartinez.com</t>
  </si>
  <si>
    <t>686 25 64 51</t>
  </si>
  <si>
    <t>Herbolario y Centro de Terapias Naturales El Rincón Natural</t>
  </si>
  <si>
    <t>C. Arcipreste Esteban Díaz, Nº25, 30510 Yecla, Murcia</t>
  </si>
  <si>
    <t>Yecla</t>
  </si>
  <si>
    <t>968 75 12 95</t>
  </si>
  <si>
    <t>Herbolario Y Ortopedia Manantial De Salud</t>
  </si>
  <si>
    <t>Pl. de la Verja, nº3, bajo, 30430 Cehegín, Murcia</t>
  </si>
  <si>
    <t>Cehegín</t>
  </si>
  <si>
    <t>619 53 90 01</t>
  </si>
  <si>
    <t>My Herbolario</t>
  </si>
  <si>
    <t>C. Colón, 17, 30510 Yecla, Murcia</t>
  </si>
  <si>
    <t>968 79 11 94</t>
  </si>
  <si>
    <t>Radha-Kunda</t>
  </si>
  <si>
    <t>C. Historiador Miguel Ortuño, 25, 30510 Yecla, Murcia</t>
  </si>
  <si>
    <t>657 92 81 98</t>
  </si>
  <si>
    <t>Herbolario Natural</t>
  </si>
  <si>
    <t>C. Merida, 27, 03350 Cox, Alicante</t>
  </si>
  <si>
    <t>Cox</t>
  </si>
  <si>
    <t>herbolarionatural.es</t>
  </si>
  <si>
    <t>669 11 79 10</t>
  </si>
  <si>
    <t>Herboristeria Bètula</t>
  </si>
  <si>
    <t>Av. de Pío XII, 29, 31008 Pamplona, Navarra</t>
  </si>
  <si>
    <t>herboristeriabetula.com</t>
  </si>
  <si>
    <t>948 17 05 83</t>
  </si>
  <si>
    <t>Herbolario Hedera Belardenda</t>
  </si>
  <si>
    <t>C. San Francisco Javier, 3, BAJO, 31620 Huarte, Navarra</t>
  </si>
  <si>
    <t>Huarte</t>
  </si>
  <si>
    <t>herbolariohedera.com</t>
  </si>
  <si>
    <t>848 41 41 04</t>
  </si>
  <si>
    <t>info@herbolariohedera.com</t>
  </si>
  <si>
    <t>Herdina Asociación de Herbolarios y Dietética de Navarra</t>
  </si>
  <si>
    <t>C. Toda Aznárez, 16, 31014 Pamplona, Navarra</t>
  </si>
  <si>
    <t>948 13 49 98</t>
  </si>
  <si>
    <t>Herboristería San Antón</t>
  </si>
  <si>
    <t>C. de San Antón, 12, 31001 Pamplona, Navarra</t>
  </si>
  <si>
    <t>948 22 80 77</t>
  </si>
  <si>
    <t>Herbodietética Aztlán</t>
  </si>
  <si>
    <t>Av. Marcelo Celayeta, 42, 31014 Pamplona, Navarra</t>
  </si>
  <si>
    <t>948 12 62 63</t>
  </si>
  <si>
    <t>Naturmendi</t>
  </si>
  <si>
    <t>C. Señorío de Echalaz, 10, 31016 Pamplona, Navarra</t>
  </si>
  <si>
    <t>948 16 11 59</t>
  </si>
  <si>
    <t>Herboristería Hierbabuena</t>
  </si>
  <si>
    <t>C. Muro, 3, 31500 Tudela, Navarra</t>
  </si>
  <si>
    <t>948 82 65 16</t>
  </si>
  <si>
    <t>Herboristería Raíces</t>
  </si>
  <si>
    <t>Pl. los Sauces, 0, 31010 Barañáin, Navarra</t>
  </si>
  <si>
    <t>Barañáin</t>
  </si>
  <si>
    <t>herboristeriaraices.com</t>
  </si>
  <si>
    <t>948 25 66 77</t>
  </si>
  <si>
    <t>raicesherboristeria@gmail.com</t>
  </si>
  <si>
    <t>Herboristería El Arca</t>
  </si>
  <si>
    <t>Pl. Monasterio de Iranzu, s/n, 31011 Pamplona, Navarra</t>
  </si>
  <si>
    <t>948 27 61 14</t>
  </si>
  <si>
    <t>Herboristería Errobi</t>
  </si>
  <si>
    <t>C. Florencio de Ansoleaga, 18, 31001 Pamplona, Navarra</t>
  </si>
  <si>
    <t>948 22 27 19</t>
  </si>
  <si>
    <t>Herboristería San Jorge</t>
  </si>
  <si>
    <t>Av. de Navarra, 6, 31012 Pamplona, Navarra</t>
  </si>
  <si>
    <t>948 17 41 81</t>
  </si>
  <si>
    <t>NATURA ETXEA</t>
  </si>
  <si>
    <t>C. de Santiago, 47, 31700 Elizondo, Navarra</t>
  </si>
  <si>
    <t>Elizondo</t>
  </si>
  <si>
    <t>948 58 02 03</t>
  </si>
  <si>
    <t>Centro Isis</t>
  </si>
  <si>
    <t>Av. de Sancho El Fuerte, 59, 31007 Pamplona, Navarra</t>
  </si>
  <si>
    <t>948 27 24 53</t>
  </si>
  <si>
    <t>Herboristería Pamplona BELARRA Iruñeako Belar-denda</t>
  </si>
  <si>
    <t>C. Pintor Crispín, 1, 31008 Pamplona, Navarra</t>
  </si>
  <si>
    <t>belarraherboristeria.com</t>
  </si>
  <si>
    <t>948 25 50 86</t>
  </si>
  <si>
    <t>belarraherboristeria@live.com</t>
  </si>
  <si>
    <t>Bernabé Barberá Guardera</t>
  </si>
  <si>
    <t>Calle de Sta Marta, 7, 31005 Pamplona, Navarra</t>
  </si>
  <si>
    <t>633 58 11 34</t>
  </si>
  <si>
    <t>HERBORISTERIA ANDROMEDA</t>
  </si>
  <si>
    <t>Av. del Ayuntamiento, 11tras, plaza ayuntamiento, 31010 Barañáin, Navarra</t>
  </si>
  <si>
    <t>herbolarioandromeda.jimdo.com</t>
  </si>
  <si>
    <t>948 18 13 94</t>
  </si>
  <si>
    <t>herbolarioandromeda@gmail.com</t>
  </si>
  <si>
    <t>Herbolario San Miguel</t>
  </si>
  <si>
    <t>Amaya 15 - Dentro Mercado Puesto Nº60, 31004 Pamplona, Navarra</t>
  </si>
  <si>
    <t>655 28 58 33</t>
  </si>
  <si>
    <t>La Ventana Natural Barañain</t>
  </si>
  <si>
    <t>Av. Comercial, 29, 31010 Barañáin, Navarra</t>
  </si>
  <si>
    <t>695 22 38 33</t>
  </si>
  <si>
    <t>ECO &amp;amp; CO</t>
  </si>
  <si>
    <t>C. del Monasterio de Urdax, 19, BAJO, 31011 Pamplona, Navarra</t>
  </si>
  <si>
    <t>948 11 45 49</t>
  </si>
  <si>
    <t>Distribuciones Aikider S.L.</t>
  </si>
  <si>
    <t>C. San Saturnino, 16, 31192 Mutilva Alta, Navarra</t>
  </si>
  <si>
    <t>Mutilva Alta</t>
  </si>
  <si>
    <t>Herboristería Ezkaba</t>
  </si>
  <si>
    <t>Av. de Barañáin, 21, 31008 Pamplona, Navarra</t>
  </si>
  <si>
    <t>infoiris.com</t>
  </si>
  <si>
    <t>948 27 72 76</t>
  </si>
  <si>
    <t>info@infoiris.com</t>
  </si>
  <si>
    <t>Juana Serrano Sánchez</t>
  </si>
  <si>
    <t>C. Abejeras, 47, 31007 Pamplona, Navarra</t>
  </si>
  <si>
    <t>948 23 17 11</t>
  </si>
  <si>
    <t>Herboristería Osasunlore</t>
  </si>
  <si>
    <t>Herriko Enparantza, 2, 31870 Lekunberri, Navarre</t>
  </si>
  <si>
    <t>Lekunberri</t>
  </si>
  <si>
    <t>Navarre</t>
  </si>
  <si>
    <t>948 60 47 61</t>
  </si>
  <si>
    <t>ynsadiet.com</t>
  </si>
  <si>
    <t>948 38 24 12</t>
  </si>
  <si>
    <t>contacto@ynsadiet.com</t>
  </si>
  <si>
    <t>Herboristería Zure Ekodenda</t>
  </si>
  <si>
    <t>San Martin Kalea, 8, 31860 Irurtzun, Navarre</t>
  </si>
  <si>
    <t>Irurzun</t>
  </si>
  <si>
    <t>zureekodenda.wixsite.com</t>
  </si>
  <si>
    <t>659 04 23 72</t>
  </si>
  <si>
    <t>C. San Veremundo, 9, 31200 Estella, Navarra</t>
  </si>
  <si>
    <t>Estella</t>
  </si>
  <si>
    <t>948 54 60 08</t>
  </si>
  <si>
    <t>ECOTIENDA GOROSTI</t>
  </si>
  <si>
    <t>C. de Francisco Bergamin Kalea, 15, BAJO, 31003 Pamplona, Navarra</t>
  </si>
  <si>
    <t>948 15 22 86</t>
  </si>
  <si>
    <t>SENDARGI, S.L.</t>
  </si>
  <si>
    <t>C. de Irunlarrea, 6, 31008 Pamplona, Navarra</t>
  </si>
  <si>
    <t>herboristeriasendargi.com</t>
  </si>
  <si>
    <t>948 25 33 62</t>
  </si>
  <si>
    <t>sendargi@gmail.com</t>
  </si>
  <si>
    <t>C. del Monasterio de Urdax, 19, 31011 Pamplona, Navarra</t>
  </si>
  <si>
    <t>948 26 15 05</t>
  </si>
  <si>
    <t>C. Estación, 56, 31587 Mendavia, Navarra</t>
  </si>
  <si>
    <t>Mendavia</t>
  </si>
  <si>
    <t>948 69 51 15</t>
  </si>
  <si>
    <t>Aikider Sl</t>
  </si>
  <si>
    <t>C. Tudela, 16, 31119 Imárcoain, Navarra</t>
  </si>
  <si>
    <t>Imárcoain</t>
  </si>
  <si>
    <t>948 31 41 36</t>
  </si>
  <si>
    <t>Laket Aroa</t>
  </si>
  <si>
    <t>C. Mercatondoa, 34, 31200 Estella, Navarra</t>
  </si>
  <si>
    <t>901 81 09 01</t>
  </si>
  <si>
    <t>Francisco Carracedo Garrido</t>
  </si>
  <si>
    <t>Calle Coronel Alfonso Beorlegui, 58, 31015 Pamplona</t>
  </si>
  <si>
    <t>948 12 05 17</t>
  </si>
  <si>
    <t>Niyi</t>
  </si>
  <si>
    <t>Calle Padre Barace, 1, 31007 Pamplona, Navarra</t>
  </si>
  <si>
    <t>948 27 59 54</t>
  </si>
  <si>
    <t>Herboristería Belarra</t>
  </si>
  <si>
    <t>Calle Landabekoa, 2, 31880 Leitza, Navarra</t>
  </si>
  <si>
    <t>Leitza</t>
  </si>
  <si>
    <t>948 51 01 92</t>
  </si>
  <si>
    <t>Miguel Sánchez Ostiz</t>
  </si>
  <si>
    <t>C. San Saturnino, 1, 31001 Pamplona, Navarra</t>
  </si>
  <si>
    <t>948 22 22 56</t>
  </si>
  <si>
    <t>Herboristería Salud Y Belleza Ana</t>
  </si>
  <si>
    <t>C. Ezkaba, 9, 31610 Villava, Navarra</t>
  </si>
  <si>
    <t>Villava</t>
  </si>
  <si>
    <t>948 12 11 35</t>
  </si>
  <si>
    <t>Alfiba Naturópatas SL</t>
  </si>
  <si>
    <t>C. Monasterio de Irache, 31, 31011 Pamplona, Navarra</t>
  </si>
  <si>
    <t>948 17 27 17</t>
  </si>
  <si>
    <t>Lur</t>
  </si>
  <si>
    <t>C. Urbasa, 15, 31800 Alsasua – Altsasu, Navarra</t>
  </si>
  <si>
    <t>Alsasua</t>
  </si>
  <si>
    <t>948 46 70 77</t>
  </si>
  <si>
    <t>Herboristería Sarabe</t>
  </si>
  <si>
    <t>C. Kale Txiki, s/n, 31800 Alsasua – Altsasu, Navarra</t>
  </si>
  <si>
    <t>herboristeriasarabe.com</t>
  </si>
  <si>
    <t>948 46 81 16</t>
  </si>
  <si>
    <t>centrosarabe@gmail.com</t>
  </si>
  <si>
    <t>Naturel Herbodietética</t>
  </si>
  <si>
    <t>Plaza Monasterio de Azuelo Nº2 (trasera, 31011 Pamplona, Navarra</t>
  </si>
  <si>
    <t>948 25 07 91</t>
  </si>
  <si>
    <t>Herbolario La Ventana Natural Tafalla</t>
  </si>
  <si>
    <t>C. Mayor, 17, 31300 Tafalla, Navarra</t>
  </si>
  <si>
    <t>Tafalla</t>
  </si>
  <si>
    <t>661 96 98 25</t>
  </si>
  <si>
    <t>Naturis Herbal - Diego Arregui - Sadie, S.L.</t>
  </si>
  <si>
    <t>C. Cañada Real, 1, 31100 Puente la Reina, Navarra</t>
  </si>
  <si>
    <t>Puente la Reina</t>
  </si>
  <si>
    <t>naturisherbal.com</t>
  </si>
  <si>
    <t>948 39 07 55</t>
  </si>
  <si>
    <t>info@naturisherbal.com</t>
  </si>
  <si>
    <t>María Puy Alvero Cacho</t>
  </si>
  <si>
    <t>C. Sta. Cecilia, 13, 31592 Cintruénigo, Navarra</t>
  </si>
  <si>
    <t>Denordiet</t>
  </si>
  <si>
    <t>31110 Noáin, Navarra</t>
  </si>
  <si>
    <t>Noáin</t>
  </si>
  <si>
    <t>Senda</t>
  </si>
  <si>
    <t>C. Divina Pastora, 6, 31013 Ansoáin, Navarra</t>
  </si>
  <si>
    <t>Ansoáin</t>
  </si>
  <si>
    <t>ansoain.es</t>
  </si>
  <si>
    <t>948 12 48 45</t>
  </si>
  <si>
    <t>Herboristeria Cynara</t>
  </si>
  <si>
    <t>C. Tejería, 21, 31001 Pamplona, Navarra</t>
  </si>
  <si>
    <t>948 21 22 03</t>
  </si>
  <si>
    <t>Herbonisteria Hinojo Tafalla</t>
  </si>
  <si>
    <t>Calle Recoletas, 12, 31300 Tafalla, Navarra</t>
  </si>
  <si>
    <t>948 70 24 10</t>
  </si>
  <si>
    <t>Herboristeria Amatxi</t>
  </si>
  <si>
    <t>C. Etxaburua, 14, 31013 Berriozar, Navarra</t>
  </si>
  <si>
    <t>Berriozar</t>
  </si>
  <si>
    <t>herboristeriaamatxi.com</t>
  </si>
  <si>
    <t>948 03 44 27</t>
  </si>
  <si>
    <t>info@herboristeriaamatxi.com</t>
  </si>
  <si>
    <t>Quercus Fisioterapia y Naturopatía</t>
  </si>
  <si>
    <t>C. Sta. Alodia, 6, 31014 Pamplona, Navarra</t>
  </si>
  <si>
    <t>fisioquercus.com</t>
  </si>
  <si>
    <t>948 14 17 68</t>
  </si>
  <si>
    <t>info@fisioquercus.com</t>
  </si>
  <si>
    <t>Calle Hilarión Eslava, 3, 31001 Pamplona, Navarra</t>
  </si>
  <si>
    <t>lacolmenateayuda.com</t>
  </si>
  <si>
    <t>948 22 32 67</t>
  </si>
  <si>
    <t>lacolmenateayuda@gmail.com</t>
  </si>
  <si>
    <t>El olivo nutrición y vida</t>
  </si>
  <si>
    <t>Servicio a domicilio, 31520 Cascante, Navarra</t>
  </si>
  <si>
    <t>Cascante</t>
  </si>
  <si>
    <t>653 68 71 19</t>
  </si>
  <si>
    <t>Centro Belén</t>
  </si>
  <si>
    <t>C. Pepe Maguregui, 3, 26002 Logroño, La Rioja</t>
  </si>
  <si>
    <t>941 22 74 74</t>
  </si>
  <si>
    <t>El Árbol de la Vida</t>
  </si>
  <si>
    <t>Biarritz Kalea, 2, 48002 Bilbo, Bizkaia</t>
  </si>
  <si>
    <t>944 43 91 76</t>
  </si>
  <si>
    <t>HERBOLARIO GOROSIBI</t>
  </si>
  <si>
    <t>Alameda Urkijo, Lutxana Kalea, 11, Entrada por, 48008 Bilbao, Biscay</t>
  </si>
  <si>
    <t>dieteticagorosibi.com</t>
  </si>
  <si>
    <t>944 16 27 95</t>
  </si>
  <si>
    <t>Herbolario Navarro C/Heros</t>
  </si>
  <si>
    <t>Heros Kalea, 22, 48009 Bilbo, Bizkaia</t>
  </si>
  <si>
    <t>944 24 84 41</t>
  </si>
  <si>
    <t>La Ventana Natural Bilbao</t>
  </si>
  <si>
    <t>Pérez Galdós Kalea, 28, 48010 Bilbo, Bizkaia</t>
  </si>
  <si>
    <t>944 34 58 32</t>
  </si>
  <si>
    <t>Herboristería Leizuri</t>
  </si>
  <si>
    <t>Zabalbide Kalea, 59, 48006 Bilbo, Bizkaia</t>
  </si>
  <si>
    <t>herboristerialeizuri.com</t>
  </si>
  <si>
    <t>944 73 21 82</t>
  </si>
  <si>
    <t>Epalza Kalea, 7, 48007 Bilbo, Bizkaia</t>
  </si>
  <si>
    <t>944 45 69 80</t>
  </si>
  <si>
    <t>Leizuri</t>
  </si>
  <si>
    <t>María Díaz Haroko Kalea, 22, 48013 Bilbo, Bizkaia</t>
  </si>
  <si>
    <t>944 27 69 23</t>
  </si>
  <si>
    <t>Piedad Emaldia Olea</t>
  </si>
  <si>
    <t>Calle Konbenio, 2, 48340 Amorebieta-Etxano, Biscay</t>
  </si>
  <si>
    <t>Abadiño</t>
  </si>
  <si>
    <t>946 73 32 44</t>
  </si>
  <si>
    <t>Herboristería Melisa</t>
  </si>
  <si>
    <t>Abaro Etorbideà, 11, 48920 Portugalete, Bizkaia</t>
  </si>
  <si>
    <t>944 62 42 49</t>
  </si>
  <si>
    <t>Bioleta Munduan</t>
  </si>
  <si>
    <t>Galerías Omega, Fray Juan Kalea, 21, 48013 Bilbao, Biscay</t>
  </si>
  <si>
    <t>dieteticabioleta.com</t>
  </si>
  <si>
    <t>944 90 28 05</t>
  </si>
  <si>
    <t>Herbolario Navarro Bilbao</t>
  </si>
  <si>
    <t>C. Bidebarrieta Kalea, 1, 48005 Bilbao, Biscay</t>
  </si>
  <si>
    <t>946 24 14 24</t>
  </si>
  <si>
    <t>Kalea Manuel Allende, 15, 48010 Bilbo, Bizkaia</t>
  </si>
  <si>
    <t>944 43 71 46</t>
  </si>
  <si>
    <t>La Herbolera</t>
  </si>
  <si>
    <t>Agirre Lehendakariaren Etorb., 144, 48015 Bilbo, Bizkaia</t>
  </si>
  <si>
    <t>dieteticalaherbolera.com</t>
  </si>
  <si>
    <t>944 01 36 77</t>
  </si>
  <si>
    <t>herbolera@hotmail.com</t>
  </si>
  <si>
    <t>Txibirita</t>
  </si>
  <si>
    <t>Dendarikale, 36, 48005 Bilbo, Bizkaia</t>
  </si>
  <si>
    <t>944 16 77 11</t>
  </si>
  <si>
    <t>Santiveri Basurto</t>
  </si>
  <si>
    <t>Sabino Arana Etorbidea, 53, 48013 Bilbo, Bizkaia</t>
  </si>
  <si>
    <t>946 57 07 21</t>
  </si>
  <si>
    <t>Centro Dietetico Ailara</t>
  </si>
  <si>
    <t>Aizpuru Kalea, 2, 48910 Sestao, Bizkaia</t>
  </si>
  <si>
    <t>Sestao</t>
  </si>
  <si>
    <t>944 96 57 68</t>
  </si>
  <si>
    <t>Centro Dietético Tu Salud Es Natural Algorta | Herbolario en Getxo</t>
  </si>
  <si>
    <t>Telletxe Kalea, 13, 48993 Getxo, Bizkaia</t>
  </si>
  <si>
    <t>944 71 42 84</t>
  </si>
  <si>
    <t>Hierbas Rosa</t>
  </si>
  <si>
    <t>Fika Kalea, 54, 48004 Bilbo, Bizkaia</t>
  </si>
  <si>
    <t>944 05 10 42</t>
  </si>
  <si>
    <t>Herbolario Nerea Etxea</t>
  </si>
  <si>
    <t>Erribera Kalea, 9, 48700 Ondarroa, Bizkaia</t>
  </si>
  <si>
    <t>Ondárroa</t>
  </si>
  <si>
    <t>946 83 26 78</t>
  </si>
  <si>
    <t>Zarza</t>
  </si>
  <si>
    <t>Etxepare Kalea, 12, 48015 Bilbo, Bizkaia</t>
  </si>
  <si>
    <t>944 47 17 96</t>
  </si>
  <si>
    <t>Centro Dietetico Zycis</t>
  </si>
  <si>
    <t>Pagazaurtundua Kalea, 1, 48980 Santurtzi, Bizkaia</t>
  </si>
  <si>
    <t>Santurce</t>
  </si>
  <si>
    <t>944 61 73 17</t>
  </si>
  <si>
    <t>NATUR ZEN</t>
  </si>
  <si>
    <t>Landako Etorbidea, 7, 48200 Durango, Bizkaia</t>
  </si>
  <si>
    <t>Durango</t>
  </si>
  <si>
    <t>946 20 05 15</t>
  </si>
  <si>
    <t>Centro Dietetico Belagorri</t>
  </si>
  <si>
    <t>Zamakoa Kalea, 7, 48960 Galdakao, Bizkaia</t>
  </si>
  <si>
    <t>Galdácano</t>
  </si>
  <si>
    <t>946 00 21 12</t>
  </si>
  <si>
    <t>Hiedra C.B.</t>
  </si>
  <si>
    <t>Calle de la Vía Amezaga, 3, 48910 Sestao, Bizkaia</t>
  </si>
  <si>
    <t>944 72 17 04</t>
  </si>
  <si>
    <t>El Herbolario Galdakao</t>
  </si>
  <si>
    <t>Gaztain Kalea, 2, 48960 Galdakao, Bizkaia</t>
  </si>
  <si>
    <t>944 57 54 05</t>
  </si>
  <si>
    <t>Goya Salud - Centro Natural Goya S.L.</t>
  </si>
  <si>
    <t>Goya Kalea, 5, 48902 Barakaldo, Bizkaia</t>
  </si>
  <si>
    <t>goyasalud.com</t>
  </si>
  <si>
    <t>944 37 37 40</t>
  </si>
  <si>
    <t>info@goyasalud com</t>
  </si>
  <si>
    <t>Santa Clara Kalea, 10, 48006 Bilbo, Bizkaia</t>
  </si>
  <si>
    <t>944 12 64 39</t>
  </si>
  <si>
    <t>Dietética Nerea</t>
  </si>
  <si>
    <t>Iturriaga Kalea, 92, 48004 Bilbo, Bizkaia</t>
  </si>
  <si>
    <t>nomaspeso.com</t>
  </si>
  <si>
    <t>944 04 87 86</t>
  </si>
  <si>
    <t>info@nomaspeso.com</t>
  </si>
  <si>
    <t>Bedarduna</t>
  </si>
  <si>
    <t>Euskalerria Kalea, 0, 48291 Atxondo, Bizkaia</t>
  </si>
  <si>
    <t>Axpe Achondo</t>
  </si>
  <si>
    <t>946 82 11 03</t>
  </si>
  <si>
    <t>Alarabi</t>
  </si>
  <si>
    <t>Goiko Portala Kalea, 1, 48270 Markina-Xemein, Bizkaia</t>
  </si>
  <si>
    <t>Marquina-Jeméin</t>
  </si>
  <si>
    <t>946 16 74 43</t>
  </si>
  <si>
    <t>Naturalki Belardenda</t>
  </si>
  <si>
    <t>Barrenkalea Kalea, 28, bajo, 48200 Durango, Biscay</t>
  </si>
  <si>
    <t>946 81 79 18</t>
  </si>
  <si>
    <t>La Ventana de Ziortza | Herbolario en Basauri</t>
  </si>
  <si>
    <t>Nafarroa Kalea, 10, 48970 Basauri, Bizkaia</t>
  </si>
  <si>
    <t>Basauri</t>
  </si>
  <si>
    <t>laventanadeziortza.com</t>
  </si>
  <si>
    <t>944 01 46 02</t>
  </si>
  <si>
    <t>Herboristería Villa Monte</t>
  </si>
  <si>
    <t>Bolue Kalea, 3, 48991 Getxo, Bizkaia</t>
  </si>
  <si>
    <t>944 30 27 69</t>
  </si>
  <si>
    <t>Herbolario Bilbao- Herbodietetica Cenith</t>
  </si>
  <si>
    <t>Kalea, Gordóniz Kalea, 13, 48010 Bilbao, Biscay</t>
  </si>
  <si>
    <t>carolinacornide.es</t>
  </si>
  <si>
    <t>661 96 47 36</t>
  </si>
  <si>
    <t>consulta@carolinacornide.es</t>
  </si>
  <si>
    <t>Herboristería Flor de Hibisco</t>
  </si>
  <si>
    <t>Santutxu, 37, entrada por, Allende Particular Kalea, 48004 Bilbao, Biscay</t>
  </si>
  <si>
    <t>946 07 27 70</t>
  </si>
  <si>
    <t>La Tisanería de Silvia</t>
  </si>
  <si>
    <t>Gernikako Arbola Etorbidea, 38, 48902 Barakaldo, Bizkaia</t>
  </si>
  <si>
    <t>latisaneria.es</t>
  </si>
  <si>
    <t>944 00 96 56</t>
  </si>
  <si>
    <t>latisaneria@gmail.com</t>
  </si>
  <si>
    <t>Naturvive</t>
  </si>
  <si>
    <t>Plaza Nueva, Foru Kalea, 6, 48005 Bilbao, Biscay</t>
  </si>
  <si>
    <t>944 16 08 91</t>
  </si>
  <si>
    <t>Lugar Grupo Sagarminaga, 0 S/N, 48004 Bilbao, Biscay</t>
  </si>
  <si>
    <t>944 12 87 85</t>
  </si>
  <si>
    <t>Osasu Etxea</t>
  </si>
  <si>
    <t>Ermodo Kalea, 15, 48200 Durango, Bizkaia</t>
  </si>
  <si>
    <t>946 81 42 46</t>
  </si>
  <si>
    <t>Severo Ochoa Kalea, 32, 48480 Arrigorriaga, Bizkaia</t>
  </si>
  <si>
    <t>Arrigorriaga</t>
  </si>
  <si>
    <t>946 71 40 07</t>
  </si>
  <si>
    <t>Osasun</t>
  </si>
  <si>
    <t>San Miguel Kalea, 22, 48340 Amorebieta-Etxano, Bizkaia</t>
  </si>
  <si>
    <t>Amorebieta-Echano</t>
  </si>
  <si>
    <t>946 73 38 72</t>
  </si>
  <si>
    <t>Productos Herbosa S. L.</t>
  </si>
  <si>
    <t>C/, Araba Kalea, 16, 48450 POL LEGIZAMON -ETXEBARRI, Biscay</t>
  </si>
  <si>
    <t>Leguizamón</t>
  </si>
  <si>
    <t>productosherbosa.es</t>
  </si>
  <si>
    <t>944 33 38 93</t>
  </si>
  <si>
    <t>herbosa@productosherbosa.es</t>
  </si>
  <si>
    <t>Plantas Medicinales (Escuela- Taller)</t>
  </si>
  <si>
    <t>Barrio Ipiñaburu 48, 48144, Biscay</t>
  </si>
  <si>
    <t>Ipiñaburu</t>
  </si>
  <si>
    <t>tallerdeplantasmedicinales.es</t>
  </si>
  <si>
    <t>605 77 19 33</t>
  </si>
  <si>
    <t>artasolo@hotmail.com</t>
  </si>
  <si>
    <t>Dietética Mikatz</t>
  </si>
  <si>
    <t>Av de Lanzagorta, 4, 48860 Mimetiz, Bizkaia</t>
  </si>
  <si>
    <t>Mimetiz</t>
  </si>
  <si>
    <t>946 39 13 85</t>
  </si>
  <si>
    <t>Naturale Bilbao | Dietética Autonomía</t>
  </si>
  <si>
    <t>Iparraguirre Kalea, 69, 48012 Bilbo, Bizkaia</t>
  </si>
  <si>
    <t>944 22 02 24</t>
  </si>
  <si>
    <t>Dietetica Sol Herboristeria</t>
  </si>
  <si>
    <t>Agirre Lehendakaria Kalea, 48970 Basauri, Bizkaia</t>
  </si>
  <si>
    <t>944 26 41 59</t>
  </si>
  <si>
    <t>Herbolario Osasunalde</t>
  </si>
  <si>
    <t>pero la foto del mapa no se corresponde con la calle, Etxebarria-Tar Kresentzi Kalea, 16, 48370 Bermeo, Biscay</t>
  </si>
  <si>
    <t>Bermeo</t>
  </si>
  <si>
    <t>946 88 28 55</t>
  </si>
  <si>
    <t>Bambuak Bedardenda</t>
  </si>
  <si>
    <t>Kurutziaga Kalea, 9, 48200 Durango, Bizkaia</t>
  </si>
  <si>
    <t>946 20 16 82</t>
  </si>
  <si>
    <t>Itxaropena Kalea, 15, 48100 Mungia, Bizkaia</t>
  </si>
  <si>
    <t>Munguía</t>
  </si>
  <si>
    <t>946 15 61 79</t>
  </si>
  <si>
    <t>DIETÉTICA ALTEA Bilbao 🍃</t>
  </si>
  <si>
    <t>Madariaga Etorbidea, 21, 48014 Bilbo, Bizkaia</t>
  </si>
  <si>
    <t>dieteticaaltea.com</t>
  </si>
  <si>
    <t>944 75 49 21</t>
  </si>
  <si>
    <t>hola@dieteticaaltea.com</t>
  </si>
  <si>
    <t>Urduñederra Urduña Ederra</t>
  </si>
  <si>
    <t>Gran Vía Kalea, 10, 48460 Urduña, Bizkaia</t>
  </si>
  <si>
    <t>Orduña</t>
  </si>
  <si>
    <t>Centro Dietetico Erika</t>
  </si>
  <si>
    <t>Calle barren, 33, 48200 Durango, Biscay</t>
  </si>
  <si>
    <t>centrodieteticoerika.com</t>
  </si>
  <si>
    <t>946 81 70 45</t>
  </si>
  <si>
    <t>erikadiet@hotmail.com</t>
  </si>
  <si>
    <t>Tecuidas.Es</t>
  </si>
  <si>
    <t>Lugar Barrio San Mamés, 4, 48500 Abanto, Biscay</t>
  </si>
  <si>
    <t>Abanto y Ciérvana</t>
  </si>
  <si>
    <t>Saludavida Galdakao</t>
  </si>
  <si>
    <t>Muguru Kalea, 2, 48960 Galdakao, Bizkaia</t>
  </si>
  <si>
    <t>saludavida.com</t>
  </si>
  <si>
    <t>946 85 35 59</t>
  </si>
  <si>
    <t>Shanti</t>
  </si>
  <si>
    <t>Balendin Berriotxoa Kalea, 7, 48970 Basauri, Bizkaia</t>
  </si>
  <si>
    <t>944 40 55 49</t>
  </si>
  <si>
    <t>Dietética y Nutrición Juana Maª Llaguno</t>
  </si>
  <si>
    <t>Plaza Santa Teresa, 3, 48901 Barakaldo, Bizkaia</t>
  </si>
  <si>
    <t>944 78 05 85</t>
  </si>
  <si>
    <t>Miren Bakarne García León</t>
  </si>
  <si>
    <t>Eukene</t>
  </si>
  <si>
    <t>Orbe Kardinal Plaza, 8, 48260 Ermua, Bizkaia</t>
  </si>
  <si>
    <t>Ermua</t>
  </si>
  <si>
    <t>943 17 14 98</t>
  </si>
  <si>
    <t>Herbodietética Onagra</t>
  </si>
  <si>
    <t>Rodríguez Arias Kalea, 50, 48013 Bilbo, Bizkaia</t>
  </si>
  <si>
    <t>herbolarioonagra.es</t>
  </si>
  <si>
    <t>944 41 23 54</t>
  </si>
  <si>
    <t>Dietetica Omago</t>
  </si>
  <si>
    <t>Ocho de Enero Kalea, 10, 48300 Gernika-Lumo, Bizkaia</t>
  </si>
  <si>
    <t>Guernica y Luno</t>
  </si>
  <si>
    <t>946 25 61 71</t>
  </si>
  <si>
    <t>Centro Dietético Erika</t>
  </si>
  <si>
    <t>Pormetxeta Kalea, 10, BAJO, 48901 Barakaldo, Bizkaia</t>
  </si>
  <si>
    <t>944 37 30 39</t>
  </si>
  <si>
    <t>Sustrai</t>
  </si>
  <si>
    <t>Iparragirre Kalea, 6, 48700 Ondarroa, Bizkaia</t>
  </si>
  <si>
    <t>946 83 07 62</t>
  </si>
  <si>
    <t>Centro Dietetico Tu Salud es Natural Erandio</t>
  </si>
  <si>
    <t>Bereterretxe Kalea, 1, 48950 Erandio, Bizkaia</t>
  </si>
  <si>
    <t>Erandio</t>
  </si>
  <si>
    <t>944 65 50 50</t>
  </si>
  <si>
    <t>Herbolario Online Okira</t>
  </si>
  <si>
    <t>okira.es</t>
  </si>
  <si>
    <t>lopd@okira.es</t>
  </si>
  <si>
    <t>Zehar Bide Bidea, 12, 48260 Ermua, Bizkaia</t>
  </si>
  <si>
    <t>943 17 65 94</t>
  </si>
  <si>
    <t>HERBOLARIO ALOE CBD SHOP</t>
  </si>
  <si>
    <t>Plaza Pedro Lopez Cortazar, 2, 48970 Basauri, Biscay</t>
  </si>
  <si>
    <t>944 40 63 87</t>
  </si>
  <si>
    <t>Centro de Salud y Belleza Iris</t>
  </si>
  <si>
    <t>Ibaigane Kalea, 10, 48970 Basauri, Bizkaia</t>
  </si>
  <si>
    <t>944 40 19 85</t>
  </si>
  <si>
    <t>Savia</t>
  </si>
  <si>
    <t>8, Trauko Kalea, 48007 Bilbo, Bizkaia</t>
  </si>
  <si>
    <t>944 46 24 44</t>
  </si>
  <si>
    <t>Zumalacárregui Etorb., 105, 48007 Bilbo, Bizkaia</t>
  </si>
  <si>
    <t>620 01 08 23</t>
  </si>
  <si>
    <t>48100 Munguía, Vizcaya</t>
  </si>
  <si>
    <t>Vizcaya</t>
  </si>
  <si>
    <t>946 74 44 65</t>
  </si>
  <si>
    <t>HERBALIFE Distribuidor independiente</t>
  </si>
  <si>
    <t>Auzoa, 71b, 48120 Meñaka, Bizkaia</t>
  </si>
  <si>
    <t>Meñakabarrena</t>
  </si>
  <si>
    <t>673 22 77 42</t>
  </si>
  <si>
    <t>Ekolur Herboristeria</t>
  </si>
  <si>
    <t>Buenaventura Zapirain Kalea, N4, Bajo, 48280 Lekeitio, Biscay</t>
  </si>
  <si>
    <t>Lequeitio</t>
  </si>
  <si>
    <t>eko-lur6.webnode.es</t>
  </si>
  <si>
    <t>688 73 96 99</t>
  </si>
  <si>
    <t>eko-lurra@hotmail.com</t>
  </si>
  <si>
    <t>Herboristeria Dietética Kala</t>
  </si>
  <si>
    <t>Balejo Kalea, 48903 Barakaldo, Bizkaia</t>
  </si>
  <si>
    <t>944 85 04 90</t>
  </si>
  <si>
    <t>48930 Guecho, Vizcaya</t>
  </si>
  <si>
    <t>Parafarmazia belar denda IZPILEN</t>
  </si>
  <si>
    <t>Sabino Arana Kalea, 3, 48150, Bizkaia</t>
  </si>
  <si>
    <t>Izartza</t>
  </si>
  <si>
    <t>946 55 80 00</t>
  </si>
  <si>
    <t>Ainhoa Tejera Pesquera</t>
  </si>
  <si>
    <t>C, Calle Gral. Castaños Kalea, 93, 48920 Portugalete, Biscay</t>
  </si>
  <si>
    <t>657 67 40 65</t>
  </si>
  <si>
    <t>Taxidermia Natura</t>
  </si>
  <si>
    <t>Mendipe Kalea, 16, 48002 Bilbo, Bizkaia</t>
  </si>
  <si>
    <t>944 43 56 03</t>
  </si>
  <si>
    <t>Alimentación Natural Plan</t>
  </si>
  <si>
    <t>Avenida ferrocarril, Landin Felix Doctor Kalea, 7, Entrada por, 48012 Bilbo, Bizkaia</t>
  </si>
  <si>
    <t>alimentacionnaturalplan.com</t>
  </si>
  <si>
    <t>944 99 68 92</t>
  </si>
  <si>
    <t>info@alimentacionnaturalplan.com</t>
  </si>
  <si>
    <t>Lekeitioko Zentro Dietetikoa</t>
  </si>
  <si>
    <t>Paskual Abaroa Etorbidea, 41, 48280 Lekeitio, Bizkaia</t>
  </si>
  <si>
    <t>946 55 10 44</t>
  </si>
  <si>
    <t>Herboristeria ARCO-IRIS</t>
  </si>
  <si>
    <t>Larrinaga Kalea, 4, 01470 Amurrio, Araba</t>
  </si>
  <si>
    <t>Amurrio</t>
  </si>
  <si>
    <t>herbodieteticaarcoiris.es</t>
  </si>
  <si>
    <t>945 39 35 84</t>
  </si>
  <si>
    <t>María Carmen Aramburu Zabalo y Otros Cb</t>
  </si>
  <si>
    <t>Kontzezino Kalea, 8, 20500 Arrasate, Gipuzkoa</t>
  </si>
  <si>
    <t>Arrasate</t>
  </si>
  <si>
    <t>Gipuzkoa</t>
  </si>
  <si>
    <t>943 79 03 56</t>
  </si>
  <si>
    <t>Euskalizadi S L</t>
  </si>
  <si>
    <t>Lugar Maalako Errabala, 7, 20500 Arrasate, Gipuzkoa</t>
  </si>
  <si>
    <t>Mondragón</t>
  </si>
  <si>
    <t>943 79 77 05</t>
  </si>
  <si>
    <t>Ekoamalur Belardenda</t>
  </si>
  <si>
    <t>Erdiko Kalea, 25, 20830 Mutriku, Gipuzkoa</t>
  </si>
  <si>
    <t>Motrico</t>
  </si>
  <si>
    <t>626 81 32 62</t>
  </si>
  <si>
    <t>Surya Herbolario</t>
  </si>
  <si>
    <t>San Frantzisko Kalea, 23, 20870 Elgoibar, Gipuzkoa</t>
  </si>
  <si>
    <t>Elgóibar</t>
  </si>
  <si>
    <t>dendago.com</t>
  </si>
  <si>
    <t>943 74 25 34</t>
  </si>
  <si>
    <t>info@dendago.com</t>
  </si>
  <si>
    <t>Herbolario Kemen Belardenda</t>
  </si>
  <si>
    <t>Kalea, San Bartolome Kalea, 7, BAJO, 20870 Elgoibar, Gipuzkoa</t>
  </si>
  <si>
    <t>943 74 40 31</t>
  </si>
  <si>
    <t>AMALUR</t>
  </si>
  <si>
    <t>Kale Zaharra Kalea, 4, 20560 Oñati, Gipuzkoa</t>
  </si>
  <si>
    <t>Oñate</t>
  </si>
  <si>
    <t>943 25 36 71</t>
  </si>
  <si>
    <t>Lur Belardenda</t>
  </si>
  <si>
    <t>Kale Nagusia, 65, 20720 Azkoitia, Gipuzkoa</t>
  </si>
  <si>
    <t>Azcoitia</t>
  </si>
  <si>
    <t>943 85 11 88</t>
  </si>
  <si>
    <t>Herbolario Garintze</t>
  </si>
  <si>
    <t>Latxartegi Kalea, 0, 20230 Legazpi, Gipuzkoa</t>
  </si>
  <si>
    <t>Legazpi (Legazpia)</t>
  </si>
  <si>
    <t>943 16 00 72</t>
  </si>
  <si>
    <t>Herbolario Argira</t>
  </si>
  <si>
    <t>Martxoak 8 Etorbidea, nº 9, bajo, 01002 Gasteiz, Araba</t>
  </si>
  <si>
    <t>945 17 84 70</t>
  </si>
  <si>
    <t>Herbolario De Carmen</t>
  </si>
  <si>
    <t>Manuel Iradier Kalea, 21, 01005 Gasteiz, Araba</t>
  </si>
  <si>
    <t>945 77 40 12</t>
  </si>
  <si>
    <t>Herboristería &amp;quot;Argain&amp;quot;</t>
  </si>
  <si>
    <t>Beato Tomas Zumarraga Kalea, 27, 01008 Vitoria-Gasteiz, Álava</t>
  </si>
  <si>
    <t>945 22 98 03</t>
  </si>
  <si>
    <t>Herboristería Argira</t>
  </si>
  <si>
    <t>Martxoak 8 Etorbidea, 9, 01002 Vitoria-Gasteiz, Álava</t>
  </si>
  <si>
    <t>Herbodietética Nueva Tierra</t>
  </si>
  <si>
    <t>Zabalgana Hiribidea, 25, 01015 Gasteiz, Araba</t>
  </si>
  <si>
    <t>945 35 88 55</t>
  </si>
  <si>
    <t>Centro Naturista Sarasua</t>
  </si>
  <si>
    <t>C. de los Herrán, 45, 01002 Vitoria-Gasteiz, Álava</t>
  </si>
  <si>
    <t>elherbolarioencasa.com</t>
  </si>
  <si>
    <t>945 27 08 09</t>
  </si>
  <si>
    <t>contacto@elherbolarioencasa.com</t>
  </si>
  <si>
    <t>ZelaiAlai</t>
  </si>
  <si>
    <t>Calle Donostia, 60, BAJO(ASCENSOR, 01010 Gasteiz, Araba</t>
  </si>
  <si>
    <t>zelaialai.es</t>
  </si>
  <si>
    <t>945 06 83 71</t>
  </si>
  <si>
    <t>info@zelaialai.es</t>
  </si>
  <si>
    <t>Herbolario Haritza</t>
  </si>
  <si>
    <t>Palencia Kalea, 2, 01002 Gasteiz, Araba</t>
  </si>
  <si>
    <t>945 09 78 83</t>
  </si>
  <si>
    <t>Dietética Gorrotxategi</t>
  </si>
  <si>
    <t>Kale Nagusia Kalea, 2, 20400 Tolosa, Gipuzkoa</t>
  </si>
  <si>
    <t>Tolosa</t>
  </si>
  <si>
    <t>organic49.com</t>
  </si>
  <si>
    <t>info@organic49.com</t>
  </si>
  <si>
    <t>Nafarroa Hiribidea, 18, 20400 Tolosa, Gipuzkoa</t>
  </si>
  <si>
    <t>943 11 87 62</t>
  </si>
  <si>
    <t>Maria Teresa Del Castillo</t>
  </si>
  <si>
    <t>Abendaño Kalea, 1, 7A, 01008 Vitoria-Gasteiz, Álava</t>
  </si>
  <si>
    <t>bienestarycontroldepeso.com</t>
  </si>
  <si>
    <t>670 28 05 95</t>
  </si>
  <si>
    <t>maitecirculo@yahoo.es</t>
  </si>
  <si>
    <t>Herboristería Zuhaitz</t>
  </si>
  <si>
    <t>Errondo Pasealekua, 1, BAJO, 20010 Donostia-San Sebastian, Gipuzkoa</t>
  </si>
  <si>
    <t>San Sebastián</t>
  </si>
  <si>
    <t>zuhaitz.es</t>
  </si>
  <si>
    <t>943 47 00 47</t>
  </si>
  <si>
    <t>Herboristería Arantza</t>
  </si>
  <si>
    <t>Plazaburu Kalea, 8, 20014 Donostia, Gipuzkoa</t>
  </si>
  <si>
    <t>943 46 67 96</t>
  </si>
  <si>
    <t>HERBORISTERIA GAZILORE DIETETIKA</t>
  </si>
  <si>
    <t>Eskalantegi Kalea, 25, 20110 Pasaia Antxo, Gipuzkoa</t>
  </si>
  <si>
    <t>Rentería</t>
  </si>
  <si>
    <t>gazilore.com</t>
  </si>
  <si>
    <t>943 52 40 54</t>
  </si>
  <si>
    <t>Sana Herbolario</t>
  </si>
  <si>
    <t>Antonio Gaztañeta Kalea, 2, 20018 Donostia, Gipuzkoa</t>
  </si>
  <si>
    <t>sanaherbolario3.wixsite.com</t>
  </si>
  <si>
    <t>943 32 50 03</t>
  </si>
  <si>
    <t>Herboristería Loratu</t>
  </si>
  <si>
    <t>C. Virgen del Carmen, 23, 20012 Donostia-San Sebastian, Gipuzkoa</t>
  </si>
  <si>
    <t>943 27 76 02</t>
  </si>
  <si>
    <t>Herbolario Izadi</t>
  </si>
  <si>
    <t>Calle de Nagusia, 36, 20800 Zarautz, Gipuzkoa</t>
  </si>
  <si>
    <t>Zarauz</t>
  </si>
  <si>
    <t>943 83 22 98</t>
  </si>
  <si>
    <t>Herboristería Begoña</t>
  </si>
  <si>
    <t>Calle Francisco de Gainza, 1, 20302 Irun, Gipuzkoa</t>
  </si>
  <si>
    <t>Irún</t>
  </si>
  <si>
    <t>943 62 45 45</t>
  </si>
  <si>
    <t>Zabale Belardenda</t>
  </si>
  <si>
    <t>Santamaria-Andre Mari Kalea, 8, 20240 Ordizia, Gipuzkoa</t>
  </si>
  <si>
    <t>Villafranca de Ordicia</t>
  </si>
  <si>
    <t>zabagvegan.es</t>
  </si>
  <si>
    <t>943 88 12 11</t>
  </si>
  <si>
    <t>info@zabagvegan.es</t>
  </si>
  <si>
    <t>Untza 2</t>
  </si>
  <si>
    <t>Errenteria Kalea, 4, 20301 Irun, Gipuzkoa</t>
  </si>
  <si>
    <t>943 61 61 26</t>
  </si>
  <si>
    <t>Forua</t>
  </si>
  <si>
    <t>Egia Kalea, 9, 20012 Donostia, Gipuzkoa</t>
  </si>
  <si>
    <t>943 29 21 86</t>
  </si>
  <si>
    <t>La Ventana Natural Irun</t>
  </si>
  <si>
    <t>Colon Ibilbidea, 33, 20302 Irun, Gipuzkoa</t>
  </si>
  <si>
    <t>943 61 03 25</t>
  </si>
  <si>
    <t>Galborbelardenda</t>
  </si>
  <si>
    <t>Kale Berria, 12, 20001 Donostia, Gipuzkoa</t>
  </si>
  <si>
    <t>943 27 78 53</t>
  </si>
  <si>
    <t>Herboristeria HOLI</t>
  </si>
  <si>
    <t>Easo Kalea, 14, 20005 Donostia, Gipuzkoa</t>
  </si>
  <si>
    <t>herboristeriaholi.com</t>
  </si>
  <si>
    <t>943 47 16 17</t>
  </si>
  <si>
    <t>holiboulevard@gmail.com</t>
  </si>
  <si>
    <t>Oreka Belardenda Zorion Insausti</t>
  </si>
  <si>
    <t>Urdaneta Kalea, 7, BAJO, 20240 Ordizia, Gipuzkoa</t>
  </si>
  <si>
    <t>zorioninsausti.com</t>
  </si>
  <si>
    <t>943 08 75 80</t>
  </si>
  <si>
    <t>Untza</t>
  </si>
  <si>
    <t>Morrongilleta Kalea, 12, 20100 Errenteria, Gipuzkoa</t>
  </si>
  <si>
    <t>943 52 17 85</t>
  </si>
  <si>
    <t>Nekane Saizar Makazaga</t>
  </si>
  <si>
    <t>Altzola Kalea, 1, 20800 Zarautz, Gipuzkoa</t>
  </si>
  <si>
    <t>943 13 00 73</t>
  </si>
  <si>
    <t>Herboristeria Udaberri</t>
  </si>
  <si>
    <t>Avenida CARLOS I, 18 BAJO(LOCAL PARTE TRASERA, 20010 Donostia, Gipuzkoa</t>
  </si>
  <si>
    <t>943 46 73 63</t>
  </si>
  <si>
    <t>Iratze Naturdenda</t>
  </si>
  <si>
    <t>Zubiaurrenea Kalea, 10, 20170 Usurbil, Gipuzkoa</t>
  </si>
  <si>
    <t>Usúrbil</t>
  </si>
  <si>
    <t>iratze.es</t>
  </si>
  <si>
    <t>943 36 12 76</t>
  </si>
  <si>
    <t>maite@iratze.es</t>
  </si>
  <si>
    <t>Eki-lorea</t>
  </si>
  <si>
    <t>Calle Eusko Gudari, 5, 20810 Orio, Gipuzkoa</t>
  </si>
  <si>
    <t>Orio</t>
  </si>
  <si>
    <t>943 83 13 77</t>
  </si>
  <si>
    <t>Itxesi</t>
  </si>
  <si>
    <t>Bidebarrieta Kalea, 6, 20600 Eibar, Gipuzkoa</t>
  </si>
  <si>
    <t>Éibar</t>
  </si>
  <si>
    <t>itxesi.com</t>
  </si>
  <si>
    <t>943 20 32 19</t>
  </si>
  <si>
    <t>BIO Herboristería ZENIT</t>
  </si>
  <si>
    <t>Easo Plaza, 3, 20006 Donostia, Gipuzkoa</t>
  </si>
  <si>
    <t>herboristeriazenit.com</t>
  </si>
  <si>
    <t>943 47 01 56</t>
  </si>
  <si>
    <t>zenit@herboristeriazenit.com</t>
  </si>
  <si>
    <t>Herbodietética La Ventana Natural</t>
  </si>
  <si>
    <t>Herrikobarra Kalea, 18, 20800 Zarautz, Gipuzkoa</t>
  </si>
  <si>
    <t>Sahatsa</t>
  </si>
  <si>
    <t>Nueva Kalea, 50, 20150 Villabona, Gipuzkoa</t>
  </si>
  <si>
    <t>Villabona</t>
  </si>
  <si>
    <t>943 69 42 79</t>
  </si>
  <si>
    <t>Masusta Ekodenda</t>
  </si>
  <si>
    <t>Kardaberaz Kalea, 43, 20120 Hernani, Gipuzkoa</t>
  </si>
  <si>
    <t>Hernani</t>
  </si>
  <si>
    <t>943 55 57 10</t>
  </si>
  <si>
    <t>Alameda del Blvd., 19, 20003 Donostia-San Sebastian, Gipuzkoa</t>
  </si>
  <si>
    <t>943 42 33 03</t>
  </si>
  <si>
    <t>Dietetica Goxo</t>
  </si>
  <si>
    <t>Nafar Kalea, 21, 20120 Hernani, Gipuzkoa</t>
  </si>
  <si>
    <t>943 55 10 68</t>
  </si>
  <si>
    <t>Herboristeria Paki</t>
  </si>
  <si>
    <t>Biteri Kalea, 4, 20100 Errenteria, Gipuzkoa</t>
  </si>
  <si>
    <t>943 51 68 93</t>
  </si>
  <si>
    <t>Karlos I.a Hiribidea, 18, 20011 Donostia, Gipuzkoa</t>
  </si>
  <si>
    <t>943 44 33 66</t>
  </si>
  <si>
    <t>Belarzain</t>
  </si>
  <si>
    <t>Labeaga Kalea, 30, 20700 Urretxu, Gipuzkoa</t>
  </si>
  <si>
    <t>Urretxu</t>
  </si>
  <si>
    <t>943 72 27 80</t>
  </si>
  <si>
    <t>Amanjena</t>
  </si>
  <si>
    <t>Hernani Kalea, 21, 20004 Donostia, Gipuzkoa</t>
  </si>
  <si>
    <t>943 42 99 23</t>
  </si>
  <si>
    <t>Harrold Rita Naturista</t>
  </si>
  <si>
    <t>Añorga-Txiki Etxetaldea, 11, 20018 Donostia, Gipuzkoa</t>
  </si>
  <si>
    <t>943 36 37 73</t>
  </si>
  <si>
    <t>Natxo herboristeria belardenda</t>
  </si>
  <si>
    <t>Kale Nagusia Kalea, 15, 20200 Beasain, Gipuzkoa</t>
  </si>
  <si>
    <t>Beasain</t>
  </si>
  <si>
    <t>943 08 91 15</t>
  </si>
  <si>
    <t>Herboristería OSINA Ekogunea Errenteria🌿</t>
  </si>
  <si>
    <t>Donostia Kalea, 15, 20100 Errenteria, Gipuzkoa</t>
  </si>
  <si>
    <t>osinaekogunea.eus</t>
  </si>
  <si>
    <t>943 51 23 95</t>
  </si>
  <si>
    <t>HURBIL Herboristeria</t>
  </si>
  <si>
    <t>Domingo Irala Kalea, s/n, 20570 Bergara, Gipuzkoa</t>
  </si>
  <si>
    <t>Vergara</t>
  </si>
  <si>
    <t>943 76 30 08</t>
  </si>
  <si>
    <t>Herboristería HARITZA Belardenda</t>
  </si>
  <si>
    <t>Andre Mari Kalea, 1, 20200 Beasain, Gipuzkoa</t>
  </si>
  <si>
    <t>herboristeriaharitza.com</t>
  </si>
  <si>
    <t>666 34 41 91</t>
  </si>
  <si>
    <t>info@herboristeriaharitza.com</t>
  </si>
  <si>
    <t>Zuhaitz Belardenda</t>
  </si>
  <si>
    <t>Herrerieta Kalea, 11, bajo, 20808 Getaria, Gipuzkoa</t>
  </si>
  <si>
    <t>Guetaria</t>
  </si>
  <si>
    <t>943 53 33 27</t>
  </si>
  <si>
    <t>Aida Herboristeria - Belardenda</t>
  </si>
  <si>
    <t>Mirakruz Kalea, 2, 20001 Donostia, Gipuzkoa</t>
  </si>
  <si>
    <t>Rimak Dietética S.L.</t>
  </si>
  <si>
    <t>San Frantzisko Pasealekua Ibilbidea, 19, 20400 Tolosa, Gipuzkoa</t>
  </si>
  <si>
    <t>943 65 54 44</t>
  </si>
  <si>
    <t>Xixori</t>
  </si>
  <si>
    <t>Txitibar Plaza, 4, 20140 Andoain, Gipuzkoa</t>
  </si>
  <si>
    <t>Andoáin</t>
  </si>
  <si>
    <t>943 24 50 23</t>
  </si>
  <si>
    <t>Eder Lur</t>
  </si>
  <si>
    <t>Bidekvrvtzeta Kalea, 20, 20570 Bergara, Gipuzkoa</t>
  </si>
  <si>
    <t>943 76 22 92</t>
  </si>
  <si>
    <t>Herbolario Itziar</t>
  </si>
  <si>
    <t>Aizkorri Kalea, 8, 20230 Legazpi, Gipuzkoa</t>
  </si>
  <si>
    <t>943 73 42 01</t>
  </si>
  <si>
    <t>Tabira</t>
  </si>
  <si>
    <t>Munar Kalea, 8, 20500 Arrasate, Gipuzkoa</t>
  </si>
  <si>
    <t>943 79 73 54</t>
  </si>
  <si>
    <t>Herboristeria biosenda ecotienda</t>
  </si>
  <si>
    <t>Gipuzkoa Kalea, 51, 20800 Zarautz, Gipuzkoa</t>
  </si>
  <si>
    <t>BELARDENDA HERBORISTERIA NAVIA</t>
  </si>
  <si>
    <t>GELTOKI KALEA, PLAZA OKENDO, 11, BAJO 5, 20160 Lasarte-Oria, Gipuzkoa</t>
  </si>
  <si>
    <t>Lasarte-Oria</t>
  </si>
  <si>
    <t>943 54 41 19</t>
  </si>
  <si>
    <t>Natur-graes SL</t>
  </si>
  <si>
    <t>Juan Thalamas Labandibar Kalea, 33, 20305 Irun, Gipuzkoa</t>
  </si>
  <si>
    <t>943 63 51 95</t>
  </si>
  <si>
    <t>Herboristería Lanbroa</t>
  </si>
  <si>
    <t>Bidezar Kalea, 7, 20700 Zumarraga, Gipuzkoa</t>
  </si>
  <si>
    <t>Zumárraga</t>
  </si>
  <si>
    <t>943 72 35 81</t>
  </si>
  <si>
    <t>Santiveri Etxea</t>
  </si>
  <si>
    <t>Urdaneta Hiribidea, 3, 20700 Zumarraga, Gipuzkoa</t>
  </si>
  <si>
    <t>Herboristeria Centro Dietetico Montse</t>
  </si>
  <si>
    <t>Urbieta Kalea, 55, 20006 Donostia, Gipuzkoa</t>
  </si>
  <si>
    <t>943 45 96 01</t>
  </si>
  <si>
    <t>Osiña</t>
  </si>
  <si>
    <t>bajo, Nafarroa Etorbidea, 3, 20200 Beasain, Gipuzkoa</t>
  </si>
  <si>
    <t>943 16 17 21</t>
  </si>
  <si>
    <t>Lopetegui Dorronsoro María del Carmen</t>
  </si>
  <si>
    <t>Iparralde Hiribidea, 1, 20302 Irun, Gipuzkoa</t>
  </si>
  <si>
    <t>943 62 90 27</t>
  </si>
  <si>
    <t>Herbodietetica Amalia</t>
  </si>
  <si>
    <t>Kalea, Andrearriaga Ibilbidea, 4, BAJO, 20305 Irun, Gipuzkoa</t>
  </si>
  <si>
    <t>943 63 28 75</t>
  </si>
  <si>
    <t>HERBORISTERÍA, PARAFARMACIA, DIETÉTICA - TRISKEL</t>
  </si>
  <si>
    <t>Rabal Kalea, 15, bajo, 20590 Soraluze, Gipuzkoa</t>
  </si>
  <si>
    <t>Placencia de las Armas</t>
  </si>
  <si>
    <t>wa.me</t>
  </si>
  <si>
    <t>943 50 78 50</t>
  </si>
  <si>
    <t>Kaioa</t>
  </si>
  <si>
    <t>San Bartolome Kalea, 9, 20007 Donostia, Gipuzkoa</t>
  </si>
  <si>
    <t>Herboristería Ttilin Ttolon Txirrita</t>
  </si>
  <si>
    <t>Txirrita Kalea, 10, 20120 Hernani, Gipuzkoa</t>
  </si>
  <si>
    <t>943 55 56 94</t>
  </si>
  <si>
    <t>Casa Santikua</t>
  </si>
  <si>
    <t>Kale Nagusia, 28, 20720 Azkoitia, Gipuzkoa</t>
  </si>
  <si>
    <t>943 85 13 40</t>
  </si>
  <si>
    <t>Xixori Belar Denda</t>
  </si>
  <si>
    <t>Eskola Kalea, 23, 20140 Andoain, Gipuzkoa</t>
  </si>
  <si>
    <t>Dietética Muñoz</t>
  </si>
  <si>
    <t>Hipodromo Etorbidea-Avda del Hipodromo, 14, 20160 Lasarte-Oria, Gipuzkoa</t>
  </si>
  <si>
    <t>943 37 27 80</t>
  </si>
  <si>
    <t>Satsa</t>
  </si>
  <si>
    <t>Mayor Kalea, 13, 20150 Villabona, Gipuzkoa</t>
  </si>
  <si>
    <t>New Leaf S.L.Unipersonal</t>
  </si>
  <si>
    <t>Egiburuberri Pasealekua Ibilbidea, 13, 20100 Errenteria, Gipuzkoa</t>
  </si>
  <si>
    <t>943 34 65 45</t>
  </si>
  <si>
    <t>Ekilur</t>
  </si>
  <si>
    <t>Balleneros Kalea, 10, 20011 Donostia, Gipuzkoa</t>
  </si>
  <si>
    <t>943 45 30 99</t>
  </si>
  <si>
    <t>Ekilore Beasain</t>
  </si>
  <si>
    <t>Nafarroa Etorbidea, 22, 20200 Beasain, Gipuzkoa</t>
  </si>
  <si>
    <t>ekilorebelardenda.com</t>
  </si>
  <si>
    <t>943 08 76 36</t>
  </si>
  <si>
    <t>Errota Organikoak</t>
  </si>
  <si>
    <t>Mirakruz Kalea, 9, 20001 Donostia, Gipuzkoa</t>
  </si>
  <si>
    <t>679 10 06 98</t>
  </si>
  <si>
    <t>Herboristeria Aida</t>
  </si>
  <si>
    <t>943 29 03 69</t>
  </si>
  <si>
    <t>BIZI NATURALEN ONURAK</t>
  </si>
  <si>
    <t>Kale Nagusia, 19, 20250 Legorreta, Gipuzkoa</t>
  </si>
  <si>
    <t>Legorreta</t>
  </si>
  <si>
    <t>bizi-natural.com</t>
  </si>
  <si>
    <t>943 53 90 64</t>
  </si>
  <si>
    <t>bizilegorreta@gmail.com</t>
  </si>
  <si>
    <t>Namaste</t>
  </si>
  <si>
    <t>Calle de San Juan, 9, 20540 Eskoriatza, Gipuzkoa</t>
  </si>
  <si>
    <t>Escoriaza</t>
  </si>
  <si>
    <t>943 71 43 27</t>
  </si>
  <si>
    <t>Amane ekodenda</t>
  </si>
  <si>
    <t>Urbieta Kalea, 7, 20120 Hernani, Gipuzkoa</t>
  </si>
  <si>
    <t>943 38 94 20</t>
  </si>
  <si>
    <t>Despentsa naturala-ekodenda</t>
  </si>
  <si>
    <t>Jose Artetxe Kalea, 16, 20730 Azpeitia, Gipuzkoa</t>
  </si>
  <si>
    <t>Azpeitia</t>
  </si>
  <si>
    <t>uztarria.eus</t>
  </si>
  <si>
    <t>943 08 62 77</t>
  </si>
  <si>
    <t>uztarria@ukt.eus</t>
  </si>
  <si>
    <t>Garoa Biodenda</t>
  </si>
  <si>
    <t>Maalako Errabala Aldea, 7, 20500 Arrasate, Gipuzkoa</t>
  </si>
  <si>
    <t>943 79 70 57</t>
  </si>
  <si>
    <t>Herboristeria Amalur</t>
  </si>
  <si>
    <t>Txirrita Bertsolaria PasealeKua, 4, local 2, 20017 Donostia-San Sebastian, Gipuzkoa</t>
  </si>
  <si>
    <t>amalurbelardenda.com</t>
  </si>
  <si>
    <t>943 56 27 95</t>
  </si>
  <si>
    <t>info@amalurbelardenda.com</t>
  </si>
  <si>
    <t>Leire Conde Herboristería</t>
  </si>
  <si>
    <t>Añorga-Txiki Etxetaldea, N°12, bajo, 20018 Donostia-San Sebastian, Gipuzkoa</t>
  </si>
  <si>
    <t>722 32 92 20</t>
  </si>
  <si>
    <t>Lambroa Belardenda</t>
  </si>
  <si>
    <t>Kale Nagusia, 24, 20320 Legazpi, Gipuzkoa</t>
  </si>
  <si>
    <t>Antonia Godoy García</t>
  </si>
  <si>
    <t>Lugar Barrio Laubide, 17, 20230 Legazpi, Gipuzkoa</t>
  </si>
  <si>
    <t>Abaltzisketa</t>
  </si>
  <si>
    <t>943 73 00 86</t>
  </si>
  <si>
    <t>AIKUR Natur denda</t>
  </si>
  <si>
    <t>San Juan Kalea, 67 Bajo, Tienda, herboristeria, 20260 Alegia, Gipuzkoa</t>
  </si>
  <si>
    <t>Alegría</t>
  </si>
  <si>
    <t>653 71 44 80</t>
  </si>
  <si>
    <t>Yerbsana</t>
  </si>
  <si>
    <t>Ondaribi&amp;apos;ko Karika, 20w, 20301 Irun, Gipuzkoa</t>
  </si>
  <si>
    <t>607 40 02 69</t>
  </si>
  <si>
    <t>Garaikunde</t>
  </si>
  <si>
    <t>Lepanto Kalea, 16, 20301 Irun, Gipuzkoa</t>
  </si>
  <si>
    <t>especiasgaraikunde.com</t>
  </si>
  <si>
    <t>943 61 39 45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</si>
  <si>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</si>
  <si>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</si>
  <si>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</si>
  <si>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</si>
  <si>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</si>
  <si>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</si>
  <si>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</si>
  <si>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</si>
  <si>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</si>
  <si>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theway.2020parafarmaciaherbolario@hotmail.com</t>
  </si>
  <si>
    <t>factorianatural@gmail.com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</si>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</sst>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Herbolarios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DC-49EB-80BB-3E60B9F742F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1DC-49EB-80BB-3E60B9F742F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DC-49EB-80BB-3E60B9F742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DC-49EB-80BB-3E60B9F742F0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2271</c:v>
                </c:pt>
                <c:pt idx="1">
                  <c:v>580</c:v>
                </c:pt>
                <c:pt idx="2">
                  <c:v>856</c:v>
                </c:pt>
                <c:pt idx="3">
                  <c:v>2057</c:v>
                </c:pt>
                <c:pt idx="4">
                  <c:v>1608</c:v>
                </c:pt>
                <c:pt idx="5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C-49EB-80BB-3E60B9F74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860176"/>
        <c:axId val="2040859344"/>
      </c:barChart>
      <c:catAx>
        <c:axId val="20408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59344"/>
        <c:crosses val="autoZero"/>
        <c:auto val="1"/>
        <c:lblAlgn val="ctr"/>
        <c:lblOffset val="100"/>
        <c:noMultiLvlLbl val="0"/>
      </c:catAx>
      <c:valAx>
        <c:axId val="204085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6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3</xdr:row>
      <xdr:rowOff>161925</xdr:rowOff>
    </xdr:from>
    <xdr:to>
      <xdr:col>6</xdr:col>
      <xdr:colOff>79374</xdr:colOff>
      <xdr:row>29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B4F671-1B47-414E-A089-B5D2739F5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05F8-CB4B-4733-8B11-6B17B9DC19FB}">
  <dimension ref="A1:I2272"/>
  <sheetViews>
    <sheetView tabSelected="1" workbookViewId="0">
      <selection activeCell="J4" sqref="J4"/>
    </sheetView>
  </sheetViews>
  <sheetFormatPr defaultColWidth="11.42578125" defaultRowHeight="14.45"/>
  <cols>
    <col min="1" max="1" width="29.42578125" customWidth="1"/>
    <col min="8" max="8" width="30" customWidth="1"/>
    <col min="9" max="9" width="19.7109375" customWidth="1"/>
  </cols>
  <sheetData>
    <row r="1" spans="1: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t="b">
        <f>COUNTIF(Estadísticas!I:I,'Centraldecomunicacion.es'!H2)&gt;0</f>
        <v>0</v>
      </c>
    </row>
    <row r="3" spans="1:9">
      <c r="A3" s="1" t="s">
        <v>16</v>
      </c>
      <c r="B3" s="1" t="s">
        <v>10</v>
      </c>
      <c r="C3" s="1" t="s">
        <v>17</v>
      </c>
      <c r="D3" s="1" t="s">
        <v>12</v>
      </c>
      <c r="E3" s="1" t="s">
        <v>12</v>
      </c>
      <c r="F3" s="1" t="s">
        <v>18</v>
      </c>
      <c r="G3" s="1" t="s">
        <v>19</v>
      </c>
      <c r="H3" s="1" t="s">
        <v>20</v>
      </c>
      <c r="I3" t="b">
        <f>COUNTIF(Estadísticas!I:I,'Centraldecomunicacion.es'!H3)&gt;0</f>
        <v>0</v>
      </c>
    </row>
    <row r="4" spans="1:9">
      <c r="A4" s="1" t="s">
        <v>21</v>
      </c>
      <c r="B4" s="1" t="s">
        <v>10</v>
      </c>
      <c r="C4" s="1" t="s">
        <v>22</v>
      </c>
      <c r="D4" s="1" t="s">
        <v>12</v>
      </c>
      <c r="E4" s="1" t="s">
        <v>12</v>
      </c>
      <c r="F4" s="1" t="s">
        <v>23</v>
      </c>
      <c r="G4" s="1" t="s">
        <v>24</v>
      </c>
      <c r="H4" s="1" t="s">
        <v>15</v>
      </c>
      <c r="I4" t="b">
        <f>COUNTIF(Estadísticas!I:I,'Centraldecomunicacion.es'!H4)&gt;0</f>
        <v>0</v>
      </c>
    </row>
    <row r="5" spans="1:9">
      <c r="A5" s="1" t="s">
        <v>25</v>
      </c>
      <c r="B5" s="1" t="s">
        <v>10</v>
      </c>
      <c r="C5" s="1" t="s">
        <v>26</v>
      </c>
      <c r="D5" s="1" t="s">
        <v>12</v>
      </c>
      <c r="E5" s="1" t="s">
        <v>12</v>
      </c>
      <c r="F5" s="1" t="s">
        <v>23</v>
      </c>
      <c r="G5" s="1" t="s">
        <v>27</v>
      </c>
      <c r="H5" s="1" t="s">
        <v>15</v>
      </c>
      <c r="I5" t="b">
        <f>COUNTIF(Estadísticas!I:I,'Centraldecomunicacion.es'!H5)&gt;0</f>
        <v>0</v>
      </c>
    </row>
    <row r="6" spans="1:9">
      <c r="A6" s="1" t="s">
        <v>28</v>
      </c>
      <c r="B6" s="1" t="s">
        <v>10</v>
      </c>
      <c r="C6" s="1" t="s">
        <v>29</v>
      </c>
      <c r="D6" s="1" t="s">
        <v>12</v>
      </c>
      <c r="E6" s="1" t="s">
        <v>12</v>
      </c>
      <c r="F6" s="1" t="s">
        <v>23</v>
      </c>
      <c r="G6" s="1" t="s">
        <v>30</v>
      </c>
      <c r="H6" s="1" t="s">
        <v>15</v>
      </c>
      <c r="I6" t="b">
        <f>COUNTIF(Estadísticas!I:I,'Centraldecomunicacion.es'!H6)&gt;0</f>
        <v>0</v>
      </c>
    </row>
    <row r="7" spans="1:9">
      <c r="A7" s="1" t="s">
        <v>31</v>
      </c>
      <c r="B7" s="1" t="s">
        <v>10</v>
      </c>
      <c r="C7" s="1" t="s">
        <v>32</v>
      </c>
      <c r="D7" s="1" t="s">
        <v>12</v>
      </c>
      <c r="E7" s="1" t="s">
        <v>12</v>
      </c>
      <c r="F7" s="1" t="s">
        <v>23</v>
      </c>
      <c r="G7" s="1" t="s">
        <v>33</v>
      </c>
      <c r="H7" s="1" t="s">
        <v>15</v>
      </c>
      <c r="I7" t="b">
        <f>COUNTIF(Estadísticas!I:I,'Centraldecomunicacion.es'!H7)&gt;0</f>
        <v>0</v>
      </c>
    </row>
    <row r="8" spans="1:9">
      <c r="A8" s="1" t="s">
        <v>34</v>
      </c>
      <c r="B8" s="1" t="s">
        <v>10</v>
      </c>
      <c r="C8" s="1" t="s">
        <v>35</v>
      </c>
      <c r="D8" s="1" t="s">
        <v>12</v>
      </c>
      <c r="E8" s="1" t="s">
        <v>12</v>
      </c>
      <c r="F8" s="1" t="s">
        <v>23</v>
      </c>
      <c r="G8" s="1" t="s">
        <v>36</v>
      </c>
      <c r="H8" s="1" t="s">
        <v>15</v>
      </c>
      <c r="I8" t="b">
        <f>COUNTIF(Estadísticas!I:I,'Centraldecomunicacion.es'!H8)&gt;0</f>
        <v>0</v>
      </c>
    </row>
    <row r="9" spans="1:9">
      <c r="A9" s="1" t="s">
        <v>37</v>
      </c>
      <c r="B9" s="1" t="s">
        <v>10</v>
      </c>
      <c r="C9" s="1" t="s">
        <v>38</v>
      </c>
      <c r="D9" s="1" t="s">
        <v>12</v>
      </c>
      <c r="E9" s="1" t="s">
        <v>12</v>
      </c>
      <c r="F9" s="1" t="s">
        <v>39</v>
      </c>
      <c r="G9" s="1" t="s">
        <v>40</v>
      </c>
      <c r="H9" s="1" t="s">
        <v>41</v>
      </c>
      <c r="I9" t="b">
        <f>COUNTIF(Estadísticas!I:I,'Centraldecomunicacion.es'!H9)&gt;0</f>
        <v>0</v>
      </c>
    </row>
    <row r="10" spans="1:9">
      <c r="A10" s="1" t="s">
        <v>42</v>
      </c>
      <c r="B10" s="1" t="s">
        <v>10</v>
      </c>
      <c r="C10" s="1" t="s">
        <v>43</v>
      </c>
      <c r="D10" s="1" t="s">
        <v>12</v>
      </c>
      <c r="E10" s="1" t="s">
        <v>12</v>
      </c>
      <c r="F10" s="1" t="s">
        <v>23</v>
      </c>
      <c r="G10" s="1" t="s">
        <v>44</v>
      </c>
      <c r="H10" s="1" t="s">
        <v>15</v>
      </c>
      <c r="I10" t="b">
        <f>COUNTIF(Estadísticas!I:I,'Centraldecomunicacion.es'!H10)&gt;0</f>
        <v>0</v>
      </c>
    </row>
    <row r="11" spans="1:9">
      <c r="A11" s="1" t="s">
        <v>45</v>
      </c>
      <c r="B11" s="1" t="s">
        <v>10</v>
      </c>
      <c r="C11" s="1" t="s">
        <v>46</v>
      </c>
      <c r="D11" s="1" t="s">
        <v>12</v>
      </c>
      <c r="E11" s="1" t="s">
        <v>12</v>
      </c>
      <c r="F11" s="1" t="s">
        <v>23</v>
      </c>
      <c r="G11" s="1" t="s">
        <v>47</v>
      </c>
      <c r="H11" s="1" t="s">
        <v>15</v>
      </c>
      <c r="I11" t="b">
        <f>COUNTIF(Estadísticas!I:I,'Centraldecomunicacion.es'!H11)&gt;0</f>
        <v>0</v>
      </c>
    </row>
    <row r="12" spans="1:9">
      <c r="A12" s="1" t="s">
        <v>48</v>
      </c>
      <c r="B12" s="1" t="s">
        <v>10</v>
      </c>
      <c r="C12" s="1" t="s">
        <v>49</v>
      </c>
      <c r="D12" s="1" t="s">
        <v>12</v>
      </c>
      <c r="E12" s="1" t="s">
        <v>12</v>
      </c>
      <c r="F12" s="1" t="s">
        <v>23</v>
      </c>
      <c r="G12" s="1" t="s">
        <v>50</v>
      </c>
      <c r="H12" s="1" t="s">
        <v>15</v>
      </c>
      <c r="I12" t="b">
        <f>COUNTIF(Estadísticas!I:I,'Centraldecomunicacion.es'!H12)&gt;0</f>
        <v>0</v>
      </c>
    </row>
    <row r="13" spans="1:9">
      <c r="A13" s="1" t="s">
        <v>51</v>
      </c>
      <c r="B13" s="1" t="s">
        <v>10</v>
      </c>
      <c r="C13" s="1" t="s">
        <v>52</v>
      </c>
      <c r="D13" s="1" t="s">
        <v>12</v>
      </c>
      <c r="E13" s="1" t="s">
        <v>12</v>
      </c>
      <c r="F13" s="1" t="s">
        <v>23</v>
      </c>
      <c r="G13" s="1" t="s">
        <v>53</v>
      </c>
      <c r="H13" s="1" t="s">
        <v>15</v>
      </c>
      <c r="I13" t="b">
        <f>COUNTIF(Estadísticas!I:I,'Centraldecomunicacion.es'!H13)&gt;0</f>
        <v>0</v>
      </c>
    </row>
    <row r="14" spans="1:9">
      <c r="A14" s="1" t="s">
        <v>54</v>
      </c>
      <c r="B14" s="1" t="s">
        <v>10</v>
      </c>
      <c r="C14" s="1" t="s">
        <v>55</v>
      </c>
      <c r="D14" s="1" t="s">
        <v>12</v>
      </c>
      <c r="E14" s="1" t="s">
        <v>12</v>
      </c>
      <c r="F14" s="1" t="s">
        <v>56</v>
      </c>
      <c r="G14" s="1" t="s">
        <v>57</v>
      </c>
      <c r="H14" s="1" t="s">
        <v>15</v>
      </c>
      <c r="I14" t="b">
        <f>COUNTIF(Estadísticas!I:I,'Centraldecomunicacion.es'!H14)&gt;0</f>
        <v>0</v>
      </c>
    </row>
    <row r="15" spans="1:9">
      <c r="A15" s="1" t="s">
        <v>58</v>
      </c>
      <c r="B15" s="1" t="s">
        <v>10</v>
      </c>
      <c r="C15" s="1" t="s">
        <v>59</v>
      </c>
      <c r="D15" s="1" t="s">
        <v>12</v>
      </c>
      <c r="E15" s="1" t="s">
        <v>12</v>
      </c>
      <c r="F15" s="1" t="s">
        <v>60</v>
      </c>
      <c r="G15" s="1" t="s">
        <v>61</v>
      </c>
      <c r="H15" s="1" t="s">
        <v>15</v>
      </c>
      <c r="I15" t="b">
        <f>COUNTIF(Estadísticas!I:I,'Centraldecomunicacion.es'!H15)&gt;0</f>
        <v>0</v>
      </c>
    </row>
    <row r="16" spans="1:9">
      <c r="A16" s="1" t="s">
        <v>62</v>
      </c>
      <c r="B16" s="1" t="s">
        <v>10</v>
      </c>
      <c r="C16" s="1" t="s">
        <v>63</v>
      </c>
      <c r="D16" s="1" t="s">
        <v>12</v>
      </c>
      <c r="E16" s="1" t="s">
        <v>12</v>
      </c>
      <c r="F16" s="1" t="s">
        <v>23</v>
      </c>
      <c r="G16" s="1" t="s">
        <v>64</v>
      </c>
      <c r="H16" s="1" t="s">
        <v>15</v>
      </c>
      <c r="I16" t="b">
        <f>COUNTIF(Estadísticas!I:I,'Centraldecomunicacion.es'!H16)&gt;0</f>
        <v>0</v>
      </c>
    </row>
    <row r="17" spans="1:9">
      <c r="A17" s="1" t="s">
        <v>65</v>
      </c>
      <c r="B17" s="1" t="s">
        <v>10</v>
      </c>
      <c r="C17" s="1" t="s">
        <v>66</v>
      </c>
      <c r="D17" s="1" t="s">
        <v>67</v>
      </c>
      <c r="E17" s="1" t="s">
        <v>12</v>
      </c>
      <c r="F17" s="1" t="s">
        <v>68</v>
      </c>
      <c r="G17" s="1" t="s">
        <v>69</v>
      </c>
      <c r="H17" s="1" t="s">
        <v>15</v>
      </c>
      <c r="I17" t="b">
        <f>COUNTIF(Estadísticas!I:I,'Centraldecomunicacion.es'!H17)&gt;0</f>
        <v>0</v>
      </c>
    </row>
    <row r="18" spans="1:9">
      <c r="A18" s="1" t="s">
        <v>70</v>
      </c>
      <c r="B18" s="1" t="s">
        <v>10</v>
      </c>
      <c r="C18" s="1" t="s">
        <v>22</v>
      </c>
      <c r="D18" s="1" t="s">
        <v>12</v>
      </c>
      <c r="E18" s="1" t="s">
        <v>12</v>
      </c>
      <c r="F18" s="1" t="s">
        <v>23</v>
      </c>
      <c r="G18" s="1" t="s">
        <v>24</v>
      </c>
      <c r="H18" s="1" t="s">
        <v>15</v>
      </c>
      <c r="I18" t="b">
        <f>COUNTIF(Estadísticas!I:I,'Centraldecomunicacion.es'!H18)&gt;0</f>
        <v>0</v>
      </c>
    </row>
    <row r="19" spans="1:9">
      <c r="A19" s="1" t="s">
        <v>10</v>
      </c>
      <c r="B19" s="1" t="s">
        <v>10</v>
      </c>
      <c r="C19" s="1" t="s">
        <v>71</v>
      </c>
      <c r="D19" s="1" t="s">
        <v>72</v>
      </c>
      <c r="E19" s="1" t="s">
        <v>12</v>
      </c>
      <c r="F19" s="1" t="s">
        <v>23</v>
      </c>
      <c r="G19" s="1" t="s">
        <v>73</v>
      </c>
      <c r="H19" s="1" t="s">
        <v>15</v>
      </c>
      <c r="I19" t="b">
        <f>COUNTIF(Estadísticas!I:I,'Centraldecomunicacion.es'!H19)&gt;0</f>
        <v>0</v>
      </c>
    </row>
    <row r="20" spans="1:9">
      <c r="A20" s="1" t="s">
        <v>74</v>
      </c>
      <c r="B20" s="1" t="s">
        <v>10</v>
      </c>
      <c r="C20" s="1" t="s">
        <v>75</v>
      </c>
      <c r="D20" s="1" t="s">
        <v>76</v>
      </c>
      <c r="E20" s="1" t="s">
        <v>12</v>
      </c>
      <c r="F20" s="1" t="s">
        <v>23</v>
      </c>
      <c r="G20" s="1" t="s">
        <v>77</v>
      </c>
      <c r="H20" s="1" t="s">
        <v>15</v>
      </c>
      <c r="I20" t="b">
        <f>COUNTIF(Estadísticas!I:I,'Centraldecomunicacion.es'!H20)&gt;0</f>
        <v>0</v>
      </c>
    </row>
    <row r="21" spans="1:9">
      <c r="A21" s="1" t="s">
        <v>78</v>
      </c>
      <c r="B21" s="1" t="s">
        <v>10</v>
      </c>
      <c r="C21" s="1" t="s">
        <v>79</v>
      </c>
      <c r="D21" s="1" t="s">
        <v>80</v>
      </c>
      <c r="E21" s="1" t="s">
        <v>12</v>
      </c>
      <c r="F21" s="1" t="s">
        <v>81</v>
      </c>
      <c r="G21" s="1" t="s">
        <v>82</v>
      </c>
      <c r="H21" s="1" t="s">
        <v>83</v>
      </c>
      <c r="I21" t="b">
        <f>COUNTIF(Estadísticas!I:I,'Centraldecomunicacion.es'!H21)&gt;0</f>
        <v>0</v>
      </c>
    </row>
    <row r="22" spans="1:9">
      <c r="A22" s="1" t="s">
        <v>84</v>
      </c>
      <c r="B22" s="1" t="s">
        <v>10</v>
      </c>
      <c r="C22" s="1" t="s">
        <v>85</v>
      </c>
      <c r="D22" s="1" t="s">
        <v>86</v>
      </c>
      <c r="E22" s="1" t="s">
        <v>12</v>
      </c>
      <c r="F22" s="1" t="s">
        <v>23</v>
      </c>
      <c r="G22" s="1" t="s">
        <v>87</v>
      </c>
      <c r="H22" s="1" t="s">
        <v>15</v>
      </c>
      <c r="I22" t="b">
        <f>COUNTIF(Estadísticas!I:I,'Centraldecomunicacion.es'!H22)&gt;0</f>
        <v>0</v>
      </c>
    </row>
    <row r="23" spans="1:9">
      <c r="A23" s="1" t="s">
        <v>88</v>
      </c>
      <c r="B23" s="1" t="s">
        <v>10</v>
      </c>
      <c r="C23" s="1" t="s">
        <v>89</v>
      </c>
      <c r="D23" s="1" t="s">
        <v>86</v>
      </c>
      <c r="E23" s="1" t="s">
        <v>12</v>
      </c>
      <c r="F23" s="1" t="s">
        <v>23</v>
      </c>
      <c r="G23" s="1" t="s">
        <v>90</v>
      </c>
      <c r="H23" s="1" t="s">
        <v>15</v>
      </c>
      <c r="I23" t="b">
        <f>COUNTIF(Estadísticas!I:I,'Centraldecomunicacion.es'!H23)&gt;0</f>
        <v>0</v>
      </c>
    </row>
    <row r="24" spans="1:9">
      <c r="A24" s="1" t="s">
        <v>91</v>
      </c>
      <c r="B24" s="1" t="s">
        <v>10</v>
      </c>
      <c r="C24" s="1" t="s">
        <v>92</v>
      </c>
      <c r="D24" s="1" t="s">
        <v>93</v>
      </c>
      <c r="E24" s="1" t="s">
        <v>12</v>
      </c>
      <c r="F24" s="1" t="s">
        <v>23</v>
      </c>
      <c r="G24" s="1" t="s">
        <v>94</v>
      </c>
      <c r="H24" s="1" t="s">
        <v>15</v>
      </c>
      <c r="I24" t="b">
        <f>COUNTIF(Estadísticas!I:I,'Centraldecomunicacion.es'!H24)&gt;0</f>
        <v>0</v>
      </c>
    </row>
    <row r="25" spans="1:9">
      <c r="A25" s="1" t="s">
        <v>95</v>
      </c>
      <c r="B25" s="1" t="s">
        <v>10</v>
      </c>
      <c r="C25" s="1" t="s">
        <v>96</v>
      </c>
      <c r="D25" s="1" t="s">
        <v>86</v>
      </c>
      <c r="E25" s="1" t="s">
        <v>12</v>
      </c>
      <c r="F25" s="1" t="s">
        <v>23</v>
      </c>
      <c r="G25" s="1" t="s">
        <v>97</v>
      </c>
      <c r="H25" s="1" t="s">
        <v>15</v>
      </c>
      <c r="I25" t="b">
        <f>COUNTIF(Estadísticas!I:I,'Centraldecomunicacion.es'!H25)&gt;0</f>
        <v>0</v>
      </c>
    </row>
    <row r="26" spans="1:9">
      <c r="A26" s="1" t="s">
        <v>98</v>
      </c>
      <c r="B26" s="1" t="s">
        <v>10</v>
      </c>
      <c r="C26" s="1" t="s">
        <v>99</v>
      </c>
      <c r="D26" s="1" t="s">
        <v>80</v>
      </c>
      <c r="E26" s="1" t="s">
        <v>12</v>
      </c>
      <c r="F26" s="1" t="s">
        <v>23</v>
      </c>
      <c r="G26" s="1" t="s">
        <v>100</v>
      </c>
      <c r="H26" s="1" t="s">
        <v>15</v>
      </c>
      <c r="I26" t="b">
        <f>COUNTIF(Estadísticas!I:I,'Centraldecomunicacion.es'!H26)&gt;0</f>
        <v>0</v>
      </c>
    </row>
    <row r="27" spans="1:9">
      <c r="A27" s="1" t="s">
        <v>101</v>
      </c>
      <c r="B27" s="1" t="s">
        <v>10</v>
      </c>
      <c r="C27" s="1" t="s">
        <v>102</v>
      </c>
      <c r="D27" s="1" t="s">
        <v>86</v>
      </c>
      <c r="E27" s="1" t="s">
        <v>12</v>
      </c>
      <c r="F27" s="1" t="s">
        <v>23</v>
      </c>
      <c r="G27" s="1" t="s">
        <v>103</v>
      </c>
      <c r="H27" s="1" t="s">
        <v>15</v>
      </c>
      <c r="I27" t="b">
        <f>COUNTIF(Estadísticas!I:I,'Centraldecomunicacion.es'!H27)&gt;0</f>
        <v>0</v>
      </c>
    </row>
    <row r="28" spans="1:9">
      <c r="A28" s="1" t="s">
        <v>104</v>
      </c>
      <c r="B28" s="1" t="s">
        <v>10</v>
      </c>
      <c r="C28" s="1" t="s">
        <v>105</v>
      </c>
      <c r="D28" s="1" t="s">
        <v>86</v>
      </c>
      <c r="E28" s="1" t="s">
        <v>12</v>
      </c>
      <c r="F28" s="1" t="s">
        <v>23</v>
      </c>
      <c r="G28" s="1" t="s">
        <v>106</v>
      </c>
      <c r="H28" s="1" t="s">
        <v>15</v>
      </c>
      <c r="I28" t="b">
        <f>COUNTIF(Estadísticas!I:I,'Centraldecomunicacion.es'!H28)&gt;0</f>
        <v>0</v>
      </c>
    </row>
    <row r="29" spans="1:9">
      <c r="A29" s="1" t="s">
        <v>107</v>
      </c>
      <c r="B29" s="1" t="s">
        <v>10</v>
      </c>
      <c r="C29" s="1" t="s">
        <v>108</v>
      </c>
      <c r="D29" s="1" t="s">
        <v>86</v>
      </c>
      <c r="E29" s="1" t="s">
        <v>12</v>
      </c>
      <c r="F29" s="1" t="s">
        <v>23</v>
      </c>
      <c r="G29" s="1" t="s">
        <v>109</v>
      </c>
      <c r="H29" s="1" t="s">
        <v>15</v>
      </c>
      <c r="I29" t="b">
        <f>COUNTIF(Estadísticas!I:I,'Centraldecomunicacion.es'!H29)&gt;0</f>
        <v>0</v>
      </c>
    </row>
    <row r="30" spans="1:9">
      <c r="A30" s="1" t="s">
        <v>110</v>
      </c>
      <c r="B30" s="1" t="s">
        <v>10</v>
      </c>
      <c r="C30" s="1" t="s">
        <v>111</v>
      </c>
      <c r="D30" s="1" t="s">
        <v>112</v>
      </c>
      <c r="E30" s="1" t="s">
        <v>12</v>
      </c>
      <c r="F30" s="1" t="s">
        <v>23</v>
      </c>
      <c r="G30" s="1" t="s">
        <v>113</v>
      </c>
      <c r="H30" s="1" t="s">
        <v>15</v>
      </c>
      <c r="I30" t="b">
        <f>COUNTIF(Estadísticas!I:I,'Centraldecomunicacion.es'!H30)&gt;0</f>
        <v>0</v>
      </c>
    </row>
    <row r="31" spans="1:9">
      <c r="A31" s="1" t="s">
        <v>114</v>
      </c>
      <c r="B31" s="1" t="s">
        <v>10</v>
      </c>
      <c r="C31" s="1" t="s">
        <v>115</v>
      </c>
      <c r="D31" s="1" t="s">
        <v>116</v>
      </c>
      <c r="E31" s="1" t="s">
        <v>12</v>
      </c>
      <c r="F31" s="1" t="s">
        <v>23</v>
      </c>
      <c r="G31" s="1" t="s">
        <v>117</v>
      </c>
      <c r="H31" s="1" t="s">
        <v>15</v>
      </c>
      <c r="I31" t="b">
        <f>COUNTIF(Estadísticas!I:I,'Centraldecomunicacion.es'!H31)&gt;0</f>
        <v>0</v>
      </c>
    </row>
    <row r="32" spans="1:9">
      <c r="A32" s="1" t="s">
        <v>118</v>
      </c>
      <c r="B32" s="1" t="s">
        <v>10</v>
      </c>
      <c r="C32" s="1" t="s">
        <v>119</v>
      </c>
      <c r="D32" s="1" t="s">
        <v>120</v>
      </c>
      <c r="E32" s="1" t="s">
        <v>12</v>
      </c>
      <c r="F32" s="1" t="s">
        <v>121</v>
      </c>
      <c r="G32" s="1" t="s">
        <v>122</v>
      </c>
      <c r="H32" s="1" t="s">
        <v>123</v>
      </c>
      <c r="I32" t="b">
        <f>COUNTIF(Estadísticas!I:I,'Centraldecomunicacion.es'!H32)&gt;0</f>
        <v>0</v>
      </c>
    </row>
    <row r="33" spans="1:9">
      <c r="A33" s="1" t="s">
        <v>124</v>
      </c>
      <c r="B33" s="1" t="s">
        <v>10</v>
      </c>
      <c r="C33" s="1" t="s">
        <v>125</v>
      </c>
      <c r="D33" s="1" t="s">
        <v>126</v>
      </c>
      <c r="E33" s="1" t="s">
        <v>12</v>
      </c>
      <c r="F33" s="1" t="s">
        <v>23</v>
      </c>
      <c r="G33" s="1" t="s">
        <v>127</v>
      </c>
      <c r="H33" s="1" t="s">
        <v>15</v>
      </c>
      <c r="I33" t="b">
        <f>COUNTIF(Estadísticas!I:I,'Centraldecomunicacion.es'!H33)&gt;0</f>
        <v>0</v>
      </c>
    </row>
    <row r="34" spans="1:9">
      <c r="A34" s="1" t="s">
        <v>128</v>
      </c>
      <c r="B34" s="1" t="s">
        <v>10</v>
      </c>
      <c r="C34" s="1" t="s">
        <v>129</v>
      </c>
      <c r="D34" s="1" t="s">
        <v>130</v>
      </c>
      <c r="E34" s="1" t="s">
        <v>12</v>
      </c>
      <c r="F34" s="1" t="s">
        <v>23</v>
      </c>
      <c r="G34" s="1" t="s">
        <v>131</v>
      </c>
      <c r="H34" s="1" t="s">
        <v>15</v>
      </c>
      <c r="I34" t="b">
        <f>COUNTIF(Estadísticas!I:I,'Centraldecomunicacion.es'!H34)&gt;0</f>
        <v>0</v>
      </c>
    </row>
    <row r="35" spans="1:9">
      <c r="A35" s="1" t="s">
        <v>118</v>
      </c>
      <c r="B35" s="1" t="s">
        <v>10</v>
      </c>
      <c r="C35" s="1" t="s">
        <v>132</v>
      </c>
      <c r="D35" s="1" t="s">
        <v>120</v>
      </c>
      <c r="E35" s="1" t="s">
        <v>12</v>
      </c>
      <c r="F35" s="1" t="s">
        <v>121</v>
      </c>
      <c r="G35" s="1" t="s">
        <v>133</v>
      </c>
      <c r="H35" s="1" t="s">
        <v>15</v>
      </c>
      <c r="I35" t="b">
        <f>COUNTIF(Estadísticas!I:I,'Centraldecomunicacion.es'!H35)&gt;0</f>
        <v>0</v>
      </c>
    </row>
    <row r="36" spans="1:9">
      <c r="A36" s="1" t="s">
        <v>134</v>
      </c>
      <c r="B36" s="1" t="s">
        <v>10</v>
      </c>
      <c r="C36" s="1" t="s">
        <v>135</v>
      </c>
      <c r="D36" s="1" t="s">
        <v>120</v>
      </c>
      <c r="E36" s="1" t="s">
        <v>12</v>
      </c>
      <c r="F36" s="1" t="s">
        <v>136</v>
      </c>
      <c r="G36" s="1" t="s">
        <v>137</v>
      </c>
      <c r="H36" s="1" t="s">
        <v>15</v>
      </c>
      <c r="I36" t="b">
        <f>COUNTIF(Estadísticas!I:I,'Centraldecomunicacion.es'!H36)&gt;0</f>
        <v>0</v>
      </c>
    </row>
    <row r="37" spans="1:9">
      <c r="A37" s="1" t="s">
        <v>138</v>
      </c>
      <c r="B37" s="1" t="s">
        <v>10</v>
      </c>
      <c r="C37" s="1" t="s">
        <v>139</v>
      </c>
      <c r="D37" s="1" t="s">
        <v>140</v>
      </c>
      <c r="E37" s="1" t="s">
        <v>12</v>
      </c>
      <c r="F37" s="1" t="s">
        <v>23</v>
      </c>
      <c r="G37" s="1" t="s">
        <v>141</v>
      </c>
      <c r="H37" s="1" t="s">
        <v>15</v>
      </c>
      <c r="I37" t="b">
        <f>COUNTIF(Estadísticas!I:I,'Centraldecomunicacion.es'!H37)&gt;0</f>
        <v>0</v>
      </c>
    </row>
    <row r="38" spans="1:9">
      <c r="A38" s="1" t="s">
        <v>142</v>
      </c>
      <c r="B38" s="1" t="s">
        <v>10</v>
      </c>
      <c r="C38" s="1" t="s">
        <v>143</v>
      </c>
      <c r="D38" s="1" t="s">
        <v>120</v>
      </c>
      <c r="E38" s="1" t="s">
        <v>12</v>
      </c>
      <c r="F38" s="1" t="s">
        <v>23</v>
      </c>
      <c r="G38" s="1" t="s">
        <v>23</v>
      </c>
      <c r="H38" s="1" t="s">
        <v>15</v>
      </c>
      <c r="I38" t="b">
        <f>COUNTIF(Estadísticas!I:I,'Centraldecomunicacion.es'!H38)&gt;0</f>
        <v>0</v>
      </c>
    </row>
    <row r="39" spans="1:9">
      <c r="A39" s="1" t="s">
        <v>144</v>
      </c>
      <c r="B39" s="1" t="s">
        <v>10</v>
      </c>
      <c r="C39" s="1" t="s">
        <v>145</v>
      </c>
      <c r="D39" s="1" t="s">
        <v>146</v>
      </c>
      <c r="E39" s="1" t="s">
        <v>12</v>
      </c>
      <c r="F39" s="1" t="s">
        <v>23</v>
      </c>
      <c r="G39" s="1" t="s">
        <v>147</v>
      </c>
      <c r="H39" s="1" t="s">
        <v>15</v>
      </c>
      <c r="I39" t="b">
        <f>COUNTIF(Estadísticas!I:I,'Centraldecomunicacion.es'!H39)&gt;0</f>
        <v>0</v>
      </c>
    </row>
    <row r="40" spans="1:9">
      <c r="A40" s="1" t="s">
        <v>148</v>
      </c>
      <c r="B40" s="1" t="s">
        <v>10</v>
      </c>
      <c r="C40" s="1" t="s">
        <v>149</v>
      </c>
      <c r="D40" s="1" t="s">
        <v>150</v>
      </c>
      <c r="E40" s="1" t="s">
        <v>12</v>
      </c>
      <c r="F40" s="1" t="s">
        <v>23</v>
      </c>
      <c r="G40" s="1" t="s">
        <v>151</v>
      </c>
      <c r="H40" s="1" t="s">
        <v>15</v>
      </c>
      <c r="I40" t="b">
        <f>COUNTIF(Estadísticas!I:I,'Centraldecomunicacion.es'!H40)&gt;0</f>
        <v>0</v>
      </c>
    </row>
    <row r="41" spans="1:9">
      <c r="A41" s="1" t="s">
        <v>152</v>
      </c>
      <c r="B41" s="1" t="s">
        <v>10</v>
      </c>
      <c r="C41" s="1" t="s">
        <v>153</v>
      </c>
      <c r="D41" s="1" t="s">
        <v>154</v>
      </c>
      <c r="E41" s="1" t="s">
        <v>12</v>
      </c>
      <c r="F41" s="1" t="s">
        <v>23</v>
      </c>
      <c r="G41" s="1" t="s">
        <v>155</v>
      </c>
      <c r="H41" s="1" t="s">
        <v>15</v>
      </c>
      <c r="I41" t="b">
        <f>COUNTIF(Estadísticas!I:I,'Centraldecomunicacion.es'!H41)&gt;0</f>
        <v>0</v>
      </c>
    </row>
    <row r="42" spans="1:9">
      <c r="A42" s="1" t="s">
        <v>156</v>
      </c>
      <c r="B42" s="1" t="s">
        <v>10</v>
      </c>
      <c r="C42" s="1" t="s">
        <v>157</v>
      </c>
      <c r="D42" s="1" t="s">
        <v>158</v>
      </c>
      <c r="E42" s="1" t="s">
        <v>12</v>
      </c>
      <c r="F42" s="1" t="s">
        <v>23</v>
      </c>
      <c r="G42" s="1" t="s">
        <v>159</v>
      </c>
      <c r="H42" s="1" t="s">
        <v>15</v>
      </c>
      <c r="I42" t="b">
        <f>COUNTIF(Estadísticas!I:I,'Centraldecomunicacion.es'!H42)&gt;0</f>
        <v>0</v>
      </c>
    </row>
    <row r="43" spans="1:9">
      <c r="A43" s="1" t="s">
        <v>160</v>
      </c>
      <c r="B43" s="1" t="s">
        <v>10</v>
      </c>
      <c r="C43" s="1" t="s">
        <v>161</v>
      </c>
      <c r="D43" s="1" t="s">
        <v>158</v>
      </c>
      <c r="E43" s="1" t="s">
        <v>12</v>
      </c>
      <c r="F43" s="1" t="s">
        <v>23</v>
      </c>
      <c r="G43" s="1" t="s">
        <v>162</v>
      </c>
      <c r="H43" s="1" t="s">
        <v>15</v>
      </c>
      <c r="I43" t="b">
        <f>COUNTIF(Estadísticas!I:I,'Centraldecomunicacion.es'!H43)&gt;0</f>
        <v>0</v>
      </c>
    </row>
    <row r="44" spans="1:9">
      <c r="A44" s="1" t="s">
        <v>163</v>
      </c>
      <c r="B44" s="1" t="s">
        <v>10</v>
      </c>
      <c r="C44" s="1" t="s">
        <v>164</v>
      </c>
      <c r="D44" s="1" t="s">
        <v>154</v>
      </c>
      <c r="E44" s="1" t="s">
        <v>12</v>
      </c>
      <c r="F44" s="1" t="s">
        <v>23</v>
      </c>
      <c r="G44" s="1" t="s">
        <v>155</v>
      </c>
      <c r="H44" s="1" t="s">
        <v>15</v>
      </c>
      <c r="I44" t="b">
        <f>COUNTIF(Estadísticas!I:I,'Centraldecomunicacion.es'!H44)&gt;0</f>
        <v>0</v>
      </c>
    </row>
    <row r="45" spans="1:9">
      <c r="A45" s="1" t="s">
        <v>165</v>
      </c>
      <c r="B45" s="1" t="s">
        <v>10</v>
      </c>
      <c r="C45" s="1" t="s">
        <v>166</v>
      </c>
      <c r="D45" s="1" t="s">
        <v>167</v>
      </c>
      <c r="E45" s="1" t="s">
        <v>12</v>
      </c>
      <c r="F45" s="1" t="s">
        <v>168</v>
      </c>
      <c r="G45" s="1" t="s">
        <v>169</v>
      </c>
      <c r="H45" s="1" t="s">
        <v>15</v>
      </c>
      <c r="I45" t="b">
        <f>COUNTIF(Estadísticas!I:I,'Centraldecomunicacion.es'!H45)&gt;0</f>
        <v>0</v>
      </c>
    </row>
    <row r="46" spans="1:9">
      <c r="A46" s="1" t="s">
        <v>170</v>
      </c>
      <c r="B46" s="1" t="s">
        <v>10</v>
      </c>
      <c r="C46" s="1" t="s">
        <v>171</v>
      </c>
      <c r="D46" s="1" t="s">
        <v>172</v>
      </c>
      <c r="E46" s="1" t="s">
        <v>12</v>
      </c>
      <c r="F46" s="1" t="s">
        <v>173</v>
      </c>
      <c r="G46" s="1" t="s">
        <v>174</v>
      </c>
      <c r="H46" s="1" t="s">
        <v>175</v>
      </c>
      <c r="I46" t="b">
        <f>COUNTIF(Estadísticas!I:I,'Centraldecomunicacion.es'!H46)&gt;0</f>
        <v>0</v>
      </c>
    </row>
    <row r="47" spans="1:9">
      <c r="A47" s="1" t="s">
        <v>176</v>
      </c>
      <c r="B47" s="1" t="s">
        <v>10</v>
      </c>
      <c r="C47" s="1" t="s">
        <v>177</v>
      </c>
      <c r="D47" s="1" t="s">
        <v>178</v>
      </c>
      <c r="E47" s="1" t="s">
        <v>12</v>
      </c>
      <c r="F47" s="1" t="s">
        <v>23</v>
      </c>
      <c r="G47" s="1" t="s">
        <v>179</v>
      </c>
      <c r="H47" s="1" t="s">
        <v>15</v>
      </c>
      <c r="I47" t="b">
        <f>COUNTIF(Estadísticas!I:I,'Centraldecomunicacion.es'!H47)&gt;0</f>
        <v>0</v>
      </c>
    </row>
    <row r="48" spans="1:9">
      <c r="A48" s="1" t="s">
        <v>180</v>
      </c>
      <c r="B48" s="1" t="s">
        <v>10</v>
      </c>
      <c r="C48" s="1" t="s">
        <v>181</v>
      </c>
      <c r="D48" s="1" t="s">
        <v>182</v>
      </c>
      <c r="E48" s="1" t="s">
        <v>12</v>
      </c>
      <c r="F48" s="1" t="s">
        <v>23</v>
      </c>
      <c r="G48" s="1" t="s">
        <v>183</v>
      </c>
      <c r="H48" s="1" t="s">
        <v>15</v>
      </c>
      <c r="I48" t="b">
        <f>COUNTIF(Estadísticas!I:I,'Centraldecomunicacion.es'!H48)&gt;0</f>
        <v>0</v>
      </c>
    </row>
    <row r="49" spans="1:9">
      <c r="A49" s="1" t="s">
        <v>184</v>
      </c>
      <c r="B49" s="1" t="s">
        <v>10</v>
      </c>
      <c r="C49" s="1" t="s">
        <v>185</v>
      </c>
      <c r="D49" s="1" t="s">
        <v>186</v>
      </c>
      <c r="E49" s="1" t="s">
        <v>12</v>
      </c>
      <c r="F49" s="1" t="s">
        <v>23</v>
      </c>
      <c r="G49" s="1" t="s">
        <v>187</v>
      </c>
      <c r="H49" s="1" t="s">
        <v>15</v>
      </c>
      <c r="I49" t="b">
        <f>COUNTIF(Estadísticas!I:I,'Centraldecomunicacion.es'!H49)&gt;0</f>
        <v>0</v>
      </c>
    </row>
    <row r="50" spans="1:9">
      <c r="A50" s="1" t="s">
        <v>188</v>
      </c>
      <c r="B50" s="1" t="s">
        <v>10</v>
      </c>
      <c r="C50" s="1" t="s">
        <v>189</v>
      </c>
      <c r="D50" s="1" t="s">
        <v>190</v>
      </c>
      <c r="E50" s="1" t="s">
        <v>190</v>
      </c>
      <c r="F50" s="1" t="s">
        <v>23</v>
      </c>
      <c r="G50" s="1" t="s">
        <v>191</v>
      </c>
      <c r="H50" s="1" t="s">
        <v>15</v>
      </c>
      <c r="I50" t="b">
        <f>COUNTIF(Estadísticas!I:I,'Centraldecomunicacion.es'!H50)&gt;0</f>
        <v>0</v>
      </c>
    </row>
    <row r="51" spans="1:9">
      <c r="A51" s="1" t="s">
        <v>192</v>
      </c>
      <c r="B51" s="1" t="s">
        <v>10</v>
      </c>
      <c r="C51" s="1" t="s">
        <v>193</v>
      </c>
      <c r="D51" s="1" t="s">
        <v>194</v>
      </c>
      <c r="E51" s="1" t="s">
        <v>190</v>
      </c>
      <c r="F51" s="1" t="s">
        <v>23</v>
      </c>
      <c r="G51" s="1" t="s">
        <v>195</v>
      </c>
      <c r="H51" s="1" t="s">
        <v>15</v>
      </c>
      <c r="I51" t="b">
        <f>COUNTIF(Estadísticas!I:I,'Centraldecomunicacion.es'!H51)&gt;0</f>
        <v>0</v>
      </c>
    </row>
    <row r="52" spans="1:9">
      <c r="A52" s="1" t="s">
        <v>196</v>
      </c>
      <c r="B52" s="1" t="s">
        <v>10</v>
      </c>
      <c r="C52" s="1" t="s">
        <v>197</v>
      </c>
      <c r="D52" s="1" t="s">
        <v>198</v>
      </c>
      <c r="E52" s="1" t="s">
        <v>190</v>
      </c>
      <c r="F52" s="1" t="s">
        <v>23</v>
      </c>
      <c r="G52" s="1" t="s">
        <v>199</v>
      </c>
      <c r="H52" s="1" t="s">
        <v>15</v>
      </c>
      <c r="I52" t="b">
        <f>COUNTIF(Estadísticas!I:I,'Centraldecomunicacion.es'!H52)&gt;0</f>
        <v>0</v>
      </c>
    </row>
    <row r="53" spans="1:9">
      <c r="A53" s="1" t="s">
        <v>200</v>
      </c>
      <c r="B53" s="1" t="s">
        <v>10</v>
      </c>
      <c r="C53" s="1" t="s">
        <v>201</v>
      </c>
      <c r="D53" s="1" t="s">
        <v>190</v>
      </c>
      <c r="E53" s="1" t="s">
        <v>190</v>
      </c>
      <c r="F53" s="1" t="s">
        <v>23</v>
      </c>
      <c r="G53" s="1" t="s">
        <v>202</v>
      </c>
      <c r="H53" s="1" t="s">
        <v>15</v>
      </c>
      <c r="I53" t="b">
        <f>COUNTIF(Estadísticas!I:I,'Centraldecomunicacion.es'!H53)&gt;0</f>
        <v>0</v>
      </c>
    </row>
    <row r="54" spans="1:9">
      <c r="A54" s="1" t="s">
        <v>10</v>
      </c>
      <c r="B54" s="1" t="s">
        <v>10</v>
      </c>
      <c r="C54" s="1" t="s">
        <v>203</v>
      </c>
      <c r="D54" s="1" t="s">
        <v>204</v>
      </c>
      <c r="E54" s="1" t="s">
        <v>190</v>
      </c>
      <c r="F54" s="1" t="s">
        <v>23</v>
      </c>
      <c r="G54" s="1" t="s">
        <v>205</v>
      </c>
      <c r="H54" s="1" t="s">
        <v>15</v>
      </c>
      <c r="I54" t="b">
        <f>COUNTIF(Estadísticas!I:I,'Centraldecomunicacion.es'!H54)&gt;0</f>
        <v>0</v>
      </c>
    </row>
    <row r="55" spans="1:9">
      <c r="A55" s="1" t="s">
        <v>206</v>
      </c>
      <c r="B55" s="1" t="s">
        <v>10</v>
      </c>
      <c r="C55" s="1" t="s">
        <v>207</v>
      </c>
      <c r="D55" s="1" t="s">
        <v>208</v>
      </c>
      <c r="E55" s="1" t="s">
        <v>209</v>
      </c>
      <c r="F55" s="1" t="s">
        <v>23</v>
      </c>
      <c r="G55" s="1" t="s">
        <v>210</v>
      </c>
      <c r="H55" s="1" t="s">
        <v>15</v>
      </c>
      <c r="I55" t="b">
        <f>COUNTIF(Estadísticas!I:I,'Centraldecomunicacion.es'!H55)&gt;0</f>
        <v>0</v>
      </c>
    </row>
    <row r="56" spans="1:9">
      <c r="A56" s="1" t="s">
        <v>211</v>
      </c>
      <c r="B56" s="1" t="s">
        <v>10</v>
      </c>
      <c r="C56" s="1" t="s">
        <v>212</v>
      </c>
      <c r="D56" s="1" t="s">
        <v>213</v>
      </c>
      <c r="E56" s="1" t="s">
        <v>214</v>
      </c>
      <c r="F56" s="1" t="s">
        <v>23</v>
      </c>
      <c r="G56" s="1" t="s">
        <v>215</v>
      </c>
      <c r="H56" s="1" t="s">
        <v>15</v>
      </c>
      <c r="I56" t="b">
        <f>COUNTIF(Estadísticas!I:I,'Centraldecomunicacion.es'!H56)&gt;0</f>
        <v>0</v>
      </c>
    </row>
    <row r="57" spans="1:9">
      <c r="A57" s="1" t="s">
        <v>216</v>
      </c>
      <c r="B57" s="1" t="s">
        <v>10</v>
      </c>
      <c r="C57" s="1" t="s">
        <v>217</v>
      </c>
      <c r="D57" s="1" t="s">
        <v>218</v>
      </c>
      <c r="E57" s="1" t="s">
        <v>219</v>
      </c>
      <c r="F57" s="1" t="s">
        <v>220</v>
      </c>
      <c r="G57" s="1" t="s">
        <v>221</v>
      </c>
      <c r="H57" s="1" t="s">
        <v>222</v>
      </c>
      <c r="I57" t="b">
        <f>COUNTIF(Estadísticas!I:I,'Centraldecomunicacion.es'!H57)&gt;0</f>
        <v>0</v>
      </c>
    </row>
    <row r="58" spans="1:9">
      <c r="A58" s="1" t="s">
        <v>223</v>
      </c>
      <c r="B58" s="1" t="s">
        <v>10</v>
      </c>
      <c r="C58" s="1" t="s">
        <v>224</v>
      </c>
      <c r="D58" s="1" t="s">
        <v>225</v>
      </c>
      <c r="E58" s="1" t="s">
        <v>225</v>
      </c>
      <c r="F58" s="1" t="s">
        <v>226</v>
      </c>
      <c r="G58" s="1" t="s">
        <v>227</v>
      </c>
      <c r="H58" s="1" t="s">
        <v>228</v>
      </c>
      <c r="I58" t="b">
        <f>COUNTIF(Estadísticas!I:I,'Centraldecomunicacion.es'!H58)&gt;0</f>
        <v>0</v>
      </c>
    </row>
    <row r="59" spans="1:9">
      <c r="A59" s="1" t="s">
        <v>229</v>
      </c>
      <c r="B59" s="1" t="s">
        <v>10</v>
      </c>
      <c r="C59" s="1" t="s">
        <v>230</v>
      </c>
      <c r="D59" s="1" t="s">
        <v>225</v>
      </c>
      <c r="E59" s="1" t="s">
        <v>225</v>
      </c>
      <c r="F59" s="1" t="s">
        <v>23</v>
      </c>
      <c r="G59" s="1" t="s">
        <v>231</v>
      </c>
      <c r="H59" s="1" t="s">
        <v>15</v>
      </c>
      <c r="I59" t="b">
        <f>COUNTIF(Estadísticas!I:I,'Centraldecomunicacion.es'!H59)&gt;0</f>
        <v>0</v>
      </c>
    </row>
    <row r="60" spans="1:9">
      <c r="A60" s="1" t="s">
        <v>232</v>
      </c>
      <c r="B60" s="1" t="s">
        <v>10</v>
      </c>
      <c r="C60" s="1" t="s">
        <v>233</v>
      </c>
      <c r="D60" s="1" t="s">
        <v>225</v>
      </c>
      <c r="E60" s="1" t="s">
        <v>225</v>
      </c>
      <c r="F60" s="1" t="s">
        <v>23</v>
      </c>
      <c r="G60" s="1" t="s">
        <v>234</v>
      </c>
      <c r="H60" s="1" t="s">
        <v>15</v>
      </c>
      <c r="I60" t="b">
        <f>COUNTIF(Estadísticas!I:I,'Centraldecomunicacion.es'!H60)&gt;0</f>
        <v>0</v>
      </c>
    </row>
    <row r="61" spans="1:9">
      <c r="A61" s="1" t="s">
        <v>235</v>
      </c>
      <c r="B61" s="1" t="s">
        <v>10</v>
      </c>
      <c r="C61" s="1" t="s">
        <v>236</v>
      </c>
      <c r="D61" s="1" t="s">
        <v>225</v>
      </c>
      <c r="E61" s="1" t="s">
        <v>225</v>
      </c>
      <c r="F61" s="1" t="s">
        <v>226</v>
      </c>
      <c r="G61" s="1" t="s">
        <v>237</v>
      </c>
      <c r="H61" s="1" t="s">
        <v>228</v>
      </c>
      <c r="I61" t="b">
        <f>COUNTIF(Estadísticas!I:I,'Centraldecomunicacion.es'!H61)&gt;0</f>
        <v>0</v>
      </c>
    </row>
    <row r="62" spans="1:9">
      <c r="A62" s="1" t="s">
        <v>238</v>
      </c>
      <c r="B62" s="1" t="s">
        <v>10</v>
      </c>
      <c r="C62" s="1" t="s">
        <v>239</v>
      </c>
      <c r="D62" s="1" t="s">
        <v>225</v>
      </c>
      <c r="E62" s="1" t="s">
        <v>225</v>
      </c>
      <c r="F62" s="1" t="s">
        <v>23</v>
      </c>
      <c r="G62" s="1" t="s">
        <v>240</v>
      </c>
      <c r="H62" s="1" t="s">
        <v>15</v>
      </c>
      <c r="I62" t="b">
        <f>COUNTIF(Estadísticas!I:I,'Centraldecomunicacion.es'!H62)&gt;0</f>
        <v>0</v>
      </c>
    </row>
    <row r="63" spans="1:9">
      <c r="A63" s="1" t="s">
        <v>241</v>
      </c>
      <c r="B63" s="1" t="s">
        <v>10</v>
      </c>
      <c r="C63" s="1" t="s">
        <v>242</v>
      </c>
      <c r="D63" s="1" t="s">
        <v>225</v>
      </c>
      <c r="E63" s="1" t="s">
        <v>225</v>
      </c>
      <c r="F63" s="1" t="s">
        <v>81</v>
      </c>
      <c r="G63" s="1" t="s">
        <v>243</v>
      </c>
      <c r="H63" s="1" t="s">
        <v>83</v>
      </c>
      <c r="I63" t="b">
        <f>COUNTIF(Estadísticas!I:I,'Centraldecomunicacion.es'!H63)&gt;0</f>
        <v>0</v>
      </c>
    </row>
    <row r="64" spans="1:9">
      <c r="A64" s="1" t="s">
        <v>244</v>
      </c>
      <c r="B64" s="1" t="s">
        <v>10</v>
      </c>
      <c r="C64" s="1" t="s">
        <v>245</v>
      </c>
      <c r="D64" s="1" t="s">
        <v>225</v>
      </c>
      <c r="E64" s="1" t="s">
        <v>225</v>
      </c>
      <c r="F64" s="1" t="s">
        <v>23</v>
      </c>
      <c r="G64" s="1" t="s">
        <v>246</v>
      </c>
      <c r="H64" s="1" t="s">
        <v>15</v>
      </c>
      <c r="I64" t="b">
        <f>COUNTIF(Estadísticas!I:I,'Centraldecomunicacion.es'!H64)&gt;0</f>
        <v>0</v>
      </c>
    </row>
    <row r="65" spans="1:9">
      <c r="A65" s="1" t="s">
        <v>247</v>
      </c>
      <c r="B65" s="1" t="s">
        <v>10</v>
      </c>
      <c r="C65" s="1" t="s">
        <v>248</v>
      </c>
      <c r="D65" s="1" t="s">
        <v>249</v>
      </c>
      <c r="E65" s="1" t="s">
        <v>225</v>
      </c>
      <c r="F65" s="1" t="s">
        <v>23</v>
      </c>
      <c r="G65" s="1" t="s">
        <v>23</v>
      </c>
      <c r="H65" s="1" t="s">
        <v>15</v>
      </c>
      <c r="I65" t="b">
        <f>COUNTIF(Estadísticas!I:I,'Centraldecomunicacion.es'!H65)&gt;0</f>
        <v>0</v>
      </c>
    </row>
    <row r="66" spans="1:9">
      <c r="A66" s="1" t="s">
        <v>250</v>
      </c>
      <c r="B66" s="1" t="s">
        <v>10</v>
      </c>
      <c r="C66" s="1" t="s">
        <v>251</v>
      </c>
      <c r="D66" s="1" t="s">
        <v>252</v>
      </c>
      <c r="E66" s="1" t="s">
        <v>225</v>
      </c>
      <c r="F66" s="1" t="s">
        <v>23</v>
      </c>
      <c r="G66" s="1" t="s">
        <v>253</v>
      </c>
      <c r="H66" s="1" t="s">
        <v>15</v>
      </c>
      <c r="I66" t="b">
        <f>COUNTIF(Estadísticas!I:I,'Centraldecomunicacion.es'!H66)&gt;0</f>
        <v>0</v>
      </c>
    </row>
    <row r="67" spans="1:9">
      <c r="A67" s="1" t="s">
        <v>254</v>
      </c>
      <c r="B67" s="1" t="s">
        <v>10</v>
      </c>
      <c r="C67" s="1" t="s">
        <v>255</v>
      </c>
      <c r="D67" s="1" t="s">
        <v>252</v>
      </c>
      <c r="E67" s="1" t="s">
        <v>225</v>
      </c>
      <c r="F67" s="1" t="s">
        <v>23</v>
      </c>
      <c r="G67" s="1" t="s">
        <v>256</v>
      </c>
      <c r="H67" s="1" t="s">
        <v>15</v>
      </c>
      <c r="I67" t="b">
        <f>COUNTIF(Estadísticas!I:I,'Centraldecomunicacion.es'!H67)&gt;0</f>
        <v>0</v>
      </c>
    </row>
    <row r="68" spans="1:9">
      <c r="A68" s="1" t="s">
        <v>257</v>
      </c>
      <c r="B68" s="1" t="s">
        <v>10</v>
      </c>
      <c r="C68" s="1" t="s">
        <v>258</v>
      </c>
      <c r="D68" s="1" t="s">
        <v>252</v>
      </c>
      <c r="E68" s="1" t="s">
        <v>225</v>
      </c>
      <c r="F68" s="1" t="s">
        <v>81</v>
      </c>
      <c r="G68" s="1" t="s">
        <v>259</v>
      </c>
      <c r="H68" s="1" t="s">
        <v>83</v>
      </c>
      <c r="I68" t="b">
        <f>COUNTIF(Estadísticas!I:I,'Centraldecomunicacion.es'!H68)&gt;0</f>
        <v>0</v>
      </c>
    </row>
    <row r="69" spans="1:9">
      <c r="A69" s="1" t="s">
        <v>260</v>
      </c>
      <c r="B69" s="1" t="s">
        <v>10</v>
      </c>
      <c r="C69" s="1" t="s">
        <v>261</v>
      </c>
      <c r="D69" s="1" t="s">
        <v>249</v>
      </c>
      <c r="E69" s="1" t="s">
        <v>225</v>
      </c>
      <c r="F69" s="1" t="s">
        <v>262</v>
      </c>
      <c r="G69" s="1" t="s">
        <v>263</v>
      </c>
      <c r="H69" s="1" t="s">
        <v>15</v>
      </c>
      <c r="I69" t="b">
        <f>COUNTIF(Estadísticas!I:I,'Centraldecomunicacion.es'!H69)&gt;0</f>
        <v>0</v>
      </c>
    </row>
    <row r="70" spans="1:9">
      <c r="A70" s="1" t="s">
        <v>264</v>
      </c>
      <c r="B70" s="1" t="s">
        <v>10</v>
      </c>
      <c r="C70" s="1" t="s">
        <v>265</v>
      </c>
      <c r="D70" s="1" t="s">
        <v>266</v>
      </c>
      <c r="E70" s="1" t="s">
        <v>225</v>
      </c>
      <c r="F70" s="1" t="s">
        <v>23</v>
      </c>
      <c r="G70" s="1" t="s">
        <v>267</v>
      </c>
      <c r="H70" s="1" t="s">
        <v>15</v>
      </c>
      <c r="I70" t="b">
        <f>COUNTIF(Estadísticas!I:I,'Centraldecomunicacion.es'!H70)&gt;0</f>
        <v>0</v>
      </c>
    </row>
    <row r="71" spans="1:9">
      <c r="A71" s="1" t="s">
        <v>268</v>
      </c>
      <c r="B71" s="1" t="s">
        <v>10</v>
      </c>
      <c r="C71" s="1" t="s">
        <v>269</v>
      </c>
      <c r="D71" s="1" t="s">
        <v>266</v>
      </c>
      <c r="E71" s="1" t="s">
        <v>225</v>
      </c>
      <c r="F71" s="1" t="s">
        <v>270</v>
      </c>
      <c r="G71" s="1" t="s">
        <v>271</v>
      </c>
      <c r="H71" s="1" t="s">
        <v>272</v>
      </c>
      <c r="I71" t="b">
        <f>COUNTIF(Estadísticas!I:I,'Centraldecomunicacion.es'!H71)&gt;0</f>
        <v>0</v>
      </c>
    </row>
    <row r="72" spans="1:9">
      <c r="A72" s="1" t="s">
        <v>273</v>
      </c>
      <c r="B72" s="1" t="s">
        <v>10</v>
      </c>
      <c r="C72" s="1" t="s">
        <v>274</v>
      </c>
      <c r="D72" s="1" t="s">
        <v>249</v>
      </c>
      <c r="E72" s="1" t="s">
        <v>225</v>
      </c>
      <c r="F72" s="1" t="s">
        <v>23</v>
      </c>
      <c r="G72" s="1" t="s">
        <v>275</v>
      </c>
      <c r="H72" s="1" t="s">
        <v>15</v>
      </c>
      <c r="I72" t="b">
        <f>COUNTIF(Estadísticas!I:I,'Centraldecomunicacion.es'!H72)&gt;0</f>
        <v>0</v>
      </c>
    </row>
    <row r="73" spans="1:9">
      <c r="A73" s="1" t="s">
        <v>276</v>
      </c>
      <c r="B73" s="1" t="s">
        <v>10</v>
      </c>
      <c r="C73" s="1" t="s">
        <v>277</v>
      </c>
      <c r="D73" s="1" t="s">
        <v>266</v>
      </c>
      <c r="E73" s="1" t="s">
        <v>225</v>
      </c>
      <c r="F73" s="1" t="s">
        <v>278</v>
      </c>
      <c r="G73" s="1" t="s">
        <v>279</v>
      </c>
      <c r="H73" s="1" t="s">
        <v>280</v>
      </c>
      <c r="I73" t="b">
        <f>COUNTIF(Estadísticas!I:I,'Centraldecomunicacion.es'!H73)&gt;0</f>
        <v>0</v>
      </c>
    </row>
    <row r="74" spans="1:9">
      <c r="A74" s="1" t="s">
        <v>281</v>
      </c>
      <c r="B74" s="1" t="s">
        <v>10</v>
      </c>
      <c r="C74" s="1" t="s">
        <v>282</v>
      </c>
      <c r="D74" s="1" t="s">
        <v>283</v>
      </c>
      <c r="E74" s="1" t="s">
        <v>225</v>
      </c>
      <c r="F74" s="1" t="s">
        <v>284</v>
      </c>
      <c r="G74" s="1" t="s">
        <v>285</v>
      </c>
      <c r="H74" s="1" t="s">
        <v>15</v>
      </c>
      <c r="I74" t="b">
        <f>COUNTIF(Estadísticas!I:I,'Centraldecomunicacion.es'!H74)&gt;0</f>
        <v>0</v>
      </c>
    </row>
    <row r="75" spans="1:9">
      <c r="A75" s="1" t="s">
        <v>286</v>
      </c>
      <c r="B75" s="1" t="s">
        <v>10</v>
      </c>
      <c r="C75" s="1" t="s">
        <v>287</v>
      </c>
      <c r="D75" s="1" t="s">
        <v>288</v>
      </c>
      <c r="E75" s="1" t="s">
        <v>225</v>
      </c>
      <c r="F75" s="1" t="s">
        <v>289</v>
      </c>
      <c r="G75" s="1" t="s">
        <v>290</v>
      </c>
      <c r="H75" s="1" t="s">
        <v>15</v>
      </c>
      <c r="I75" t="b">
        <f>COUNTIF(Estadísticas!I:I,'Centraldecomunicacion.es'!H75)&gt;0</f>
        <v>0</v>
      </c>
    </row>
    <row r="76" spans="1:9">
      <c r="A76" s="1" t="s">
        <v>291</v>
      </c>
      <c r="B76" s="1" t="s">
        <v>10</v>
      </c>
      <c r="C76" s="1" t="s">
        <v>292</v>
      </c>
      <c r="D76" s="1" t="s">
        <v>288</v>
      </c>
      <c r="E76" s="1" t="s">
        <v>225</v>
      </c>
      <c r="F76" s="1" t="s">
        <v>23</v>
      </c>
      <c r="G76" s="1" t="s">
        <v>293</v>
      </c>
      <c r="H76" s="1" t="s">
        <v>15</v>
      </c>
      <c r="I76" t="b">
        <f>COUNTIF(Estadísticas!I:I,'Centraldecomunicacion.es'!H76)&gt;0</f>
        <v>0</v>
      </c>
    </row>
    <row r="77" spans="1:9">
      <c r="A77" s="1" t="s">
        <v>294</v>
      </c>
      <c r="B77" s="1" t="s">
        <v>10</v>
      </c>
      <c r="C77" s="1" t="s">
        <v>295</v>
      </c>
      <c r="D77" s="1" t="s">
        <v>266</v>
      </c>
      <c r="E77" s="1" t="s">
        <v>225</v>
      </c>
      <c r="F77" s="1" t="s">
        <v>23</v>
      </c>
      <c r="G77" s="1" t="s">
        <v>296</v>
      </c>
      <c r="H77" s="1" t="s">
        <v>15</v>
      </c>
      <c r="I77" t="b">
        <f>COUNTIF(Estadísticas!I:I,'Centraldecomunicacion.es'!H77)&gt;0</f>
        <v>0</v>
      </c>
    </row>
    <row r="78" spans="1:9">
      <c r="A78" s="1" t="s">
        <v>297</v>
      </c>
      <c r="B78" s="1" t="s">
        <v>10</v>
      </c>
      <c r="C78" s="1" t="s">
        <v>298</v>
      </c>
      <c r="D78" s="1" t="s">
        <v>288</v>
      </c>
      <c r="E78" s="1" t="s">
        <v>225</v>
      </c>
      <c r="F78" s="1" t="s">
        <v>23</v>
      </c>
      <c r="G78" s="1" t="s">
        <v>299</v>
      </c>
      <c r="H78" s="1" t="s">
        <v>15</v>
      </c>
      <c r="I78" t="b">
        <f>COUNTIF(Estadísticas!I:I,'Centraldecomunicacion.es'!H78)&gt;0</f>
        <v>0</v>
      </c>
    </row>
    <row r="79" spans="1:9">
      <c r="A79" s="1" t="s">
        <v>300</v>
      </c>
      <c r="B79" s="1" t="s">
        <v>10</v>
      </c>
      <c r="C79" s="1" t="s">
        <v>301</v>
      </c>
      <c r="D79" s="1" t="s">
        <v>288</v>
      </c>
      <c r="E79" s="1" t="s">
        <v>225</v>
      </c>
      <c r="F79" s="1" t="s">
        <v>23</v>
      </c>
      <c r="G79" s="1" t="s">
        <v>302</v>
      </c>
      <c r="H79" s="1" t="s">
        <v>15</v>
      </c>
      <c r="I79" t="b">
        <f>COUNTIF(Estadísticas!I:I,'Centraldecomunicacion.es'!H79)&gt;0</f>
        <v>0</v>
      </c>
    </row>
    <row r="80" spans="1:9">
      <c r="A80" s="1" t="s">
        <v>303</v>
      </c>
      <c r="B80" s="1" t="s">
        <v>10</v>
      </c>
      <c r="C80" s="1" t="s">
        <v>304</v>
      </c>
      <c r="D80" s="1" t="s">
        <v>266</v>
      </c>
      <c r="E80" s="1" t="s">
        <v>225</v>
      </c>
      <c r="F80" s="1" t="s">
        <v>305</v>
      </c>
      <c r="G80" s="1" t="s">
        <v>306</v>
      </c>
      <c r="H80" s="1" t="s">
        <v>307</v>
      </c>
      <c r="I80" t="b">
        <f>COUNTIF(Estadísticas!I:I,'Centraldecomunicacion.es'!H80)&gt;0</f>
        <v>0</v>
      </c>
    </row>
    <row r="81" spans="1:9">
      <c r="A81" s="1" t="s">
        <v>308</v>
      </c>
      <c r="B81" s="1" t="s">
        <v>10</v>
      </c>
      <c r="C81" s="1" t="s">
        <v>309</v>
      </c>
      <c r="D81" s="1" t="s">
        <v>288</v>
      </c>
      <c r="E81" s="1" t="s">
        <v>225</v>
      </c>
      <c r="F81" s="1" t="s">
        <v>23</v>
      </c>
      <c r="G81" s="1" t="s">
        <v>23</v>
      </c>
      <c r="H81" s="1" t="s">
        <v>15</v>
      </c>
      <c r="I81" t="b">
        <f>COUNTIF(Estadísticas!I:I,'Centraldecomunicacion.es'!H81)&gt;0</f>
        <v>0</v>
      </c>
    </row>
    <row r="82" spans="1:9">
      <c r="A82" s="1" t="s">
        <v>310</v>
      </c>
      <c r="B82" s="1" t="s">
        <v>10</v>
      </c>
      <c r="C82" s="1" t="s">
        <v>311</v>
      </c>
      <c r="D82" s="1" t="s">
        <v>266</v>
      </c>
      <c r="E82" s="1" t="s">
        <v>225</v>
      </c>
      <c r="F82" s="1" t="s">
        <v>23</v>
      </c>
      <c r="G82" s="1" t="s">
        <v>312</v>
      </c>
      <c r="H82" s="1" t="s">
        <v>15</v>
      </c>
      <c r="I82" t="b">
        <f>COUNTIF(Estadísticas!I:I,'Centraldecomunicacion.es'!H82)&gt;0</f>
        <v>0</v>
      </c>
    </row>
    <row r="83" spans="1:9">
      <c r="A83" s="1" t="s">
        <v>313</v>
      </c>
      <c r="B83" s="1" t="s">
        <v>10</v>
      </c>
      <c r="C83" s="1" t="s">
        <v>314</v>
      </c>
      <c r="D83" s="1" t="s">
        <v>288</v>
      </c>
      <c r="E83" s="1" t="s">
        <v>225</v>
      </c>
      <c r="F83" s="1" t="s">
        <v>81</v>
      </c>
      <c r="G83" s="1" t="s">
        <v>315</v>
      </c>
      <c r="H83" s="1" t="s">
        <v>83</v>
      </c>
      <c r="I83" t="b">
        <f>COUNTIF(Estadísticas!I:I,'Centraldecomunicacion.es'!H83)&gt;0</f>
        <v>0</v>
      </c>
    </row>
    <row r="84" spans="1:9">
      <c r="A84" s="1" t="s">
        <v>316</v>
      </c>
      <c r="B84" s="1" t="s">
        <v>10</v>
      </c>
      <c r="C84" s="1" t="s">
        <v>292</v>
      </c>
      <c r="D84" s="1" t="s">
        <v>288</v>
      </c>
      <c r="E84" s="1" t="s">
        <v>225</v>
      </c>
      <c r="F84" s="1" t="s">
        <v>23</v>
      </c>
      <c r="G84" s="1" t="s">
        <v>317</v>
      </c>
      <c r="H84" s="1" t="s">
        <v>15</v>
      </c>
      <c r="I84" t="b">
        <f>COUNTIF(Estadísticas!I:I,'Centraldecomunicacion.es'!H84)&gt;0</f>
        <v>0</v>
      </c>
    </row>
    <row r="85" spans="1:9">
      <c r="A85" s="1" t="s">
        <v>318</v>
      </c>
      <c r="B85" s="1" t="s">
        <v>10</v>
      </c>
      <c r="C85" s="1" t="s">
        <v>319</v>
      </c>
      <c r="D85" s="1" t="s">
        <v>288</v>
      </c>
      <c r="E85" s="1" t="s">
        <v>225</v>
      </c>
      <c r="F85" s="1" t="s">
        <v>23</v>
      </c>
      <c r="G85" s="1" t="s">
        <v>320</v>
      </c>
      <c r="H85" s="1" t="s">
        <v>15</v>
      </c>
      <c r="I85" t="b">
        <f>COUNTIF(Estadísticas!I:I,'Centraldecomunicacion.es'!H85)&gt;0</f>
        <v>0</v>
      </c>
    </row>
    <row r="86" spans="1:9">
      <c r="A86" s="1" t="s">
        <v>321</v>
      </c>
      <c r="B86" s="1" t="s">
        <v>10</v>
      </c>
      <c r="C86" s="1" t="s">
        <v>322</v>
      </c>
      <c r="D86" s="1" t="s">
        <v>288</v>
      </c>
      <c r="E86" s="1" t="s">
        <v>225</v>
      </c>
      <c r="F86" s="1" t="s">
        <v>323</v>
      </c>
      <c r="G86" s="1" t="s">
        <v>324</v>
      </c>
      <c r="H86" s="1" t="s">
        <v>325</v>
      </c>
      <c r="I86" t="b">
        <f>COUNTIF(Estadísticas!I:I,'Centraldecomunicacion.es'!H86)&gt;0</f>
        <v>0</v>
      </c>
    </row>
    <row r="87" spans="1:9">
      <c r="A87" s="1" t="s">
        <v>326</v>
      </c>
      <c r="B87" s="1" t="s">
        <v>10</v>
      </c>
      <c r="C87" s="1" t="s">
        <v>327</v>
      </c>
      <c r="D87" s="1" t="s">
        <v>288</v>
      </c>
      <c r="E87" s="1" t="s">
        <v>225</v>
      </c>
      <c r="F87" s="1" t="s">
        <v>23</v>
      </c>
      <c r="G87" s="1" t="s">
        <v>328</v>
      </c>
      <c r="H87" s="1" t="s">
        <v>15</v>
      </c>
      <c r="I87" t="b">
        <f>COUNTIF(Estadísticas!I:I,'Centraldecomunicacion.es'!H87)&gt;0</f>
        <v>0</v>
      </c>
    </row>
    <row r="88" spans="1:9">
      <c r="A88" s="1" t="s">
        <v>329</v>
      </c>
      <c r="B88" s="1" t="s">
        <v>10</v>
      </c>
      <c r="C88" s="1" t="s">
        <v>330</v>
      </c>
      <c r="D88" s="1" t="s">
        <v>288</v>
      </c>
      <c r="E88" s="1" t="s">
        <v>225</v>
      </c>
      <c r="F88" s="1" t="s">
        <v>23</v>
      </c>
      <c r="G88" s="1" t="s">
        <v>320</v>
      </c>
      <c r="H88" s="1" t="s">
        <v>15</v>
      </c>
      <c r="I88" t="b">
        <f>COUNTIF(Estadísticas!I:I,'Centraldecomunicacion.es'!H88)&gt;0</f>
        <v>0</v>
      </c>
    </row>
    <row r="89" spans="1:9">
      <c r="A89" s="1" t="s">
        <v>331</v>
      </c>
      <c r="B89" s="1" t="s">
        <v>10</v>
      </c>
      <c r="C89" s="1" t="s">
        <v>332</v>
      </c>
      <c r="D89" s="1" t="s">
        <v>288</v>
      </c>
      <c r="E89" s="1" t="s">
        <v>225</v>
      </c>
      <c r="F89" s="1" t="s">
        <v>23</v>
      </c>
      <c r="G89" s="1" t="s">
        <v>333</v>
      </c>
      <c r="H89" s="1" t="s">
        <v>15</v>
      </c>
      <c r="I89" t="b">
        <f>COUNTIF(Estadísticas!I:I,'Centraldecomunicacion.es'!H89)&gt;0</f>
        <v>0</v>
      </c>
    </row>
    <row r="90" spans="1:9">
      <c r="A90" s="1" t="s">
        <v>334</v>
      </c>
      <c r="B90" s="1" t="s">
        <v>10</v>
      </c>
      <c r="C90" s="1" t="s">
        <v>335</v>
      </c>
      <c r="D90" s="1" t="s">
        <v>336</v>
      </c>
      <c r="E90" s="1" t="s">
        <v>225</v>
      </c>
      <c r="F90" s="1" t="s">
        <v>337</v>
      </c>
      <c r="G90" s="1" t="s">
        <v>338</v>
      </c>
      <c r="H90" s="1" t="s">
        <v>15</v>
      </c>
      <c r="I90" t="b">
        <f>COUNTIF(Estadísticas!I:I,'Centraldecomunicacion.es'!H90)&gt;0</f>
        <v>0</v>
      </c>
    </row>
    <row r="91" spans="1:9">
      <c r="A91" s="1" t="s">
        <v>339</v>
      </c>
      <c r="B91" s="1" t="s">
        <v>10</v>
      </c>
      <c r="C91" s="1" t="s">
        <v>340</v>
      </c>
      <c r="D91" s="1" t="s">
        <v>341</v>
      </c>
      <c r="E91" s="1" t="s">
        <v>225</v>
      </c>
      <c r="F91" s="1" t="s">
        <v>23</v>
      </c>
      <c r="G91" s="1" t="s">
        <v>342</v>
      </c>
      <c r="H91" s="1" t="s">
        <v>15</v>
      </c>
      <c r="I91" t="b">
        <f>COUNTIF(Estadísticas!I:I,'Centraldecomunicacion.es'!H91)&gt;0</f>
        <v>0</v>
      </c>
    </row>
    <row r="92" spans="1:9">
      <c r="A92" s="1" t="s">
        <v>343</v>
      </c>
      <c r="B92" s="1" t="s">
        <v>10</v>
      </c>
      <c r="C92" s="1" t="s">
        <v>344</v>
      </c>
      <c r="D92" s="1" t="s">
        <v>341</v>
      </c>
      <c r="E92" s="1" t="s">
        <v>225</v>
      </c>
      <c r="F92" s="1" t="s">
        <v>23</v>
      </c>
      <c r="G92" s="1" t="s">
        <v>345</v>
      </c>
      <c r="H92" s="1" t="s">
        <v>15</v>
      </c>
      <c r="I92" t="b">
        <f>COUNTIF(Estadísticas!I:I,'Centraldecomunicacion.es'!H92)&gt;0</f>
        <v>0</v>
      </c>
    </row>
    <row r="93" spans="1:9">
      <c r="A93" s="1" t="s">
        <v>281</v>
      </c>
      <c r="B93" s="1" t="s">
        <v>10</v>
      </c>
      <c r="C93" s="1" t="s">
        <v>346</v>
      </c>
      <c r="D93" s="1" t="s">
        <v>347</v>
      </c>
      <c r="E93" s="1" t="s">
        <v>225</v>
      </c>
      <c r="F93" s="1" t="s">
        <v>284</v>
      </c>
      <c r="G93" s="1" t="s">
        <v>348</v>
      </c>
      <c r="H93" s="1" t="s">
        <v>349</v>
      </c>
      <c r="I93" t="b">
        <f>COUNTIF(Estadísticas!I:I,'Centraldecomunicacion.es'!H93)&gt;0</f>
        <v>0</v>
      </c>
    </row>
    <row r="94" spans="1:9">
      <c r="A94" s="1" t="s">
        <v>350</v>
      </c>
      <c r="B94" s="1" t="s">
        <v>10</v>
      </c>
      <c r="C94" s="1" t="s">
        <v>351</v>
      </c>
      <c r="D94" s="1" t="s">
        <v>341</v>
      </c>
      <c r="E94" s="1" t="s">
        <v>225</v>
      </c>
      <c r="F94" s="1" t="s">
        <v>23</v>
      </c>
      <c r="G94" s="1" t="s">
        <v>352</v>
      </c>
      <c r="H94" s="1" t="s">
        <v>15</v>
      </c>
      <c r="I94" t="b">
        <f>COUNTIF(Estadísticas!I:I,'Centraldecomunicacion.es'!H94)&gt;0</f>
        <v>0</v>
      </c>
    </row>
    <row r="95" spans="1:9">
      <c r="A95" s="1" t="s">
        <v>353</v>
      </c>
      <c r="B95" s="1" t="s">
        <v>10</v>
      </c>
      <c r="C95" s="1" t="s">
        <v>66</v>
      </c>
      <c r="D95" s="1" t="s">
        <v>67</v>
      </c>
      <c r="E95" s="1" t="s">
        <v>12</v>
      </c>
      <c r="F95" s="1" t="s">
        <v>68</v>
      </c>
      <c r="G95" s="1" t="s">
        <v>69</v>
      </c>
      <c r="H95" s="1" t="s">
        <v>15</v>
      </c>
      <c r="I95" t="b">
        <f>COUNTIF(Estadísticas!I:I,'Centraldecomunicacion.es'!H95)&gt;0</f>
        <v>0</v>
      </c>
    </row>
    <row r="96" spans="1:9">
      <c r="A96" s="1" t="s">
        <v>354</v>
      </c>
      <c r="B96" s="1" t="s">
        <v>10</v>
      </c>
      <c r="C96" s="1" t="s">
        <v>355</v>
      </c>
      <c r="D96" s="1" t="s">
        <v>341</v>
      </c>
      <c r="E96" s="1" t="s">
        <v>225</v>
      </c>
      <c r="F96" s="1" t="s">
        <v>23</v>
      </c>
      <c r="G96" s="1" t="s">
        <v>356</v>
      </c>
      <c r="H96" s="1" t="s">
        <v>15</v>
      </c>
      <c r="I96" t="b">
        <f>COUNTIF(Estadísticas!I:I,'Centraldecomunicacion.es'!H96)&gt;0</f>
        <v>0</v>
      </c>
    </row>
    <row r="97" spans="1:9">
      <c r="A97" s="1" t="s">
        <v>357</v>
      </c>
      <c r="B97" s="1" t="s">
        <v>10</v>
      </c>
      <c r="C97" s="1" t="s">
        <v>358</v>
      </c>
      <c r="D97" s="1" t="s">
        <v>336</v>
      </c>
      <c r="E97" s="1" t="s">
        <v>225</v>
      </c>
      <c r="F97" s="1" t="s">
        <v>23</v>
      </c>
      <c r="G97" s="1" t="s">
        <v>359</v>
      </c>
      <c r="H97" s="1" t="s">
        <v>15</v>
      </c>
      <c r="I97" t="b">
        <f>COUNTIF(Estadísticas!I:I,'Centraldecomunicacion.es'!H97)&gt;0</f>
        <v>0</v>
      </c>
    </row>
    <row r="98" spans="1:9">
      <c r="A98" s="1" t="s">
        <v>360</v>
      </c>
      <c r="B98" s="1" t="s">
        <v>10</v>
      </c>
      <c r="C98" s="1" t="s">
        <v>335</v>
      </c>
      <c r="D98" s="1" t="s">
        <v>336</v>
      </c>
      <c r="E98" s="1" t="s">
        <v>225</v>
      </c>
      <c r="F98" s="1" t="s">
        <v>23</v>
      </c>
      <c r="G98" s="1" t="s">
        <v>361</v>
      </c>
      <c r="H98" s="1" t="s">
        <v>15</v>
      </c>
      <c r="I98" t="b">
        <f>COUNTIF(Estadísticas!I:I,'Centraldecomunicacion.es'!H98)&gt;0</f>
        <v>0</v>
      </c>
    </row>
    <row r="99" spans="1:9">
      <c r="A99" s="1" t="s">
        <v>339</v>
      </c>
      <c r="B99" s="1" t="s">
        <v>10</v>
      </c>
      <c r="C99" s="1" t="s">
        <v>362</v>
      </c>
      <c r="D99" s="1" t="s">
        <v>341</v>
      </c>
      <c r="E99" s="1" t="s">
        <v>225</v>
      </c>
      <c r="F99" s="1" t="s">
        <v>23</v>
      </c>
      <c r="G99" s="1" t="s">
        <v>363</v>
      </c>
      <c r="H99" s="1" t="s">
        <v>15</v>
      </c>
      <c r="I99" t="b">
        <f>COUNTIF(Estadísticas!I:I,'Centraldecomunicacion.es'!H99)&gt;0</f>
        <v>0</v>
      </c>
    </row>
    <row r="100" spans="1:9">
      <c r="A100" s="1" t="s">
        <v>364</v>
      </c>
      <c r="B100" s="1" t="s">
        <v>10</v>
      </c>
      <c r="C100" s="1" t="s">
        <v>365</v>
      </c>
      <c r="D100" s="1" t="s">
        <v>336</v>
      </c>
      <c r="E100" s="1" t="s">
        <v>225</v>
      </c>
      <c r="F100" s="1" t="s">
        <v>23</v>
      </c>
      <c r="G100" s="1" t="s">
        <v>366</v>
      </c>
      <c r="H100" s="1" t="s">
        <v>15</v>
      </c>
      <c r="I100" t="b">
        <f>COUNTIF(Estadísticas!I:I,'Centraldecomunicacion.es'!H100)&gt;0</f>
        <v>0</v>
      </c>
    </row>
    <row r="101" spans="1:9">
      <c r="A101" s="1" t="s">
        <v>367</v>
      </c>
      <c r="B101" s="1" t="s">
        <v>10</v>
      </c>
      <c r="C101" s="1" t="s">
        <v>368</v>
      </c>
      <c r="D101" s="1" t="s">
        <v>341</v>
      </c>
      <c r="E101" s="1" t="s">
        <v>225</v>
      </c>
      <c r="F101" s="1" t="s">
        <v>23</v>
      </c>
      <c r="G101" s="1" t="s">
        <v>369</v>
      </c>
      <c r="H101" s="1" t="s">
        <v>15</v>
      </c>
      <c r="I101" t="b">
        <f>COUNTIF(Estadísticas!I:I,'Centraldecomunicacion.es'!H101)&gt;0</f>
        <v>0</v>
      </c>
    </row>
    <row r="102" spans="1:9">
      <c r="A102" s="1" t="s">
        <v>370</v>
      </c>
      <c r="B102" s="1" t="s">
        <v>10</v>
      </c>
      <c r="C102" s="1" t="s">
        <v>371</v>
      </c>
      <c r="D102" s="1" t="s">
        <v>372</v>
      </c>
      <c r="E102" s="1" t="s">
        <v>225</v>
      </c>
      <c r="F102" s="1" t="s">
        <v>373</v>
      </c>
      <c r="G102" s="1" t="s">
        <v>374</v>
      </c>
      <c r="H102" s="1" t="s">
        <v>375</v>
      </c>
      <c r="I102" t="b">
        <f>COUNTIF(Estadísticas!I:I,'Centraldecomunicacion.es'!H102)&gt;0</f>
        <v>0</v>
      </c>
    </row>
    <row r="103" spans="1:9">
      <c r="A103" s="1" t="s">
        <v>376</v>
      </c>
      <c r="B103" s="1" t="s">
        <v>10</v>
      </c>
      <c r="C103" s="1" t="s">
        <v>377</v>
      </c>
      <c r="D103" s="1" t="s">
        <v>341</v>
      </c>
      <c r="E103" s="1" t="s">
        <v>225</v>
      </c>
      <c r="F103" s="1" t="s">
        <v>23</v>
      </c>
      <c r="G103" s="1" t="s">
        <v>378</v>
      </c>
      <c r="H103" s="1" t="s">
        <v>15</v>
      </c>
      <c r="I103" t="b">
        <f>COUNTIF(Estadísticas!I:I,'Centraldecomunicacion.es'!H103)&gt;0</f>
        <v>0</v>
      </c>
    </row>
    <row r="104" spans="1:9">
      <c r="A104" s="1" t="s">
        <v>379</v>
      </c>
      <c r="B104" s="1" t="s">
        <v>10</v>
      </c>
      <c r="C104" s="1" t="s">
        <v>380</v>
      </c>
      <c r="D104" s="1" t="s">
        <v>341</v>
      </c>
      <c r="E104" s="1" t="s">
        <v>225</v>
      </c>
      <c r="F104" s="1" t="s">
        <v>23</v>
      </c>
      <c r="G104" s="1" t="s">
        <v>381</v>
      </c>
      <c r="H104" s="1" t="s">
        <v>15</v>
      </c>
      <c r="I104" t="b">
        <f>COUNTIF(Estadísticas!I:I,'Centraldecomunicacion.es'!H104)&gt;0</f>
        <v>0</v>
      </c>
    </row>
    <row r="105" spans="1:9">
      <c r="A105" s="1" t="s">
        <v>382</v>
      </c>
      <c r="B105" s="1" t="s">
        <v>10</v>
      </c>
      <c r="C105" s="1" t="s">
        <v>383</v>
      </c>
      <c r="D105" s="1" t="s">
        <v>341</v>
      </c>
      <c r="E105" s="1" t="s">
        <v>225</v>
      </c>
      <c r="F105" s="1" t="s">
        <v>23</v>
      </c>
      <c r="G105" s="1" t="s">
        <v>384</v>
      </c>
      <c r="H105" s="1" t="s">
        <v>15</v>
      </c>
      <c r="I105" t="b">
        <f>COUNTIF(Estadísticas!I:I,'Centraldecomunicacion.es'!H105)&gt;0</f>
        <v>0</v>
      </c>
    </row>
    <row r="106" spans="1:9">
      <c r="A106" s="1" t="s">
        <v>385</v>
      </c>
      <c r="B106" s="1" t="s">
        <v>10</v>
      </c>
      <c r="C106" s="1" t="s">
        <v>386</v>
      </c>
      <c r="D106" s="1" t="s">
        <v>341</v>
      </c>
      <c r="E106" s="1" t="s">
        <v>225</v>
      </c>
      <c r="F106" s="1" t="s">
        <v>23</v>
      </c>
      <c r="G106" s="1" t="s">
        <v>387</v>
      </c>
      <c r="H106" s="1" t="s">
        <v>15</v>
      </c>
      <c r="I106" t="b">
        <f>COUNTIF(Estadísticas!I:I,'Centraldecomunicacion.es'!H106)&gt;0</f>
        <v>0</v>
      </c>
    </row>
    <row r="107" spans="1:9">
      <c r="A107" s="1" t="s">
        <v>388</v>
      </c>
      <c r="B107" s="1" t="s">
        <v>10</v>
      </c>
      <c r="C107" s="1" t="s">
        <v>389</v>
      </c>
      <c r="D107" s="1" t="s">
        <v>341</v>
      </c>
      <c r="E107" s="1" t="s">
        <v>225</v>
      </c>
      <c r="F107" s="1" t="s">
        <v>390</v>
      </c>
      <c r="G107" s="1" t="s">
        <v>391</v>
      </c>
      <c r="H107" s="1" t="s">
        <v>15</v>
      </c>
      <c r="I107" t="b">
        <f>COUNTIF(Estadísticas!I:I,'Centraldecomunicacion.es'!H107)&gt;0</f>
        <v>0</v>
      </c>
    </row>
    <row r="108" spans="1:9">
      <c r="A108" s="1" t="s">
        <v>392</v>
      </c>
      <c r="B108" s="1" t="s">
        <v>10</v>
      </c>
      <c r="C108" s="1" t="s">
        <v>393</v>
      </c>
      <c r="D108" s="1" t="s">
        <v>341</v>
      </c>
      <c r="E108" s="1" t="s">
        <v>225</v>
      </c>
      <c r="F108" s="1" t="s">
        <v>23</v>
      </c>
      <c r="G108" s="1" t="s">
        <v>394</v>
      </c>
      <c r="H108" s="1" t="s">
        <v>15</v>
      </c>
      <c r="I108" t="b">
        <f>COUNTIF(Estadísticas!I:I,'Centraldecomunicacion.es'!H108)&gt;0</f>
        <v>0</v>
      </c>
    </row>
    <row r="109" spans="1:9">
      <c r="A109" s="1" t="s">
        <v>395</v>
      </c>
      <c r="B109" s="1" t="s">
        <v>10</v>
      </c>
      <c r="C109" s="1" t="s">
        <v>396</v>
      </c>
      <c r="D109" s="1" t="s">
        <v>347</v>
      </c>
      <c r="E109" s="1" t="s">
        <v>225</v>
      </c>
      <c r="F109" s="1" t="s">
        <v>23</v>
      </c>
      <c r="G109" s="1" t="s">
        <v>397</v>
      </c>
      <c r="H109" s="1" t="s">
        <v>15</v>
      </c>
      <c r="I109" t="b">
        <f>COUNTIF(Estadísticas!I:I,'Centraldecomunicacion.es'!H109)&gt;0</f>
        <v>0</v>
      </c>
    </row>
    <row r="110" spans="1:9">
      <c r="A110" s="1" t="s">
        <v>398</v>
      </c>
      <c r="B110" s="1" t="s">
        <v>10</v>
      </c>
      <c r="C110" s="1" t="s">
        <v>399</v>
      </c>
      <c r="D110" s="1" t="s">
        <v>400</v>
      </c>
      <c r="E110" s="1" t="s">
        <v>225</v>
      </c>
      <c r="F110" s="1" t="s">
        <v>23</v>
      </c>
      <c r="G110" s="1" t="s">
        <v>401</v>
      </c>
      <c r="H110" s="1" t="s">
        <v>15</v>
      </c>
      <c r="I110" t="b">
        <f>COUNTIF(Estadísticas!I:I,'Centraldecomunicacion.es'!H110)&gt;0</f>
        <v>0</v>
      </c>
    </row>
    <row r="111" spans="1:9">
      <c r="A111" s="1" t="s">
        <v>402</v>
      </c>
      <c r="B111" s="1" t="s">
        <v>10</v>
      </c>
      <c r="C111" s="1" t="s">
        <v>403</v>
      </c>
      <c r="D111" s="1" t="s">
        <v>404</v>
      </c>
      <c r="E111" s="1" t="s">
        <v>225</v>
      </c>
      <c r="F111" s="1" t="s">
        <v>23</v>
      </c>
      <c r="G111" s="1" t="s">
        <v>405</v>
      </c>
      <c r="H111" s="1" t="s">
        <v>15</v>
      </c>
      <c r="I111" t="b">
        <f>COUNTIF(Estadísticas!I:I,'Centraldecomunicacion.es'!H111)&gt;0</f>
        <v>0</v>
      </c>
    </row>
    <row r="112" spans="1:9">
      <c r="A112" s="1" t="s">
        <v>406</v>
      </c>
      <c r="B112" s="1" t="s">
        <v>10</v>
      </c>
      <c r="C112" s="1" t="s">
        <v>407</v>
      </c>
      <c r="D112" s="1" t="s">
        <v>408</v>
      </c>
      <c r="E112" s="1" t="s">
        <v>225</v>
      </c>
      <c r="F112" s="1" t="s">
        <v>23</v>
      </c>
      <c r="G112" s="1" t="s">
        <v>409</v>
      </c>
      <c r="H112" s="1" t="s">
        <v>15</v>
      </c>
      <c r="I112" t="b">
        <f>COUNTIF(Estadísticas!I:I,'Centraldecomunicacion.es'!H112)&gt;0</f>
        <v>0</v>
      </c>
    </row>
    <row r="113" spans="1:9">
      <c r="A113" s="1" t="s">
        <v>410</v>
      </c>
      <c r="B113" s="1" t="s">
        <v>10</v>
      </c>
      <c r="C113" s="1" t="s">
        <v>411</v>
      </c>
      <c r="D113" s="1" t="s">
        <v>408</v>
      </c>
      <c r="E113" s="1" t="s">
        <v>225</v>
      </c>
      <c r="F113" s="1" t="s">
        <v>23</v>
      </c>
      <c r="G113" s="1" t="s">
        <v>412</v>
      </c>
      <c r="H113" s="1" t="s">
        <v>15</v>
      </c>
      <c r="I113" t="b">
        <f>COUNTIF(Estadísticas!I:I,'Centraldecomunicacion.es'!H113)&gt;0</f>
        <v>0</v>
      </c>
    </row>
    <row r="114" spans="1:9">
      <c r="A114" s="1" t="s">
        <v>413</v>
      </c>
      <c r="B114" s="1" t="s">
        <v>10</v>
      </c>
      <c r="C114" s="1" t="s">
        <v>414</v>
      </c>
      <c r="D114" s="1" t="s">
        <v>415</v>
      </c>
      <c r="E114" s="1" t="s">
        <v>225</v>
      </c>
      <c r="F114" s="1" t="s">
        <v>23</v>
      </c>
      <c r="G114" s="1" t="s">
        <v>416</v>
      </c>
      <c r="H114" s="1" t="s">
        <v>15</v>
      </c>
      <c r="I114" t="b">
        <f>COUNTIF(Estadísticas!I:I,'Centraldecomunicacion.es'!H114)&gt;0</f>
        <v>0</v>
      </c>
    </row>
    <row r="115" spans="1:9">
      <c r="A115" s="1" t="s">
        <v>417</v>
      </c>
      <c r="B115" s="1" t="s">
        <v>10</v>
      </c>
      <c r="C115" s="1" t="s">
        <v>418</v>
      </c>
      <c r="D115" s="1" t="s">
        <v>415</v>
      </c>
      <c r="E115" s="1" t="s">
        <v>225</v>
      </c>
      <c r="F115" s="1" t="s">
        <v>23</v>
      </c>
      <c r="G115" s="1" t="s">
        <v>23</v>
      </c>
      <c r="H115" s="1" t="s">
        <v>15</v>
      </c>
      <c r="I115" t="b">
        <f>COUNTIF(Estadísticas!I:I,'Centraldecomunicacion.es'!H115)&gt;0</f>
        <v>0</v>
      </c>
    </row>
    <row r="116" spans="1:9">
      <c r="A116" s="1" t="s">
        <v>419</v>
      </c>
      <c r="B116" s="1" t="s">
        <v>10</v>
      </c>
      <c r="C116" s="1" t="s">
        <v>420</v>
      </c>
      <c r="D116" s="1" t="s">
        <v>421</v>
      </c>
      <c r="E116" s="1" t="s">
        <v>225</v>
      </c>
      <c r="F116" s="1" t="s">
        <v>373</v>
      </c>
      <c r="G116" s="1" t="s">
        <v>422</v>
      </c>
      <c r="H116" s="1" t="s">
        <v>375</v>
      </c>
      <c r="I116" t="b">
        <f>COUNTIF(Estadísticas!I:I,'Centraldecomunicacion.es'!H116)&gt;0</f>
        <v>0</v>
      </c>
    </row>
    <row r="117" spans="1:9">
      <c r="A117" s="1" t="s">
        <v>423</v>
      </c>
      <c r="B117" s="1" t="s">
        <v>10</v>
      </c>
      <c r="C117" s="1" t="s">
        <v>424</v>
      </c>
      <c r="D117" s="1" t="s">
        <v>425</v>
      </c>
      <c r="E117" s="1" t="s">
        <v>225</v>
      </c>
      <c r="F117" s="1" t="s">
        <v>23</v>
      </c>
      <c r="G117" s="1" t="s">
        <v>23</v>
      </c>
      <c r="H117" s="1" t="s">
        <v>15</v>
      </c>
      <c r="I117" t="b">
        <f>COUNTIF(Estadísticas!I:I,'Centraldecomunicacion.es'!H117)&gt;0</f>
        <v>0</v>
      </c>
    </row>
    <row r="118" spans="1:9">
      <c r="A118" s="1" t="s">
        <v>257</v>
      </c>
      <c r="B118" s="1" t="s">
        <v>10</v>
      </c>
      <c r="C118" s="1" t="s">
        <v>426</v>
      </c>
      <c r="D118" s="1" t="s">
        <v>427</v>
      </c>
      <c r="E118" s="1" t="s">
        <v>225</v>
      </c>
      <c r="F118" s="1" t="s">
        <v>81</v>
      </c>
      <c r="G118" s="1" t="s">
        <v>428</v>
      </c>
      <c r="H118" s="1" t="s">
        <v>83</v>
      </c>
      <c r="I118" t="b">
        <f>COUNTIF(Estadísticas!I:I,'Centraldecomunicacion.es'!H118)&gt;0</f>
        <v>0</v>
      </c>
    </row>
    <row r="119" spans="1:9">
      <c r="A119" s="1" t="s">
        <v>429</v>
      </c>
      <c r="B119" s="1" t="s">
        <v>10</v>
      </c>
      <c r="C119" s="1" t="s">
        <v>430</v>
      </c>
      <c r="D119" s="1" t="s">
        <v>408</v>
      </c>
      <c r="E119" s="1" t="s">
        <v>225</v>
      </c>
      <c r="F119" s="1" t="s">
        <v>23</v>
      </c>
      <c r="G119" s="1" t="s">
        <v>412</v>
      </c>
      <c r="H119" s="1" t="s">
        <v>15</v>
      </c>
      <c r="I119" t="b">
        <f>COUNTIF(Estadísticas!I:I,'Centraldecomunicacion.es'!H119)&gt;0</f>
        <v>0</v>
      </c>
    </row>
    <row r="120" spans="1:9">
      <c r="A120" s="1" t="s">
        <v>431</v>
      </c>
      <c r="B120" s="1" t="s">
        <v>10</v>
      </c>
      <c r="C120" s="1" t="s">
        <v>432</v>
      </c>
      <c r="D120" s="1" t="s">
        <v>433</v>
      </c>
      <c r="E120" s="1" t="s">
        <v>225</v>
      </c>
      <c r="F120" s="1" t="s">
        <v>23</v>
      </c>
      <c r="G120" s="1" t="s">
        <v>434</v>
      </c>
      <c r="H120" s="1" t="s">
        <v>15</v>
      </c>
      <c r="I120" t="b">
        <f>COUNTIF(Estadísticas!I:I,'Centraldecomunicacion.es'!H120)&gt;0</f>
        <v>0</v>
      </c>
    </row>
    <row r="121" spans="1:9">
      <c r="A121" s="1" t="s">
        <v>435</v>
      </c>
      <c r="B121" s="1" t="s">
        <v>10</v>
      </c>
      <c r="C121" s="1" t="s">
        <v>436</v>
      </c>
      <c r="D121" s="1" t="s">
        <v>427</v>
      </c>
      <c r="E121" s="1" t="s">
        <v>225</v>
      </c>
      <c r="F121" s="1" t="s">
        <v>437</v>
      </c>
      <c r="G121" s="1" t="s">
        <v>438</v>
      </c>
      <c r="H121" s="1" t="s">
        <v>439</v>
      </c>
      <c r="I121" t="b">
        <f>COUNTIF(Estadísticas!I:I,'Centraldecomunicacion.es'!H121)&gt;0</f>
        <v>1</v>
      </c>
    </row>
    <row r="122" spans="1:9">
      <c r="A122" s="1" t="s">
        <v>440</v>
      </c>
      <c r="B122" s="1" t="s">
        <v>10</v>
      </c>
      <c r="C122" s="1" t="s">
        <v>441</v>
      </c>
      <c r="D122" s="1" t="s">
        <v>442</v>
      </c>
      <c r="E122" s="1" t="s">
        <v>225</v>
      </c>
      <c r="F122" s="1" t="s">
        <v>23</v>
      </c>
      <c r="G122" s="1" t="s">
        <v>443</v>
      </c>
      <c r="H122" s="1" t="s">
        <v>15</v>
      </c>
      <c r="I122" t="b">
        <f>COUNTIF(Estadísticas!I:I,'Centraldecomunicacion.es'!H122)&gt;0</f>
        <v>0</v>
      </c>
    </row>
    <row r="123" spans="1:9">
      <c r="A123" s="1" t="s">
        <v>10</v>
      </c>
      <c r="B123" s="1" t="s">
        <v>10</v>
      </c>
      <c r="C123" s="1" t="s">
        <v>444</v>
      </c>
      <c r="D123" s="1" t="s">
        <v>427</v>
      </c>
      <c r="E123" s="1" t="s">
        <v>225</v>
      </c>
      <c r="F123" s="1" t="s">
        <v>23</v>
      </c>
      <c r="G123" s="1" t="s">
        <v>445</v>
      </c>
      <c r="H123" s="1" t="s">
        <v>15</v>
      </c>
      <c r="I123" t="b">
        <f>COUNTIF(Estadísticas!I:I,'Centraldecomunicacion.es'!H123)&gt;0</f>
        <v>0</v>
      </c>
    </row>
    <row r="124" spans="1:9">
      <c r="A124" s="1" t="s">
        <v>446</v>
      </c>
      <c r="B124" s="1" t="s">
        <v>10</v>
      </c>
      <c r="C124" s="1" t="s">
        <v>447</v>
      </c>
      <c r="D124" s="1" t="s">
        <v>448</v>
      </c>
      <c r="E124" s="1" t="s">
        <v>225</v>
      </c>
      <c r="F124" s="1" t="s">
        <v>449</v>
      </c>
      <c r="G124" s="1" t="s">
        <v>450</v>
      </c>
      <c r="H124" s="1" t="s">
        <v>451</v>
      </c>
      <c r="I124" t="b">
        <f>COUNTIF(Estadísticas!I:I,'Centraldecomunicacion.es'!H124)&gt;0</f>
        <v>0</v>
      </c>
    </row>
    <row r="125" spans="1:9">
      <c r="A125" s="1" t="s">
        <v>452</v>
      </c>
      <c r="B125" s="1" t="s">
        <v>10</v>
      </c>
      <c r="C125" s="1" t="s">
        <v>453</v>
      </c>
      <c r="D125" s="1" t="s">
        <v>427</v>
      </c>
      <c r="E125" s="1" t="s">
        <v>225</v>
      </c>
      <c r="F125" s="1" t="s">
        <v>23</v>
      </c>
      <c r="G125" s="1" t="s">
        <v>454</v>
      </c>
      <c r="H125" s="1" t="s">
        <v>15</v>
      </c>
      <c r="I125" t="b">
        <f>COUNTIF(Estadísticas!I:I,'Centraldecomunicacion.es'!H125)&gt;0</f>
        <v>0</v>
      </c>
    </row>
    <row r="126" spans="1:9">
      <c r="A126" s="1" t="s">
        <v>455</v>
      </c>
      <c r="B126" s="1" t="s">
        <v>10</v>
      </c>
      <c r="C126" s="1" t="s">
        <v>456</v>
      </c>
      <c r="D126" s="1" t="s">
        <v>457</v>
      </c>
      <c r="E126" s="1" t="s">
        <v>225</v>
      </c>
      <c r="F126" s="1" t="s">
        <v>23</v>
      </c>
      <c r="G126" s="1" t="s">
        <v>458</v>
      </c>
      <c r="H126" s="1" t="s">
        <v>15</v>
      </c>
      <c r="I126" t="b">
        <f>COUNTIF(Estadísticas!I:I,'Centraldecomunicacion.es'!H126)&gt;0</f>
        <v>0</v>
      </c>
    </row>
    <row r="127" spans="1:9">
      <c r="A127" s="1" t="s">
        <v>459</v>
      </c>
      <c r="B127" s="1" t="s">
        <v>10</v>
      </c>
      <c r="C127" s="1" t="s">
        <v>460</v>
      </c>
      <c r="D127" s="1" t="s">
        <v>408</v>
      </c>
      <c r="E127" s="1" t="s">
        <v>225</v>
      </c>
      <c r="F127" s="1" t="s">
        <v>23</v>
      </c>
      <c r="G127" s="1" t="s">
        <v>23</v>
      </c>
      <c r="H127" s="1" t="s">
        <v>15</v>
      </c>
      <c r="I127" t="b">
        <f>COUNTIF(Estadísticas!I:I,'Centraldecomunicacion.es'!H127)&gt;0</f>
        <v>0</v>
      </c>
    </row>
    <row r="128" spans="1:9">
      <c r="A128" s="1" t="s">
        <v>461</v>
      </c>
      <c r="B128" s="1" t="s">
        <v>10</v>
      </c>
      <c r="C128" s="1" t="s">
        <v>462</v>
      </c>
      <c r="D128" s="1" t="s">
        <v>427</v>
      </c>
      <c r="E128" s="1" t="s">
        <v>225</v>
      </c>
      <c r="F128" s="1" t="s">
        <v>23</v>
      </c>
      <c r="G128" s="1" t="s">
        <v>463</v>
      </c>
      <c r="H128" s="1" t="s">
        <v>15</v>
      </c>
      <c r="I128" t="b">
        <f>COUNTIF(Estadísticas!I:I,'Centraldecomunicacion.es'!H128)&gt;0</f>
        <v>0</v>
      </c>
    </row>
    <row r="129" spans="1:9">
      <c r="A129" s="1" t="s">
        <v>464</v>
      </c>
      <c r="B129" s="1" t="s">
        <v>10</v>
      </c>
      <c r="C129" s="1" t="s">
        <v>465</v>
      </c>
      <c r="D129" s="1" t="s">
        <v>466</v>
      </c>
      <c r="E129" s="1" t="s">
        <v>225</v>
      </c>
      <c r="F129" s="1" t="s">
        <v>23</v>
      </c>
      <c r="G129" s="1" t="s">
        <v>467</v>
      </c>
      <c r="H129" s="1" t="s">
        <v>15</v>
      </c>
      <c r="I129" t="b">
        <f>COUNTIF(Estadísticas!I:I,'Centraldecomunicacion.es'!H129)&gt;0</f>
        <v>0</v>
      </c>
    </row>
    <row r="130" spans="1:9">
      <c r="A130" s="1" t="s">
        <v>468</v>
      </c>
      <c r="B130" s="1" t="s">
        <v>10</v>
      </c>
      <c r="C130" s="1" t="s">
        <v>469</v>
      </c>
      <c r="D130" s="1" t="s">
        <v>415</v>
      </c>
      <c r="E130" s="1" t="s">
        <v>225</v>
      </c>
      <c r="F130" s="1" t="s">
        <v>23</v>
      </c>
      <c r="G130" s="1" t="s">
        <v>470</v>
      </c>
      <c r="H130" s="1" t="s">
        <v>15</v>
      </c>
      <c r="I130" t="b">
        <f>COUNTIF(Estadísticas!I:I,'Centraldecomunicacion.es'!H130)&gt;0</f>
        <v>0</v>
      </c>
    </row>
    <row r="131" spans="1:9">
      <c r="A131" s="1" t="s">
        <v>471</v>
      </c>
      <c r="B131" s="1" t="s">
        <v>10</v>
      </c>
      <c r="C131" s="1" t="s">
        <v>472</v>
      </c>
      <c r="D131" s="1" t="s">
        <v>473</v>
      </c>
      <c r="E131" s="1" t="s">
        <v>473</v>
      </c>
      <c r="F131" s="1" t="s">
        <v>23</v>
      </c>
      <c r="G131" s="1" t="s">
        <v>474</v>
      </c>
      <c r="H131" s="1" t="s">
        <v>15</v>
      </c>
      <c r="I131" t="b">
        <f>COUNTIF(Estadísticas!I:I,'Centraldecomunicacion.es'!H131)&gt;0</f>
        <v>0</v>
      </c>
    </row>
    <row r="132" spans="1:9">
      <c r="A132" s="1" t="s">
        <v>475</v>
      </c>
      <c r="B132" s="1" t="s">
        <v>10</v>
      </c>
      <c r="C132" s="1" t="s">
        <v>476</v>
      </c>
      <c r="D132" s="1" t="s">
        <v>219</v>
      </c>
      <c r="E132" s="1" t="s">
        <v>219</v>
      </c>
      <c r="F132" s="1" t="s">
        <v>23</v>
      </c>
      <c r="G132" s="1" t="s">
        <v>477</v>
      </c>
      <c r="H132" s="1" t="s">
        <v>15</v>
      </c>
      <c r="I132" t="b">
        <f>COUNTIF(Estadísticas!I:I,'Centraldecomunicacion.es'!H132)&gt;0</f>
        <v>0</v>
      </c>
    </row>
    <row r="133" spans="1:9">
      <c r="A133" s="1" t="s">
        <v>478</v>
      </c>
      <c r="B133" s="1" t="s">
        <v>10</v>
      </c>
      <c r="C133" s="1" t="s">
        <v>479</v>
      </c>
      <c r="D133" s="1" t="s">
        <v>473</v>
      </c>
      <c r="E133" s="1" t="s">
        <v>473</v>
      </c>
      <c r="F133" s="1" t="s">
        <v>23</v>
      </c>
      <c r="G133" s="1" t="s">
        <v>23</v>
      </c>
      <c r="H133" s="1" t="s">
        <v>15</v>
      </c>
      <c r="I133" t="b">
        <f>COUNTIF(Estadísticas!I:I,'Centraldecomunicacion.es'!H133)&gt;0</f>
        <v>0</v>
      </c>
    </row>
    <row r="134" spans="1:9">
      <c r="A134" s="1" t="s">
        <v>480</v>
      </c>
      <c r="B134" s="1" t="s">
        <v>10</v>
      </c>
      <c r="C134" s="1" t="s">
        <v>481</v>
      </c>
      <c r="D134" s="1" t="s">
        <v>473</v>
      </c>
      <c r="E134" s="1" t="s">
        <v>473</v>
      </c>
      <c r="F134" s="1" t="s">
        <v>482</v>
      </c>
      <c r="G134" s="1" t="s">
        <v>483</v>
      </c>
      <c r="H134" s="1" t="s">
        <v>484</v>
      </c>
      <c r="I134" t="b">
        <f>COUNTIF(Estadísticas!I:I,'Centraldecomunicacion.es'!H134)&gt;0</f>
        <v>0</v>
      </c>
    </row>
    <row r="135" spans="1:9">
      <c r="A135" s="1" t="s">
        <v>485</v>
      </c>
      <c r="B135" s="1" t="s">
        <v>10</v>
      </c>
      <c r="C135" s="1" t="s">
        <v>486</v>
      </c>
      <c r="D135" s="1" t="s">
        <v>219</v>
      </c>
      <c r="E135" s="1" t="s">
        <v>219</v>
      </c>
      <c r="F135" s="1" t="s">
        <v>23</v>
      </c>
      <c r="G135" s="1" t="s">
        <v>487</v>
      </c>
      <c r="H135" s="1" t="s">
        <v>15</v>
      </c>
      <c r="I135" t="b">
        <f>COUNTIF(Estadísticas!I:I,'Centraldecomunicacion.es'!H135)&gt;0</f>
        <v>0</v>
      </c>
    </row>
    <row r="136" spans="1:9">
      <c r="A136" s="1" t="s">
        <v>244</v>
      </c>
      <c r="B136" s="1" t="s">
        <v>10</v>
      </c>
      <c r="C136" s="1" t="s">
        <v>488</v>
      </c>
      <c r="D136" s="1" t="s">
        <v>214</v>
      </c>
      <c r="E136" s="1" t="s">
        <v>214</v>
      </c>
      <c r="F136" s="1" t="s">
        <v>23</v>
      </c>
      <c r="G136" s="1" t="s">
        <v>246</v>
      </c>
      <c r="H136" s="1" t="s">
        <v>15</v>
      </c>
      <c r="I136" t="b">
        <f>COUNTIF(Estadísticas!I:I,'Centraldecomunicacion.es'!H136)&gt;0</f>
        <v>0</v>
      </c>
    </row>
    <row r="137" spans="1:9">
      <c r="A137" s="1" t="s">
        <v>489</v>
      </c>
      <c r="B137" s="1" t="s">
        <v>10</v>
      </c>
      <c r="C137" s="1" t="s">
        <v>490</v>
      </c>
      <c r="D137" s="1" t="s">
        <v>491</v>
      </c>
      <c r="E137" s="1" t="s">
        <v>219</v>
      </c>
      <c r="F137" s="1" t="s">
        <v>492</v>
      </c>
      <c r="G137" s="1" t="s">
        <v>493</v>
      </c>
      <c r="H137" s="1" t="s">
        <v>494</v>
      </c>
      <c r="I137" t="b">
        <f>COUNTIF(Estadísticas!I:I,'Centraldecomunicacion.es'!H137)&gt;0</f>
        <v>0</v>
      </c>
    </row>
    <row r="138" spans="1:9">
      <c r="A138" s="1" t="s">
        <v>495</v>
      </c>
      <c r="B138" s="1" t="s">
        <v>10</v>
      </c>
      <c r="C138" s="1" t="s">
        <v>496</v>
      </c>
      <c r="D138" s="1" t="s">
        <v>214</v>
      </c>
      <c r="E138" s="1" t="s">
        <v>214</v>
      </c>
      <c r="F138" s="1" t="s">
        <v>497</v>
      </c>
      <c r="G138" s="1" t="s">
        <v>498</v>
      </c>
      <c r="H138" s="1" t="s">
        <v>499</v>
      </c>
      <c r="I138" t="b">
        <f>COUNTIF(Estadísticas!I:I,'Centraldecomunicacion.es'!H138)&gt;0</f>
        <v>0</v>
      </c>
    </row>
    <row r="139" spans="1:9">
      <c r="A139" s="1" t="s">
        <v>500</v>
      </c>
      <c r="B139" s="1" t="s">
        <v>10</v>
      </c>
      <c r="C139" s="1" t="s">
        <v>501</v>
      </c>
      <c r="D139" s="1" t="s">
        <v>214</v>
      </c>
      <c r="E139" s="1" t="s">
        <v>214</v>
      </c>
      <c r="F139" s="1" t="s">
        <v>502</v>
      </c>
      <c r="G139" s="1" t="s">
        <v>503</v>
      </c>
      <c r="H139" s="1" t="s">
        <v>15</v>
      </c>
      <c r="I139" t="b">
        <f>COUNTIF(Estadísticas!I:I,'Centraldecomunicacion.es'!H139)&gt;0</f>
        <v>0</v>
      </c>
    </row>
    <row r="140" spans="1:9">
      <c r="A140" s="1" t="s">
        <v>504</v>
      </c>
      <c r="B140" s="1" t="s">
        <v>10</v>
      </c>
      <c r="C140" s="1" t="s">
        <v>505</v>
      </c>
      <c r="D140" s="1" t="s">
        <v>214</v>
      </c>
      <c r="E140" s="1" t="s">
        <v>214</v>
      </c>
      <c r="F140" s="1" t="s">
        <v>23</v>
      </c>
      <c r="G140" s="1" t="s">
        <v>506</v>
      </c>
      <c r="H140" s="1" t="s">
        <v>15</v>
      </c>
      <c r="I140" t="b">
        <f>COUNTIF(Estadísticas!I:I,'Centraldecomunicacion.es'!H140)&gt;0</f>
        <v>0</v>
      </c>
    </row>
    <row r="141" spans="1:9">
      <c r="A141" s="1" t="s">
        <v>507</v>
      </c>
      <c r="B141" s="1" t="s">
        <v>10</v>
      </c>
      <c r="C141" s="1" t="s">
        <v>508</v>
      </c>
      <c r="D141" s="1" t="s">
        <v>214</v>
      </c>
      <c r="E141" s="1" t="s">
        <v>214</v>
      </c>
      <c r="F141" s="1" t="s">
        <v>509</v>
      </c>
      <c r="G141" s="1" t="s">
        <v>510</v>
      </c>
      <c r="H141" s="1" t="s">
        <v>511</v>
      </c>
      <c r="I141" t="b">
        <f>COUNTIF(Estadísticas!I:I,'Centraldecomunicacion.es'!H141)&gt;0</f>
        <v>0</v>
      </c>
    </row>
    <row r="142" spans="1:9">
      <c r="A142" s="1" t="s">
        <v>512</v>
      </c>
      <c r="B142" s="1" t="s">
        <v>10</v>
      </c>
      <c r="C142" s="1" t="s">
        <v>513</v>
      </c>
      <c r="D142" s="1" t="s">
        <v>214</v>
      </c>
      <c r="E142" s="1" t="s">
        <v>214</v>
      </c>
      <c r="F142" s="1" t="s">
        <v>23</v>
      </c>
      <c r="G142" s="1" t="s">
        <v>514</v>
      </c>
      <c r="H142" s="1" t="s">
        <v>15</v>
      </c>
      <c r="I142" t="b">
        <f>COUNTIF(Estadísticas!I:I,'Centraldecomunicacion.es'!H142)&gt;0</f>
        <v>0</v>
      </c>
    </row>
    <row r="143" spans="1:9">
      <c r="A143" s="1" t="s">
        <v>515</v>
      </c>
      <c r="B143" s="1" t="s">
        <v>10</v>
      </c>
      <c r="C143" s="1" t="s">
        <v>516</v>
      </c>
      <c r="D143" s="1" t="s">
        <v>214</v>
      </c>
      <c r="E143" s="1" t="s">
        <v>214</v>
      </c>
      <c r="F143" s="1" t="s">
        <v>23</v>
      </c>
      <c r="G143" s="1" t="s">
        <v>517</v>
      </c>
      <c r="H143" s="1" t="s">
        <v>15</v>
      </c>
      <c r="I143" t="b">
        <f>COUNTIF(Estadísticas!I:I,'Centraldecomunicacion.es'!H143)&gt;0</f>
        <v>0</v>
      </c>
    </row>
    <row r="144" spans="1:9">
      <c r="A144" s="1" t="s">
        <v>518</v>
      </c>
      <c r="B144" s="1" t="s">
        <v>10</v>
      </c>
      <c r="C144" s="1" t="s">
        <v>519</v>
      </c>
      <c r="D144" s="1" t="s">
        <v>214</v>
      </c>
      <c r="E144" s="1" t="s">
        <v>214</v>
      </c>
      <c r="F144" s="1" t="s">
        <v>23</v>
      </c>
      <c r="G144" s="1" t="s">
        <v>520</v>
      </c>
      <c r="H144" s="1" t="s">
        <v>15</v>
      </c>
      <c r="I144" t="b">
        <f>COUNTIF(Estadísticas!I:I,'Centraldecomunicacion.es'!H144)&gt;0</f>
        <v>0</v>
      </c>
    </row>
    <row r="145" spans="1:9">
      <c r="A145" s="1" t="s">
        <v>521</v>
      </c>
      <c r="B145" s="1" t="s">
        <v>10</v>
      </c>
      <c r="C145" s="1" t="s">
        <v>522</v>
      </c>
      <c r="D145" s="1" t="s">
        <v>214</v>
      </c>
      <c r="E145" s="1" t="s">
        <v>214</v>
      </c>
      <c r="F145" s="1" t="s">
        <v>23</v>
      </c>
      <c r="G145" s="1" t="s">
        <v>523</v>
      </c>
      <c r="H145" s="1" t="s">
        <v>15</v>
      </c>
      <c r="I145" t="b">
        <f>COUNTIF(Estadísticas!I:I,'Centraldecomunicacion.es'!H145)&gt;0</f>
        <v>0</v>
      </c>
    </row>
    <row r="146" spans="1:9">
      <c r="A146" s="1" t="s">
        <v>524</v>
      </c>
      <c r="B146" s="1" t="s">
        <v>10</v>
      </c>
      <c r="C146" s="1" t="s">
        <v>525</v>
      </c>
      <c r="D146" s="1" t="s">
        <v>214</v>
      </c>
      <c r="E146" s="1" t="s">
        <v>214</v>
      </c>
      <c r="F146" s="1" t="s">
        <v>526</v>
      </c>
      <c r="G146" s="1" t="s">
        <v>527</v>
      </c>
      <c r="H146" s="1" t="s">
        <v>528</v>
      </c>
      <c r="I146" t="b">
        <f>COUNTIF(Estadísticas!I:I,'Centraldecomunicacion.es'!H146)&gt;0</f>
        <v>0</v>
      </c>
    </row>
    <row r="147" spans="1:9">
      <c r="A147" s="1" t="s">
        <v>529</v>
      </c>
      <c r="B147" s="1" t="s">
        <v>10</v>
      </c>
      <c r="C147" s="1" t="s">
        <v>530</v>
      </c>
      <c r="D147" s="1" t="s">
        <v>214</v>
      </c>
      <c r="E147" s="1" t="s">
        <v>214</v>
      </c>
      <c r="F147" s="1" t="s">
        <v>23</v>
      </c>
      <c r="G147" s="1" t="s">
        <v>23</v>
      </c>
      <c r="H147" s="1" t="s">
        <v>15</v>
      </c>
      <c r="I147" t="b">
        <f>COUNTIF(Estadísticas!I:I,'Centraldecomunicacion.es'!H147)&gt;0</f>
        <v>0</v>
      </c>
    </row>
    <row r="148" spans="1:9">
      <c r="A148" s="1" t="s">
        <v>531</v>
      </c>
      <c r="B148" s="1" t="s">
        <v>10</v>
      </c>
      <c r="C148" s="1" t="s">
        <v>532</v>
      </c>
      <c r="D148" s="1" t="s">
        <v>214</v>
      </c>
      <c r="E148" s="1" t="s">
        <v>214</v>
      </c>
      <c r="F148" s="1" t="s">
        <v>23</v>
      </c>
      <c r="G148" s="1" t="s">
        <v>23</v>
      </c>
      <c r="H148" s="1" t="s">
        <v>15</v>
      </c>
      <c r="I148" t="b">
        <f>COUNTIF(Estadísticas!I:I,'Centraldecomunicacion.es'!H148)&gt;0</f>
        <v>0</v>
      </c>
    </row>
    <row r="149" spans="1:9">
      <c r="A149" s="1" t="s">
        <v>533</v>
      </c>
      <c r="B149" s="1" t="s">
        <v>10</v>
      </c>
      <c r="C149" s="1" t="s">
        <v>534</v>
      </c>
      <c r="D149" s="1" t="s">
        <v>214</v>
      </c>
      <c r="E149" s="1" t="s">
        <v>214</v>
      </c>
      <c r="F149" s="1" t="s">
        <v>23</v>
      </c>
      <c r="G149" s="1" t="s">
        <v>535</v>
      </c>
      <c r="H149" s="1" t="s">
        <v>15</v>
      </c>
      <c r="I149" t="b">
        <f>COUNTIF(Estadísticas!I:I,'Centraldecomunicacion.es'!H149)&gt;0</f>
        <v>0</v>
      </c>
    </row>
    <row r="150" spans="1:9">
      <c r="A150" s="1" t="s">
        <v>536</v>
      </c>
      <c r="B150" s="1" t="s">
        <v>10</v>
      </c>
      <c r="C150" s="1" t="s">
        <v>537</v>
      </c>
      <c r="D150" s="1" t="s">
        <v>214</v>
      </c>
      <c r="E150" s="1" t="s">
        <v>214</v>
      </c>
      <c r="F150" s="1" t="s">
        <v>23</v>
      </c>
      <c r="G150" s="1" t="s">
        <v>23</v>
      </c>
      <c r="H150" s="1" t="s">
        <v>15</v>
      </c>
      <c r="I150" t="b">
        <f>COUNTIF(Estadísticas!I:I,'Centraldecomunicacion.es'!H150)&gt;0</f>
        <v>0</v>
      </c>
    </row>
    <row r="151" spans="1:9">
      <c r="A151" s="1" t="s">
        <v>538</v>
      </c>
      <c r="B151" s="1" t="s">
        <v>10</v>
      </c>
      <c r="C151" s="1" t="s">
        <v>539</v>
      </c>
      <c r="D151" s="1" t="s">
        <v>214</v>
      </c>
      <c r="E151" s="1" t="s">
        <v>214</v>
      </c>
      <c r="F151" s="1" t="s">
        <v>23</v>
      </c>
      <c r="G151" s="1" t="s">
        <v>540</v>
      </c>
      <c r="H151" s="1" t="s">
        <v>15</v>
      </c>
      <c r="I151" t="b">
        <f>COUNTIF(Estadísticas!I:I,'Centraldecomunicacion.es'!H151)&gt;0</f>
        <v>0</v>
      </c>
    </row>
    <row r="152" spans="1:9">
      <c r="A152" s="1" t="s">
        <v>541</v>
      </c>
      <c r="B152" s="1" t="s">
        <v>10</v>
      </c>
      <c r="C152" s="1" t="s">
        <v>542</v>
      </c>
      <c r="D152" s="1" t="s">
        <v>214</v>
      </c>
      <c r="E152" s="1" t="s">
        <v>214</v>
      </c>
      <c r="F152" s="1" t="s">
        <v>23</v>
      </c>
      <c r="G152" s="1" t="s">
        <v>23</v>
      </c>
      <c r="H152" s="1" t="s">
        <v>15</v>
      </c>
      <c r="I152" t="b">
        <f>COUNTIF(Estadísticas!I:I,'Centraldecomunicacion.es'!H152)&gt;0</f>
        <v>0</v>
      </c>
    </row>
    <row r="153" spans="1:9">
      <c r="A153" s="1" t="s">
        <v>543</v>
      </c>
      <c r="B153" s="1" t="s">
        <v>10</v>
      </c>
      <c r="C153" s="1" t="s">
        <v>544</v>
      </c>
      <c r="D153" s="1" t="s">
        <v>214</v>
      </c>
      <c r="E153" s="1" t="s">
        <v>214</v>
      </c>
      <c r="F153" s="1" t="s">
        <v>23</v>
      </c>
      <c r="G153" s="1" t="s">
        <v>23</v>
      </c>
      <c r="H153" s="1" t="s">
        <v>15</v>
      </c>
      <c r="I153" t="b">
        <f>COUNTIF(Estadísticas!I:I,'Centraldecomunicacion.es'!H153)&gt;0</f>
        <v>0</v>
      </c>
    </row>
    <row r="154" spans="1:9">
      <c r="A154" s="1" t="s">
        <v>545</v>
      </c>
      <c r="B154" s="1" t="s">
        <v>10</v>
      </c>
      <c r="C154" s="1" t="s">
        <v>546</v>
      </c>
      <c r="D154" s="1" t="s">
        <v>214</v>
      </c>
      <c r="E154" s="1" t="s">
        <v>214</v>
      </c>
      <c r="F154" s="1" t="s">
        <v>547</v>
      </c>
      <c r="G154" s="1" t="s">
        <v>548</v>
      </c>
      <c r="H154" s="1" t="s">
        <v>549</v>
      </c>
      <c r="I154" t="b">
        <f>COUNTIF(Estadísticas!I:I,'Centraldecomunicacion.es'!H154)&gt;0</f>
        <v>1</v>
      </c>
    </row>
    <row r="155" spans="1:9">
      <c r="A155" s="1" t="s">
        <v>550</v>
      </c>
      <c r="B155" s="1" t="s">
        <v>10</v>
      </c>
      <c r="C155" s="1" t="s">
        <v>551</v>
      </c>
      <c r="D155" s="1" t="s">
        <v>214</v>
      </c>
      <c r="E155" s="1" t="s">
        <v>214</v>
      </c>
      <c r="F155" s="1" t="s">
        <v>23</v>
      </c>
      <c r="G155" s="1" t="s">
        <v>552</v>
      </c>
      <c r="H155" s="1" t="s">
        <v>15</v>
      </c>
      <c r="I155" t="b">
        <f>COUNTIF(Estadísticas!I:I,'Centraldecomunicacion.es'!H155)&gt;0</f>
        <v>0</v>
      </c>
    </row>
    <row r="156" spans="1:9">
      <c r="A156" s="1" t="s">
        <v>553</v>
      </c>
      <c r="B156" s="1" t="s">
        <v>10</v>
      </c>
      <c r="C156" s="1" t="s">
        <v>554</v>
      </c>
      <c r="D156" s="1" t="s">
        <v>214</v>
      </c>
      <c r="E156" s="1" t="s">
        <v>214</v>
      </c>
      <c r="F156" s="1" t="s">
        <v>23</v>
      </c>
      <c r="G156" s="1" t="s">
        <v>555</v>
      </c>
      <c r="H156" s="1" t="s">
        <v>15</v>
      </c>
      <c r="I156" t="b">
        <f>COUNTIF(Estadísticas!I:I,'Centraldecomunicacion.es'!H156)&gt;0</f>
        <v>0</v>
      </c>
    </row>
    <row r="157" spans="1:9">
      <c r="A157" s="1" t="s">
        <v>556</v>
      </c>
      <c r="B157" s="1" t="s">
        <v>10</v>
      </c>
      <c r="C157" s="1" t="s">
        <v>557</v>
      </c>
      <c r="D157" s="1" t="s">
        <v>214</v>
      </c>
      <c r="E157" s="1" t="s">
        <v>214</v>
      </c>
      <c r="F157" s="1" t="s">
        <v>558</v>
      </c>
      <c r="G157" s="1" t="s">
        <v>559</v>
      </c>
      <c r="H157" s="1" t="s">
        <v>560</v>
      </c>
      <c r="I157" t="b">
        <f>COUNTIF(Estadísticas!I:I,'Centraldecomunicacion.es'!H157)&gt;0</f>
        <v>0</v>
      </c>
    </row>
    <row r="158" spans="1:9">
      <c r="A158" s="1" t="s">
        <v>561</v>
      </c>
      <c r="B158" s="1" t="s">
        <v>10</v>
      </c>
      <c r="C158" s="1" t="s">
        <v>562</v>
      </c>
      <c r="D158" s="1" t="s">
        <v>214</v>
      </c>
      <c r="E158" s="1" t="s">
        <v>214</v>
      </c>
      <c r="F158" s="1" t="s">
        <v>23</v>
      </c>
      <c r="G158" s="1" t="s">
        <v>563</v>
      </c>
      <c r="H158" s="1" t="s">
        <v>15</v>
      </c>
      <c r="I158" t="b">
        <f>COUNTIF(Estadísticas!I:I,'Centraldecomunicacion.es'!H158)&gt;0</f>
        <v>0</v>
      </c>
    </row>
    <row r="159" spans="1:9">
      <c r="A159" s="1" t="s">
        <v>564</v>
      </c>
      <c r="B159" s="1" t="s">
        <v>10</v>
      </c>
      <c r="C159" s="1" t="s">
        <v>565</v>
      </c>
      <c r="D159" s="1" t="s">
        <v>566</v>
      </c>
      <c r="E159" s="1" t="s">
        <v>214</v>
      </c>
      <c r="F159" s="1" t="s">
        <v>23</v>
      </c>
      <c r="G159" s="1" t="s">
        <v>567</v>
      </c>
      <c r="H159" s="1" t="s">
        <v>15</v>
      </c>
      <c r="I159" t="b">
        <f>COUNTIF(Estadísticas!I:I,'Centraldecomunicacion.es'!H159)&gt;0</f>
        <v>0</v>
      </c>
    </row>
    <row r="160" spans="1:9">
      <c r="A160" s="1" t="s">
        <v>568</v>
      </c>
      <c r="B160" s="1" t="s">
        <v>10</v>
      </c>
      <c r="C160" s="1" t="s">
        <v>569</v>
      </c>
      <c r="D160" s="1" t="s">
        <v>570</v>
      </c>
      <c r="E160" s="1" t="s">
        <v>214</v>
      </c>
      <c r="F160" s="1" t="s">
        <v>23</v>
      </c>
      <c r="G160" s="1" t="s">
        <v>571</v>
      </c>
      <c r="H160" s="1" t="s">
        <v>15</v>
      </c>
      <c r="I160" t="b">
        <f>COUNTIF(Estadísticas!I:I,'Centraldecomunicacion.es'!H160)&gt;0</f>
        <v>0</v>
      </c>
    </row>
    <row r="161" spans="1:9">
      <c r="A161" s="1" t="s">
        <v>572</v>
      </c>
      <c r="B161" s="1" t="s">
        <v>10</v>
      </c>
      <c r="C161" s="1" t="s">
        <v>573</v>
      </c>
      <c r="D161" s="1" t="s">
        <v>574</v>
      </c>
      <c r="E161" s="1" t="s">
        <v>214</v>
      </c>
      <c r="F161" s="1" t="s">
        <v>575</v>
      </c>
      <c r="G161" s="1" t="s">
        <v>576</v>
      </c>
      <c r="H161" s="1" t="s">
        <v>577</v>
      </c>
      <c r="I161" t="b">
        <f>COUNTIF(Estadísticas!I:I,'Centraldecomunicacion.es'!H161)&gt;0</f>
        <v>0</v>
      </c>
    </row>
    <row r="162" spans="1:9">
      <c r="A162" s="1" t="s">
        <v>578</v>
      </c>
      <c r="B162" s="1" t="s">
        <v>10</v>
      </c>
      <c r="C162" s="1" t="s">
        <v>579</v>
      </c>
      <c r="D162" s="1" t="s">
        <v>580</v>
      </c>
      <c r="E162" s="1" t="s">
        <v>214</v>
      </c>
      <c r="F162" s="1" t="s">
        <v>581</v>
      </c>
      <c r="G162" s="1" t="s">
        <v>582</v>
      </c>
      <c r="H162" s="1" t="s">
        <v>583</v>
      </c>
      <c r="I162" t="b">
        <f>COUNTIF(Estadísticas!I:I,'Centraldecomunicacion.es'!H162)&gt;0</f>
        <v>1</v>
      </c>
    </row>
    <row r="163" spans="1:9">
      <c r="A163" s="1" t="s">
        <v>584</v>
      </c>
      <c r="B163" s="1" t="s">
        <v>10</v>
      </c>
      <c r="C163" s="1" t="s">
        <v>585</v>
      </c>
      <c r="D163" s="1" t="s">
        <v>586</v>
      </c>
      <c r="E163" s="1" t="s">
        <v>214</v>
      </c>
      <c r="F163" s="1" t="s">
        <v>587</v>
      </c>
      <c r="G163" s="1" t="s">
        <v>588</v>
      </c>
      <c r="H163" s="1" t="s">
        <v>589</v>
      </c>
      <c r="I163" t="b">
        <f>COUNTIF(Estadísticas!I:I,'Centraldecomunicacion.es'!H163)&gt;0</f>
        <v>1</v>
      </c>
    </row>
    <row r="164" spans="1:9">
      <c r="A164" s="1" t="s">
        <v>590</v>
      </c>
      <c r="B164" s="1" t="s">
        <v>10</v>
      </c>
      <c r="C164" s="1" t="s">
        <v>591</v>
      </c>
      <c r="D164" s="1" t="s">
        <v>592</v>
      </c>
      <c r="E164" s="1" t="s">
        <v>214</v>
      </c>
      <c r="F164" s="1" t="s">
        <v>593</v>
      </c>
      <c r="G164" s="1" t="s">
        <v>594</v>
      </c>
      <c r="H164" s="1" t="s">
        <v>595</v>
      </c>
      <c r="I164" t="b">
        <f>COUNTIF(Estadísticas!I:I,'Centraldecomunicacion.es'!H164)&gt;0</f>
        <v>0</v>
      </c>
    </row>
    <row r="165" spans="1:9">
      <c r="A165" s="1" t="s">
        <v>596</v>
      </c>
      <c r="B165" s="1" t="s">
        <v>10</v>
      </c>
      <c r="C165" s="1" t="s">
        <v>597</v>
      </c>
      <c r="D165" s="1" t="s">
        <v>592</v>
      </c>
      <c r="E165" s="1" t="s">
        <v>214</v>
      </c>
      <c r="F165" s="1" t="s">
        <v>598</v>
      </c>
      <c r="G165" s="1" t="s">
        <v>599</v>
      </c>
      <c r="H165" s="1" t="s">
        <v>15</v>
      </c>
      <c r="I165" t="b">
        <f>COUNTIF(Estadísticas!I:I,'Centraldecomunicacion.es'!H165)&gt;0</f>
        <v>0</v>
      </c>
    </row>
    <row r="166" spans="1:9">
      <c r="A166" s="1" t="s">
        <v>600</v>
      </c>
      <c r="B166" s="1" t="s">
        <v>10</v>
      </c>
      <c r="C166" s="1" t="s">
        <v>601</v>
      </c>
      <c r="D166" s="1" t="s">
        <v>592</v>
      </c>
      <c r="E166" s="1" t="s">
        <v>214</v>
      </c>
      <c r="F166" s="1" t="s">
        <v>23</v>
      </c>
      <c r="G166" s="1" t="s">
        <v>602</v>
      </c>
      <c r="H166" s="1" t="s">
        <v>15</v>
      </c>
      <c r="I166" t="b">
        <f>COUNTIF(Estadísticas!I:I,'Centraldecomunicacion.es'!H166)&gt;0</f>
        <v>0</v>
      </c>
    </row>
    <row r="167" spans="1:9">
      <c r="A167" s="1" t="s">
        <v>603</v>
      </c>
      <c r="B167" s="1" t="s">
        <v>10</v>
      </c>
      <c r="C167" s="1" t="s">
        <v>604</v>
      </c>
      <c r="D167" s="1" t="s">
        <v>213</v>
      </c>
      <c r="E167" s="1" t="s">
        <v>214</v>
      </c>
      <c r="F167" s="1" t="s">
        <v>605</v>
      </c>
      <c r="G167" s="1" t="s">
        <v>606</v>
      </c>
      <c r="H167" s="1" t="s">
        <v>607</v>
      </c>
      <c r="I167" t="b">
        <f>COUNTIF(Estadísticas!I:I,'Centraldecomunicacion.es'!H167)&gt;0</f>
        <v>0</v>
      </c>
    </row>
    <row r="168" spans="1:9">
      <c r="A168" s="1" t="s">
        <v>608</v>
      </c>
      <c r="B168" s="1" t="s">
        <v>10</v>
      </c>
      <c r="C168" s="1" t="s">
        <v>609</v>
      </c>
      <c r="D168" s="1" t="s">
        <v>592</v>
      </c>
      <c r="E168" s="1" t="s">
        <v>214</v>
      </c>
      <c r="F168" s="1" t="s">
        <v>23</v>
      </c>
      <c r="G168" s="1" t="s">
        <v>23</v>
      </c>
      <c r="H168" s="1" t="s">
        <v>15</v>
      </c>
      <c r="I168" t="b">
        <f>COUNTIF(Estadísticas!I:I,'Centraldecomunicacion.es'!H168)&gt;0</f>
        <v>0</v>
      </c>
    </row>
    <row r="169" spans="1:9">
      <c r="A169" s="1" t="s">
        <v>610</v>
      </c>
      <c r="B169" s="1" t="s">
        <v>10</v>
      </c>
      <c r="C169" s="1" t="s">
        <v>611</v>
      </c>
      <c r="D169" s="1" t="s">
        <v>612</v>
      </c>
      <c r="E169" s="1" t="s">
        <v>214</v>
      </c>
      <c r="F169" s="1" t="s">
        <v>23</v>
      </c>
      <c r="G169" s="1" t="s">
        <v>613</v>
      </c>
      <c r="H169" s="1" t="s">
        <v>15</v>
      </c>
      <c r="I169" t="b">
        <f>COUNTIF(Estadísticas!I:I,'Centraldecomunicacion.es'!H169)&gt;0</f>
        <v>0</v>
      </c>
    </row>
    <row r="170" spans="1:9">
      <c r="A170" s="1" t="s">
        <v>614</v>
      </c>
      <c r="B170" s="1" t="s">
        <v>10</v>
      </c>
      <c r="C170" s="1" t="s">
        <v>615</v>
      </c>
      <c r="D170" s="1" t="s">
        <v>616</v>
      </c>
      <c r="E170" s="1" t="s">
        <v>214</v>
      </c>
      <c r="F170" s="1" t="s">
        <v>23</v>
      </c>
      <c r="G170" s="1" t="s">
        <v>617</v>
      </c>
      <c r="H170" s="1" t="s">
        <v>15</v>
      </c>
      <c r="I170" t="b">
        <f>COUNTIF(Estadísticas!I:I,'Centraldecomunicacion.es'!H170)&gt;0</f>
        <v>0</v>
      </c>
    </row>
    <row r="171" spans="1:9">
      <c r="A171" s="1" t="s">
        <v>618</v>
      </c>
      <c r="B171" s="1" t="s">
        <v>10</v>
      </c>
      <c r="C171" s="1" t="s">
        <v>619</v>
      </c>
      <c r="D171" s="1" t="s">
        <v>620</v>
      </c>
      <c r="E171" s="1" t="s">
        <v>214</v>
      </c>
      <c r="F171" s="1" t="s">
        <v>593</v>
      </c>
      <c r="G171" s="1" t="s">
        <v>621</v>
      </c>
      <c r="H171" s="1" t="s">
        <v>595</v>
      </c>
      <c r="I171" t="b">
        <f>COUNTIF(Estadísticas!I:I,'Centraldecomunicacion.es'!H171)&gt;0</f>
        <v>0</v>
      </c>
    </row>
    <row r="172" spans="1:9">
      <c r="A172" s="1" t="s">
        <v>622</v>
      </c>
      <c r="B172" s="1" t="s">
        <v>10</v>
      </c>
      <c r="C172" s="1" t="s">
        <v>623</v>
      </c>
      <c r="D172" s="1" t="s">
        <v>620</v>
      </c>
      <c r="E172" s="1" t="s">
        <v>214</v>
      </c>
      <c r="F172" s="1" t="s">
        <v>23</v>
      </c>
      <c r="G172" s="1" t="s">
        <v>624</v>
      </c>
      <c r="H172" s="1" t="s">
        <v>15</v>
      </c>
      <c r="I172" t="b">
        <f>COUNTIF(Estadísticas!I:I,'Centraldecomunicacion.es'!H172)&gt;0</f>
        <v>0</v>
      </c>
    </row>
    <row r="173" spans="1:9">
      <c r="A173" s="1" t="s">
        <v>625</v>
      </c>
      <c r="B173" s="1" t="s">
        <v>10</v>
      </c>
      <c r="C173" s="1" t="s">
        <v>626</v>
      </c>
      <c r="D173" s="1" t="s">
        <v>612</v>
      </c>
      <c r="E173" s="1" t="s">
        <v>214</v>
      </c>
      <c r="F173" s="1" t="s">
        <v>23</v>
      </c>
      <c r="G173" s="1" t="s">
        <v>627</v>
      </c>
      <c r="H173" s="1" t="s">
        <v>15</v>
      </c>
      <c r="I173" t="b">
        <f>COUNTIF(Estadísticas!I:I,'Centraldecomunicacion.es'!H173)&gt;0</f>
        <v>0</v>
      </c>
    </row>
    <row r="174" spans="1:9">
      <c r="A174" s="1" t="s">
        <v>628</v>
      </c>
      <c r="B174" s="1" t="s">
        <v>10</v>
      </c>
      <c r="C174" s="1" t="s">
        <v>629</v>
      </c>
      <c r="D174" s="1" t="s">
        <v>630</v>
      </c>
      <c r="E174" s="1" t="s">
        <v>214</v>
      </c>
      <c r="F174" s="1" t="s">
        <v>23</v>
      </c>
      <c r="G174" s="1" t="s">
        <v>631</v>
      </c>
      <c r="H174" s="1" t="s">
        <v>15</v>
      </c>
      <c r="I174" t="b">
        <f>COUNTIF(Estadísticas!I:I,'Centraldecomunicacion.es'!H174)&gt;0</f>
        <v>0</v>
      </c>
    </row>
    <row r="175" spans="1:9">
      <c r="A175" s="1" t="s">
        <v>632</v>
      </c>
      <c r="B175" s="1" t="s">
        <v>10</v>
      </c>
      <c r="C175" s="1" t="s">
        <v>633</v>
      </c>
      <c r="D175" s="1" t="s">
        <v>634</v>
      </c>
      <c r="E175" s="1" t="s">
        <v>214</v>
      </c>
      <c r="F175" s="1" t="s">
        <v>635</v>
      </c>
      <c r="G175" s="1" t="s">
        <v>636</v>
      </c>
      <c r="H175" s="1" t="s">
        <v>637</v>
      </c>
      <c r="I175" t="b">
        <f>COUNTIF(Estadísticas!I:I,'Centraldecomunicacion.es'!H175)&gt;0</f>
        <v>0</v>
      </c>
    </row>
    <row r="176" spans="1:9">
      <c r="A176" s="1" t="s">
        <v>638</v>
      </c>
      <c r="B176" s="1" t="s">
        <v>10</v>
      </c>
      <c r="C176" s="1" t="s">
        <v>639</v>
      </c>
      <c r="D176" s="1" t="s">
        <v>630</v>
      </c>
      <c r="E176" s="1" t="s">
        <v>214</v>
      </c>
      <c r="F176" s="1" t="s">
        <v>23</v>
      </c>
      <c r="G176" s="1" t="s">
        <v>640</v>
      </c>
      <c r="H176" s="1" t="s">
        <v>15</v>
      </c>
      <c r="I176" t="b">
        <f>COUNTIF(Estadísticas!I:I,'Centraldecomunicacion.es'!H176)&gt;0</f>
        <v>0</v>
      </c>
    </row>
    <row r="177" spans="1:9">
      <c r="A177" s="1" t="s">
        <v>641</v>
      </c>
      <c r="B177" s="1" t="s">
        <v>10</v>
      </c>
      <c r="C177" s="1" t="s">
        <v>642</v>
      </c>
      <c r="D177" s="1" t="s">
        <v>612</v>
      </c>
      <c r="E177" s="1" t="s">
        <v>214</v>
      </c>
      <c r="F177" s="1" t="s">
        <v>23</v>
      </c>
      <c r="G177" s="1" t="s">
        <v>643</v>
      </c>
      <c r="H177" s="1" t="s">
        <v>15</v>
      </c>
      <c r="I177" t="b">
        <f>COUNTIF(Estadísticas!I:I,'Centraldecomunicacion.es'!H177)&gt;0</f>
        <v>0</v>
      </c>
    </row>
    <row r="178" spans="1:9">
      <c r="A178" s="1" t="s">
        <v>644</v>
      </c>
      <c r="B178" s="1" t="s">
        <v>10</v>
      </c>
      <c r="C178" s="1" t="s">
        <v>645</v>
      </c>
      <c r="D178" s="1" t="s">
        <v>630</v>
      </c>
      <c r="E178" s="1" t="s">
        <v>214</v>
      </c>
      <c r="F178" s="1" t="s">
        <v>81</v>
      </c>
      <c r="G178" s="1" t="s">
        <v>646</v>
      </c>
      <c r="H178" s="1" t="s">
        <v>83</v>
      </c>
      <c r="I178" t="b">
        <f>COUNTIF(Estadísticas!I:I,'Centraldecomunicacion.es'!H178)&gt;0</f>
        <v>0</v>
      </c>
    </row>
    <row r="179" spans="1:9">
      <c r="A179" s="1" t="s">
        <v>647</v>
      </c>
      <c r="B179" s="1" t="s">
        <v>10</v>
      </c>
      <c r="C179" s="1" t="s">
        <v>648</v>
      </c>
      <c r="D179" s="1" t="s">
        <v>649</v>
      </c>
      <c r="E179" s="1" t="s">
        <v>214</v>
      </c>
      <c r="F179" s="1" t="s">
        <v>23</v>
      </c>
      <c r="G179" s="1" t="s">
        <v>650</v>
      </c>
      <c r="H179" s="1" t="s">
        <v>15</v>
      </c>
      <c r="I179" t="b">
        <f>COUNTIF(Estadísticas!I:I,'Centraldecomunicacion.es'!H179)&gt;0</f>
        <v>0</v>
      </c>
    </row>
    <row r="180" spans="1:9">
      <c r="A180" s="1" t="s">
        <v>651</v>
      </c>
      <c r="B180" s="1" t="s">
        <v>10</v>
      </c>
      <c r="C180" s="1" t="s">
        <v>652</v>
      </c>
      <c r="D180" s="1" t="s">
        <v>213</v>
      </c>
      <c r="E180" s="1" t="s">
        <v>214</v>
      </c>
      <c r="F180" s="1" t="s">
        <v>23</v>
      </c>
      <c r="G180" s="1" t="s">
        <v>653</v>
      </c>
      <c r="H180" s="1" t="s">
        <v>15</v>
      </c>
      <c r="I180" t="b">
        <f>COUNTIF(Estadísticas!I:I,'Centraldecomunicacion.es'!H180)&gt;0</f>
        <v>0</v>
      </c>
    </row>
    <row r="181" spans="1:9">
      <c r="A181" s="1" t="s">
        <v>654</v>
      </c>
      <c r="B181" s="1" t="s">
        <v>10</v>
      </c>
      <c r="C181" s="1" t="s">
        <v>655</v>
      </c>
      <c r="D181" s="1" t="s">
        <v>612</v>
      </c>
      <c r="E181" s="1" t="s">
        <v>214</v>
      </c>
      <c r="F181" s="1" t="s">
        <v>23</v>
      </c>
      <c r="G181" s="1" t="s">
        <v>656</v>
      </c>
      <c r="H181" s="1" t="s">
        <v>15</v>
      </c>
      <c r="I181" t="b">
        <f>COUNTIF(Estadísticas!I:I,'Centraldecomunicacion.es'!H181)&gt;0</f>
        <v>0</v>
      </c>
    </row>
    <row r="182" spans="1:9">
      <c r="A182" s="1" t="s">
        <v>657</v>
      </c>
      <c r="B182" s="1" t="s">
        <v>10</v>
      </c>
      <c r="C182" s="1" t="s">
        <v>658</v>
      </c>
      <c r="D182" s="1" t="s">
        <v>630</v>
      </c>
      <c r="E182" s="1" t="s">
        <v>214</v>
      </c>
      <c r="F182" s="1" t="s">
        <v>659</v>
      </c>
      <c r="G182" s="1" t="s">
        <v>660</v>
      </c>
      <c r="H182" s="1" t="s">
        <v>661</v>
      </c>
      <c r="I182" t="b">
        <f>COUNTIF(Estadísticas!I:I,'Centraldecomunicacion.es'!H182)&gt;0</f>
        <v>1</v>
      </c>
    </row>
    <row r="183" spans="1:9">
      <c r="A183" s="1" t="s">
        <v>662</v>
      </c>
      <c r="B183" s="1" t="s">
        <v>10</v>
      </c>
      <c r="C183" s="1" t="s">
        <v>663</v>
      </c>
      <c r="D183" s="1" t="s">
        <v>664</v>
      </c>
      <c r="E183" s="1" t="s">
        <v>214</v>
      </c>
      <c r="F183" s="1" t="s">
        <v>23</v>
      </c>
      <c r="G183" s="1" t="s">
        <v>665</v>
      </c>
      <c r="H183" s="1" t="s">
        <v>15</v>
      </c>
      <c r="I183" t="b">
        <f>COUNTIF(Estadísticas!I:I,'Centraldecomunicacion.es'!H183)&gt;0</f>
        <v>0</v>
      </c>
    </row>
    <row r="184" spans="1:9">
      <c r="A184" s="1" t="s">
        <v>666</v>
      </c>
      <c r="B184" s="1" t="s">
        <v>10</v>
      </c>
      <c r="C184" s="1" t="s">
        <v>667</v>
      </c>
      <c r="D184" s="1" t="s">
        <v>668</v>
      </c>
      <c r="E184" s="1" t="s">
        <v>214</v>
      </c>
      <c r="F184" s="1" t="s">
        <v>23</v>
      </c>
      <c r="G184" s="1" t="s">
        <v>669</v>
      </c>
      <c r="H184" s="1" t="s">
        <v>15</v>
      </c>
      <c r="I184" t="b">
        <f>COUNTIF(Estadísticas!I:I,'Centraldecomunicacion.es'!H184)&gt;0</f>
        <v>0</v>
      </c>
    </row>
    <row r="185" spans="1:9">
      <c r="A185" s="1" t="s">
        <v>670</v>
      </c>
      <c r="B185" s="1" t="s">
        <v>10</v>
      </c>
      <c r="C185" s="1" t="s">
        <v>671</v>
      </c>
      <c r="D185" s="1" t="s">
        <v>672</v>
      </c>
      <c r="E185" s="1" t="s">
        <v>214</v>
      </c>
      <c r="F185" s="1" t="s">
        <v>23</v>
      </c>
      <c r="G185" s="1" t="s">
        <v>673</v>
      </c>
      <c r="H185" s="1" t="s">
        <v>15</v>
      </c>
      <c r="I185" t="b">
        <f>COUNTIF(Estadísticas!I:I,'Centraldecomunicacion.es'!H185)&gt;0</f>
        <v>0</v>
      </c>
    </row>
    <row r="186" spans="1:9">
      <c r="A186" s="1" t="s">
        <v>674</v>
      </c>
      <c r="B186" s="1" t="s">
        <v>10</v>
      </c>
      <c r="C186" s="1" t="s">
        <v>675</v>
      </c>
      <c r="D186" s="1" t="s">
        <v>676</v>
      </c>
      <c r="E186" s="1" t="s">
        <v>214</v>
      </c>
      <c r="F186" s="1" t="s">
        <v>23</v>
      </c>
      <c r="G186" s="1" t="s">
        <v>23</v>
      </c>
      <c r="H186" s="1" t="s">
        <v>15</v>
      </c>
      <c r="I186" t="b">
        <f>COUNTIF(Estadísticas!I:I,'Centraldecomunicacion.es'!H186)&gt;0</f>
        <v>0</v>
      </c>
    </row>
    <row r="187" spans="1:9">
      <c r="A187" s="1" t="s">
        <v>677</v>
      </c>
      <c r="B187" s="1" t="s">
        <v>10</v>
      </c>
      <c r="C187" s="1" t="s">
        <v>678</v>
      </c>
      <c r="D187" s="1" t="s">
        <v>679</v>
      </c>
      <c r="E187" s="1" t="s">
        <v>219</v>
      </c>
      <c r="F187" s="1" t="s">
        <v>23</v>
      </c>
      <c r="G187" s="1" t="s">
        <v>680</v>
      </c>
      <c r="H187" s="1" t="s">
        <v>15</v>
      </c>
      <c r="I187" t="b">
        <f>COUNTIF(Estadísticas!I:I,'Centraldecomunicacion.es'!H187)&gt;0</f>
        <v>0</v>
      </c>
    </row>
    <row r="188" spans="1:9">
      <c r="A188" s="1" t="s">
        <v>681</v>
      </c>
      <c r="B188" s="1" t="s">
        <v>10</v>
      </c>
      <c r="C188" s="1" t="s">
        <v>682</v>
      </c>
      <c r="D188" s="1" t="s">
        <v>683</v>
      </c>
      <c r="E188" s="1" t="s">
        <v>473</v>
      </c>
      <c r="F188" s="1" t="s">
        <v>684</v>
      </c>
      <c r="G188" s="1" t="s">
        <v>685</v>
      </c>
      <c r="H188" s="1" t="s">
        <v>15</v>
      </c>
      <c r="I188" t="b">
        <f>COUNTIF(Estadísticas!I:I,'Centraldecomunicacion.es'!H188)&gt;0</f>
        <v>0</v>
      </c>
    </row>
    <row r="189" spans="1:9">
      <c r="A189" s="1" t="s">
        <v>686</v>
      </c>
      <c r="B189" s="1" t="s">
        <v>10</v>
      </c>
      <c r="C189" s="1" t="s">
        <v>687</v>
      </c>
      <c r="D189" s="1" t="s">
        <v>219</v>
      </c>
      <c r="E189" s="1" t="s">
        <v>219</v>
      </c>
      <c r="F189" s="1" t="s">
        <v>688</v>
      </c>
      <c r="G189" s="1" t="s">
        <v>689</v>
      </c>
      <c r="H189" s="1" t="s">
        <v>15</v>
      </c>
      <c r="I189" t="b">
        <f>COUNTIF(Estadísticas!I:I,'Centraldecomunicacion.es'!H189)&gt;0</f>
        <v>0</v>
      </c>
    </row>
    <row r="190" spans="1:9">
      <c r="A190" s="1" t="s">
        <v>690</v>
      </c>
      <c r="B190" s="1" t="s">
        <v>10</v>
      </c>
      <c r="C190" s="1" t="s">
        <v>691</v>
      </c>
      <c r="D190" s="1" t="s">
        <v>692</v>
      </c>
      <c r="E190" s="1" t="s">
        <v>693</v>
      </c>
      <c r="F190" s="1" t="s">
        <v>23</v>
      </c>
      <c r="G190" s="1" t="s">
        <v>694</v>
      </c>
      <c r="H190" s="1" t="s">
        <v>15</v>
      </c>
      <c r="I190" t="b">
        <f>COUNTIF(Estadísticas!I:I,'Centraldecomunicacion.es'!H190)&gt;0</f>
        <v>0</v>
      </c>
    </row>
    <row r="191" spans="1:9">
      <c r="A191" s="1" t="s">
        <v>695</v>
      </c>
      <c r="B191" s="1" t="s">
        <v>10</v>
      </c>
      <c r="C191" s="1" t="s">
        <v>696</v>
      </c>
      <c r="D191" s="1" t="s">
        <v>190</v>
      </c>
      <c r="E191" s="1" t="s">
        <v>190</v>
      </c>
      <c r="F191" s="1" t="s">
        <v>23</v>
      </c>
      <c r="G191" s="1" t="s">
        <v>697</v>
      </c>
      <c r="H191" s="1" t="s">
        <v>15</v>
      </c>
      <c r="I191" t="b">
        <f>COUNTIF(Estadísticas!I:I,'Centraldecomunicacion.es'!H191)&gt;0</f>
        <v>0</v>
      </c>
    </row>
    <row r="192" spans="1:9">
      <c r="A192" s="1" t="s">
        <v>698</v>
      </c>
      <c r="B192" s="1" t="s">
        <v>10</v>
      </c>
      <c r="C192" s="1" t="s">
        <v>699</v>
      </c>
      <c r="D192" s="1" t="s">
        <v>190</v>
      </c>
      <c r="E192" s="1" t="s">
        <v>190</v>
      </c>
      <c r="F192" s="1" t="s">
        <v>23</v>
      </c>
      <c r="G192" s="1" t="s">
        <v>700</v>
      </c>
      <c r="H192" s="1" t="s">
        <v>15</v>
      </c>
      <c r="I192" t="b">
        <f>COUNTIF(Estadísticas!I:I,'Centraldecomunicacion.es'!H192)&gt;0</f>
        <v>0</v>
      </c>
    </row>
    <row r="193" spans="1:9">
      <c r="A193" s="1" t="s">
        <v>701</v>
      </c>
      <c r="B193" s="1" t="s">
        <v>10</v>
      </c>
      <c r="C193" s="1" t="s">
        <v>702</v>
      </c>
      <c r="D193" s="1" t="s">
        <v>190</v>
      </c>
      <c r="E193" s="1" t="s">
        <v>190</v>
      </c>
      <c r="F193" s="1" t="s">
        <v>703</v>
      </c>
      <c r="G193" s="1" t="s">
        <v>704</v>
      </c>
      <c r="H193" s="1" t="s">
        <v>15</v>
      </c>
      <c r="I193" t="b">
        <f>COUNTIF(Estadísticas!I:I,'Centraldecomunicacion.es'!H193)&gt;0</f>
        <v>0</v>
      </c>
    </row>
    <row r="194" spans="1:9">
      <c r="A194" s="1" t="s">
        <v>705</v>
      </c>
      <c r="B194" s="1" t="s">
        <v>10</v>
      </c>
      <c r="C194" s="1" t="s">
        <v>706</v>
      </c>
      <c r="D194" s="1" t="s">
        <v>190</v>
      </c>
      <c r="E194" s="1" t="s">
        <v>190</v>
      </c>
      <c r="F194" s="1" t="s">
        <v>23</v>
      </c>
      <c r="G194" s="1" t="s">
        <v>707</v>
      </c>
      <c r="H194" s="1" t="s">
        <v>15</v>
      </c>
      <c r="I194" t="b">
        <f>COUNTIF(Estadísticas!I:I,'Centraldecomunicacion.es'!H194)&gt;0</f>
        <v>0</v>
      </c>
    </row>
    <row r="195" spans="1:9">
      <c r="A195" s="1" t="s">
        <v>708</v>
      </c>
      <c r="B195" s="1" t="s">
        <v>10</v>
      </c>
      <c r="C195" s="1" t="s">
        <v>709</v>
      </c>
      <c r="D195" s="1" t="s">
        <v>190</v>
      </c>
      <c r="E195" s="1" t="s">
        <v>190</v>
      </c>
      <c r="F195" s="1" t="s">
        <v>710</v>
      </c>
      <c r="G195" s="1" t="s">
        <v>711</v>
      </c>
      <c r="H195" s="1" t="s">
        <v>712</v>
      </c>
      <c r="I195" t="b">
        <f>COUNTIF(Estadísticas!I:I,'Centraldecomunicacion.es'!H195)&gt;0</f>
        <v>1</v>
      </c>
    </row>
    <row r="196" spans="1:9">
      <c r="A196" s="1" t="s">
        <v>713</v>
      </c>
      <c r="B196" s="1" t="s">
        <v>10</v>
      </c>
      <c r="C196" s="1" t="s">
        <v>714</v>
      </c>
      <c r="D196" s="1" t="s">
        <v>190</v>
      </c>
      <c r="E196" s="1" t="s">
        <v>190</v>
      </c>
      <c r="F196" s="1" t="s">
        <v>710</v>
      </c>
      <c r="G196" s="1" t="s">
        <v>715</v>
      </c>
      <c r="H196" s="1" t="s">
        <v>712</v>
      </c>
      <c r="I196" t="b">
        <f>COUNTIF(Estadísticas!I:I,'Centraldecomunicacion.es'!H196)&gt;0</f>
        <v>1</v>
      </c>
    </row>
    <row r="197" spans="1:9">
      <c r="A197" s="1" t="s">
        <v>716</v>
      </c>
      <c r="B197" s="1" t="s">
        <v>10</v>
      </c>
      <c r="C197" s="1" t="s">
        <v>717</v>
      </c>
      <c r="D197" s="1" t="s">
        <v>190</v>
      </c>
      <c r="E197" s="1" t="s">
        <v>190</v>
      </c>
      <c r="F197" s="1" t="s">
        <v>710</v>
      </c>
      <c r="G197" s="1" t="s">
        <v>718</v>
      </c>
      <c r="H197" s="1" t="s">
        <v>712</v>
      </c>
      <c r="I197" t="b">
        <f>COUNTIF(Estadísticas!I:I,'Centraldecomunicacion.es'!H197)&gt;0</f>
        <v>1</v>
      </c>
    </row>
    <row r="198" spans="1:9">
      <c r="A198" s="1" t="s">
        <v>719</v>
      </c>
      <c r="B198" s="1" t="s">
        <v>10</v>
      </c>
      <c r="C198" s="1" t="s">
        <v>720</v>
      </c>
      <c r="D198" s="1" t="s">
        <v>190</v>
      </c>
      <c r="E198" s="1" t="s">
        <v>190</v>
      </c>
      <c r="F198" s="1" t="s">
        <v>721</v>
      </c>
      <c r="G198" s="1" t="s">
        <v>722</v>
      </c>
      <c r="H198" s="1" t="s">
        <v>723</v>
      </c>
      <c r="I198" t="b">
        <f>COUNTIF(Estadísticas!I:I,'Centraldecomunicacion.es'!H198)&gt;0</f>
        <v>0</v>
      </c>
    </row>
    <row r="199" spans="1:9">
      <c r="A199" s="1" t="s">
        <v>724</v>
      </c>
      <c r="B199" s="1" t="s">
        <v>10</v>
      </c>
      <c r="C199" s="1" t="s">
        <v>725</v>
      </c>
      <c r="D199" s="1" t="s">
        <v>190</v>
      </c>
      <c r="E199" s="1" t="s">
        <v>190</v>
      </c>
      <c r="F199" s="1" t="s">
        <v>726</v>
      </c>
      <c r="G199" s="1" t="s">
        <v>727</v>
      </c>
      <c r="H199" s="1" t="s">
        <v>15</v>
      </c>
      <c r="I199" t="b">
        <f>COUNTIF(Estadísticas!I:I,'Centraldecomunicacion.es'!H199)&gt;0</f>
        <v>0</v>
      </c>
    </row>
    <row r="200" spans="1:9">
      <c r="A200" s="1" t="s">
        <v>728</v>
      </c>
      <c r="B200" s="1" t="s">
        <v>10</v>
      </c>
      <c r="C200" s="1" t="s">
        <v>729</v>
      </c>
      <c r="D200" s="1" t="s">
        <v>190</v>
      </c>
      <c r="E200" s="1" t="s">
        <v>190</v>
      </c>
      <c r="F200" s="1" t="s">
        <v>23</v>
      </c>
      <c r="G200" s="1" t="s">
        <v>730</v>
      </c>
      <c r="H200" s="1" t="s">
        <v>15</v>
      </c>
      <c r="I200" t="b">
        <f>COUNTIF(Estadísticas!I:I,'Centraldecomunicacion.es'!H200)&gt;0</f>
        <v>0</v>
      </c>
    </row>
    <row r="201" spans="1:9">
      <c r="A201" s="1" t="s">
        <v>731</v>
      </c>
      <c r="B201" s="1" t="s">
        <v>10</v>
      </c>
      <c r="C201" s="1" t="s">
        <v>732</v>
      </c>
      <c r="D201" s="1" t="s">
        <v>190</v>
      </c>
      <c r="E201" s="1" t="s">
        <v>190</v>
      </c>
      <c r="F201" s="1" t="s">
        <v>23</v>
      </c>
      <c r="G201" s="1" t="s">
        <v>733</v>
      </c>
      <c r="H201" s="1" t="s">
        <v>15</v>
      </c>
      <c r="I201" t="b">
        <f>COUNTIF(Estadísticas!I:I,'Centraldecomunicacion.es'!H201)&gt;0</f>
        <v>0</v>
      </c>
    </row>
    <row r="202" spans="1:9">
      <c r="A202" s="1" t="s">
        <v>734</v>
      </c>
      <c r="B202" s="1" t="s">
        <v>10</v>
      </c>
      <c r="C202" s="1" t="s">
        <v>735</v>
      </c>
      <c r="D202" s="1" t="s">
        <v>190</v>
      </c>
      <c r="E202" s="1" t="s">
        <v>190</v>
      </c>
      <c r="F202" s="1" t="s">
        <v>23</v>
      </c>
      <c r="G202" s="1" t="s">
        <v>736</v>
      </c>
      <c r="H202" s="1" t="s">
        <v>15</v>
      </c>
      <c r="I202" t="b">
        <f>COUNTIF(Estadísticas!I:I,'Centraldecomunicacion.es'!H202)&gt;0</f>
        <v>0</v>
      </c>
    </row>
    <row r="203" spans="1:9">
      <c r="A203" s="1" t="s">
        <v>737</v>
      </c>
      <c r="B203" s="1" t="s">
        <v>10</v>
      </c>
      <c r="C203" s="1" t="s">
        <v>738</v>
      </c>
      <c r="D203" s="1" t="s">
        <v>190</v>
      </c>
      <c r="E203" s="1" t="s">
        <v>190</v>
      </c>
      <c r="F203" s="1" t="s">
        <v>710</v>
      </c>
      <c r="G203" s="1" t="s">
        <v>739</v>
      </c>
      <c r="H203" s="1" t="s">
        <v>712</v>
      </c>
      <c r="I203" t="b">
        <f>COUNTIF(Estadísticas!I:I,'Centraldecomunicacion.es'!H203)&gt;0</f>
        <v>1</v>
      </c>
    </row>
    <row r="204" spans="1:9">
      <c r="A204" s="1" t="s">
        <v>740</v>
      </c>
      <c r="B204" s="1" t="s">
        <v>10</v>
      </c>
      <c r="C204" s="1" t="s">
        <v>741</v>
      </c>
      <c r="D204" s="1" t="s">
        <v>190</v>
      </c>
      <c r="E204" s="1" t="s">
        <v>190</v>
      </c>
      <c r="F204" s="1" t="s">
        <v>23</v>
      </c>
      <c r="G204" s="1" t="s">
        <v>742</v>
      </c>
      <c r="H204" s="1" t="s">
        <v>15</v>
      </c>
      <c r="I204" t="b">
        <f>COUNTIF(Estadísticas!I:I,'Centraldecomunicacion.es'!H204)&gt;0</f>
        <v>0</v>
      </c>
    </row>
    <row r="205" spans="1:9">
      <c r="A205" s="1" t="s">
        <v>743</v>
      </c>
      <c r="B205" s="1" t="s">
        <v>10</v>
      </c>
      <c r="C205" s="1" t="s">
        <v>744</v>
      </c>
      <c r="D205" s="1" t="s">
        <v>190</v>
      </c>
      <c r="E205" s="1" t="s">
        <v>190</v>
      </c>
      <c r="F205" s="1" t="s">
        <v>23</v>
      </c>
      <c r="G205" s="1" t="s">
        <v>745</v>
      </c>
      <c r="H205" s="1" t="s">
        <v>15</v>
      </c>
      <c r="I205" t="b">
        <f>COUNTIF(Estadísticas!I:I,'Centraldecomunicacion.es'!H205)&gt;0</f>
        <v>0</v>
      </c>
    </row>
    <row r="206" spans="1:9">
      <c r="A206" s="1" t="s">
        <v>746</v>
      </c>
      <c r="B206" s="1" t="s">
        <v>10</v>
      </c>
      <c r="C206" s="1" t="s">
        <v>747</v>
      </c>
      <c r="D206" s="1" t="s">
        <v>190</v>
      </c>
      <c r="E206" s="1" t="s">
        <v>190</v>
      </c>
      <c r="F206" s="1" t="s">
        <v>23</v>
      </c>
      <c r="G206" s="1" t="s">
        <v>748</v>
      </c>
      <c r="H206" s="1" t="s">
        <v>15</v>
      </c>
      <c r="I206" t="b">
        <f>COUNTIF(Estadísticas!I:I,'Centraldecomunicacion.es'!H206)&gt;0</f>
        <v>0</v>
      </c>
    </row>
    <row r="207" spans="1:9">
      <c r="A207" s="1" t="s">
        <v>749</v>
      </c>
      <c r="B207" s="1" t="s">
        <v>10</v>
      </c>
      <c r="C207" s="1" t="s">
        <v>750</v>
      </c>
      <c r="D207" s="1" t="s">
        <v>190</v>
      </c>
      <c r="E207" s="1" t="s">
        <v>190</v>
      </c>
      <c r="F207" s="1" t="s">
        <v>23</v>
      </c>
      <c r="G207" s="1" t="s">
        <v>751</v>
      </c>
      <c r="H207" s="1" t="s">
        <v>15</v>
      </c>
      <c r="I207" t="b">
        <f>COUNTIF(Estadísticas!I:I,'Centraldecomunicacion.es'!H207)&gt;0</f>
        <v>0</v>
      </c>
    </row>
    <row r="208" spans="1:9">
      <c r="A208" s="1" t="s">
        <v>752</v>
      </c>
      <c r="B208" s="1" t="s">
        <v>10</v>
      </c>
      <c r="C208" s="1" t="s">
        <v>753</v>
      </c>
      <c r="D208" s="1" t="s">
        <v>190</v>
      </c>
      <c r="E208" s="1" t="s">
        <v>190</v>
      </c>
      <c r="F208" s="1" t="s">
        <v>23</v>
      </c>
      <c r="G208" s="1" t="s">
        <v>754</v>
      </c>
      <c r="H208" s="1" t="s">
        <v>15</v>
      </c>
      <c r="I208" t="b">
        <f>COUNTIF(Estadísticas!I:I,'Centraldecomunicacion.es'!H208)&gt;0</f>
        <v>0</v>
      </c>
    </row>
    <row r="209" spans="1:9">
      <c r="A209" s="1" t="s">
        <v>755</v>
      </c>
      <c r="B209" s="1" t="s">
        <v>10</v>
      </c>
      <c r="C209" s="1" t="s">
        <v>756</v>
      </c>
      <c r="D209" s="1" t="s">
        <v>190</v>
      </c>
      <c r="E209" s="1" t="s">
        <v>190</v>
      </c>
      <c r="F209" s="1" t="s">
        <v>757</v>
      </c>
      <c r="G209" s="1" t="s">
        <v>758</v>
      </c>
      <c r="H209" s="1" t="s">
        <v>759</v>
      </c>
      <c r="I209" t="b">
        <f>COUNTIF(Estadísticas!I:I,'Centraldecomunicacion.es'!H209)&gt;0</f>
        <v>0</v>
      </c>
    </row>
    <row r="210" spans="1:9">
      <c r="A210" s="1" t="s">
        <v>760</v>
      </c>
      <c r="B210" s="1" t="s">
        <v>10</v>
      </c>
      <c r="C210" s="1" t="s">
        <v>761</v>
      </c>
      <c r="D210" s="1" t="s">
        <v>190</v>
      </c>
      <c r="E210" s="1" t="s">
        <v>190</v>
      </c>
      <c r="F210" s="1" t="s">
        <v>23</v>
      </c>
      <c r="G210" s="1" t="s">
        <v>762</v>
      </c>
      <c r="H210" s="1" t="s">
        <v>15</v>
      </c>
      <c r="I210" t="b">
        <f>COUNTIF(Estadísticas!I:I,'Centraldecomunicacion.es'!H210)&gt;0</f>
        <v>0</v>
      </c>
    </row>
    <row r="211" spans="1:9">
      <c r="A211" s="1" t="s">
        <v>763</v>
      </c>
      <c r="B211" s="1" t="s">
        <v>10</v>
      </c>
      <c r="C211" s="1" t="s">
        <v>764</v>
      </c>
      <c r="D211" s="1" t="s">
        <v>190</v>
      </c>
      <c r="E211" s="1" t="s">
        <v>190</v>
      </c>
      <c r="F211" s="1" t="s">
        <v>23</v>
      </c>
      <c r="G211" s="1" t="s">
        <v>765</v>
      </c>
      <c r="H211" s="1" t="s">
        <v>15</v>
      </c>
      <c r="I211" t="b">
        <f>COUNTIF(Estadísticas!I:I,'Centraldecomunicacion.es'!H211)&gt;0</f>
        <v>0</v>
      </c>
    </row>
    <row r="212" spans="1:9">
      <c r="A212" s="1" t="s">
        <v>760</v>
      </c>
      <c r="B212" s="1" t="s">
        <v>10</v>
      </c>
      <c r="C212" s="1" t="s">
        <v>766</v>
      </c>
      <c r="D212" s="1" t="s">
        <v>190</v>
      </c>
      <c r="E212" s="1" t="s">
        <v>190</v>
      </c>
      <c r="F212" s="1" t="s">
        <v>767</v>
      </c>
      <c r="G212" s="1" t="s">
        <v>768</v>
      </c>
      <c r="H212" s="1" t="s">
        <v>769</v>
      </c>
      <c r="I212" t="b">
        <f>COUNTIF(Estadísticas!I:I,'Centraldecomunicacion.es'!H212)&gt;0</f>
        <v>0</v>
      </c>
    </row>
    <row r="213" spans="1:9">
      <c r="A213" s="1" t="s">
        <v>770</v>
      </c>
      <c r="B213" s="1" t="s">
        <v>10</v>
      </c>
      <c r="C213" s="1" t="s">
        <v>771</v>
      </c>
      <c r="D213" s="1" t="s">
        <v>190</v>
      </c>
      <c r="E213" s="1" t="s">
        <v>190</v>
      </c>
      <c r="F213" s="1" t="s">
        <v>23</v>
      </c>
      <c r="G213" s="1" t="s">
        <v>772</v>
      </c>
      <c r="H213" s="1" t="s">
        <v>15</v>
      </c>
      <c r="I213" t="b">
        <f>COUNTIF(Estadísticas!I:I,'Centraldecomunicacion.es'!H213)&gt;0</f>
        <v>0</v>
      </c>
    </row>
    <row r="214" spans="1:9">
      <c r="A214" s="1" t="s">
        <v>773</v>
      </c>
      <c r="B214" s="1" t="s">
        <v>10</v>
      </c>
      <c r="C214" s="1" t="s">
        <v>774</v>
      </c>
      <c r="D214" s="1" t="s">
        <v>190</v>
      </c>
      <c r="E214" s="1" t="s">
        <v>190</v>
      </c>
      <c r="F214" s="1" t="s">
        <v>23</v>
      </c>
      <c r="G214" s="1" t="s">
        <v>775</v>
      </c>
      <c r="H214" s="1" t="s">
        <v>15</v>
      </c>
      <c r="I214" t="b">
        <f>COUNTIF(Estadísticas!I:I,'Centraldecomunicacion.es'!H214)&gt;0</f>
        <v>0</v>
      </c>
    </row>
    <row r="215" spans="1:9">
      <c r="A215" s="1" t="s">
        <v>776</v>
      </c>
      <c r="B215" s="1" t="s">
        <v>10</v>
      </c>
      <c r="C215" s="1" t="s">
        <v>777</v>
      </c>
      <c r="D215" s="1" t="s">
        <v>190</v>
      </c>
      <c r="E215" s="1" t="s">
        <v>190</v>
      </c>
      <c r="F215" s="1" t="s">
        <v>23</v>
      </c>
      <c r="G215" s="1" t="s">
        <v>778</v>
      </c>
      <c r="H215" s="1" t="s">
        <v>15</v>
      </c>
      <c r="I215" t="b">
        <f>COUNTIF(Estadísticas!I:I,'Centraldecomunicacion.es'!H215)&gt;0</f>
        <v>0</v>
      </c>
    </row>
    <row r="216" spans="1:9">
      <c r="A216" s="1" t="s">
        <v>779</v>
      </c>
      <c r="B216" s="1" t="s">
        <v>10</v>
      </c>
      <c r="C216" s="1" t="s">
        <v>780</v>
      </c>
      <c r="D216" s="1" t="s">
        <v>190</v>
      </c>
      <c r="E216" s="1" t="s">
        <v>190</v>
      </c>
      <c r="F216" s="1" t="s">
        <v>23</v>
      </c>
      <c r="G216" s="1" t="s">
        <v>781</v>
      </c>
      <c r="H216" s="1" t="s">
        <v>15</v>
      </c>
      <c r="I216" t="b">
        <f>COUNTIF(Estadísticas!I:I,'Centraldecomunicacion.es'!H216)&gt;0</f>
        <v>0</v>
      </c>
    </row>
    <row r="217" spans="1:9">
      <c r="A217" s="1" t="s">
        <v>782</v>
      </c>
      <c r="B217" s="1" t="s">
        <v>10</v>
      </c>
      <c r="C217" s="1" t="s">
        <v>783</v>
      </c>
      <c r="D217" s="1" t="s">
        <v>190</v>
      </c>
      <c r="E217" s="1" t="s">
        <v>190</v>
      </c>
      <c r="F217" s="1" t="s">
        <v>23</v>
      </c>
      <c r="G217" s="1" t="s">
        <v>784</v>
      </c>
      <c r="H217" s="1" t="s">
        <v>15</v>
      </c>
      <c r="I217" t="b">
        <f>COUNTIF(Estadísticas!I:I,'Centraldecomunicacion.es'!H217)&gt;0</f>
        <v>0</v>
      </c>
    </row>
    <row r="218" spans="1:9">
      <c r="A218" s="1" t="s">
        <v>785</v>
      </c>
      <c r="B218" s="1" t="s">
        <v>10</v>
      </c>
      <c r="C218" s="1" t="s">
        <v>786</v>
      </c>
      <c r="D218" s="1" t="s">
        <v>190</v>
      </c>
      <c r="E218" s="1" t="s">
        <v>190</v>
      </c>
      <c r="F218" s="1" t="s">
        <v>787</v>
      </c>
      <c r="G218" s="1" t="s">
        <v>788</v>
      </c>
      <c r="H218" s="1" t="s">
        <v>15</v>
      </c>
      <c r="I218" t="b">
        <f>COUNTIF(Estadísticas!I:I,'Centraldecomunicacion.es'!H218)&gt;0</f>
        <v>0</v>
      </c>
    </row>
    <row r="219" spans="1:9">
      <c r="A219" s="1" t="s">
        <v>789</v>
      </c>
      <c r="B219" s="1" t="s">
        <v>10</v>
      </c>
      <c r="C219" s="1" t="s">
        <v>790</v>
      </c>
      <c r="D219" s="1" t="s">
        <v>190</v>
      </c>
      <c r="E219" s="1" t="s">
        <v>190</v>
      </c>
      <c r="F219" s="1" t="s">
        <v>791</v>
      </c>
      <c r="G219" s="1" t="s">
        <v>792</v>
      </c>
      <c r="H219" s="1" t="s">
        <v>793</v>
      </c>
      <c r="I219" t="b">
        <f>COUNTIF(Estadísticas!I:I,'Centraldecomunicacion.es'!H219)&gt;0</f>
        <v>0</v>
      </c>
    </row>
    <row r="220" spans="1:9">
      <c r="A220" s="1" t="s">
        <v>794</v>
      </c>
      <c r="B220" s="1" t="s">
        <v>10</v>
      </c>
      <c r="C220" s="1" t="s">
        <v>795</v>
      </c>
      <c r="D220" s="1" t="s">
        <v>190</v>
      </c>
      <c r="E220" s="1" t="s">
        <v>190</v>
      </c>
      <c r="F220" s="1" t="s">
        <v>796</v>
      </c>
      <c r="G220" s="1" t="s">
        <v>797</v>
      </c>
      <c r="H220" s="1" t="s">
        <v>798</v>
      </c>
      <c r="I220" t="b">
        <f>COUNTIF(Estadísticas!I:I,'Centraldecomunicacion.es'!H220)&gt;0</f>
        <v>0</v>
      </c>
    </row>
    <row r="221" spans="1:9">
      <c r="A221" s="1" t="s">
        <v>799</v>
      </c>
      <c r="B221" s="1" t="s">
        <v>10</v>
      </c>
      <c r="C221" s="1" t="s">
        <v>800</v>
      </c>
      <c r="D221" s="1" t="s">
        <v>190</v>
      </c>
      <c r="E221" s="1" t="s">
        <v>190</v>
      </c>
      <c r="F221" s="1" t="s">
        <v>23</v>
      </c>
      <c r="G221" s="1" t="s">
        <v>754</v>
      </c>
      <c r="H221" s="1" t="s">
        <v>15</v>
      </c>
      <c r="I221" t="b">
        <f>COUNTIF(Estadísticas!I:I,'Centraldecomunicacion.es'!H221)&gt;0</f>
        <v>0</v>
      </c>
    </row>
    <row r="222" spans="1:9">
      <c r="A222" s="1" t="s">
        <v>801</v>
      </c>
      <c r="B222" s="1" t="s">
        <v>10</v>
      </c>
      <c r="C222" s="1" t="s">
        <v>802</v>
      </c>
      <c r="D222" s="1" t="s">
        <v>190</v>
      </c>
      <c r="E222" s="1" t="s">
        <v>190</v>
      </c>
      <c r="F222" s="1" t="s">
        <v>803</v>
      </c>
      <c r="G222" s="1" t="s">
        <v>804</v>
      </c>
      <c r="H222" s="1" t="s">
        <v>805</v>
      </c>
      <c r="I222" t="b">
        <f>COUNTIF(Estadísticas!I:I,'Centraldecomunicacion.es'!H222)&gt;0</f>
        <v>0</v>
      </c>
    </row>
    <row r="223" spans="1:9">
      <c r="A223" s="1" t="s">
        <v>806</v>
      </c>
      <c r="B223" s="1" t="s">
        <v>10</v>
      </c>
      <c r="C223" s="1" t="s">
        <v>807</v>
      </c>
      <c r="D223" s="1" t="s">
        <v>190</v>
      </c>
      <c r="E223" s="1" t="s">
        <v>190</v>
      </c>
      <c r="F223" s="1" t="s">
        <v>710</v>
      </c>
      <c r="G223" s="1" t="s">
        <v>808</v>
      </c>
      <c r="H223" s="1" t="s">
        <v>712</v>
      </c>
      <c r="I223" t="b">
        <f>COUNTIF(Estadísticas!I:I,'Centraldecomunicacion.es'!H223)&gt;0</f>
        <v>1</v>
      </c>
    </row>
    <row r="224" spans="1:9">
      <c r="A224" s="1" t="s">
        <v>809</v>
      </c>
      <c r="B224" s="1" t="s">
        <v>10</v>
      </c>
      <c r="C224" s="1" t="s">
        <v>810</v>
      </c>
      <c r="D224" s="1" t="s">
        <v>190</v>
      </c>
      <c r="E224" s="1" t="s">
        <v>190</v>
      </c>
      <c r="F224" s="1" t="s">
        <v>811</v>
      </c>
      <c r="G224" s="1" t="s">
        <v>812</v>
      </c>
      <c r="H224" s="1" t="s">
        <v>15</v>
      </c>
      <c r="I224" t="b">
        <f>COUNTIF(Estadísticas!I:I,'Centraldecomunicacion.es'!H224)&gt;0</f>
        <v>0</v>
      </c>
    </row>
    <row r="225" spans="1:9">
      <c r="A225" s="1" t="s">
        <v>813</v>
      </c>
      <c r="B225" s="1" t="s">
        <v>10</v>
      </c>
      <c r="C225" s="1" t="s">
        <v>814</v>
      </c>
      <c r="D225" s="1" t="s">
        <v>190</v>
      </c>
      <c r="E225" s="1" t="s">
        <v>190</v>
      </c>
      <c r="F225" s="1" t="s">
        <v>815</v>
      </c>
      <c r="G225" s="1" t="s">
        <v>816</v>
      </c>
      <c r="H225" s="1" t="s">
        <v>15</v>
      </c>
      <c r="I225" t="b">
        <f>COUNTIF(Estadísticas!I:I,'Centraldecomunicacion.es'!H225)&gt;0</f>
        <v>0</v>
      </c>
    </row>
    <row r="226" spans="1:9">
      <c r="A226" s="1" t="s">
        <v>817</v>
      </c>
      <c r="B226" s="1" t="s">
        <v>10</v>
      </c>
      <c r="C226" s="1" t="s">
        <v>818</v>
      </c>
      <c r="D226" s="1" t="s">
        <v>190</v>
      </c>
      <c r="E226" s="1" t="s">
        <v>190</v>
      </c>
      <c r="F226" s="1" t="s">
        <v>710</v>
      </c>
      <c r="G226" s="1" t="s">
        <v>819</v>
      </c>
      <c r="H226" s="1" t="s">
        <v>712</v>
      </c>
      <c r="I226" t="b">
        <f>COUNTIF(Estadísticas!I:I,'Centraldecomunicacion.es'!H226)&gt;0</f>
        <v>1</v>
      </c>
    </row>
    <row r="227" spans="1:9">
      <c r="A227" s="1" t="s">
        <v>820</v>
      </c>
      <c r="B227" s="1" t="s">
        <v>10</v>
      </c>
      <c r="C227" s="1" t="s">
        <v>821</v>
      </c>
      <c r="D227" s="1" t="s">
        <v>190</v>
      </c>
      <c r="E227" s="1" t="s">
        <v>190</v>
      </c>
      <c r="F227" s="1" t="s">
        <v>23</v>
      </c>
      <c r="G227" s="1" t="s">
        <v>822</v>
      </c>
      <c r="H227" s="1" t="s">
        <v>15</v>
      </c>
      <c r="I227" t="b">
        <f>COUNTIF(Estadísticas!I:I,'Centraldecomunicacion.es'!H227)&gt;0</f>
        <v>0</v>
      </c>
    </row>
    <row r="228" spans="1:9">
      <c r="A228" s="1" t="s">
        <v>823</v>
      </c>
      <c r="B228" s="1" t="s">
        <v>10</v>
      </c>
      <c r="C228" s="1" t="s">
        <v>824</v>
      </c>
      <c r="D228" s="1" t="s">
        <v>190</v>
      </c>
      <c r="E228" s="1" t="s">
        <v>190</v>
      </c>
      <c r="F228" s="1" t="s">
        <v>825</v>
      </c>
      <c r="G228" s="1" t="s">
        <v>826</v>
      </c>
      <c r="H228" s="1" t="s">
        <v>827</v>
      </c>
      <c r="I228" t="b">
        <f>COUNTIF(Estadísticas!I:I,'Centraldecomunicacion.es'!H228)&gt;0</f>
        <v>0</v>
      </c>
    </row>
    <row r="229" spans="1:9">
      <c r="A229" s="1" t="s">
        <v>828</v>
      </c>
      <c r="B229" s="1" t="s">
        <v>10</v>
      </c>
      <c r="C229" s="1" t="s">
        <v>829</v>
      </c>
      <c r="D229" s="1" t="s">
        <v>190</v>
      </c>
      <c r="E229" s="1" t="s">
        <v>190</v>
      </c>
      <c r="F229" s="1" t="s">
        <v>23</v>
      </c>
      <c r="G229" s="1" t="s">
        <v>830</v>
      </c>
      <c r="H229" s="1" t="s">
        <v>15</v>
      </c>
      <c r="I229" t="b">
        <f>COUNTIF(Estadísticas!I:I,'Centraldecomunicacion.es'!H229)&gt;0</f>
        <v>0</v>
      </c>
    </row>
    <row r="230" spans="1:9">
      <c r="A230" s="1" t="s">
        <v>831</v>
      </c>
      <c r="B230" s="1" t="s">
        <v>10</v>
      </c>
      <c r="C230" s="1" t="s">
        <v>832</v>
      </c>
      <c r="D230" s="1" t="s">
        <v>190</v>
      </c>
      <c r="E230" s="1" t="s">
        <v>190</v>
      </c>
      <c r="F230" s="1" t="s">
        <v>23</v>
      </c>
      <c r="G230" s="1" t="s">
        <v>833</v>
      </c>
      <c r="H230" s="1" t="s">
        <v>15</v>
      </c>
      <c r="I230" t="b">
        <f>COUNTIF(Estadísticas!I:I,'Centraldecomunicacion.es'!H230)&gt;0</f>
        <v>0</v>
      </c>
    </row>
    <row r="231" spans="1:9">
      <c r="A231" s="1" t="s">
        <v>834</v>
      </c>
      <c r="B231" s="1" t="s">
        <v>10</v>
      </c>
      <c r="C231" s="1" t="s">
        <v>835</v>
      </c>
      <c r="D231" s="1" t="s">
        <v>190</v>
      </c>
      <c r="E231" s="1" t="s">
        <v>190</v>
      </c>
      <c r="F231" s="1" t="s">
        <v>23</v>
      </c>
      <c r="G231" s="1" t="s">
        <v>836</v>
      </c>
      <c r="H231" s="1" t="s">
        <v>15</v>
      </c>
      <c r="I231" t="b">
        <f>COUNTIF(Estadísticas!I:I,'Centraldecomunicacion.es'!H231)&gt;0</f>
        <v>0</v>
      </c>
    </row>
    <row r="232" spans="1:9">
      <c r="A232" s="1" t="s">
        <v>837</v>
      </c>
      <c r="B232" s="1" t="s">
        <v>10</v>
      </c>
      <c r="C232" s="1" t="s">
        <v>838</v>
      </c>
      <c r="D232" s="1" t="s">
        <v>190</v>
      </c>
      <c r="E232" s="1" t="s">
        <v>190</v>
      </c>
      <c r="F232" s="1" t="s">
        <v>23</v>
      </c>
      <c r="G232" s="1" t="s">
        <v>839</v>
      </c>
      <c r="H232" s="1" t="s">
        <v>15</v>
      </c>
      <c r="I232" t="b">
        <f>COUNTIF(Estadísticas!I:I,'Centraldecomunicacion.es'!H232)&gt;0</f>
        <v>0</v>
      </c>
    </row>
    <row r="233" spans="1:9">
      <c r="A233" s="1" t="s">
        <v>840</v>
      </c>
      <c r="B233" s="1" t="s">
        <v>10</v>
      </c>
      <c r="C233" s="1" t="s">
        <v>841</v>
      </c>
      <c r="D233" s="1" t="s">
        <v>842</v>
      </c>
      <c r="E233" s="1" t="s">
        <v>190</v>
      </c>
      <c r="F233" s="1" t="s">
        <v>843</v>
      </c>
      <c r="G233" s="1" t="s">
        <v>844</v>
      </c>
      <c r="H233" s="1" t="s">
        <v>845</v>
      </c>
      <c r="I233" t="b">
        <f>COUNTIF(Estadísticas!I:I,'Centraldecomunicacion.es'!H233)&gt;0</f>
        <v>0</v>
      </c>
    </row>
    <row r="234" spans="1:9">
      <c r="A234" s="1" t="s">
        <v>846</v>
      </c>
      <c r="B234" s="1" t="s">
        <v>10</v>
      </c>
      <c r="C234" s="1" t="s">
        <v>847</v>
      </c>
      <c r="D234" s="1" t="s">
        <v>842</v>
      </c>
      <c r="E234" s="1" t="s">
        <v>190</v>
      </c>
      <c r="F234" s="1" t="s">
        <v>848</v>
      </c>
      <c r="G234" s="1" t="s">
        <v>849</v>
      </c>
      <c r="H234" s="1" t="s">
        <v>15</v>
      </c>
      <c r="I234" t="b">
        <f>COUNTIF(Estadísticas!I:I,'Centraldecomunicacion.es'!H234)&gt;0</f>
        <v>0</v>
      </c>
    </row>
    <row r="235" spans="1:9">
      <c r="A235" s="1" t="s">
        <v>850</v>
      </c>
      <c r="B235" s="1" t="s">
        <v>10</v>
      </c>
      <c r="C235" s="1" t="s">
        <v>851</v>
      </c>
      <c r="D235" s="1" t="s">
        <v>852</v>
      </c>
      <c r="E235" s="1" t="s">
        <v>190</v>
      </c>
      <c r="F235" s="1" t="s">
        <v>853</v>
      </c>
      <c r="G235" s="1" t="s">
        <v>854</v>
      </c>
      <c r="H235" s="1" t="s">
        <v>855</v>
      </c>
      <c r="I235" t="b">
        <f>COUNTIF(Estadísticas!I:I,'Centraldecomunicacion.es'!H235)&gt;0</f>
        <v>1</v>
      </c>
    </row>
    <row r="236" spans="1:9">
      <c r="A236" s="1" t="s">
        <v>856</v>
      </c>
      <c r="B236" s="1" t="s">
        <v>10</v>
      </c>
      <c r="C236" s="1" t="s">
        <v>857</v>
      </c>
      <c r="D236" s="1" t="s">
        <v>858</v>
      </c>
      <c r="E236" s="1" t="s">
        <v>190</v>
      </c>
      <c r="F236" s="1" t="s">
        <v>710</v>
      </c>
      <c r="G236" s="1" t="s">
        <v>859</v>
      </c>
      <c r="H236" s="1" t="s">
        <v>712</v>
      </c>
      <c r="I236" t="b">
        <f>COUNTIF(Estadísticas!I:I,'Centraldecomunicacion.es'!H236)&gt;0</f>
        <v>1</v>
      </c>
    </row>
    <row r="237" spans="1:9">
      <c r="A237" s="1" t="s">
        <v>860</v>
      </c>
      <c r="B237" s="1" t="s">
        <v>10</v>
      </c>
      <c r="C237" s="1" t="s">
        <v>861</v>
      </c>
      <c r="D237" s="1" t="s">
        <v>862</v>
      </c>
      <c r="E237" s="1" t="s">
        <v>190</v>
      </c>
      <c r="F237" s="1" t="s">
        <v>863</v>
      </c>
      <c r="G237" s="1" t="s">
        <v>864</v>
      </c>
      <c r="H237" s="1" t="s">
        <v>15</v>
      </c>
      <c r="I237" t="b">
        <f>COUNTIF(Estadísticas!I:I,'Centraldecomunicacion.es'!H237)&gt;0</f>
        <v>0</v>
      </c>
    </row>
    <row r="238" spans="1:9">
      <c r="A238" s="1" t="s">
        <v>865</v>
      </c>
      <c r="B238" s="1" t="s">
        <v>10</v>
      </c>
      <c r="C238" s="1" t="s">
        <v>866</v>
      </c>
      <c r="D238" s="1" t="s">
        <v>842</v>
      </c>
      <c r="E238" s="1" t="s">
        <v>190</v>
      </c>
      <c r="F238" s="1" t="s">
        <v>23</v>
      </c>
      <c r="G238" s="1" t="s">
        <v>867</v>
      </c>
      <c r="H238" s="1" t="s">
        <v>15</v>
      </c>
      <c r="I238" t="b">
        <f>COUNTIF(Estadísticas!I:I,'Centraldecomunicacion.es'!H238)&gt;0</f>
        <v>0</v>
      </c>
    </row>
    <row r="239" spans="1:9">
      <c r="A239" s="1" t="s">
        <v>701</v>
      </c>
      <c r="B239" s="1" t="s">
        <v>10</v>
      </c>
      <c r="C239" s="1" t="s">
        <v>868</v>
      </c>
      <c r="D239" s="1" t="s">
        <v>858</v>
      </c>
      <c r="E239" s="1" t="s">
        <v>190</v>
      </c>
      <c r="F239" s="1" t="s">
        <v>703</v>
      </c>
      <c r="G239" s="1" t="s">
        <v>869</v>
      </c>
      <c r="H239" s="1" t="s">
        <v>15</v>
      </c>
      <c r="I239" t="b">
        <f>COUNTIF(Estadísticas!I:I,'Centraldecomunicacion.es'!H239)&gt;0</f>
        <v>0</v>
      </c>
    </row>
    <row r="240" spans="1:9">
      <c r="A240" s="1" t="s">
        <v>870</v>
      </c>
      <c r="B240" s="1" t="s">
        <v>10</v>
      </c>
      <c r="C240" s="1" t="s">
        <v>871</v>
      </c>
      <c r="D240" s="1" t="s">
        <v>852</v>
      </c>
      <c r="E240" s="1" t="s">
        <v>190</v>
      </c>
      <c r="F240" s="1" t="s">
        <v>23</v>
      </c>
      <c r="G240" s="1" t="s">
        <v>872</v>
      </c>
      <c r="H240" s="1" t="s">
        <v>15</v>
      </c>
      <c r="I240" t="b">
        <f>COUNTIF(Estadísticas!I:I,'Centraldecomunicacion.es'!H240)&gt;0</f>
        <v>0</v>
      </c>
    </row>
    <row r="241" spans="1:9">
      <c r="A241" s="1" t="s">
        <v>873</v>
      </c>
      <c r="B241" s="1" t="s">
        <v>10</v>
      </c>
      <c r="C241" s="1" t="s">
        <v>874</v>
      </c>
      <c r="D241" s="1" t="s">
        <v>875</v>
      </c>
      <c r="E241" s="1" t="s">
        <v>190</v>
      </c>
      <c r="F241" s="1" t="s">
        <v>23</v>
      </c>
      <c r="G241" s="1" t="s">
        <v>876</v>
      </c>
      <c r="H241" s="1" t="s">
        <v>15</v>
      </c>
      <c r="I241" t="b">
        <f>COUNTIF(Estadísticas!I:I,'Centraldecomunicacion.es'!H241)&gt;0</f>
        <v>0</v>
      </c>
    </row>
    <row r="242" spans="1:9">
      <c r="A242" s="1" t="s">
        <v>877</v>
      </c>
      <c r="B242" s="1" t="s">
        <v>10</v>
      </c>
      <c r="C242" s="1" t="s">
        <v>878</v>
      </c>
      <c r="D242" s="1" t="s">
        <v>879</v>
      </c>
      <c r="E242" s="1" t="s">
        <v>190</v>
      </c>
      <c r="F242" s="1" t="s">
        <v>23</v>
      </c>
      <c r="G242" s="1" t="s">
        <v>880</v>
      </c>
      <c r="H242" s="1" t="s">
        <v>15</v>
      </c>
      <c r="I242" t="b">
        <f>COUNTIF(Estadísticas!I:I,'Centraldecomunicacion.es'!H242)&gt;0</f>
        <v>0</v>
      </c>
    </row>
    <row r="243" spans="1:9">
      <c r="A243" s="1" t="s">
        <v>881</v>
      </c>
      <c r="B243" s="1" t="s">
        <v>10</v>
      </c>
      <c r="C243" s="1" t="s">
        <v>882</v>
      </c>
      <c r="D243" s="1" t="s">
        <v>883</v>
      </c>
      <c r="E243" s="1" t="s">
        <v>190</v>
      </c>
      <c r="F243" s="1" t="s">
        <v>791</v>
      </c>
      <c r="G243" s="1" t="s">
        <v>884</v>
      </c>
      <c r="H243" s="1" t="s">
        <v>793</v>
      </c>
      <c r="I243" t="b">
        <f>COUNTIF(Estadísticas!I:I,'Centraldecomunicacion.es'!H243)&gt;0</f>
        <v>0</v>
      </c>
    </row>
    <row r="244" spans="1:9">
      <c r="A244" s="1" t="s">
        <v>885</v>
      </c>
      <c r="B244" s="1" t="s">
        <v>10</v>
      </c>
      <c r="C244" s="1" t="s">
        <v>886</v>
      </c>
      <c r="D244" s="1" t="s">
        <v>883</v>
      </c>
      <c r="E244" s="1" t="s">
        <v>190</v>
      </c>
      <c r="F244" s="1" t="s">
        <v>887</v>
      </c>
      <c r="G244" s="1" t="s">
        <v>888</v>
      </c>
      <c r="H244" s="1" t="s">
        <v>889</v>
      </c>
      <c r="I244" t="b">
        <f>COUNTIF(Estadísticas!I:I,'Centraldecomunicacion.es'!H244)&gt;0</f>
        <v>0</v>
      </c>
    </row>
    <row r="245" spans="1:9">
      <c r="A245" s="1" t="s">
        <v>890</v>
      </c>
      <c r="B245" s="1" t="s">
        <v>10</v>
      </c>
      <c r="C245" s="1" t="s">
        <v>891</v>
      </c>
      <c r="D245" s="1" t="s">
        <v>883</v>
      </c>
      <c r="E245" s="1" t="s">
        <v>190</v>
      </c>
      <c r="F245" s="1" t="s">
        <v>892</v>
      </c>
      <c r="G245" s="1" t="s">
        <v>893</v>
      </c>
      <c r="H245" s="1" t="s">
        <v>15</v>
      </c>
      <c r="I245" t="b">
        <f>COUNTIF(Estadísticas!I:I,'Centraldecomunicacion.es'!H245)&gt;0</f>
        <v>0</v>
      </c>
    </row>
    <row r="246" spans="1:9">
      <c r="A246" s="1" t="s">
        <v>894</v>
      </c>
      <c r="B246" s="1" t="s">
        <v>10</v>
      </c>
      <c r="C246" s="1" t="s">
        <v>895</v>
      </c>
      <c r="D246" s="1" t="s">
        <v>896</v>
      </c>
      <c r="E246" s="1" t="s">
        <v>190</v>
      </c>
      <c r="F246" s="1" t="s">
        <v>23</v>
      </c>
      <c r="G246" s="1" t="s">
        <v>897</v>
      </c>
      <c r="H246" s="1" t="s">
        <v>15</v>
      </c>
      <c r="I246" t="b">
        <f>COUNTIF(Estadísticas!I:I,'Centraldecomunicacion.es'!H246)&gt;0</f>
        <v>0</v>
      </c>
    </row>
    <row r="247" spans="1:9">
      <c r="A247" s="1" t="s">
        <v>870</v>
      </c>
      <c r="B247" s="1" t="s">
        <v>10</v>
      </c>
      <c r="C247" s="1" t="s">
        <v>898</v>
      </c>
      <c r="D247" s="1" t="s">
        <v>852</v>
      </c>
      <c r="E247" s="1" t="s">
        <v>190</v>
      </c>
      <c r="F247" s="1" t="s">
        <v>23</v>
      </c>
      <c r="G247" s="1" t="s">
        <v>899</v>
      </c>
      <c r="H247" s="1" t="s">
        <v>15</v>
      </c>
      <c r="I247" t="b">
        <f>COUNTIF(Estadísticas!I:I,'Centraldecomunicacion.es'!H247)&gt;0</f>
        <v>0</v>
      </c>
    </row>
    <row r="248" spans="1:9">
      <c r="A248" s="1" t="s">
        <v>900</v>
      </c>
      <c r="B248" s="1" t="s">
        <v>10</v>
      </c>
      <c r="C248" s="1" t="s">
        <v>901</v>
      </c>
      <c r="D248" s="1" t="s">
        <v>902</v>
      </c>
      <c r="E248" s="1" t="s">
        <v>190</v>
      </c>
      <c r="F248" s="1" t="s">
        <v>903</v>
      </c>
      <c r="G248" s="1" t="s">
        <v>904</v>
      </c>
      <c r="H248" s="1" t="s">
        <v>905</v>
      </c>
      <c r="I248" t="b">
        <f>COUNTIF(Estadísticas!I:I,'Centraldecomunicacion.es'!H248)&gt;0</f>
        <v>1</v>
      </c>
    </row>
    <row r="249" spans="1:9">
      <c r="A249" s="1" t="s">
        <v>906</v>
      </c>
      <c r="B249" s="1" t="s">
        <v>10</v>
      </c>
      <c r="C249" s="1" t="s">
        <v>907</v>
      </c>
      <c r="D249" s="1" t="s">
        <v>908</v>
      </c>
      <c r="E249" s="1" t="s">
        <v>190</v>
      </c>
      <c r="F249" s="1" t="s">
        <v>909</v>
      </c>
      <c r="G249" s="1" t="s">
        <v>910</v>
      </c>
      <c r="H249" s="1" t="s">
        <v>15</v>
      </c>
      <c r="I249" t="b">
        <f>COUNTIF(Estadísticas!I:I,'Centraldecomunicacion.es'!H249)&gt;0</f>
        <v>0</v>
      </c>
    </row>
    <row r="250" spans="1:9">
      <c r="A250" s="1" t="s">
        <v>911</v>
      </c>
      <c r="B250" s="1" t="s">
        <v>10</v>
      </c>
      <c r="C250" s="1" t="s">
        <v>912</v>
      </c>
      <c r="D250" s="1" t="s">
        <v>875</v>
      </c>
      <c r="E250" s="1" t="s">
        <v>190</v>
      </c>
      <c r="F250" s="1" t="s">
        <v>23</v>
      </c>
      <c r="G250" s="1" t="s">
        <v>913</v>
      </c>
      <c r="H250" s="1" t="s">
        <v>15</v>
      </c>
      <c r="I250" t="b">
        <f>COUNTIF(Estadísticas!I:I,'Centraldecomunicacion.es'!H250)&gt;0</f>
        <v>0</v>
      </c>
    </row>
    <row r="251" spans="1:9">
      <c r="A251" s="1" t="s">
        <v>914</v>
      </c>
      <c r="B251" s="1" t="s">
        <v>10</v>
      </c>
      <c r="C251" s="1" t="s">
        <v>915</v>
      </c>
      <c r="D251" s="1" t="s">
        <v>916</v>
      </c>
      <c r="E251" s="1" t="s">
        <v>190</v>
      </c>
      <c r="F251" s="1" t="s">
        <v>23</v>
      </c>
      <c r="G251" s="1" t="s">
        <v>917</v>
      </c>
      <c r="H251" s="1" t="s">
        <v>15</v>
      </c>
      <c r="I251" t="b">
        <f>COUNTIF(Estadísticas!I:I,'Centraldecomunicacion.es'!H251)&gt;0</f>
        <v>0</v>
      </c>
    </row>
    <row r="252" spans="1:9">
      <c r="A252" s="1" t="s">
        <v>918</v>
      </c>
      <c r="B252" s="1" t="s">
        <v>10</v>
      </c>
      <c r="C252" s="1" t="s">
        <v>919</v>
      </c>
      <c r="D252" s="1" t="s">
        <v>920</v>
      </c>
      <c r="E252" s="1" t="s">
        <v>190</v>
      </c>
      <c r="F252" s="1" t="s">
        <v>23</v>
      </c>
      <c r="G252" s="1" t="s">
        <v>921</v>
      </c>
      <c r="H252" s="1" t="s">
        <v>15</v>
      </c>
      <c r="I252" t="b">
        <f>COUNTIF(Estadísticas!I:I,'Centraldecomunicacion.es'!H252)&gt;0</f>
        <v>0</v>
      </c>
    </row>
    <row r="253" spans="1:9">
      <c r="A253" s="1" t="s">
        <v>922</v>
      </c>
      <c r="B253" s="1" t="s">
        <v>10</v>
      </c>
      <c r="C253" s="1" t="s">
        <v>923</v>
      </c>
      <c r="D253" s="1" t="s">
        <v>924</v>
      </c>
      <c r="E253" s="1" t="s">
        <v>190</v>
      </c>
      <c r="F253" s="1" t="s">
        <v>23</v>
      </c>
      <c r="G253" s="1" t="s">
        <v>925</v>
      </c>
      <c r="H253" s="1" t="s">
        <v>15</v>
      </c>
      <c r="I253" t="b">
        <f>COUNTIF(Estadísticas!I:I,'Centraldecomunicacion.es'!H253)&gt;0</f>
        <v>0</v>
      </c>
    </row>
    <row r="254" spans="1:9">
      <c r="A254" s="1" t="s">
        <v>926</v>
      </c>
      <c r="B254" s="1" t="s">
        <v>10</v>
      </c>
      <c r="C254" s="1" t="s">
        <v>927</v>
      </c>
      <c r="D254" s="1" t="s">
        <v>194</v>
      </c>
      <c r="E254" s="1" t="s">
        <v>190</v>
      </c>
      <c r="F254" s="1" t="s">
        <v>23</v>
      </c>
      <c r="G254" s="1" t="s">
        <v>928</v>
      </c>
      <c r="H254" s="1" t="s">
        <v>15</v>
      </c>
      <c r="I254" t="b">
        <f>COUNTIF(Estadísticas!I:I,'Centraldecomunicacion.es'!H254)&gt;0</f>
        <v>0</v>
      </c>
    </row>
    <row r="255" spans="1:9">
      <c r="A255" s="1" t="s">
        <v>929</v>
      </c>
      <c r="B255" s="1" t="s">
        <v>10</v>
      </c>
      <c r="C255" s="1" t="s">
        <v>930</v>
      </c>
      <c r="D255" s="1" t="s">
        <v>931</v>
      </c>
      <c r="E255" s="1" t="s">
        <v>190</v>
      </c>
      <c r="F255" s="1" t="s">
        <v>23</v>
      </c>
      <c r="G255" s="1" t="s">
        <v>932</v>
      </c>
      <c r="H255" s="1" t="s">
        <v>15</v>
      </c>
      <c r="I255" t="b">
        <f>COUNTIF(Estadísticas!I:I,'Centraldecomunicacion.es'!H255)&gt;0</f>
        <v>0</v>
      </c>
    </row>
    <row r="256" spans="1:9">
      <c r="A256" s="1" t="s">
        <v>933</v>
      </c>
      <c r="B256" s="1" t="s">
        <v>10</v>
      </c>
      <c r="C256" s="1" t="s">
        <v>934</v>
      </c>
      <c r="D256" s="1" t="s">
        <v>931</v>
      </c>
      <c r="E256" s="1" t="s">
        <v>190</v>
      </c>
      <c r="F256" s="1" t="s">
        <v>23</v>
      </c>
      <c r="G256" s="1" t="s">
        <v>935</v>
      </c>
      <c r="H256" s="1" t="s">
        <v>15</v>
      </c>
      <c r="I256" t="b">
        <f>COUNTIF(Estadísticas!I:I,'Centraldecomunicacion.es'!H256)&gt;0</f>
        <v>0</v>
      </c>
    </row>
    <row r="257" spans="1:9">
      <c r="A257" s="1" t="s">
        <v>936</v>
      </c>
      <c r="B257" s="1" t="s">
        <v>10</v>
      </c>
      <c r="C257" s="1" t="s">
        <v>937</v>
      </c>
      <c r="D257" s="1" t="s">
        <v>931</v>
      </c>
      <c r="E257" s="1" t="s">
        <v>190</v>
      </c>
      <c r="F257" s="1" t="s">
        <v>767</v>
      </c>
      <c r="G257" s="1" t="s">
        <v>938</v>
      </c>
      <c r="H257" s="1" t="s">
        <v>769</v>
      </c>
      <c r="I257" t="b">
        <f>COUNTIF(Estadísticas!I:I,'Centraldecomunicacion.es'!H257)&gt;0</f>
        <v>0</v>
      </c>
    </row>
    <row r="258" spans="1:9">
      <c r="A258" s="1" t="s">
        <v>939</v>
      </c>
      <c r="B258" s="1" t="s">
        <v>10</v>
      </c>
      <c r="C258" s="1" t="s">
        <v>940</v>
      </c>
      <c r="D258" s="1" t="s">
        <v>941</v>
      </c>
      <c r="E258" s="1" t="s">
        <v>190</v>
      </c>
      <c r="F258" s="1" t="s">
        <v>23</v>
      </c>
      <c r="G258" s="1" t="s">
        <v>942</v>
      </c>
      <c r="H258" s="1" t="s">
        <v>15</v>
      </c>
      <c r="I258" t="b">
        <f>COUNTIF(Estadísticas!I:I,'Centraldecomunicacion.es'!H258)&gt;0</f>
        <v>0</v>
      </c>
    </row>
    <row r="259" spans="1:9">
      <c r="A259" s="1" t="s">
        <v>943</v>
      </c>
      <c r="B259" s="1" t="s">
        <v>10</v>
      </c>
      <c r="C259" s="1" t="s">
        <v>944</v>
      </c>
      <c r="D259" s="1" t="s">
        <v>945</v>
      </c>
      <c r="E259" s="1" t="s">
        <v>190</v>
      </c>
      <c r="F259" s="1" t="s">
        <v>23</v>
      </c>
      <c r="G259" s="1" t="s">
        <v>946</v>
      </c>
      <c r="H259" s="1" t="s">
        <v>15</v>
      </c>
      <c r="I259" t="b">
        <f>COUNTIF(Estadísticas!I:I,'Centraldecomunicacion.es'!H259)&gt;0</f>
        <v>0</v>
      </c>
    </row>
    <row r="260" spans="1:9">
      <c r="A260" s="1" t="s">
        <v>947</v>
      </c>
      <c r="B260" s="1" t="s">
        <v>10</v>
      </c>
      <c r="C260" s="1" t="s">
        <v>948</v>
      </c>
      <c r="D260" s="1" t="s">
        <v>949</v>
      </c>
      <c r="E260" s="1" t="s">
        <v>190</v>
      </c>
      <c r="F260" s="1" t="s">
        <v>23</v>
      </c>
      <c r="G260" s="1" t="s">
        <v>950</v>
      </c>
      <c r="H260" s="1" t="s">
        <v>15</v>
      </c>
      <c r="I260" t="b">
        <f>COUNTIF(Estadísticas!I:I,'Centraldecomunicacion.es'!H260)&gt;0</f>
        <v>0</v>
      </c>
    </row>
    <row r="261" spans="1:9">
      <c r="A261" s="1" t="s">
        <v>257</v>
      </c>
      <c r="B261" s="1" t="s">
        <v>10</v>
      </c>
      <c r="C261" s="1" t="s">
        <v>951</v>
      </c>
      <c r="D261" s="1" t="s">
        <v>952</v>
      </c>
      <c r="E261" s="1" t="s">
        <v>952</v>
      </c>
      <c r="F261" s="1" t="s">
        <v>81</v>
      </c>
      <c r="G261" s="1" t="s">
        <v>953</v>
      </c>
      <c r="H261" s="1" t="s">
        <v>83</v>
      </c>
      <c r="I261" t="b">
        <f>COUNTIF(Estadísticas!I:I,'Centraldecomunicacion.es'!H261)&gt;0</f>
        <v>0</v>
      </c>
    </row>
    <row r="262" spans="1:9">
      <c r="A262" s="1" t="s">
        <v>954</v>
      </c>
      <c r="B262" s="1" t="s">
        <v>10</v>
      </c>
      <c r="C262" s="1" t="s">
        <v>955</v>
      </c>
      <c r="D262" s="1" t="s">
        <v>952</v>
      </c>
      <c r="E262" s="1" t="s">
        <v>952</v>
      </c>
      <c r="F262" s="1" t="s">
        <v>956</v>
      </c>
      <c r="G262" s="1" t="s">
        <v>957</v>
      </c>
      <c r="H262" s="1" t="s">
        <v>958</v>
      </c>
      <c r="I262" t="b">
        <f>COUNTIF(Estadísticas!I:I,'Centraldecomunicacion.es'!H262)&gt;0</f>
        <v>1</v>
      </c>
    </row>
    <row r="263" spans="1:9">
      <c r="A263" s="1" t="s">
        <v>959</v>
      </c>
      <c r="B263" s="1" t="s">
        <v>10</v>
      </c>
      <c r="C263" s="1" t="s">
        <v>960</v>
      </c>
      <c r="D263" s="1" t="s">
        <v>952</v>
      </c>
      <c r="E263" s="1" t="s">
        <v>952</v>
      </c>
      <c r="F263" s="1" t="s">
        <v>23</v>
      </c>
      <c r="G263" s="1" t="s">
        <v>961</v>
      </c>
      <c r="H263" s="1" t="s">
        <v>15</v>
      </c>
      <c r="I263" t="b">
        <f>COUNTIF(Estadísticas!I:I,'Centraldecomunicacion.es'!H263)&gt;0</f>
        <v>0</v>
      </c>
    </row>
    <row r="264" spans="1:9">
      <c r="A264" s="1" t="s">
        <v>962</v>
      </c>
      <c r="B264" s="1" t="s">
        <v>10</v>
      </c>
      <c r="C264" s="1" t="s">
        <v>963</v>
      </c>
      <c r="D264" s="1" t="s">
        <v>952</v>
      </c>
      <c r="E264" s="1" t="s">
        <v>952</v>
      </c>
      <c r="F264" s="1" t="s">
        <v>964</v>
      </c>
      <c r="G264" s="1" t="s">
        <v>965</v>
      </c>
      <c r="H264" s="1" t="s">
        <v>966</v>
      </c>
      <c r="I264" t="b">
        <f>COUNTIF(Estadísticas!I:I,'Centraldecomunicacion.es'!H264)&gt;0</f>
        <v>0</v>
      </c>
    </row>
    <row r="265" spans="1:9">
      <c r="A265" s="1" t="s">
        <v>967</v>
      </c>
      <c r="B265" s="1" t="s">
        <v>10</v>
      </c>
      <c r="C265" s="1" t="s">
        <v>968</v>
      </c>
      <c r="D265" s="1" t="s">
        <v>952</v>
      </c>
      <c r="E265" s="1" t="s">
        <v>952</v>
      </c>
      <c r="F265" s="1" t="s">
        <v>969</v>
      </c>
      <c r="G265" s="1" t="s">
        <v>970</v>
      </c>
      <c r="H265" s="1" t="s">
        <v>971</v>
      </c>
      <c r="I265" t="b">
        <f>COUNTIF(Estadísticas!I:I,'Centraldecomunicacion.es'!H265)&gt;0</f>
        <v>1</v>
      </c>
    </row>
    <row r="266" spans="1:9">
      <c r="A266" s="1" t="s">
        <v>972</v>
      </c>
      <c r="B266" s="1" t="s">
        <v>10</v>
      </c>
      <c r="C266" s="1" t="s">
        <v>973</v>
      </c>
      <c r="D266" s="1" t="s">
        <v>952</v>
      </c>
      <c r="E266" s="1" t="s">
        <v>952</v>
      </c>
      <c r="F266" s="1" t="s">
        <v>974</v>
      </c>
      <c r="G266" s="1" t="s">
        <v>975</v>
      </c>
      <c r="H266" s="1" t="s">
        <v>976</v>
      </c>
      <c r="I266" t="b">
        <f>COUNTIF(Estadísticas!I:I,'Centraldecomunicacion.es'!H266)&gt;0</f>
        <v>0</v>
      </c>
    </row>
    <row r="267" spans="1:9">
      <c r="A267" s="1" t="s">
        <v>977</v>
      </c>
      <c r="B267" s="1" t="s">
        <v>10</v>
      </c>
      <c r="C267" s="1" t="s">
        <v>978</v>
      </c>
      <c r="D267" s="1" t="s">
        <v>952</v>
      </c>
      <c r="E267" s="1" t="s">
        <v>952</v>
      </c>
      <c r="F267" s="1" t="s">
        <v>979</v>
      </c>
      <c r="G267" s="1" t="s">
        <v>980</v>
      </c>
      <c r="H267" s="1" t="s">
        <v>981</v>
      </c>
      <c r="I267" t="b">
        <f>COUNTIF(Estadísticas!I:I,'Centraldecomunicacion.es'!H267)&gt;0</f>
        <v>1</v>
      </c>
    </row>
    <row r="268" spans="1:9">
      <c r="A268" s="1" t="s">
        <v>982</v>
      </c>
      <c r="B268" s="1" t="s">
        <v>10</v>
      </c>
      <c r="C268" s="1" t="s">
        <v>983</v>
      </c>
      <c r="D268" s="1" t="s">
        <v>952</v>
      </c>
      <c r="E268" s="1" t="s">
        <v>952</v>
      </c>
      <c r="F268" s="1" t="s">
        <v>984</v>
      </c>
      <c r="G268" s="1" t="s">
        <v>985</v>
      </c>
      <c r="H268" s="1" t="s">
        <v>15</v>
      </c>
      <c r="I268" t="b">
        <f>COUNTIF(Estadísticas!I:I,'Centraldecomunicacion.es'!H268)&gt;0</f>
        <v>0</v>
      </c>
    </row>
    <row r="269" spans="1:9">
      <c r="A269" s="1" t="s">
        <v>986</v>
      </c>
      <c r="B269" s="1" t="s">
        <v>10</v>
      </c>
      <c r="C269" s="1" t="s">
        <v>987</v>
      </c>
      <c r="D269" s="1" t="s">
        <v>952</v>
      </c>
      <c r="E269" s="1" t="s">
        <v>952</v>
      </c>
      <c r="F269" s="1" t="s">
        <v>23</v>
      </c>
      <c r="G269" s="1" t="s">
        <v>988</v>
      </c>
      <c r="H269" s="1" t="s">
        <v>15</v>
      </c>
      <c r="I269" t="b">
        <f>COUNTIF(Estadísticas!I:I,'Centraldecomunicacion.es'!H269)&gt;0</f>
        <v>0</v>
      </c>
    </row>
    <row r="270" spans="1:9">
      <c r="A270" s="1" t="s">
        <v>989</v>
      </c>
      <c r="B270" s="1" t="s">
        <v>10</v>
      </c>
      <c r="C270" s="1" t="s">
        <v>990</v>
      </c>
      <c r="D270" s="1" t="s">
        <v>952</v>
      </c>
      <c r="E270" s="1" t="s">
        <v>952</v>
      </c>
      <c r="F270" s="1" t="s">
        <v>23</v>
      </c>
      <c r="G270" s="1" t="s">
        <v>991</v>
      </c>
      <c r="H270" s="1" t="s">
        <v>15</v>
      </c>
      <c r="I270" t="b">
        <f>COUNTIF(Estadísticas!I:I,'Centraldecomunicacion.es'!H270)&gt;0</f>
        <v>0</v>
      </c>
    </row>
    <row r="271" spans="1:9">
      <c r="A271" s="1" t="s">
        <v>992</v>
      </c>
      <c r="B271" s="1" t="s">
        <v>10</v>
      </c>
      <c r="C271" s="1" t="s">
        <v>993</v>
      </c>
      <c r="D271" s="1" t="s">
        <v>952</v>
      </c>
      <c r="E271" s="1" t="s">
        <v>952</v>
      </c>
      <c r="F271" s="1" t="s">
        <v>23</v>
      </c>
      <c r="G271" s="1" t="s">
        <v>994</v>
      </c>
      <c r="H271" s="1" t="s">
        <v>15</v>
      </c>
      <c r="I271" t="b">
        <f>COUNTIF(Estadísticas!I:I,'Centraldecomunicacion.es'!H271)&gt;0</f>
        <v>0</v>
      </c>
    </row>
    <row r="272" spans="1:9">
      <c r="A272" s="1" t="s">
        <v>995</v>
      </c>
      <c r="B272" s="1" t="s">
        <v>10</v>
      </c>
      <c r="C272" s="1" t="s">
        <v>996</v>
      </c>
      <c r="D272" s="1" t="s">
        <v>952</v>
      </c>
      <c r="E272" s="1" t="s">
        <v>952</v>
      </c>
      <c r="F272" s="1" t="s">
        <v>23</v>
      </c>
      <c r="G272" s="1" t="s">
        <v>997</v>
      </c>
      <c r="H272" s="1" t="s">
        <v>15</v>
      </c>
      <c r="I272" t="b">
        <f>COUNTIF(Estadísticas!I:I,'Centraldecomunicacion.es'!H272)&gt;0</f>
        <v>0</v>
      </c>
    </row>
    <row r="273" spans="1:9">
      <c r="A273" s="1" t="s">
        <v>998</v>
      </c>
      <c r="B273" s="1" t="s">
        <v>10</v>
      </c>
      <c r="C273" s="1" t="s">
        <v>999</v>
      </c>
      <c r="D273" s="1" t="s">
        <v>1000</v>
      </c>
      <c r="E273" s="1" t="s">
        <v>952</v>
      </c>
      <c r="F273" s="1" t="s">
        <v>23</v>
      </c>
      <c r="G273" s="1" t="s">
        <v>1001</v>
      </c>
      <c r="H273" s="1" t="s">
        <v>15</v>
      </c>
      <c r="I273" t="b">
        <f>COUNTIF(Estadísticas!I:I,'Centraldecomunicacion.es'!H273)&gt;0</f>
        <v>0</v>
      </c>
    </row>
    <row r="274" spans="1:9">
      <c r="A274" s="1" t="s">
        <v>1002</v>
      </c>
      <c r="B274" s="1" t="s">
        <v>10</v>
      </c>
      <c r="C274" s="1" t="s">
        <v>1003</v>
      </c>
      <c r="D274" s="1" t="s">
        <v>1004</v>
      </c>
      <c r="E274" s="1" t="s">
        <v>952</v>
      </c>
      <c r="F274" s="1" t="s">
        <v>23</v>
      </c>
      <c r="G274" s="1" t="s">
        <v>1005</v>
      </c>
      <c r="H274" s="1" t="s">
        <v>15</v>
      </c>
      <c r="I274" t="b">
        <f>COUNTIF(Estadísticas!I:I,'Centraldecomunicacion.es'!H274)&gt;0</f>
        <v>0</v>
      </c>
    </row>
    <row r="275" spans="1:9">
      <c r="A275" s="1" t="s">
        <v>1006</v>
      </c>
      <c r="B275" s="1" t="s">
        <v>10</v>
      </c>
      <c r="C275" s="1" t="s">
        <v>1007</v>
      </c>
      <c r="D275" s="1" t="s">
        <v>1008</v>
      </c>
      <c r="E275" s="1" t="s">
        <v>952</v>
      </c>
      <c r="F275" s="1" t="s">
        <v>23</v>
      </c>
      <c r="G275" s="1" t="s">
        <v>1009</v>
      </c>
      <c r="H275" s="1" t="s">
        <v>15</v>
      </c>
      <c r="I275" t="b">
        <f>COUNTIF(Estadísticas!I:I,'Centraldecomunicacion.es'!H275)&gt;0</f>
        <v>0</v>
      </c>
    </row>
    <row r="276" spans="1:9">
      <c r="A276" s="1" t="s">
        <v>1010</v>
      </c>
      <c r="B276" s="1" t="s">
        <v>10</v>
      </c>
      <c r="C276" s="1" t="s">
        <v>1011</v>
      </c>
      <c r="D276" s="1" t="s">
        <v>1008</v>
      </c>
      <c r="E276" s="1" t="s">
        <v>952</v>
      </c>
      <c r="F276" s="1" t="s">
        <v>1012</v>
      </c>
      <c r="G276" s="1" t="s">
        <v>1013</v>
      </c>
      <c r="H276" s="1" t="s">
        <v>1014</v>
      </c>
      <c r="I276" t="b">
        <f>COUNTIF(Estadísticas!I:I,'Centraldecomunicacion.es'!H276)&gt;0</f>
        <v>0</v>
      </c>
    </row>
    <row r="277" spans="1:9">
      <c r="A277" s="1" t="s">
        <v>1015</v>
      </c>
      <c r="B277" s="1" t="s">
        <v>10</v>
      </c>
      <c r="C277" s="1" t="s">
        <v>1016</v>
      </c>
      <c r="D277" s="1" t="s">
        <v>1017</v>
      </c>
      <c r="E277" s="1" t="s">
        <v>952</v>
      </c>
      <c r="F277" s="1" t="s">
        <v>23</v>
      </c>
      <c r="G277" s="1" t="s">
        <v>1018</v>
      </c>
      <c r="H277" s="1" t="s">
        <v>15</v>
      </c>
      <c r="I277" t="b">
        <f>COUNTIF(Estadísticas!I:I,'Centraldecomunicacion.es'!H277)&gt;0</f>
        <v>0</v>
      </c>
    </row>
    <row r="278" spans="1:9">
      <c r="A278" s="1" t="s">
        <v>1019</v>
      </c>
      <c r="B278" s="1" t="s">
        <v>10</v>
      </c>
      <c r="C278" s="1" t="s">
        <v>1020</v>
      </c>
      <c r="D278" s="1" t="s">
        <v>1021</v>
      </c>
      <c r="E278" s="1" t="s">
        <v>952</v>
      </c>
      <c r="F278" s="1" t="s">
        <v>1022</v>
      </c>
      <c r="G278" s="1" t="s">
        <v>1023</v>
      </c>
      <c r="H278" s="1" t="s">
        <v>15</v>
      </c>
      <c r="I278" t="b">
        <f>COUNTIF(Estadísticas!I:I,'Centraldecomunicacion.es'!H278)&gt;0</f>
        <v>0</v>
      </c>
    </row>
    <row r="279" spans="1:9">
      <c r="A279" s="1" t="s">
        <v>1024</v>
      </c>
      <c r="B279" s="1" t="s">
        <v>10</v>
      </c>
      <c r="C279" s="1" t="s">
        <v>1025</v>
      </c>
      <c r="D279" s="1" t="s">
        <v>1026</v>
      </c>
      <c r="E279" s="1" t="s">
        <v>952</v>
      </c>
      <c r="F279" s="1" t="s">
        <v>23</v>
      </c>
      <c r="G279" s="1" t="s">
        <v>23</v>
      </c>
      <c r="H279" s="1" t="s">
        <v>15</v>
      </c>
      <c r="I279" t="b">
        <f>COUNTIF(Estadísticas!I:I,'Centraldecomunicacion.es'!H279)&gt;0</f>
        <v>0</v>
      </c>
    </row>
    <row r="280" spans="1:9">
      <c r="A280" s="1" t="s">
        <v>1027</v>
      </c>
      <c r="B280" s="1" t="s">
        <v>10</v>
      </c>
      <c r="C280" s="1" t="s">
        <v>1028</v>
      </c>
      <c r="D280" s="1" t="s">
        <v>1021</v>
      </c>
      <c r="E280" s="1" t="s">
        <v>952</v>
      </c>
      <c r="F280" s="1" t="s">
        <v>23</v>
      </c>
      <c r="G280" s="1" t="s">
        <v>1029</v>
      </c>
      <c r="H280" s="1" t="s">
        <v>15</v>
      </c>
      <c r="I280" t="b">
        <f>COUNTIF(Estadísticas!I:I,'Centraldecomunicacion.es'!H280)&gt;0</f>
        <v>0</v>
      </c>
    </row>
    <row r="281" spans="1:9">
      <c r="A281" s="1" t="s">
        <v>1030</v>
      </c>
      <c r="B281" s="1" t="s">
        <v>10</v>
      </c>
      <c r="C281" s="1" t="s">
        <v>1031</v>
      </c>
      <c r="D281" s="1" t="s">
        <v>1026</v>
      </c>
      <c r="E281" s="1" t="s">
        <v>952</v>
      </c>
      <c r="F281" s="1" t="s">
        <v>23</v>
      </c>
      <c r="G281" s="1" t="s">
        <v>1032</v>
      </c>
      <c r="H281" s="1" t="s">
        <v>15</v>
      </c>
      <c r="I281" t="b">
        <f>COUNTIF(Estadísticas!I:I,'Centraldecomunicacion.es'!H281)&gt;0</f>
        <v>0</v>
      </c>
    </row>
    <row r="282" spans="1:9">
      <c r="A282" s="1" t="s">
        <v>1033</v>
      </c>
      <c r="B282" s="1" t="s">
        <v>10</v>
      </c>
      <c r="C282" s="1" t="s">
        <v>1034</v>
      </c>
      <c r="D282" s="1" t="s">
        <v>1026</v>
      </c>
      <c r="E282" s="1" t="s">
        <v>952</v>
      </c>
      <c r="F282" s="1" t="s">
        <v>1035</v>
      </c>
      <c r="G282" s="1" t="s">
        <v>1036</v>
      </c>
      <c r="H282" s="1" t="s">
        <v>1037</v>
      </c>
      <c r="I282" t="b">
        <f>COUNTIF(Estadísticas!I:I,'Centraldecomunicacion.es'!H282)&gt;0</f>
        <v>0</v>
      </c>
    </row>
    <row r="283" spans="1:9">
      <c r="A283" s="1" t="s">
        <v>1038</v>
      </c>
      <c r="B283" s="1" t="s">
        <v>10</v>
      </c>
      <c r="C283" s="1" t="s">
        <v>1039</v>
      </c>
      <c r="D283" s="1" t="s">
        <v>1040</v>
      </c>
      <c r="E283" s="1" t="s">
        <v>952</v>
      </c>
      <c r="F283" s="1" t="s">
        <v>23</v>
      </c>
      <c r="G283" s="1" t="s">
        <v>1041</v>
      </c>
      <c r="H283" s="1" t="s">
        <v>15</v>
      </c>
      <c r="I283" t="b">
        <f>COUNTIF(Estadísticas!I:I,'Centraldecomunicacion.es'!H283)&gt;0</f>
        <v>0</v>
      </c>
    </row>
    <row r="284" spans="1:9">
      <c r="A284" s="1" t="s">
        <v>1042</v>
      </c>
      <c r="B284" s="1" t="s">
        <v>10</v>
      </c>
      <c r="C284" s="1" t="s">
        <v>1043</v>
      </c>
      <c r="D284" s="1" t="s">
        <v>219</v>
      </c>
      <c r="E284" s="1" t="s">
        <v>219</v>
      </c>
      <c r="F284" s="1" t="s">
        <v>23</v>
      </c>
      <c r="G284" s="1" t="s">
        <v>1044</v>
      </c>
      <c r="H284" s="1" t="s">
        <v>15</v>
      </c>
      <c r="I284" t="b">
        <f>COUNTIF(Estadísticas!I:I,'Centraldecomunicacion.es'!H284)&gt;0</f>
        <v>0</v>
      </c>
    </row>
    <row r="285" spans="1:9">
      <c r="A285" s="1" t="s">
        <v>257</v>
      </c>
      <c r="B285" s="1" t="s">
        <v>10</v>
      </c>
      <c r="C285" s="1" t="s">
        <v>1045</v>
      </c>
      <c r="D285" s="1" t="s">
        <v>209</v>
      </c>
      <c r="E285" s="1" t="s">
        <v>209</v>
      </c>
      <c r="F285" s="1" t="s">
        <v>1046</v>
      </c>
      <c r="G285" s="1" t="s">
        <v>1047</v>
      </c>
      <c r="H285" s="1" t="s">
        <v>1048</v>
      </c>
      <c r="I285" t="b">
        <f>COUNTIF(Estadísticas!I:I,'Centraldecomunicacion.es'!H285)&gt;0</f>
        <v>0</v>
      </c>
    </row>
    <row r="286" spans="1:9">
      <c r="A286" s="1" t="s">
        <v>257</v>
      </c>
      <c r="B286" s="1" t="s">
        <v>10</v>
      </c>
      <c r="C286" s="1" t="s">
        <v>1049</v>
      </c>
      <c r="D286" s="1" t="s">
        <v>209</v>
      </c>
      <c r="E286" s="1" t="s">
        <v>209</v>
      </c>
      <c r="F286" s="1" t="s">
        <v>1046</v>
      </c>
      <c r="G286" s="1" t="s">
        <v>1050</v>
      </c>
      <c r="H286" s="1" t="s">
        <v>1048</v>
      </c>
      <c r="I286" t="b">
        <f>COUNTIF(Estadísticas!I:I,'Centraldecomunicacion.es'!H286)&gt;0</f>
        <v>0</v>
      </c>
    </row>
    <row r="287" spans="1:9">
      <c r="A287" s="1" t="s">
        <v>1051</v>
      </c>
      <c r="B287" s="1" t="s">
        <v>10</v>
      </c>
      <c r="C287" s="1" t="s">
        <v>1052</v>
      </c>
      <c r="D287" s="1" t="s">
        <v>209</v>
      </c>
      <c r="E287" s="1" t="s">
        <v>209</v>
      </c>
      <c r="F287" s="1" t="s">
        <v>1053</v>
      </c>
      <c r="G287" s="1" t="s">
        <v>1054</v>
      </c>
      <c r="H287" s="1" t="s">
        <v>15</v>
      </c>
      <c r="I287" t="b">
        <f>COUNTIF(Estadísticas!I:I,'Centraldecomunicacion.es'!H287)&gt;0</f>
        <v>0</v>
      </c>
    </row>
    <row r="288" spans="1:9">
      <c r="A288" s="1" t="s">
        <v>1055</v>
      </c>
      <c r="B288" s="1" t="s">
        <v>10</v>
      </c>
      <c r="C288" s="1" t="s">
        <v>1056</v>
      </c>
      <c r="D288" s="1" t="s">
        <v>209</v>
      </c>
      <c r="E288" s="1" t="s">
        <v>209</v>
      </c>
      <c r="F288" s="1" t="s">
        <v>23</v>
      </c>
      <c r="G288" s="1" t="s">
        <v>1057</v>
      </c>
      <c r="H288" s="1" t="s">
        <v>15</v>
      </c>
      <c r="I288" t="b">
        <f>COUNTIF(Estadísticas!I:I,'Centraldecomunicacion.es'!H288)&gt;0</f>
        <v>0</v>
      </c>
    </row>
    <row r="289" spans="1:9">
      <c r="A289" s="1" t="s">
        <v>1058</v>
      </c>
      <c r="B289" s="1" t="s">
        <v>10</v>
      </c>
      <c r="C289" s="1" t="s">
        <v>1059</v>
      </c>
      <c r="D289" s="1" t="s">
        <v>209</v>
      </c>
      <c r="E289" s="1" t="s">
        <v>209</v>
      </c>
      <c r="F289" s="1" t="s">
        <v>23</v>
      </c>
      <c r="G289" s="1" t="s">
        <v>1060</v>
      </c>
      <c r="H289" s="1" t="s">
        <v>15</v>
      </c>
      <c r="I289" t="b">
        <f>COUNTIF(Estadísticas!I:I,'Centraldecomunicacion.es'!H289)&gt;0</f>
        <v>0</v>
      </c>
    </row>
    <row r="290" spans="1:9">
      <c r="A290" s="1" t="s">
        <v>1061</v>
      </c>
      <c r="B290" s="1" t="s">
        <v>10</v>
      </c>
      <c r="C290" s="1" t="s">
        <v>1062</v>
      </c>
      <c r="D290" s="1" t="s">
        <v>209</v>
      </c>
      <c r="E290" s="1" t="s">
        <v>209</v>
      </c>
      <c r="F290" s="1" t="s">
        <v>23</v>
      </c>
      <c r="G290" s="1" t="s">
        <v>1063</v>
      </c>
      <c r="H290" s="1" t="s">
        <v>15</v>
      </c>
      <c r="I290" t="b">
        <f>COUNTIF(Estadísticas!I:I,'Centraldecomunicacion.es'!H290)&gt;0</f>
        <v>0</v>
      </c>
    </row>
    <row r="291" spans="1:9">
      <c r="A291" s="1" t="s">
        <v>1064</v>
      </c>
      <c r="B291" s="1" t="s">
        <v>10</v>
      </c>
      <c r="C291" s="1" t="s">
        <v>1065</v>
      </c>
      <c r="D291" s="1" t="s">
        <v>1066</v>
      </c>
      <c r="E291" s="1" t="s">
        <v>209</v>
      </c>
      <c r="F291" s="1" t="s">
        <v>23</v>
      </c>
      <c r="G291" s="1" t="s">
        <v>1067</v>
      </c>
      <c r="H291" s="1" t="s">
        <v>15</v>
      </c>
      <c r="I291" t="b">
        <f>COUNTIF(Estadísticas!I:I,'Centraldecomunicacion.es'!H291)&gt;0</f>
        <v>0</v>
      </c>
    </row>
    <row r="292" spans="1:9">
      <c r="A292" s="1" t="s">
        <v>1068</v>
      </c>
      <c r="B292" s="1" t="s">
        <v>10</v>
      </c>
      <c r="C292" s="1" t="s">
        <v>1069</v>
      </c>
      <c r="D292" s="1" t="s">
        <v>1070</v>
      </c>
      <c r="E292" s="1" t="s">
        <v>209</v>
      </c>
      <c r="F292" s="1" t="s">
        <v>23</v>
      </c>
      <c r="G292" s="1" t="s">
        <v>1071</v>
      </c>
      <c r="H292" s="1" t="s">
        <v>15</v>
      </c>
      <c r="I292" t="b">
        <f>COUNTIF(Estadísticas!I:I,'Centraldecomunicacion.es'!H292)&gt;0</f>
        <v>0</v>
      </c>
    </row>
    <row r="293" spans="1:9">
      <c r="A293" s="1" t="s">
        <v>1072</v>
      </c>
      <c r="B293" s="1" t="s">
        <v>10</v>
      </c>
      <c r="C293" s="1" t="s">
        <v>1073</v>
      </c>
      <c r="D293" s="1" t="s">
        <v>1070</v>
      </c>
      <c r="E293" s="1" t="s">
        <v>209</v>
      </c>
      <c r="F293" s="1" t="s">
        <v>811</v>
      </c>
      <c r="G293" s="1" t="s">
        <v>1074</v>
      </c>
      <c r="H293" s="1" t="s">
        <v>15</v>
      </c>
      <c r="I293" t="b">
        <f>COUNTIF(Estadísticas!I:I,'Centraldecomunicacion.es'!H293)&gt;0</f>
        <v>0</v>
      </c>
    </row>
    <row r="294" spans="1:9">
      <c r="A294" s="1" t="s">
        <v>1075</v>
      </c>
      <c r="B294" s="1" t="s">
        <v>10</v>
      </c>
      <c r="C294" s="1" t="s">
        <v>1076</v>
      </c>
      <c r="D294" s="1" t="s">
        <v>1070</v>
      </c>
      <c r="E294" s="1" t="s">
        <v>209</v>
      </c>
      <c r="F294" s="1" t="s">
        <v>23</v>
      </c>
      <c r="G294" s="1" t="s">
        <v>1077</v>
      </c>
      <c r="H294" s="1" t="s">
        <v>15</v>
      </c>
      <c r="I294" t="b">
        <f>COUNTIF(Estadísticas!I:I,'Centraldecomunicacion.es'!H294)&gt;0</f>
        <v>0</v>
      </c>
    </row>
    <row r="295" spans="1:9">
      <c r="A295" s="1" t="s">
        <v>1078</v>
      </c>
      <c r="B295" s="1" t="s">
        <v>10</v>
      </c>
      <c r="C295" s="1" t="s">
        <v>1079</v>
      </c>
      <c r="D295" s="1" t="s">
        <v>1080</v>
      </c>
      <c r="E295" s="1" t="s">
        <v>209</v>
      </c>
      <c r="F295" s="1" t="s">
        <v>23</v>
      </c>
      <c r="G295" s="1" t="s">
        <v>1081</v>
      </c>
      <c r="H295" s="1" t="s">
        <v>15</v>
      </c>
      <c r="I295" t="b">
        <f>COUNTIF(Estadísticas!I:I,'Centraldecomunicacion.es'!H295)&gt;0</f>
        <v>0</v>
      </c>
    </row>
    <row r="296" spans="1:9">
      <c r="A296" s="1" t="s">
        <v>1082</v>
      </c>
      <c r="B296" s="1" t="s">
        <v>10</v>
      </c>
      <c r="C296" s="1" t="s">
        <v>1083</v>
      </c>
      <c r="D296" s="1" t="s">
        <v>1084</v>
      </c>
      <c r="E296" s="1" t="s">
        <v>209</v>
      </c>
      <c r="F296" s="1" t="s">
        <v>23</v>
      </c>
      <c r="G296" s="1" t="s">
        <v>1085</v>
      </c>
      <c r="H296" s="1" t="s">
        <v>15</v>
      </c>
      <c r="I296" t="b">
        <f>COUNTIF(Estadísticas!I:I,'Centraldecomunicacion.es'!H296)&gt;0</f>
        <v>0</v>
      </c>
    </row>
    <row r="297" spans="1:9">
      <c r="A297" s="1" t="s">
        <v>1086</v>
      </c>
      <c r="B297" s="1" t="s">
        <v>10</v>
      </c>
      <c r="C297" s="1" t="s">
        <v>1087</v>
      </c>
      <c r="D297" s="1" t="s">
        <v>1088</v>
      </c>
      <c r="E297" s="1" t="s">
        <v>209</v>
      </c>
      <c r="F297" s="1" t="s">
        <v>1089</v>
      </c>
      <c r="G297" s="1" t="s">
        <v>1090</v>
      </c>
      <c r="H297" s="1" t="s">
        <v>1091</v>
      </c>
      <c r="I297" t="b">
        <f>COUNTIF(Estadísticas!I:I,'Centraldecomunicacion.es'!H297)&gt;0</f>
        <v>0</v>
      </c>
    </row>
    <row r="298" spans="1:9">
      <c r="A298" s="1" t="s">
        <v>1092</v>
      </c>
      <c r="B298" s="1" t="s">
        <v>10</v>
      </c>
      <c r="C298" s="1" t="s">
        <v>1093</v>
      </c>
      <c r="D298" s="1" t="s">
        <v>1094</v>
      </c>
      <c r="E298" s="1" t="s">
        <v>209</v>
      </c>
      <c r="F298" s="1" t="s">
        <v>23</v>
      </c>
      <c r="G298" s="1" t="s">
        <v>1095</v>
      </c>
      <c r="H298" s="1" t="s">
        <v>15</v>
      </c>
      <c r="I298" t="b">
        <f>COUNTIF(Estadísticas!I:I,'Centraldecomunicacion.es'!H298)&gt;0</f>
        <v>0</v>
      </c>
    </row>
    <row r="299" spans="1:9">
      <c r="A299" s="1" t="s">
        <v>1096</v>
      </c>
      <c r="B299" s="1" t="s">
        <v>10</v>
      </c>
      <c r="C299" s="1" t="s">
        <v>1097</v>
      </c>
      <c r="D299" s="1" t="s">
        <v>1098</v>
      </c>
      <c r="E299" s="1" t="s">
        <v>209</v>
      </c>
      <c r="F299" s="1" t="s">
        <v>23</v>
      </c>
      <c r="G299" s="1" t="s">
        <v>23</v>
      </c>
      <c r="H299" s="1" t="s">
        <v>15</v>
      </c>
      <c r="I299" t="b">
        <f>COUNTIF(Estadísticas!I:I,'Centraldecomunicacion.es'!H299)&gt;0</f>
        <v>0</v>
      </c>
    </row>
    <row r="300" spans="1:9">
      <c r="A300" s="1" t="s">
        <v>1099</v>
      </c>
      <c r="B300" s="1" t="s">
        <v>10</v>
      </c>
      <c r="C300" s="1" t="s">
        <v>1100</v>
      </c>
      <c r="D300" s="1" t="s">
        <v>1101</v>
      </c>
      <c r="E300" s="1" t="s">
        <v>209</v>
      </c>
      <c r="F300" s="1" t="s">
        <v>1102</v>
      </c>
      <c r="G300" s="1" t="s">
        <v>1103</v>
      </c>
      <c r="H300" s="1" t="s">
        <v>1104</v>
      </c>
      <c r="I300" t="b">
        <f>COUNTIF(Estadísticas!I:I,'Centraldecomunicacion.es'!H300)&gt;0</f>
        <v>0</v>
      </c>
    </row>
    <row r="301" spans="1:9">
      <c r="A301" s="1" t="s">
        <v>1105</v>
      </c>
      <c r="B301" s="1" t="s">
        <v>10</v>
      </c>
      <c r="C301" s="1" t="s">
        <v>1106</v>
      </c>
      <c r="D301" s="1" t="s">
        <v>1094</v>
      </c>
      <c r="E301" s="1" t="s">
        <v>209</v>
      </c>
      <c r="F301" s="1" t="s">
        <v>23</v>
      </c>
      <c r="G301" s="1" t="s">
        <v>1107</v>
      </c>
      <c r="H301" s="1" t="s">
        <v>15</v>
      </c>
      <c r="I301" t="b">
        <f>COUNTIF(Estadísticas!I:I,'Centraldecomunicacion.es'!H301)&gt;0</f>
        <v>0</v>
      </c>
    </row>
    <row r="302" spans="1:9">
      <c r="A302" s="1" t="s">
        <v>1108</v>
      </c>
      <c r="B302" s="1" t="s">
        <v>10</v>
      </c>
      <c r="C302" s="1" t="s">
        <v>1109</v>
      </c>
      <c r="D302" s="1" t="s">
        <v>1110</v>
      </c>
      <c r="E302" s="1" t="s">
        <v>209</v>
      </c>
      <c r="F302" s="1" t="s">
        <v>1111</v>
      </c>
      <c r="G302" s="1" t="s">
        <v>1112</v>
      </c>
      <c r="H302" s="1" t="s">
        <v>15</v>
      </c>
      <c r="I302" t="b">
        <f>COUNTIF(Estadísticas!I:I,'Centraldecomunicacion.es'!H302)&gt;0</f>
        <v>0</v>
      </c>
    </row>
    <row r="303" spans="1:9">
      <c r="A303" s="1" t="s">
        <v>1113</v>
      </c>
      <c r="B303" s="1" t="s">
        <v>10</v>
      </c>
      <c r="C303" s="1" t="s">
        <v>1114</v>
      </c>
      <c r="D303" s="1" t="s">
        <v>1094</v>
      </c>
      <c r="E303" s="1" t="s">
        <v>209</v>
      </c>
      <c r="F303" s="1" t="s">
        <v>23</v>
      </c>
      <c r="G303" s="1" t="s">
        <v>1115</v>
      </c>
      <c r="H303" s="1" t="s">
        <v>15</v>
      </c>
      <c r="I303" t="b">
        <f>COUNTIF(Estadísticas!I:I,'Centraldecomunicacion.es'!H303)&gt;0</f>
        <v>0</v>
      </c>
    </row>
    <row r="304" spans="1:9">
      <c r="A304" s="1" t="s">
        <v>1116</v>
      </c>
      <c r="B304" s="1" t="s">
        <v>10</v>
      </c>
      <c r="C304" s="1" t="s">
        <v>1117</v>
      </c>
      <c r="D304" s="1" t="s">
        <v>1118</v>
      </c>
      <c r="E304" s="1" t="s">
        <v>209</v>
      </c>
      <c r="F304" s="1" t="s">
        <v>23</v>
      </c>
      <c r="G304" s="1" t="s">
        <v>1119</v>
      </c>
      <c r="H304" s="1" t="s">
        <v>15</v>
      </c>
      <c r="I304" t="b">
        <f>COUNTIF(Estadísticas!I:I,'Centraldecomunicacion.es'!H304)&gt;0</f>
        <v>0</v>
      </c>
    </row>
    <row r="305" spans="1:9">
      <c r="A305" s="1" t="s">
        <v>1120</v>
      </c>
      <c r="B305" s="1" t="s">
        <v>10</v>
      </c>
      <c r="C305" s="1" t="s">
        <v>1121</v>
      </c>
      <c r="D305" s="1" t="s">
        <v>1122</v>
      </c>
      <c r="E305" s="1" t="s">
        <v>209</v>
      </c>
      <c r="F305" s="1" t="s">
        <v>23</v>
      </c>
      <c r="G305" s="1" t="s">
        <v>23</v>
      </c>
      <c r="H305" s="1" t="s">
        <v>15</v>
      </c>
      <c r="I305" t="b">
        <f>COUNTIF(Estadísticas!I:I,'Centraldecomunicacion.es'!H305)&gt;0</f>
        <v>0</v>
      </c>
    </row>
    <row r="306" spans="1:9">
      <c r="A306" s="1" t="s">
        <v>1123</v>
      </c>
      <c r="B306" s="1" t="s">
        <v>10</v>
      </c>
      <c r="C306" s="1" t="s">
        <v>1124</v>
      </c>
      <c r="D306" s="1" t="s">
        <v>1125</v>
      </c>
      <c r="E306" s="1" t="s">
        <v>209</v>
      </c>
      <c r="F306" s="1" t="s">
        <v>23</v>
      </c>
      <c r="G306" s="1" t="s">
        <v>1126</v>
      </c>
      <c r="H306" s="1" t="s">
        <v>15</v>
      </c>
      <c r="I306" t="b">
        <f>COUNTIF(Estadísticas!I:I,'Centraldecomunicacion.es'!H306)&gt;0</f>
        <v>0</v>
      </c>
    </row>
    <row r="307" spans="1:9">
      <c r="A307" s="1" t="s">
        <v>1127</v>
      </c>
      <c r="B307" s="1" t="s">
        <v>10</v>
      </c>
      <c r="C307" s="1" t="s">
        <v>1128</v>
      </c>
      <c r="D307" s="1" t="s">
        <v>1129</v>
      </c>
      <c r="E307" s="1" t="s">
        <v>473</v>
      </c>
      <c r="F307" s="1" t="s">
        <v>23</v>
      </c>
      <c r="G307" s="1" t="s">
        <v>1130</v>
      </c>
      <c r="H307" s="1" t="s">
        <v>15</v>
      </c>
      <c r="I307" t="b">
        <f>COUNTIF(Estadísticas!I:I,'Centraldecomunicacion.es'!H307)&gt;0</f>
        <v>0</v>
      </c>
    </row>
    <row r="308" spans="1:9">
      <c r="A308" s="1" t="s">
        <v>1131</v>
      </c>
      <c r="B308" s="1" t="s">
        <v>10</v>
      </c>
      <c r="C308" s="1" t="s">
        <v>1132</v>
      </c>
      <c r="D308" s="1" t="s">
        <v>1133</v>
      </c>
      <c r="E308" s="1" t="s">
        <v>209</v>
      </c>
      <c r="F308" s="1" t="s">
        <v>23</v>
      </c>
      <c r="G308" s="1" t="s">
        <v>1134</v>
      </c>
      <c r="H308" s="1" t="s">
        <v>15</v>
      </c>
      <c r="I308" t="b">
        <f>COUNTIF(Estadísticas!I:I,'Centraldecomunicacion.es'!H308)&gt;0</f>
        <v>0</v>
      </c>
    </row>
    <row r="309" spans="1:9">
      <c r="A309" s="1" t="s">
        <v>1135</v>
      </c>
      <c r="B309" s="1" t="s">
        <v>10</v>
      </c>
      <c r="C309" s="1" t="s">
        <v>1136</v>
      </c>
      <c r="D309" s="1" t="s">
        <v>1137</v>
      </c>
      <c r="E309" s="1" t="s">
        <v>209</v>
      </c>
      <c r="F309" s="1" t="s">
        <v>23</v>
      </c>
      <c r="G309" s="1" t="s">
        <v>1138</v>
      </c>
      <c r="H309" s="1" t="s">
        <v>15</v>
      </c>
      <c r="I309" t="b">
        <f>COUNTIF(Estadísticas!I:I,'Centraldecomunicacion.es'!H309)&gt;0</f>
        <v>0</v>
      </c>
    </row>
    <row r="310" spans="1:9">
      <c r="A310" s="1" t="s">
        <v>1139</v>
      </c>
      <c r="B310" s="1" t="s">
        <v>10</v>
      </c>
      <c r="C310" s="1" t="s">
        <v>1140</v>
      </c>
      <c r="D310" s="1" t="s">
        <v>1141</v>
      </c>
      <c r="E310" s="1" t="s">
        <v>219</v>
      </c>
      <c r="F310" s="1" t="s">
        <v>23</v>
      </c>
      <c r="G310" s="1" t="s">
        <v>1142</v>
      </c>
      <c r="H310" s="1" t="s">
        <v>15</v>
      </c>
      <c r="I310" t="b">
        <f>COUNTIF(Estadísticas!I:I,'Centraldecomunicacion.es'!H310)&gt;0</f>
        <v>0</v>
      </c>
    </row>
    <row r="311" spans="1:9">
      <c r="A311" s="1" t="s">
        <v>1143</v>
      </c>
      <c r="B311" s="1" t="s">
        <v>10</v>
      </c>
      <c r="C311" s="1" t="s">
        <v>1144</v>
      </c>
      <c r="D311" s="1" t="s">
        <v>473</v>
      </c>
      <c r="E311" s="1" t="s">
        <v>473</v>
      </c>
      <c r="F311" s="1" t="s">
        <v>1145</v>
      </c>
      <c r="G311" s="1" t="s">
        <v>1146</v>
      </c>
      <c r="H311" s="1" t="s">
        <v>15</v>
      </c>
      <c r="I311" t="b">
        <f>COUNTIF(Estadísticas!I:I,'Centraldecomunicacion.es'!H311)&gt;0</f>
        <v>0</v>
      </c>
    </row>
    <row r="312" spans="1:9">
      <c r="A312" s="1" t="s">
        <v>1147</v>
      </c>
      <c r="B312" s="1" t="s">
        <v>10</v>
      </c>
      <c r="C312" s="1" t="s">
        <v>1148</v>
      </c>
      <c r="D312" s="1" t="s">
        <v>473</v>
      </c>
      <c r="E312" s="1" t="s">
        <v>473</v>
      </c>
      <c r="F312" s="1" t="s">
        <v>81</v>
      </c>
      <c r="G312" s="1" t="s">
        <v>1149</v>
      </c>
      <c r="H312" s="1" t="s">
        <v>83</v>
      </c>
      <c r="I312" t="b">
        <f>COUNTIF(Estadísticas!I:I,'Centraldecomunicacion.es'!H312)&gt;0</f>
        <v>0</v>
      </c>
    </row>
    <row r="313" spans="1:9">
      <c r="A313" s="1" t="s">
        <v>1150</v>
      </c>
      <c r="B313" s="1" t="s">
        <v>10</v>
      </c>
      <c r="C313" s="1" t="s">
        <v>1151</v>
      </c>
      <c r="D313" s="1" t="s">
        <v>473</v>
      </c>
      <c r="E313" s="1" t="s">
        <v>473</v>
      </c>
      <c r="F313" s="1" t="s">
        <v>1152</v>
      </c>
      <c r="G313" s="1" t="s">
        <v>1153</v>
      </c>
      <c r="H313" s="1" t="s">
        <v>1091</v>
      </c>
      <c r="I313" t="b">
        <f>COUNTIF(Estadísticas!I:I,'Centraldecomunicacion.es'!H313)&gt;0</f>
        <v>0</v>
      </c>
    </row>
    <row r="314" spans="1:9">
      <c r="A314" s="1" t="s">
        <v>1154</v>
      </c>
      <c r="B314" s="1" t="s">
        <v>10</v>
      </c>
      <c r="C314" s="1" t="s">
        <v>1155</v>
      </c>
      <c r="D314" s="1" t="s">
        <v>473</v>
      </c>
      <c r="E314" s="1" t="s">
        <v>473</v>
      </c>
      <c r="F314" s="1" t="s">
        <v>1156</v>
      </c>
      <c r="G314" s="1" t="s">
        <v>1157</v>
      </c>
      <c r="H314" s="1" t="s">
        <v>484</v>
      </c>
      <c r="I314" t="b">
        <f>COUNTIF(Estadísticas!I:I,'Centraldecomunicacion.es'!H314)&gt;0</f>
        <v>0</v>
      </c>
    </row>
    <row r="315" spans="1:9">
      <c r="A315" s="1" t="s">
        <v>1158</v>
      </c>
      <c r="B315" s="1" t="s">
        <v>10</v>
      </c>
      <c r="C315" s="1" t="s">
        <v>1159</v>
      </c>
      <c r="D315" s="1" t="s">
        <v>473</v>
      </c>
      <c r="E315" s="1" t="s">
        <v>473</v>
      </c>
      <c r="F315" s="1" t="s">
        <v>23</v>
      </c>
      <c r="G315" s="1" t="s">
        <v>1160</v>
      </c>
      <c r="H315" s="1" t="s">
        <v>15</v>
      </c>
      <c r="I315" t="b">
        <f>COUNTIF(Estadísticas!I:I,'Centraldecomunicacion.es'!H315)&gt;0</f>
        <v>0</v>
      </c>
    </row>
    <row r="316" spans="1:9">
      <c r="A316" s="1" t="s">
        <v>1161</v>
      </c>
      <c r="B316" s="1" t="s">
        <v>10</v>
      </c>
      <c r="C316" s="1" t="s">
        <v>1162</v>
      </c>
      <c r="D316" s="1" t="s">
        <v>473</v>
      </c>
      <c r="E316" s="1" t="s">
        <v>473</v>
      </c>
      <c r="F316" s="1" t="s">
        <v>1163</v>
      </c>
      <c r="G316" s="1" t="s">
        <v>1164</v>
      </c>
      <c r="H316" s="1" t="s">
        <v>1165</v>
      </c>
      <c r="I316" t="b">
        <f>COUNTIF(Estadísticas!I:I,'Centraldecomunicacion.es'!H316)&gt;0</f>
        <v>0</v>
      </c>
    </row>
    <row r="317" spans="1:9">
      <c r="A317" s="1" t="s">
        <v>1166</v>
      </c>
      <c r="B317" s="1" t="s">
        <v>10</v>
      </c>
      <c r="C317" s="1" t="s">
        <v>1167</v>
      </c>
      <c r="D317" s="1" t="s">
        <v>473</v>
      </c>
      <c r="E317" s="1" t="s">
        <v>473</v>
      </c>
      <c r="F317" s="1" t="s">
        <v>23</v>
      </c>
      <c r="G317" s="1" t="s">
        <v>1168</v>
      </c>
      <c r="H317" s="1" t="s">
        <v>15</v>
      </c>
      <c r="I317" t="b">
        <f>COUNTIF(Estadísticas!I:I,'Centraldecomunicacion.es'!H317)&gt;0</f>
        <v>0</v>
      </c>
    </row>
    <row r="318" spans="1:9">
      <c r="A318" s="1" t="s">
        <v>1169</v>
      </c>
      <c r="B318" s="1" t="s">
        <v>10</v>
      </c>
      <c r="C318" s="1" t="s">
        <v>1170</v>
      </c>
      <c r="D318" s="1" t="s">
        <v>473</v>
      </c>
      <c r="E318" s="1" t="s">
        <v>473</v>
      </c>
      <c r="F318" s="1" t="s">
        <v>23</v>
      </c>
      <c r="G318" s="1" t="s">
        <v>1171</v>
      </c>
      <c r="H318" s="1" t="s">
        <v>15</v>
      </c>
      <c r="I318" t="b">
        <f>COUNTIF(Estadísticas!I:I,'Centraldecomunicacion.es'!H318)&gt;0</f>
        <v>0</v>
      </c>
    </row>
    <row r="319" spans="1:9">
      <c r="A319" s="1" t="s">
        <v>1172</v>
      </c>
      <c r="B319" s="1" t="s">
        <v>10</v>
      </c>
      <c r="C319" s="1" t="s">
        <v>1173</v>
      </c>
      <c r="D319" s="1" t="s">
        <v>473</v>
      </c>
      <c r="E319" s="1" t="s">
        <v>473</v>
      </c>
      <c r="F319" s="1" t="s">
        <v>1174</v>
      </c>
      <c r="G319" s="1" t="s">
        <v>1175</v>
      </c>
      <c r="H319" s="1" t="s">
        <v>15</v>
      </c>
      <c r="I319" t="b">
        <f>COUNTIF(Estadísticas!I:I,'Centraldecomunicacion.es'!H319)&gt;0</f>
        <v>0</v>
      </c>
    </row>
    <row r="320" spans="1:9">
      <c r="A320" s="1" t="s">
        <v>1176</v>
      </c>
      <c r="B320" s="1" t="s">
        <v>10</v>
      </c>
      <c r="C320" s="1" t="s">
        <v>1177</v>
      </c>
      <c r="D320" s="1" t="s">
        <v>473</v>
      </c>
      <c r="E320" s="1" t="s">
        <v>473</v>
      </c>
      <c r="F320" s="1" t="s">
        <v>23</v>
      </c>
      <c r="G320" s="1" t="s">
        <v>1178</v>
      </c>
      <c r="H320" s="1" t="s">
        <v>15</v>
      </c>
      <c r="I320" t="b">
        <f>COUNTIF(Estadísticas!I:I,'Centraldecomunicacion.es'!H320)&gt;0</f>
        <v>0</v>
      </c>
    </row>
    <row r="321" spans="1:9">
      <c r="A321" s="1" t="s">
        <v>1179</v>
      </c>
      <c r="B321" s="1" t="s">
        <v>10</v>
      </c>
      <c r="C321" s="1" t="s">
        <v>1180</v>
      </c>
      <c r="D321" s="1" t="s">
        <v>473</v>
      </c>
      <c r="E321" s="1" t="s">
        <v>473</v>
      </c>
      <c r="F321" s="1" t="s">
        <v>23</v>
      </c>
      <c r="G321" s="1" t="s">
        <v>1181</v>
      </c>
      <c r="H321" s="1" t="s">
        <v>15</v>
      </c>
      <c r="I321" t="b">
        <f>COUNTIF(Estadísticas!I:I,'Centraldecomunicacion.es'!H321)&gt;0</f>
        <v>0</v>
      </c>
    </row>
    <row r="322" spans="1:9">
      <c r="A322" s="1" t="s">
        <v>1182</v>
      </c>
      <c r="B322" s="1" t="s">
        <v>10</v>
      </c>
      <c r="C322" s="1" t="s">
        <v>1183</v>
      </c>
      <c r="D322" s="1" t="s">
        <v>473</v>
      </c>
      <c r="E322" s="1" t="s">
        <v>473</v>
      </c>
      <c r="F322" s="1" t="s">
        <v>23</v>
      </c>
      <c r="G322" s="1" t="s">
        <v>1184</v>
      </c>
      <c r="H322" s="1" t="s">
        <v>15</v>
      </c>
      <c r="I322" t="b">
        <f>COUNTIF(Estadísticas!I:I,'Centraldecomunicacion.es'!H322)&gt;0</f>
        <v>0</v>
      </c>
    </row>
    <row r="323" spans="1:9">
      <c r="A323" s="1" t="s">
        <v>1185</v>
      </c>
      <c r="B323" s="1" t="s">
        <v>10</v>
      </c>
      <c r="C323" s="1" t="s">
        <v>1186</v>
      </c>
      <c r="D323" s="1" t="s">
        <v>473</v>
      </c>
      <c r="E323" s="1" t="s">
        <v>473</v>
      </c>
      <c r="F323" s="1" t="s">
        <v>23</v>
      </c>
      <c r="G323" s="1" t="s">
        <v>1187</v>
      </c>
      <c r="H323" s="1" t="s">
        <v>15</v>
      </c>
      <c r="I323" t="b">
        <f>COUNTIF(Estadísticas!I:I,'Centraldecomunicacion.es'!H323)&gt;0</f>
        <v>0</v>
      </c>
    </row>
    <row r="324" spans="1:9">
      <c r="A324" s="1" t="s">
        <v>1188</v>
      </c>
      <c r="B324" s="1" t="s">
        <v>10</v>
      </c>
      <c r="C324" s="1" t="s">
        <v>1189</v>
      </c>
      <c r="D324" s="1" t="s">
        <v>473</v>
      </c>
      <c r="E324" s="1" t="s">
        <v>473</v>
      </c>
      <c r="F324" s="1" t="s">
        <v>23</v>
      </c>
      <c r="G324" s="1" t="s">
        <v>1190</v>
      </c>
      <c r="H324" s="1" t="s">
        <v>15</v>
      </c>
      <c r="I324" t="b">
        <f>COUNTIF(Estadísticas!I:I,'Centraldecomunicacion.es'!H324)&gt;0</f>
        <v>0</v>
      </c>
    </row>
    <row r="325" spans="1:9">
      <c r="A325" s="1" t="s">
        <v>1191</v>
      </c>
      <c r="B325" s="1" t="s">
        <v>10</v>
      </c>
      <c r="C325" s="1" t="s">
        <v>1192</v>
      </c>
      <c r="D325" s="1" t="s">
        <v>473</v>
      </c>
      <c r="E325" s="1" t="s">
        <v>473</v>
      </c>
      <c r="F325" s="1" t="s">
        <v>23</v>
      </c>
      <c r="G325" s="1" t="s">
        <v>1193</v>
      </c>
      <c r="H325" s="1" t="s">
        <v>15</v>
      </c>
      <c r="I325" t="b">
        <f>COUNTIF(Estadísticas!I:I,'Centraldecomunicacion.es'!H325)&gt;0</f>
        <v>0</v>
      </c>
    </row>
    <row r="326" spans="1:9">
      <c r="A326" s="1" t="s">
        <v>1194</v>
      </c>
      <c r="B326" s="1" t="s">
        <v>10</v>
      </c>
      <c r="C326" s="1" t="s">
        <v>1195</v>
      </c>
      <c r="D326" s="1" t="s">
        <v>473</v>
      </c>
      <c r="E326" s="1" t="s">
        <v>473</v>
      </c>
      <c r="F326" s="1" t="s">
        <v>23</v>
      </c>
      <c r="G326" s="1" t="s">
        <v>1196</v>
      </c>
      <c r="H326" s="1" t="s">
        <v>15</v>
      </c>
      <c r="I326" t="b">
        <f>COUNTIF(Estadísticas!I:I,'Centraldecomunicacion.es'!H326)&gt;0</f>
        <v>0</v>
      </c>
    </row>
    <row r="327" spans="1:9">
      <c r="A327" s="1" t="s">
        <v>1197</v>
      </c>
      <c r="B327" s="1" t="s">
        <v>10</v>
      </c>
      <c r="C327" s="1" t="s">
        <v>1198</v>
      </c>
      <c r="D327" s="1" t="s">
        <v>473</v>
      </c>
      <c r="E327" s="1" t="s">
        <v>473</v>
      </c>
      <c r="F327" s="1" t="s">
        <v>23</v>
      </c>
      <c r="G327" s="1" t="s">
        <v>1199</v>
      </c>
      <c r="H327" s="1" t="s">
        <v>15</v>
      </c>
      <c r="I327" t="b">
        <f>COUNTIF(Estadísticas!I:I,'Centraldecomunicacion.es'!H327)&gt;0</f>
        <v>0</v>
      </c>
    </row>
    <row r="328" spans="1:9">
      <c r="A328" s="1" t="s">
        <v>1200</v>
      </c>
      <c r="B328" s="1" t="s">
        <v>10</v>
      </c>
      <c r="C328" s="1" t="s">
        <v>1201</v>
      </c>
      <c r="D328" s="1" t="s">
        <v>473</v>
      </c>
      <c r="E328" s="1" t="s">
        <v>473</v>
      </c>
      <c r="F328" s="1" t="s">
        <v>23</v>
      </c>
      <c r="G328" s="1" t="s">
        <v>1202</v>
      </c>
      <c r="H328" s="1" t="s">
        <v>15</v>
      </c>
      <c r="I328" t="b">
        <f>COUNTIF(Estadísticas!I:I,'Centraldecomunicacion.es'!H328)&gt;0</f>
        <v>0</v>
      </c>
    </row>
    <row r="329" spans="1:9">
      <c r="A329" s="1" t="s">
        <v>1203</v>
      </c>
      <c r="B329" s="1" t="s">
        <v>10</v>
      </c>
      <c r="C329" s="1" t="s">
        <v>1204</v>
      </c>
      <c r="D329" s="1" t="s">
        <v>473</v>
      </c>
      <c r="E329" s="1" t="s">
        <v>473</v>
      </c>
      <c r="F329" s="1" t="s">
        <v>23</v>
      </c>
      <c r="G329" s="1" t="s">
        <v>1205</v>
      </c>
      <c r="H329" s="1" t="s">
        <v>15</v>
      </c>
      <c r="I329" t="b">
        <f>COUNTIF(Estadísticas!I:I,'Centraldecomunicacion.es'!H329)&gt;0</f>
        <v>0</v>
      </c>
    </row>
    <row r="330" spans="1:9">
      <c r="A330" s="1" t="s">
        <v>1206</v>
      </c>
      <c r="B330" s="1" t="s">
        <v>10</v>
      </c>
      <c r="C330" s="1" t="s">
        <v>1207</v>
      </c>
      <c r="D330" s="1" t="s">
        <v>473</v>
      </c>
      <c r="E330" s="1" t="s">
        <v>473</v>
      </c>
      <c r="F330" s="1" t="s">
        <v>23</v>
      </c>
      <c r="G330" s="1" t="s">
        <v>1208</v>
      </c>
      <c r="H330" s="1" t="s">
        <v>15</v>
      </c>
      <c r="I330" t="b">
        <f>COUNTIF(Estadísticas!I:I,'Centraldecomunicacion.es'!H330)&gt;0</f>
        <v>0</v>
      </c>
    </row>
    <row r="331" spans="1:9">
      <c r="A331" s="1" t="s">
        <v>1209</v>
      </c>
      <c r="B331" s="1" t="s">
        <v>10</v>
      </c>
      <c r="C331" s="1" t="s">
        <v>1210</v>
      </c>
      <c r="D331" s="1" t="s">
        <v>473</v>
      </c>
      <c r="E331" s="1" t="s">
        <v>473</v>
      </c>
      <c r="F331" s="1" t="s">
        <v>1211</v>
      </c>
      <c r="G331" s="1" t="s">
        <v>1212</v>
      </c>
      <c r="H331" s="1" t="s">
        <v>1213</v>
      </c>
      <c r="I331" t="b">
        <f>COUNTIF(Estadísticas!I:I,'Centraldecomunicacion.es'!H331)&gt;0</f>
        <v>0</v>
      </c>
    </row>
    <row r="332" spans="1:9">
      <c r="A332" s="1" t="s">
        <v>1214</v>
      </c>
      <c r="B332" s="1" t="s">
        <v>10</v>
      </c>
      <c r="C332" s="1" t="s">
        <v>1195</v>
      </c>
      <c r="D332" s="1" t="s">
        <v>473</v>
      </c>
      <c r="E332" s="1" t="s">
        <v>473</v>
      </c>
      <c r="F332" s="1" t="s">
        <v>1156</v>
      </c>
      <c r="G332" s="1" t="s">
        <v>1215</v>
      </c>
      <c r="H332" s="1" t="s">
        <v>484</v>
      </c>
      <c r="I332" t="b">
        <f>COUNTIF(Estadísticas!I:I,'Centraldecomunicacion.es'!H332)&gt;0</f>
        <v>0</v>
      </c>
    </row>
    <row r="333" spans="1:9">
      <c r="A333" s="1" t="s">
        <v>1216</v>
      </c>
      <c r="B333" s="1" t="s">
        <v>10</v>
      </c>
      <c r="C333" s="1" t="s">
        <v>1148</v>
      </c>
      <c r="D333" s="1" t="s">
        <v>473</v>
      </c>
      <c r="E333" s="1" t="s">
        <v>473</v>
      </c>
      <c r="F333" s="1" t="s">
        <v>23</v>
      </c>
      <c r="G333" s="1" t="s">
        <v>1217</v>
      </c>
      <c r="H333" s="1" t="s">
        <v>15</v>
      </c>
      <c r="I333" t="b">
        <f>COUNTIF(Estadísticas!I:I,'Centraldecomunicacion.es'!H333)&gt;0</f>
        <v>0</v>
      </c>
    </row>
    <row r="334" spans="1:9">
      <c r="A334" s="1" t="s">
        <v>1218</v>
      </c>
      <c r="B334" s="1" t="s">
        <v>10</v>
      </c>
      <c r="C334" s="1" t="s">
        <v>1219</v>
      </c>
      <c r="D334" s="1" t="s">
        <v>473</v>
      </c>
      <c r="E334" s="1" t="s">
        <v>473</v>
      </c>
      <c r="F334" s="1" t="s">
        <v>23</v>
      </c>
      <c r="G334" s="1" t="s">
        <v>1220</v>
      </c>
      <c r="H334" s="1" t="s">
        <v>15</v>
      </c>
      <c r="I334" t="b">
        <f>COUNTIF(Estadísticas!I:I,'Centraldecomunicacion.es'!H334)&gt;0</f>
        <v>0</v>
      </c>
    </row>
    <row r="335" spans="1:9">
      <c r="A335" s="1" t="s">
        <v>1221</v>
      </c>
      <c r="B335" s="1" t="s">
        <v>10</v>
      </c>
      <c r="C335" s="1" t="s">
        <v>1222</v>
      </c>
      <c r="D335" s="1" t="s">
        <v>473</v>
      </c>
      <c r="E335" s="1" t="s">
        <v>473</v>
      </c>
      <c r="F335" s="1" t="s">
        <v>23</v>
      </c>
      <c r="G335" s="1" t="s">
        <v>23</v>
      </c>
      <c r="H335" s="1" t="s">
        <v>15</v>
      </c>
      <c r="I335" t="b">
        <f>COUNTIF(Estadísticas!I:I,'Centraldecomunicacion.es'!H335)&gt;0</f>
        <v>0</v>
      </c>
    </row>
    <row r="336" spans="1:9">
      <c r="A336" s="1" t="s">
        <v>1223</v>
      </c>
      <c r="B336" s="1" t="s">
        <v>10</v>
      </c>
      <c r="C336" s="1" t="s">
        <v>1224</v>
      </c>
      <c r="D336" s="1" t="s">
        <v>473</v>
      </c>
      <c r="E336" s="1" t="s">
        <v>473</v>
      </c>
      <c r="F336" s="1" t="s">
        <v>23</v>
      </c>
      <c r="G336" s="1" t="s">
        <v>1225</v>
      </c>
      <c r="H336" s="1" t="s">
        <v>15</v>
      </c>
      <c r="I336" t="b">
        <f>COUNTIF(Estadísticas!I:I,'Centraldecomunicacion.es'!H336)&gt;0</f>
        <v>0</v>
      </c>
    </row>
    <row r="337" spans="1:9">
      <c r="A337" s="1" t="s">
        <v>1226</v>
      </c>
      <c r="B337" s="1" t="s">
        <v>10</v>
      </c>
      <c r="C337" s="1" t="s">
        <v>1227</v>
      </c>
      <c r="D337" s="1" t="s">
        <v>473</v>
      </c>
      <c r="E337" s="1" t="s">
        <v>473</v>
      </c>
      <c r="F337" s="1" t="s">
        <v>23</v>
      </c>
      <c r="G337" s="1" t="s">
        <v>1228</v>
      </c>
      <c r="H337" s="1" t="s">
        <v>15</v>
      </c>
      <c r="I337" t="b">
        <f>COUNTIF(Estadísticas!I:I,'Centraldecomunicacion.es'!H337)&gt;0</f>
        <v>0</v>
      </c>
    </row>
    <row r="338" spans="1:9">
      <c r="A338" s="1" t="s">
        <v>1229</v>
      </c>
      <c r="B338" s="1" t="s">
        <v>10</v>
      </c>
      <c r="C338" s="1" t="s">
        <v>1224</v>
      </c>
      <c r="D338" s="1" t="s">
        <v>473</v>
      </c>
      <c r="E338" s="1" t="s">
        <v>473</v>
      </c>
      <c r="F338" s="1" t="s">
        <v>23</v>
      </c>
      <c r="G338" s="1" t="s">
        <v>1230</v>
      </c>
      <c r="H338" s="1" t="s">
        <v>15</v>
      </c>
      <c r="I338" t="b">
        <f>COUNTIF(Estadísticas!I:I,'Centraldecomunicacion.es'!H338)&gt;0</f>
        <v>0</v>
      </c>
    </row>
    <row r="339" spans="1:9">
      <c r="A339" s="1" t="s">
        <v>1231</v>
      </c>
      <c r="B339" s="1" t="s">
        <v>10</v>
      </c>
      <c r="C339" s="1" t="s">
        <v>1232</v>
      </c>
      <c r="D339" s="1" t="s">
        <v>473</v>
      </c>
      <c r="E339" s="1" t="s">
        <v>473</v>
      </c>
      <c r="F339" s="1" t="s">
        <v>23</v>
      </c>
      <c r="G339" s="1" t="s">
        <v>1233</v>
      </c>
      <c r="H339" s="1" t="s">
        <v>15</v>
      </c>
      <c r="I339" t="b">
        <f>COUNTIF(Estadísticas!I:I,'Centraldecomunicacion.es'!H339)&gt;0</f>
        <v>0</v>
      </c>
    </row>
    <row r="340" spans="1:9">
      <c r="A340" s="1" t="s">
        <v>1234</v>
      </c>
      <c r="B340" s="1" t="s">
        <v>10</v>
      </c>
      <c r="C340" s="1" t="s">
        <v>1235</v>
      </c>
      <c r="D340" s="1" t="s">
        <v>473</v>
      </c>
      <c r="E340" s="1" t="s">
        <v>473</v>
      </c>
      <c r="F340" s="1" t="s">
        <v>23</v>
      </c>
      <c r="G340" s="1" t="s">
        <v>23</v>
      </c>
      <c r="H340" s="1" t="s">
        <v>15</v>
      </c>
      <c r="I340" t="b">
        <f>COUNTIF(Estadísticas!I:I,'Centraldecomunicacion.es'!H340)&gt;0</f>
        <v>0</v>
      </c>
    </row>
    <row r="341" spans="1:9">
      <c r="A341" s="1" t="s">
        <v>1236</v>
      </c>
      <c r="B341" s="1" t="s">
        <v>10</v>
      </c>
      <c r="C341" s="1" t="s">
        <v>1237</v>
      </c>
      <c r="D341" s="1" t="s">
        <v>473</v>
      </c>
      <c r="E341" s="1" t="s">
        <v>473</v>
      </c>
      <c r="F341" s="1" t="s">
        <v>23</v>
      </c>
      <c r="G341" s="1" t="s">
        <v>1238</v>
      </c>
      <c r="H341" s="1" t="s">
        <v>15</v>
      </c>
      <c r="I341" t="b">
        <f>COUNTIF(Estadísticas!I:I,'Centraldecomunicacion.es'!H341)&gt;0</f>
        <v>0</v>
      </c>
    </row>
    <row r="342" spans="1:9">
      <c r="A342" s="1" t="s">
        <v>1239</v>
      </c>
      <c r="B342" s="1" t="s">
        <v>10</v>
      </c>
      <c r="C342" s="1" t="s">
        <v>1240</v>
      </c>
      <c r="D342" s="1" t="s">
        <v>473</v>
      </c>
      <c r="E342" s="1" t="s">
        <v>473</v>
      </c>
      <c r="F342" s="1" t="s">
        <v>23</v>
      </c>
      <c r="G342" s="1" t="s">
        <v>1241</v>
      </c>
      <c r="H342" s="1" t="s">
        <v>15</v>
      </c>
      <c r="I342" t="b">
        <f>COUNTIF(Estadísticas!I:I,'Centraldecomunicacion.es'!H342)&gt;0</f>
        <v>0</v>
      </c>
    </row>
    <row r="343" spans="1:9">
      <c r="A343" s="1" t="s">
        <v>1242</v>
      </c>
      <c r="B343" s="1" t="s">
        <v>10</v>
      </c>
      <c r="C343" s="1" t="s">
        <v>1243</v>
      </c>
      <c r="D343" s="1" t="s">
        <v>473</v>
      </c>
      <c r="E343" s="1" t="s">
        <v>473</v>
      </c>
      <c r="F343" s="1" t="s">
        <v>1145</v>
      </c>
      <c r="G343" s="1" t="s">
        <v>1244</v>
      </c>
      <c r="H343" s="1" t="s">
        <v>15</v>
      </c>
      <c r="I343" t="b">
        <f>COUNTIF(Estadísticas!I:I,'Centraldecomunicacion.es'!H343)&gt;0</f>
        <v>0</v>
      </c>
    </row>
    <row r="344" spans="1:9">
      <c r="A344" s="1" t="s">
        <v>1245</v>
      </c>
      <c r="B344" s="1" t="s">
        <v>10</v>
      </c>
      <c r="C344" s="1" t="s">
        <v>1246</v>
      </c>
      <c r="D344" s="1" t="s">
        <v>473</v>
      </c>
      <c r="E344" s="1" t="s">
        <v>473</v>
      </c>
      <c r="F344" s="1" t="s">
        <v>1247</v>
      </c>
      <c r="G344" s="1" t="s">
        <v>1248</v>
      </c>
      <c r="H344" s="1" t="s">
        <v>1249</v>
      </c>
      <c r="I344" t="b">
        <f>COUNTIF(Estadísticas!I:I,'Centraldecomunicacion.es'!H344)&gt;0</f>
        <v>0</v>
      </c>
    </row>
    <row r="345" spans="1:9">
      <c r="A345" s="1" t="s">
        <v>1250</v>
      </c>
      <c r="B345" s="1" t="s">
        <v>10</v>
      </c>
      <c r="C345" s="1" t="s">
        <v>1251</v>
      </c>
      <c r="D345" s="1" t="s">
        <v>473</v>
      </c>
      <c r="E345" s="1" t="s">
        <v>473</v>
      </c>
      <c r="F345" s="1" t="s">
        <v>1252</v>
      </c>
      <c r="G345" s="1" t="s">
        <v>1253</v>
      </c>
      <c r="H345" s="1" t="s">
        <v>1254</v>
      </c>
      <c r="I345" t="b">
        <f>COUNTIF(Estadísticas!I:I,'Centraldecomunicacion.es'!H345)&gt;0</f>
        <v>0</v>
      </c>
    </row>
    <row r="346" spans="1:9">
      <c r="A346" s="1" t="s">
        <v>1255</v>
      </c>
      <c r="B346" s="1" t="s">
        <v>10</v>
      </c>
      <c r="C346" s="1" t="s">
        <v>1256</v>
      </c>
      <c r="D346" s="1" t="s">
        <v>473</v>
      </c>
      <c r="E346" s="1" t="s">
        <v>473</v>
      </c>
      <c r="F346" s="1" t="s">
        <v>1257</v>
      </c>
      <c r="G346" s="1" t="s">
        <v>1258</v>
      </c>
      <c r="H346" s="1" t="s">
        <v>1259</v>
      </c>
      <c r="I346" t="b">
        <f>COUNTIF(Estadísticas!I:I,'Centraldecomunicacion.es'!H346)&gt;0</f>
        <v>0</v>
      </c>
    </row>
    <row r="347" spans="1:9">
      <c r="A347" s="1" t="s">
        <v>1260</v>
      </c>
      <c r="B347" s="1" t="s">
        <v>10</v>
      </c>
      <c r="C347" s="1" t="s">
        <v>1240</v>
      </c>
      <c r="D347" s="1" t="s">
        <v>473</v>
      </c>
      <c r="E347" s="1" t="s">
        <v>473</v>
      </c>
      <c r="F347" s="1" t="s">
        <v>23</v>
      </c>
      <c r="G347" s="1" t="s">
        <v>1261</v>
      </c>
      <c r="H347" s="1" t="s">
        <v>15</v>
      </c>
      <c r="I347" t="b">
        <f>COUNTIF(Estadísticas!I:I,'Centraldecomunicacion.es'!H347)&gt;0</f>
        <v>0</v>
      </c>
    </row>
    <row r="348" spans="1:9">
      <c r="A348" s="1" t="s">
        <v>1262</v>
      </c>
      <c r="B348" s="1" t="s">
        <v>10</v>
      </c>
      <c r="C348" s="1" t="s">
        <v>1263</v>
      </c>
      <c r="D348" s="1" t="s">
        <v>473</v>
      </c>
      <c r="E348" s="1" t="s">
        <v>473</v>
      </c>
      <c r="F348" s="1" t="s">
        <v>23</v>
      </c>
      <c r="G348" s="1" t="s">
        <v>1264</v>
      </c>
      <c r="H348" s="1" t="s">
        <v>15</v>
      </c>
      <c r="I348" t="b">
        <f>COUNTIF(Estadísticas!I:I,'Centraldecomunicacion.es'!H348)&gt;0</f>
        <v>0</v>
      </c>
    </row>
    <row r="349" spans="1:9">
      <c r="A349" s="1" t="s">
        <v>1265</v>
      </c>
      <c r="B349" s="1" t="s">
        <v>10</v>
      </c>
      <c r="C349" s="1" t="s">
        <v>1266</v>
      </c>
      <c r="D349" s="1" t="s">
        <v>473</v>
      </c>
      <c r="E349" s="1" t="s">
        <v>473</v>
      </c>
      <c r="F349" s="1" t="s">
        <v>23</v>
      </c>
      <c r="G349" s="1" t="s">
        <v>1267</v>
      </c>
      <c r="H349" s="1" t="s">
        <v>15</v>
      </c>
      <c r="I349" t="b">
        <f>COUNTIF(Estadísticas!I:I,'Centraldecomunicacion.es'!H349)&gt;0</f>
        <v>0</v>
      </c>
    </row>
    <row r="350" spans="1:9">
      <c r="A350" s="1" t="s">
        <v>1268</v>
      </c>
      <c r="B350" s="1" t="s">
        <v>10</v>
      </c>
      <c r="C350" s="1" t="s">
        <v>1269</v>
      </c>
      <c r="D350" s="1" t="s">
        <v>473</v>
      </c>
      <c r="E350" s="1" t="s">
        <v>473</v>
      </c>
      <c r="F350" s="1" t="s">
        <v>23</v>
      </c>
      <c r="G350" s="1" t="s">
        <v>1270</v>
      </c>
      <c r="H350" s="1" t="s">
        <v>15</v>
      </c>
      <c r="I350" t="b">
        <f>COUNTIF(Estadísticas!I:I,'Centraldecomunicacion.es'!H350)&gt;0</f>
        <v>0</v>
      </c>
    </row>
    <row r="351" spans="1:9">
      <c r="A351" s="1" t="s">
        <v>1271</v>
      </c>
      <c r="B351" s="1" t="s">
        <v>10</v>
      </c>
      <c r="C351" s="1" t="s">
        <v>1272</v>
      </c>
      <c r="D351" s="1" t="s">
        <v>473</v>
      </c>
      <c r="E351" s="1" t="s">
        <v>473</v>
      </c>
      <c r="F351" s="1" t="s">
        <v>1273</v>
      </c>
      <c r="G351" s="1" t="s">
        <v>1274</v>
      </c>
      <c r="H351" s="1" t="s">
        <v>15</v>
      </c>
      <c r="I351" t="b">
        <f>COUNTIF(Estadísticas!I:I,'Centraldecomunicacion.es'!H351)&gt;0</f>
        <v>0</v>
      </c>
    </row>
    <row r="352" spans="1:9">
      <c r="A352" s="1" t="s">
        <v>1275</v>
      </c>
      <c r="B352" s="1" t="s">
        <v>10</v>
      </c>
      <c r="C352" s="1" t="s">
        <v>1276</v>
      </c>
      <c r="D352" s="1" t="s">
        <v>473</v>
      </c>
      <c r="E352" s="1" t="s">
        <v>473</v>
      </c>
      <c r="F352" s="1" t="s">
        <v>23</v>
      </c>
      <c r="G352" s="1" t="s">
        <v>1277</v>
      </c>
      <c r="H352" s="1" t="s">
        <v>15</v>
      </c>
      <c r="I352" t="b">
        <f>COUNTIF(Estadísticas!I:I,'Centraldecomunicacion.es'!H352)&gt;0</f>
        <v>0</v>
      </c>
    </row>
    <row r="353" spans="1:9">
      <c r="A353" s="1" t="s">
        <v>1278</v>
      </c>
      <c r="B353" s="1" t="s">
        <v>10</v>
      </c>
      <c r="C353" s="1" t="s">
        <v>1279</v>
      </c>
      <c r="D353" s="1" t="s">
        <v>473</v>
      </c>
      <c r="E353" s="1" t="s">
        <v>473</v>
      </c>
      <c r="F353" s="1" t="s">
        <v>1280</v>
      </c>
      <c r="G353" s="1" t="s">
        <v>23</v>
      </c>
      <c r="H353" s="1" t="s">
        <v>15</v>
      </c>
      <c r="I353" t="b">
        <f>COUNTIF(Estadísticas!I:I,'Centraldecomunicacion.es'!H353)&gt;0</f>
        <v>0</v>
      </c>
    </row>
    <row r="354" spans="1:9">
      <c r="A354" s="1" t="s">
        <v>1281</v>
      </c>
      <c r="B354" s="1" t="s">
        <v>10</v>
      </c>
      <c r="C354" s="1" t="s">
        <v>1282</v>
      </c>
      <c r="D354" s="1" t="s">
        <v>473</v>
      </c>
      <c r="E354" s="1" t="s">
        <v>473</v>
      </c>
      <c r="F354" s="1" t="s">
        <v>811</v>
      </c>
      <c r="G354" s="1" t="s">
        <v>1283</v>
      </c>
      <c r="H354" s="1" t="s">
        <v>15</v>
      </c>
      <c r="I354" t="b">
        <f>COUNTIF(Estadísticas!I:I,'Centraldecomunicacion.es'!H354)&gt;0</f>
        <v>0</v>
      </c>
    </row>
    <row r="355" spans="1:9">
      <c r="A355" s="1" t="s">
        <v>1284</v>
      </c>
      <c r="B355" s="1" t="s">
        <v>10</v>
      </c>
      <c r="C355" s="1" t="s">
        <v>1285</v>
      </c>
      <c r="D355" s="1" t="s">
        <v>473</v>
      </c>
      <c r="E355" s="1" t="s">
        <v>473</v>
      </c>
      <c r="F355" s="1" t="s">
        <v>1286</v>
      </c>
      <c r="G355" s="1" t="s">
        <v>1287</v>
      </c>
      <c r="H355" s="1" t="s">
        <v>1288</v>
      </c>
      <c r="I355" t="b">
        <f>COUNTIF(Estadísticas!I:I,'Centraldecomunicacion.es'!H355)&gt;0</f>
        <v>0</v>
      </c>
    </row>
    <row r="356" spans="1:9">
      <c r="A356" s="1" t="s">
        <v>1289</v>
      </c>
      <c r="B356" s="1" t="s">
        <v>10</v>
      </c>
      <c r="C356" s="1" t="s">
        <v>23</v>
      </c>
      <c r="D356" s="1" t="s">
        <v>1290</v>
      </c>
      <c r="E356" s="1" t="s">
        <v>23</v>
      </c>
      <c r="F356" s="1" t="s">
        <v>23</v>
      </c>
      <c r="G356" s="1" t="s">
        <v>1291</v>
      </c>
      <c r="H356" s="1" t="s">
        <v>15</v>
      </c>
      <c r="I356" t="b">
        <f>COUNTIF(Estadísticas!I:I,'Centraldecomunicacion.es'!H356)&gt;0</f>
        <v>0</v>
      </c>
    </row>
    <row r="357" spans="1:9">
      <c r="A357" s="1" t="s">
        <v>10</v>
      </c>
      <c r="B357" s="1" t="s">
        <v>10</v>
      </c>
      <c r="C357" s="1" t="s">
        <v>1292</v>
      </c>
      <c r="D357" s="1" t="s">
        <v>1293</v>
      </c>
      <c r="E357" s="1" t="s">
        <v>473</v>
      </c>
      <c r="F357" s="1" t="s">
        <v>1294</v>
      </c>
      <c r="G357" s="1" t="s">
        <v>1295</v>
      </c>
      <c r="H357" s="1" t="s">
        <v>1296</v>
      </c>
      <c r="I357" t="b">
        <f>COUNTIF(Estadísticas!I:I,'Centraldecomunicacion.es'!H357)&gt;0</f>
        <v>0</v>
      </c>
    </row>
    <row r="358" spans="1:9">
      <c r="A358" s="1" t="s">
        <v>1297</v>
      </c>
      <c r="B358" s="1" t="s">
        <v>10</v>
      </c>
      <c r="C358" s="1" t="s">
        <v>1298</v>
      </c>
      <c r="D358" s="1" t="s">
        <v>1129</v>
      </c>
      <c r="E358" s="1" t="s">
        <v>473</v>
      </c>
      <c r="F358" s="1" t="s">
        <v>23</v>
      </c>
      <c r="G358" s="1" t="s">
        <v>1299</v>
      </c>
      <c r="H358" s="1" t="s">
        <v>15</v>
      </c>
      <c r="I358" t="b">
        <f>COUNTIF(Estadísticas!I:I,'Centraldecomunicacion.es'!H358)&gt;0</f>
        <v>0</v>
      </c>
    </row>
    <row r="359" spans="1:9">
      <c r="A359" s="1" t="s">
        <v>385</v>
      </c>
      <c r="B359" s="1" t="s">
        <v>10</v>
      </c>
      <c r="C359" s="1" t="s">
        <v>1300</v>
      </c>
      <c r="D359" s="1" t="s">
        <v>1301</v>
      </c>
      <c r="E359" s="1" t="s">
        <v>473</v>
      </c>
      <c r="F359" s="1" t="s">
        <v>23</v>
      </c>
      <c r="G359" s="1" t="s">
        <v>1302</v>
      </c>
      <c r="H359" s="1" t="s">
        <v>15</v>
      </c>
      <c r="I359" t="b">
        <f>COUNTIF(Estadísticas!I:I,'Centraldecomunicacion.es'!H359)&gt;0</f>
        <v>0</v>
      </c>
    </row>
    <row r="360" spans="1:9">
      <c r="A360" s="1" t="s">
        <v>1303</v>
      </c>
      <c r="B360" s="1" t="s">
        <v>10</v>
      </c>
      <c r="C360" s="1" t="s">
        <v>1304</v>
      </c>
      <c r="D360" s="1" t="s">
        <v>1305</v>
      </c>
      <c r="E360" s="1" t="s">
        <v>473</v>
      </c>
      <c r="F360" s="1" t="s">
        <v>1306</v>
      </c>
      <c r="G360" s="1" t="s">
        <v>1307</v>
      </c>
      <c r="H360" s="1" t="s">
        <v>1308</v>
      </c>
      <c r="I360" t="b">
        <f>COUNTIF(Estadísticas!I:I,'Centraldecomunicacion.es'!H360)&gt;0</f>
        <v>0</v>
      </c>
    </row>
    <row r="361" spans="1:9">
      <c r="A361" s="1" t="s">
        <v>1309</v>
      </c>
      <c r="B361" s="1" t="s">
        <v>10</v>
      </c>
      <c r="C361" s="1" t="s">
        <v>1310</v>
      </c>
      <c r="D361" s="1" t="s">
        <v>1305</v>
      </c>
      <c r="E361" s="1" t="s">
        <v>473</v>
      </c>
      <c r="F361" s="1" t="s">
        <v>1311</v>
      </c>
      <c r="G361" s="1" t="s">
        <v>1312</v>
      </c>
      <c r="H361" s="1" t="s">
        <v>1104</v>
      </c>
      <c r="I361" t="b">
        <f>COUNTIF(Estadísticas!I:I,'Centraldecomunicacion.es'!H361)&gt;0</f>
        <v>0</v>
      </c>
    </row>
    <row r="362" spans="1:9">
      <c r="A362" s="1" t="s">
        <v>1313</v>
      </c>
      <c r="B362" s="1" t="s">
        <v>10</v>
      </c>
      <c r="C362" s="1" t="s">
        <v>1310</v>
      </c>
      <c r="D362" s="1" t="s">
        <v>1305</v>
      </c>
      <c r="E362" s="1" t="s">
        <v>473</v>
      </c>
      <c r="F362" s="1" t="s">
        <v>23</v>
      </c>
      <c r="G362" s="1" t="s">
        <v>1314</v>
      </c>
      <c r="H362" s="1" t="s">
        <v>15</v>
      </c>
      <c r="I362" t="b">
        <f>COUNTIF(Estadísticas!I:I,'Centraldecomunicacion.es'!H362)&gt;0</f>
        <v>0</v>
      </c>
    </row>
    <row r="363" spans="1:9">
      <c r="A363" s="1" t="s">
        <v>1315</v>
      </c>
      <c r="B363" s="1" t="s">
        <v>10</v>
      </c>
      <c r="C363" s="1" t="s">
        <v>1316</v>
      </c>
      <c r="D363" s="1" t="s">
        <v>1301</v>
      </c>
      <c r="E363" s="1" t="s">
        <v>473</v>
      </c>
      <c r="F363" s="1" t="s">
        <v>23</v>
      </c>
      <c r="G363" s="1" t="s">
        <v>1317</v>
      </c>
      <c r="H363" s="1" t="s">
        <v>15</v>
      </c>
      <c r="I363" t="b">
        <f>COUNTIF(Estadísticas!I:I,'Centraldecomunicacion.es'!H363)&gt;0</f>
        <v>0</v>
      </c>
    </row>
    <row r="364" spans="1:9">
      <c r="A364" s="1" t="s">
        <v>1318</v>
      </c>
      <c r="B364" s="1" t="s">
        <v>10</v>
      </c>
      <c r="C364" s="1" t="s">
        <v>1319</v>
      </c>
      <c r="D364" s="1" t="s">
        <v>1305</v>
      </c>
      <c r="E364" s="1" t="s">
        <v>473</v>
      </c>
      <c r="F364" s="1" t="s">
        <v>1320</v>
      </c>
      <c r="G364" s="1" t="s">
        <v>1321</v>
      </c>
      <c r="H364" s="1" t="s">
        <v>1322</v>
      </c>
      <c r="I364" t="b">
        <f>COUNTIF(Estadísticas!I:I,'Centraldecomunicacion.es'!H364)&gt;0</f>
        <v>0</v>
      </c>
    </row>
    <row r="365" spans="1:9">
      <c r="A365" s="1" t="s">
        <v>1323</v>
      </c>
      <c r="B365" s="1" t="s">
        <v>10</v>
      </c>
      <c r="C365" s="1" t="s">
        <v>1324</v>
      </c>
      <c r="D365" s="1" t="s">
        <v>1129</v>
      </c>
      <c r="E365" s="1" t="s">
        <v>473</v>
      </c>
      <c r="F365" s="1" t="s">
        <v>1325</v>
      </c>
      <c r="G365" s="1" t="s">
        <v>1326</v>
      </c>
      <c r="H365" s="1" t="s">
        <v>1327</v>
      </c>
      <c r="I365" t="b">
        <f>COUNTIF(Estadísticas!I:I,'Centraldecomunicacion.es'!H365)&gt;0</f>
        <v>1</v>
      </c>
    </row>
    <row r="366" spans="1:9">
      <c r="A366" s="1" t="s">
        <v>1328</v>
      </c>
      <c r="B366" s="1" t="s">
        <v>10</v>
      </c>
      <c r="C366" s="1" t="s">
        <v>1329</v>
      </c>
      <c r="D366" s="1" t="s">
        <v>1305</v>
      </c>
      <c r="E366" s="1" t="s">
        <v>473</v>
      </c>
      <c r="F366" s="1" t="s">
        <v>81</v>
      </c>
      <c r="G366" s="1" t="s">
        <v>1330</v>
      </c>
      <c r="H366" s="1" t="s">
        <v>83</v>
      </c>
      <c r="I366" t="b">
        <f>COUNTIF(Estadísticas!I:I,'Centraldecomunicacion.es'!H366)&gt;0</f>
        <v>0</v>
      </c>
    </row>
    <row r="367" spans="1:9">
      <c r="A367" s="1" t="s">
        <v>1331</v>
      </c>
      <c r="B367" s="1" t="s">
        <v>10</v>
      </c>
      <c r="C367" s="1" t="s">
        <v>1332</v>
      </c>
      <c r="D367" s="1" t="s">
        <v>1333</v>
      </c>
      <c r="E367" s="1" t="s">
        <v>473</v>
      </c>
      <c r="F367" s="1" t="s">
        <v>23</v>
      </c>
      <c r="G367" s="1" t="s">
        <v>1334</v>
      </c>
      <c r="H367" s="1" t="s">
        <v>15</v>
      </c>
      <c r="I367" t="b">
        <f>COUNTIF(Estadísticas!I:I,'Centraldecomunicacion.es'!H367)&gt;0</f>
        <v>0</v>
      </c>
    </row>
    <row r="368" spans="1:9">
      <c r="A368" s="1" t="s">
        <v>1335</v>
      </c>
      <c r="B368" s="1" t="s">
        <v>10</v>
      </c>
      <c r="C368" s="1" t="s">
        <v>1336</v>
      </c>
      <c r="D368" s="1" t="s">
        <v>1305</v>
      </c>
      <c r="E368" s="1" t="s">
        <v>473</v>
      </c>
      <c r="F368" s="1" t="s">
        <v>23</v>
      </c>
      <c r="G368" s="1" t="s">
        <v>1337</v>
      </c>
      <c r="H368" s="1" t="s">
        <v>15</v>
      </c>
      <c r="I368" t="b">
        <f>COUNTIF(Estadísticas!I:I,'Centraldecomunicacion.es'!H368)&gt;0</f>
        <v>0</v>
      </c>
    </row>
    <row r="369" spans="1:9">
      <c r="A369" s="1" t="s">
        <v>1338</v>
      </c>
      <c r="B369" s="1" t="s">
        <v>10</v>
      </c>
      <c r="C369" s="1" t="s">
        <v>1339</v>
      </c>
      <c r="D369" s="1" t="s">
        <v>1340</v>
      </c>
      <c r="E369" s="1" t="s">
        <v>473</v>
      </c>
      <c r="F369" s="1" t="s">
        <v>1156</v>
      </c>
      <c r="G369" s="1" t="s">
        <v>1341</v>
      </c>
      <c r="H369" s="1" t="s">
        <v>484</v>
      </c>
      <c r="I369" t="b">
        <f>COUNTIF(Estadísticas!I:I,'Centraldecomunicacion.es'!H369)&gt;0</f>
        <v>0</v>
      </c>
    </row>
    <row r="370" spans="1:9">
      <c r="A370" s="1" t="s">
        <v>1342</v>
      </c>
      <c r="B370" s="1" t="s">
        <v>10</v>
      </c>
      <c r="C370" s="1" t="s">
        <v>1343</v>
      </c>
      <c r="D370" s="1" t="s">
        <v>1333</v>
      </c>
      <c r="E370" s="1" t="s">
        <v>473</v>
      </c>
      <c r="F370" s="1" t="s">
        <v>23</v>
      </c>
      <c r="G370" s="1" t="s">
        <v>1344</v>
      </c>
      <c r="H370" s="1" t="s">
        <v>15</v>
      </c>
      <c r="I370" t="b">
        <f>COUNTIF(Estadísticas!I:I,'Centraldecomunicacion.es'!H370)&gt;0</f>
        <v>0</v>
      </c>
    </row>
    <row r="371" spans="1:9">
      <c r="A371" s="1" t="s">
        <v>1345</v>
      </c>
      <c r="B371" s="1" t="s">
        <v>10</v>
      </c>
      <c r="C371" s="1" t="s">
        <v>1346</v>
      </c>
      <c r="D371" s="1" t="s">
        <v>1333</v>
      </c>
      <c r="E371" s="1" t="s">
        <v>473</v>
      </c>
      <c r="F371" s="1" t="s">
        <v>1347</v>
      </c>
      <c r="G371" s="1" t="s">
        <v>1348</v>
      </c>
      <c r="H371" s="1" t="s">
        <v>15</v>
      </c>
      <c r="I371" t="b">
        <f>COUNTIF(Estadísticas!I:I,'Centraldecomunicacion.es'!H371)&gt;0</f>
        <v>0</v>
      </c>
    </row>
    <row r="372" spans="1:9">
      <c r="A372" s="1" t="s">
        <v>1349</v>
      </c>
      <c r="B372" s="1" t="s">
        <v>10</v>
      </c>
      <c r="C372" s="1" t="s">
        <v>1350</v>
      </c>
      <c r="D372" s="1" t="s">
        <v>1290</v>
      </c>
      <c r="E372" s="1" t="s">
        <v>473</v>
      </c>
      <c r="F372" s="1" t="s">
        <v>23</v>
      </c>
      <c r="G372" s="1" t="s">
        <v>1351</v>
      </c>
      <c r="H372" s="1" t="s">
        <v>15</v>
      </c>
      <c r="I372" t="b">
        <f>COUNTIF(Estadísticas!I:I,'Centraldecomunicacion.es'!H372)&gt;0</f>
        <v>0</v>
      </c>
    </row>
    <row r="373" spans="1:9">
      <c r="A373" s="1" t="s">
        <v>1352</v>
      </c>
      <c r="B373" s="1" t="s">
        <v>10</v>
      </c>
      <c r="C373" s="1" t="s">
        <v>1353</v>
      </c>
      <c r="D373" s="1" t="s">
        <v>1290</v>
      </c>
      <c r="E373" s="1" t="s">
        <v>473</v>
      </c>
      <c r="F373" s="1" t="s">
        <v>23</v>
      </c>
      <c r="G373" s="1" t="s">
        <v>1354</v>
      </c>
      <c r="H373" s="1" t="s">
        <v>15</v>
      </c>
      <c r="I373" t="b">
        <f>COUNTIF(Estadísticas!I:I,'Centraldecomunicacion.es'!H373)&gt;0</f>
        <v>0</v>
      </c>
    </row>
    <row r="374" spans="1:9">
      <c r="A374" s="1" t="s">
        <v>1355</v>
      </c>
      <c r="B374" s="1" t="s">
        <v>10</v>
      </c>
      <c r="C374" s="1" t="s">
        <v>1356</v>
      </c>
      <c r="D374" s="1" t="s">
        <v>1340</v>
      </c>
      <c r="E374" s="1" t="s">
        <v>473</v>
      </c>
      <c r="F374" s="1" t="s">
        <v>1357</v>
      </c>
      <c r="G374" s="1" t="s">
        <v>1358</v>
      </c>
      <c r="H374" s="1" t="s">
        <v>15</v>
      </c>
      <c r="I374" t="b">
        <f>COUNTIF(Estadísticas!I:I,'Centraldecomunicacion.es'!H374)&gt;0</f>
        <v>0</v>
      </c>
    </row>
    <row r="375" spans="1:9">
      <c r="A375" s="1" t="s">
        <v>1359</v>
      </c>
      <c r="B375" s="1" t="s">
        <v>10</v>
      </c>
      <c r="C375" s="1" t="s">
        <v>1360</v>
      </c>
      <c r="D375" s="1" t="s">
        <v>1361</v>
      </c>
      <c r="E375" s="1" t="s">
        <v>473</v>
      </c>
      <c r="F375" s="1" t="s">
        <v>23</v>
      </c>
      <c r="G375" s="1" t="s">
        <v>1362</v>
      </c>
      <c r="H375" s="1" t="s">
        <v>15</v>
      </c>
      <c r="I375" t="b">
        <f>COUNTIF(Estadísticas!I:I,'Centraldecomunicacion.es'!H375)&gt;0</f>
        <v>0</v>
      </c>
    </row>
    <row r="376" spans="1:9">
      <c r="A376" s="1" t="s">
        <v>1363</v>
      </c>
      <c r="B376" s="1" t="s">
        <v>10</v>
      </c>
      <c r="C376" s="1" t="s">
        <v>1364</v>
      </c>
      <c r="D376" s="1" t="s">
        <v>1333</v>
      </c>
      <c r="E376" s="1" t="s">
        <v>473</v>
      </c>
      <c r="F376" s="1" t="s">
        <v>1365</v>
      </c>
      <c r="G376" s="1" t="s">
        <v>1366</v>
      </c>
      <c r="H376" s="1" t="s">
        <v>1367</v>
      </c>
      <c r="I376" t="b">
        <f>COUNTIF(Estadísticas!I:I,'Centraldecomunicacion.es'!H376)&gt;0</f>
        <v>1</v>
      </c>
    </row>
    <row r="377" spans="1:9">
      <c r="A377" s="1" t="s">
        <v>1368</v>
      </c>
      <c r="B377" s="1" t="s">
        <v>10</v>
      </c>
      <c r="C377" s="1" t="s">
        <v>1369</v>
      </c>
      <c r="D377" s="1" t="s">
        <v>1370</v>
      </c>
      <c r="E377" s="1" t="s">
        <v>473</v>
      </c>
      <c r="F377" s="1" t="s">
        <v>1371</v>
      </c>
      <c r="G377" s="1" t="s">
        <v>1372</v>
      </c>
      <c r="H377" s="1" t="s">
        <v>15</v>
      </c>
      <c r="I377" t="b">
        <f>COUNTIF(Estadísticas!I:I,'Centraldecomunicacion.es'!H377)&gt;0</f>
        <v>0</v>
      </c>
    </row>
    <row r="378" spans="1:9">
      <c r="A378" s="1" t="s">
        <v>1373</v>
      </c>
      <c r="B378" s="1" t="s">
        <v>10</v>
      </c>
      <c r="C378" s="1" t="s">
        <v>1374</v>
      </c>
      <c r="D378" s="1" t="s">
        <v>1301</v>
      </c>
      <c r="E378" s="1" t="s">
        <v>473</v>
      </c>
      <c r="F378" s="1" t="s">
        <v>23</v>
      </c>
      <c r="G378" s="1" t="s">
        <v>1375</v>
      </c>
      <c r="H378" s="1" t="s">
        <v>15</v>
      </c>
      <c r="I378" t="b">
        <f>COUNTIF(Estadísticas!I:I,'Centraldecomunicacion.es'!H378)&gt;0</f>
        <v>0</v>
      </c>
    </row>
    <row r="379" spans="1:9">
      <c r="A379" s="1" t="s">
        <v>1376</v>
      </c>
      <c r="B379" s="1" t="s">
        <v>10</v>
      </c>
      <c r="C379" s="1" t="s">
        <v>1377</v>
      </c>
      <c r="D379" s="1" t="s">
        <v>1378</v>
      </c>
      <c r="E379" s="1" t="s">
        <v>473</v>
      </c>
      <c r="F379" s="1" t="s">
        <v>1379</v>
      </c>
      <c r="G379" s="1" t="s">
        <v>1380</v>
      </c>
      <c r="H379" s="1" t="s">
        <v>1381</v>
      </c>
      <c r="I379" t="b">
        <f>COUNTIF(Estadísticas!I:I,'Centraldecomunicacion.es'!H379)&gt;0</f>
        <v>0</v>
      </c>
    </row>
    <row r="380" spans="1:9">
      <c r="A380" s="1" t="s">
        <v>1382</v>
      </c>
      <c r="B380" s="1" t="s">
        <v>10</v>
      </c>
      <c r="C380" s="1" t="s">
        <v>1383</v>
      </c>
      <c r="D380" s="1" t="s">
        <v>1384</v>
      </c>
      <c r="E380" s="1" t="s">
        <v>473</v>
      </c>
      <c r="F380" s="1" t="s">
        <v>23</v>
      </c>
      <c r="G380" s="1" t="s">
        <v>1385</v>
      </c>
      <c r="H380" s="1" t="s">
        <v>15</v>
      </c>
      <c r="I380" t="b">
        <f>COUNTIF(Estadísticas!I:I,'Centraldecomunicacion.es'!H380)&gt;0</f>
        <v>0</v>
      </c>
    </row>
    <row r="381" spans="1:9">
      <c r="A381" s="1" t="s">
        <v>1386</v>
      </c>
      <c r="B381" s="1" t="s">
        <v>10</v>
      </c>
      <c r="C381" s="1" t="s">
        <v>1387</v>
      </c>
      <c r="D381" s="1" t="s">
        <v>1388</v>
      </c>
      <c r="E381" s="1" t="s">
        <v>473</v>
      </c>
      <c r="F381" s="1" t="s">
        <v>23</v>
      </c>
      <c r="G381" s="1" t="s">
        <v>1389</v>
      </c>
      <c r="H381" s="1" t="s">
        <v>15</v>
      </c>
      <c r="I381" t="b">
        <f>COUNTIF(Estadísticas!I:I,'Centraldecomunicacion.es'!H381)&gt;0</f>
        <v>0</v>
      </c>
    </row>
    <row r="382" spans="1:9">
      <c r="A382" s="1" t="s">
        <v>1390</v>
      </c>
      <c r="B382" s="1" t="s">
        <v>10</v>
      </c>
      <c r="C382" s="1" t="s">
        <v>1391</v>
      </c>
      <c r="D382" s="1" t="s">
        <v>1388</v>
      </c>
      <c r="E382" s="1" t="s">
        <v>473</v>
      </c>
      <c r="F382" s="1" t="s">
        <v>1392</v>
      </c>
      <c r="G382" s="1" t="s">
        <v>1393</v>
      </c>
      <c r="H382" s="1" t="s">
        <v>15</v>
      </c>
      <c r="I382" t="b">
        <f>COUNTIF(Estadísticas!I:I,'Centraldecomunicacion.es'!H382)&gt;0</f>
        <v>0</v>
      </c>
    </row>
    <row r="383" spans="1:9">
      <c r="A383" s="1" t="s">
        <v>1394</v>
      </c>
      <c r="B383" s="1" t="s">
        <v>10</v>
      </c>
      <c r="C383" s="1" t="s">
        <v>1395</v>
      </c>
      <c r="D383" s="1" t="s">
        <v>1378</v>
      </c>
      <c r="E383" s="1" t="s">
        <v>473</v>
      </c>
      <c r="F383" s="1" t="s">
        <v>23</v>
      </c>
      <c r="G383" s="1" t="s">
        <v>1396</v>
      </c>
      <c r="H383" s="1" t="s">
        <v>15</v>
      </c>
      <c r="I383" t="b">
        <f>COUNTIF(Estadísticas!I:I,'Centraldecomunicacion.es'!H383)&gt;0</f>
        <v>0</v>
      </c>
    </row>
    <row r="384" spans="1:9">
      <c r="A384" s="1" t="s">
        <v>1397</v>
      </c>
      <c r="B384" s="1" t="s">
        <v>10</v>
      </c>
      <c r="C384" s="1" t="s">
        <v>1398</v>
      </c>
      <c r="D384" s="1" t="s">
        <v>1384</v>
      </c>
      <c r="E384" s="1" t="s">
        <v>473</v>
      </c>
      <c r="F384" s="1" t="s">
        <v>1399</v>
      </c>
      <c r="G384" s="1" t="s">
        <v>1400</v>
      </c>
      <c r="H384" s="1" t="s">
        <v>1401</v>
      </c>
      <c r="I384" t="b">
        <f>COUNTIF(Estadísticas!I:I,'Centraldecomunicacion.es'!H384)&gt;0</f>
        <v>0</v>
      </c>
    </row>
    <row r="385" spans="1:9">
      <c r="A385" s="1" t="s">
        <v>1402</v>
      </c>
      <c r="B385" s="1" t="s">
        <v>10</v>
      </c>
      <c r="C385" s="1" t="s">
        <v>1403</v>
      </c>
      <c r="D385" s="1" t="s">
        <v>1384</v>
      </c>
      <c r="E385" s="1" t="s">
        <v>473</v>
      </c>
      <c r="F385" s="1" t="s">
        <v>23</v>
      </c>
      <c r="G385" s="1" t="s">
        <v>1404</v>
      </c>
      <c r="H385" s="1" t="s">
        <v>15</v>
      </c>
      <c r="I385" t="b">
        <f>COUNTIF(Estadísticas!I:I,'Centraldecomunicacion.es'!H385)&gt;0</f>
        <v>0</v>
      </c>
    </row>
    <row r="386" spans="1:9">
      <c r="A386" s="1" t="s">
        <v>1405</v>
      </c>
      <c r="B386" s="1" t="s">
        <v>10</v>
      </c>
      <c r="C386" s="1" t="s">
        <v>1406</v>
      </c>
      <c r="D386" s="1" t="s">
        <v>1370</v>
      </c>
      <c r="E386" s="1" t="s">
        <v>473</v>
      </c>
      <c r="F386" s="1" t="s">
        <v>81</v>
      </c>
      <c r="G386" s="1" t="s">
        <v>1407</v>
      </c>
      <c r="H386" s="1" t="s">
        <v>83</v>
      </c>
      <c r="I386" t="b">
        <f>COUNTIF(Estadísticas!I:I,'Centraldecomunicacion.es'!H386)&gt;0</f>
        <v>0</v>
      </c>
    </row>
    <row r="387" spans="1:9">
      <c r="A387" s="1" t="s">
        <v>1408</v>
      </c>
      <c r="B387" s="1" t="s">
        <v>10</v>
      </c>
      <c r="C387" s="1" t="s">
        <v>1409</v>
      </c>
      <c r="D387" s="1" t="s">
        <v>1384</v>
      </c>
      <c r="E387" s="1" t="s">
        <v>473</v>
      </c>
      <c r="F387" s="1" t="s">
        <v>23</v>
      </c>
      <c r="G387" s="1" t="s">
        <v>1410</v>
      </c>
      <c r="H387" s="1" t="s">
        <v>15</v>
      </c>
      <c r="I387" t="b">
        <f>COUNTIF(Estadísticas!I:I,'Centraldecomunicacion.es'!H387)&gt;0</f>
        <v>0</v>
      </c>
    </row>
    <row r="388" spans="1:9">
      <c r="A388" s="1" t="s">
        <v>1411</v>
      </c>
      <c r="B388" s="1" t="s">
        <v>10</v>
      </c>
      <c r="C388" s="1" t="s">
        <v>1412</v>
      </c>
      <c r="D388" s="1" t="s">
        <v>1370</v>
      </c>
      <c r="E388" s="1" t="s">
        <v>473</v>
      </c>
      <c r="F388" s="1" t="s">
        <v>23</v>
      </c>
      <c r="G388" s="1" t="s">
        <v>1413</v>
      </c>
      <c r="H388" s="1" t="s">
        <v>15</v>
      </c>
      <c r="I388" t="b">
        <f>COUNTIF(Estadísticas!I:I,'Centraldecomunicacion.es'!H388)&gt;0</f>
        <v>0</v>
      </c>
    </row>
    <row r="389" spans="1:9">
      <c r="A389" s="1" t="s">
        <v>1414</v>
      </c>
      <c r="B389" s="1" t="s">
        <v>10</v>
      </c>
      <c r="C389" s="1" t="s">
        <v>1415</v>
      </c>
      <c r="D389" s="1" t="s">
        <v>1384</v>
      </c>
      <c r="E389" s="1" t="s">
        <v>473</v>
      </c>
      <c r="F389" s="1" t="s">
        <v>23</v>
      </c>
      <c r="G389" s="1" t="s">
        <v>1416</v>
      </c>
      <c r="H389" s="1" t="s">
        <v>15</v>
      </c>
      <c r="I389" t="b">
        <f>COUNTIF(Estadísticas!I:I,'Centraldecomunicacion.es'!H389)&gt;0</f>
        <v>0</v>
      </c>
    </row>
    <row r="390" spans="1:9">
      <c r="A390" s="1" t="s">
        <v>1417</v>
      </c>
      <c r="B390" s="1" t="s">
        <v>10</v>
      </c>
      <c r="C390" s="1" t="s">
        <v>1418</v>
      </c>
      <c r="D390" s="1" t="s">
        <v>1419</v>
      </c>
      <c r="E390" s="1" t="s">
        <v>473</v>
      </c>
      <c r="F390" s="1" t="s">
        <v>23</v>
      </c>
      <c r="G390" s="1" t="s">
        <v>1420</v>
      </c>
      <c r="H390" s="1" t="s">
        <v>15</v>
      </c>
      <c r="I390" t="b">
        <f>COUNTIF(Estadísticas!I:I,'Centraldecomunicacion.es'!H390)&gt;0</f>
        <v>0</v>
      </c>
    </row>
    <row r="391" spans="1:9">
      <c r="A391" s="1" t="s">
        <v>1421</v>
      </c>
      <c r="B391" s="1" t="s">
        <v>10</v>
      </c>
      <c r="C391" s="1" t="s">
        <v>1422</v>
      </c>
      <c r="D391" s="1" t="s">
        <v>1423</v>
      </c>
      <c r="E391" s="1" t="s">
        <v>473</v>
      </c>
      <c r="F391" s="1" t="s">
        <v>1424</v>
      </c>
      <c r="G391" s="1" t="s">
        <v>1425</v>
      </c>
      <c r="H391" s="1" t="s">
        <v>1426</v>
      </c>
      <c r="I391" t="b">
        <f>COUNTIF(Estadísticas!I:I,'Centraldecomunicacion.es'!H391)&gt;0</f>
        <v>0</v>
      </c>
    </row>
    <row r="392" spans="1:9">
      <c r="A392" s="1" t="s">
        <v>1427</v>
      </c>
      <c r="B392" s="1" t="s">
        <v>10</v>
      </c>
      <c r="C392" s="1" t="s">
        <v>1428</v>
      </c>
      <c r="D392" s="1" t="s">
        <v>1384</v>
      </c>
      <c r="E392" s="1" t="s">
        <v>473</v>
      </c>
      <c r="F392" s="1" t="s">
        <v>56</v>
      </c>
      <c r="G392" s="1" t="s">
        <v>1429</v>
      </c>
      <c r="H392" s="1" t="s">
        <v>15</v>
      </c>
      <c r="I392" t="b">
        <f>COUNTIF(Estadísticas!I:I,'Centraldecomunicacion.es'!H392)&gt;0</f>
        <v>0</v>
      </c>
    </row>
    <row r="393" spans="1:9">
      <c r="A393" s="1" t="s">
        <v>1430</v>
      </c>
      <c r="B393" s="1" t="s">
        <v>10</v>
      </c>
      <c r="C393" s="1" t="s">
        <v>1431</v>
      </c>
      <c r="D393" s="1" t="s">
        <v>1384</v>
      </c>
      <c r="E393" s="1" t="s">
        <v>473</v>
      </c>
      <c r="F393" s="1" t="s">
        <v>23</v>
      </c>
      <c r="G393" s="1" t="s">
        <v>1432</v>
      </c>
      <c r="H393" s="1" t="s">
        <v>15</v>
      </c>
      <c r="I393" t="b">
        <f>COUNTIF(Estadísticas!I:I,'Centraldecomunicacion.es'!H393)&gt;0</f>
        <v>0</v>
      </c>
    </row>
    <row r="394" spans="1:9">
      <c r="A394" s="1" t="s">
        <v>1433</v>
      </c>
      <c r="B394" s="1" t="s">
        <v>10</v>
      </c>
      <c r="C394" s="1" t="s">
        <v>1434</v>
      </c>
      <c r="D394" s="1" t="s">
        <v>1370</v>
      </c>
      <c r="E394" s="1" t="s">
        <v>473</v>
      </c>
      <c r="F394" s="1" t="s">
        <v>23</v>
      </c>
      <c r="G394" s="1" t="s">
        <v>1435</v>
      </c>
      <c r="H394" s="1" t="s">
        <v>15</v>
      </c>
      <c r="I394" t="b">
        <f>COUNTIF(Estadísticas!I:I,'Centraldecomunicacion.es'!H394)&gt;0</f>
        <v>0</v>
      </c>
    </row>
    <row r="395" spans="1:9">
      <c r="A395" s="1" t="s">
        <v>455</v>
      </c>
      <c r="B395" s="1" t="s">
        <v>10</v>
      </c>
      <c r="C395" s="1" t="s">
        <v>1436</v>
      </c>
      <c r="D395" s="1" t="s">
        <v>1384</v>
      </c>
      <c r="E395" s="1" t="s">
        <v>473</v>
      </c>
      <c r="F395" s="1" t="s">
        <v>23</v>
      </c>
      <c r="G395" s="1" t="s">
        <v>1437</v>
      </c>
      <c r="H395" s="1" t="s">
        <v>15</v>
      </c>
      <c r="I395" t="b">
        <f>COUNTIF(Estadísticas!I:I,'Centraldecomunicacion.es'!H395)&gt;0</f>
        <v>0</v>
      </c>
    </row>
    <row r="396" spans="1:9">
      <c r="A396" s="1" t="s">
        <v>1438</v>
      </c>
      <c r="B396" s="1" t="s">
        <v>10</v>
      </c>
      <c r="C396" s="1" t="s">
        <v>1439</v>
      </c>
      <c r="D396" s="1" t="s">
        <v>1440</v>
      </c>
      <c r="E396" s="1" t="s">
        <v>473</v>
      </c>
      <c r="F396" s="1" t="s">
        <v>1441</v>
      </c>
      <c r="G396" s="1" t="s">
        <v>1442</v>
      </c>
      <c r="H396" s="1" t="s">
        <v>15</v>
      </c>
      <c r="I396" t="b">
        <f>COUNTIF(Estadísticas!I:I,'Centraldecomunicacion.es'!H396)&gt;0</f>
        <v>0</v>
      </c>
    </row>
    <row r="397" spans="1:9">
      <c r="A397" s="1" t="s">
        <v>1443</v>
      </c>
      <c r="B397" s="1" t="s">
        <v>10</v>
      </c>
      <c r="C397" s="1" t="s">
        <v>1444</v>
      </c>
      <c r="D397" s="1" t="s">
        <v>1445</v>
      </c>
      <c r="E397" s="1" t="s">
        <v>473</v>
      </c>
      <c r="F397" s="1" t="s">
        <v>23</v>
      </c>
      <c r="G397" s="1" t="s">
        <v>1446</v>
      </c>
      <c r="H397" s="1" t="s">
        <v>15</v>
      </c>
      <c r="I397" t="b">
        <f>COUNTIF(Estadísticas!I:I,'Centraldecomunicacion.es'!H397)&gt;0</f>
        <v>0</v>
      </c>
    </row>
    <row r="398" spans="1:9">
      <c r="A398" s="1" t="s">
        <v>1447</v>
      </c>
      <c r="B398" s="1" t="s">
        <v>10</v>
      </c>
      <c r="C398" s="1" t="s">
        <v>1448</v>
      </c>
      <c r="D398" s="1" t="s">
        <v>683</v>
      </c>
      <c r="E398" s="1" t="s">
        <v>473</v>
      </c>
      <c r="F398" s="1" t="s">
        <v>23</v>
      </c>
      <c r="G398" s="1" t="s">
        <v>1449</v>
      </c>
      <c r="H398" s="1" t="s">
        <v>15</v>
      </c>
      <c r="I398" t="b">
        <f>COUNTIF(Estadísticas!I:I,'Centraldecomunicacion.es'!H398)&gt;0</f>
        <v>0</v>
      </c>
    </row>
    <row r="399" spans="1:9">
      <c r="A399" s="1" t="s">
        <v>1450</v>
      </c>
      <c r="B399" s="1" t="s">
        <v>10</v>
      </c>
      <c r="C399" s="1" t="s">
        <v>1451</v>
      </c>
      <c r="D399" s="1" t="s">
        <v>1452</v>
      </c>
      <c r="E399" s="1" t="s">
        <v>473</v>
      </c>
      <c r="F399" s="1" t="s">
        <v>1453</v>
      </c>
      <c r="G399" s="1" t="s">
        <v>1454</v>
      </c>
      <c r="H399" s="1" t="s">
        <v>1455</v>
      </c>
      <c r="I399" t="b">
        <f>COUNTIF(Estadísticas!I:I,'Centraldecomunicacion.es'!H399)&gt;0</f>
        <v>0</v>
      </c>
    </row>
    <row r="400" spans="1:9">
      <c r="A400" s="1" t="s">
        <v>1456</v>
      </c>
      <c r="B400" s="1" t="s">
        <v>10</v>
      </c>
      <c r="C400" s="1" t="s">
        <v>1457</v>
      </c>
      <c r="D400" s="1" t="s">
        <v>1384</v>
      </c>
      <c r="E400" s="1" t="s">
        <v>473</v>
      </c>
      <c r="F400" s="1" t="s">
        <v>23</v>
      </c>
      <c r="G400" s="1" t="s">
        <v>1458</v>
      </c>
      <c r="H400" s="1" t="s">
        <v>15</v>
      </c>
      <c r="I400" t="b">
        <f>COUNTIF(Estadísticas!I:I,'Centraldecomunicacion.es'!H400)&gt;0</f>
        <v>0</v>
      </c>
    </row>
    <row r="401" spans="1:9">
      <c r="A401" s="1" t="s">
        <v>1459</v>
      </c>
      <c r="B401" s="1" t="s">
        <v>10</v>
      </c>
      <c r="C401" s="1" t="s">
        <v>1460</v>
      </c>
      <c r="D401" s="1" t="s">
        <v>1461</v>
      </c>
      <c r="E401" s="1" t="s">
        <v>473</v>
      </c>
      <c r="F401" s="1" t="s">
        <v>1462</v>
      </c>
      <c r="G401" s="1" t="s">
        <v>1463</v>
      </c>
      <c r="H401" s="1" t="s">
        <v>15</v>
      </c>
      <c r="I401" t="b">
        <f>COUNTIF(Estadísticas!I:I,'Centraldecomunicacion.es'!H401)&gt;0</f>
        <v>0</v>
      </c>
    </row>
    <row r="402" spans="1:9">
      <c r="A402" s="1" t="s">
        <v>1464</v>
      </c>
      <c r="B402" s="1" t="s">
        <v>10</v>
      </c>
      <c r="C402" s="1" t="s">
        <v>1465</v>
      </c>
      <c r="D402" s="1" t="s">
        <v>683</v>
      </c>
      <c r="E402" s="1" t="s">
        <v>473</v>
      </c>
      <c r="F402" s="1" t="s">
        <v>23</v>
      </c>
      <c r="G402" s="1" t="s">
        <v>1466</v>
      </c>
      <c r="H402" s="1" t="s">
        <v>15</v>
      </c>
      <c r="I402" t="b">
        <f>COUNTIF(Estadísticas!I:I,'Centraldecomunicacion.es'!H402)&gt;0</f>
        <v>0</v>
      </c>
    </row>
    <row r="403" spans="1:9">
      <c r="A403" s="1" t="s">
        <v>1467</v>
      </c>
      <c r="B403" s="1" t="s">
        <v>10</v>
      </c>
      <c r="C403" s="1" t="s">
        <v>1468</v>
      </c>
      <c r="D403" s="1" t="s">
        <v>1469</v>
      </c>
      <c r="E403" s="1" t="s">
        <v>473</v>
      </c>
      <c r="F403" s="1" t="s">
        <v>1470</v>
      </c>
      <c r="G403" s="1" t="s">
        <v>1471</v>
      </c>
      <c r="H403" s="1" t="s">
        <v>1472</v>
      </c>
      <c r="I403" t="b">
        <f>COUNTIF(Estadísticas!I:I,'Centraldecomunicacion.es'!H403)&gt;0</f>
        <v>0</v>
      </c>
    </row>
    <row r="404" spans="1:9">
      <c r="A404" s="1" t="s">
        <v>1473</v>
      </c>
      <c r="B404" s="1" t="s">
        <v>10</v>
      </c>
      <c r="C404" s="1" t="s">
        <v>1474</v>
      </c>
      <c r="D404" s="1" t="s">
        <v>1469</v>
      </c>
      <c r="E404" s="1" t="s">
        <v>473</v>
      </c>
      <c r="F404" s="1" t="s">
        <v>23</v>
      </c>
      <c r="G404" s="1" t="s">
        <v>1475</v>
      </c>
      <c r="H404" s="1" t="s">
        <v>15</v>
      </c>
      <c r="I404" t="b">
        <f>COUNTIF(Estadísticas!I:I,'Centraldecomunicacion.es'!H404)&gt;0</f>
        <v>0</v>
      </c>
    </row>
    <row r="405" spans="1:9">
      <c r="A405" s="1" t="s">
        <v>1476</v>
      </c>
      <c r="B405" s="1" t="s">
        <v>10</v>
      </c>
      <c r="C405" s="1" t="s">
        <v>1477</v>
      </c>
      <c r="D405" s="1" t="s">
        <v>1478</v>
      </c>
      <c r="E405" s="1" t="s">
        <v>473</v>
      </c>
      <c r="F405" s="1" t="s">
        <v>1479</v>
      </c>
      <c r="G405" s="1" t="s">
        <v>1480</v>
      </c>
      <c r="H405" s="1" t="s">
        <v>1104</v>
      </c>
      <c r="I405" t="b">
        <f>COUNTIF(Estadísticas!I:I,'Centraldecomunicacion.es'!H405)&gt;0</f>
        <v>0</v>
      </c>
    </row>
    <row r="406" spans="1:9">
      <c r="A406" s="1" t="s">
        <v>1481</v>
      </c>
      <c r="B406" s="1" t="s">
        <v>10</v>
      </c>
      <c r="C406" s="1" t="s">
        <v>1482</v>
      </c>
      <c r="D406" s="1" t="s">
        <v>683</v>
      </c>
      <c r="E406" s="1" t="s">
        <v>473</v>
      </c>
      <c r="F406" s="1" t="s">
        <v>23</v>
      </c>
      <c r="G406" s="1" t="s">
        <v>1483</v>
      </c>
      <c r="H406" s="1" t="s">
        <v>15</v>
      </c>
      <c r="I406" t="b">
        <f>COUNTIF(Estadísticas!I:I,'Centraldecomunicacion.es'!H406)&gt;0</f>
        <v>0</v>
      </c>
    </row>
    <row r="407" spans="1:9">
      <c r="A407" s="1" t="s">
        <v>1484</v>
      </c>
      <c r="B407" s="1" t="s">
        <v>10</v>
      </c>
      <c r="C407" s="1" t="s">
        <v>1485</v>
      </c>
      <c r="D407" s="1" t="s">
        <v>1469</v>
      </c>
      <c r="E407" s="1" t="s">
        <v>473</v>
      </c>
      <c r="F407" s="1" t="s">
        <v>1486</v>
      </c>
      <c r="G407" s="1" t="s">
        <v>1487</v>
      </c>
      <c r="H407" s="1" t="s">
        <v>1488</v>
      </c>
      <c r="I407" t="b">
        <f>COUNTIF(Estadísticas!I:I,'Centraldecomunicacion.es'!H407)&gt;0</f>
        <v>0</v>
      </c>
    </row>
    <row r="408" spans="1:9">
      <c r="A408" s="1" t="s">
        <v>1489</v>
      </c>
      <c r="B408" s="1" t="s">
        <v>10</v>
      </c>
      <c r="C408" s="1" t="s">
        <v>1490</v>
      </c>
      <c r="D408" s="1" t="s">
        <v>1478</v>
      </c>
      <c r="E408" s="1" t="s">
        <v>473</v>
      </c>
      <c r="F408" s="1" t="s">
        <v>1479</v>
      </c>
      <c r="G408" s="1" t="s">
        <v>1480</v>
      </c>
      <c r="H408" s="1" t="s">
        <v>1104</v>
      </c>
      <c r="I408" t="b">
        <f>COUNTIF(Estadísticas!I:I,'Centraldecomunicacion.es'!H408)&gt;0</f>
        <v>0</v>
      </c>
    </row>
    <row r="409" spans="1:9">
      <c r="A409" s="1" t="s">
        <v>1491</v>
      </c>
      <c r="B409" s="1" t="s">
        <v>10</v>
      </c>
      <c r="C409" s="1" t="s">
        <v>1492</v>
      </c>
      <c r="D409" s="1" t="s">
        <v>1469</v>
      </c>
      <c r="E409" s="1" t="s">
        <v>473</v>
      </c>
      <c r="F409" s="1" t="s">
        <v>23</v>
      </c>
      <c r="G409" s="1" t="s">
        <v>1493</v>
      </c>
      <c r="H409" s="1" t="s">
        <v>15</v>
      </c>
      <c r="I409" t="b">
        <f>COUNTIF(Estadísticas!I:I,'Centraldecomunicacion.es'!H409)&gt;0</f>
        <v>0</v>
      </c>
    </row>
    <row r="410" spans="1:9">
      <c r="A410" s="1" t="s">
        <v>1494</v>
      </c>
      <c r="B410" s="1" t="s">
        <v>10</v>
      </c>
      <c r="C410" s="1" t="s">
        <v>1495</v>
      </c>
      <c r="D410" s="1" t="s">
        <v>1469</v>
      </c>
      <c r="E410" s="1" t="s">
        <v>473</v>
      </c>
      <c r="F410" s="1" t="s">
        <v>23</v>
      </c>
      <c r="G410" s="1" t="s">
        <v>1496</v>
      </c>
      <c r="H410" s="1" t="s">
        <v>15</v>
      </c>
      <c r="I410" t="b">
        <f>COUNTIF(Estadísticas!I:I,'Centraldecomunicacion.es'!H410)&gt;0</f>
        <v>0</v>
      </c>
    </row>
    <row r="411" spans="1:9">
      <c r="A411" s="1" t="s">
        <v>1497</v>
      </c>
      <c r="B411" s="1" t="s">
        <v>10</v>
      </c>
      <c r="C411" s="1" t="s">
        <v>1498</v>
      </c>
      <c r="D411" s="1" t="s">
        <v>1469</v>
      </c>
      <c r="E411" s="1" t="s">
        <v>473</v>
      </c>
      <c r="F411" s="1" t="s">
        <v>1499</v>
      </c>
      <c r="G411" s="1" t="s">
        <v>1500</v>
      </c>
      <c r="H411" s="1" t="s">
        <v>1501</v>
      </c>
      <c r="I411" t="b">
        <f>COUNTIF(Estadísticas!I:I,'Centraldecomunicacion.es'!H411)&gt;0</f>
        <v>0</v>
      </c>
    </row>
    <row r="412" spans="1:9">
      <c r="A412" s="1" t="s">
        <v>1502</v>
      </c>
      <c r="B412" s="1" t="s">
        <v>10</v>
      </c>
      <c r="C412" s="1" t="s">
        <v>1503</v>
      </c>
      <c r="D412" s="1" t="s">
        <v>1478</v>
      </c>
      <c r="E412" s="1" t="s">
        <v>473</v>
      </c>
      <c r="F412" s="1" t="s">
        <v>1504</v>
      </c>
      <c r="G412" s="1" t="s">
        <v>1505</v>
      </c>
      <c r="H412" s="1" t="s">
        <v>15</v>
      </c>
      <c r="I412" t="b">
        <f>COUNTIF(Estadísticas!I:I,'Centraldecomunicacion.es'!H412)&gt;0</f>
        <v>0</v>
      </c>
    </row>
    <row r="413" spans="1:9">
      <c r="A413" s="1" t="s">
        <v>1506</v>
      </c>
      <c r="B413" s="1" t="s">
        <v>10</v>
      </c>
      <c r="C413" s="1" t="s">
        <v>1507</v>
      </c>
      <c r="D413" s="1" t="s">
        <v>1469</v>
      </c>
      <c r="E413" s="1" t="s">
        <v>473</v>
      </c>
      <c r="F413" s="1" t="s">
        <v>23</v>
      </c>
      <c r="G413" s="1" t="s">
        <v>1508</v>
      </c>
      <c r="H413" s="1" t="s">
        <v>15</v>
      </c>
      <c r="I413" t="b">
        <f>COUNTIF(Estadísticas!I:I,'Centraldecomunicacion.es'!H413)&gt;0</f>
        <v>0</v>
      </c>
    </row>
    <row r="414" spans="1:9">
      <c r="A414" s="1" t="s">
        <v>1509</v>
      </c>
      <c r="B414" s="1" t="s">
        <v>10</v>
      </c>
      <c r="C414" s="1" t="s">
        <v>1510</v>
      </c>
      <c r="D414" s="1" t="s">
        <v>1469</v>
      </c>
      <c r="E414" s="1" t="s">
        <v>473</v>
      </c>
      <c r="F414" s="1" t="s">
        <v>23</v>
      </c>
      <c r="G414" s="1" t="s">
        <v>1511</v>
      </c>
      <c r="H414" s="1" t="s">
        <v>15</v>
      </c>
      <c r="I414" t="b">
        <f>COUNTIF(Estadísticas!I:I,'Centraldecomunicacion.es'!H414)&gt;0</f>
        <v>0</v>
      </c>
    </row>
    <row r="415" spans="1:9">
      <c r="A415" s="1" t="s">
        <v>1512</v>
      </c>
      <c r="B415" s="1" t="s">
        <v>10</v>
      </c>
      <c r="C415" s="1" t="s">
        <v>1513</v>
      </c>
      <c r="D415" s="1" t="s">
        <v>1469</v>
      </c>
      <c r="E415" s="1" t="s">
        <v>473</v>
      </c>
      <c r="F415" s="1" t="s">
        <v>482</v>
      </c>
      <c r="G415" s="1" t="s">
        <v>1514</v>
      </c>
      <c r="H415" s="1" t="s">
        <v>484</v>
      </c>
      <c r="I415" t="b">
        <f>COUNTIF(Estadísticas!I:I,'Centraldecomunicacion.es'!H415)&gt;0</f>
        <v>0</v>
      </c>
    </row>
    <row r="416" spans="1:9">
      <c r="A416" s="1" t="s">
        <v>1515</v>
      </c>
      <c r="B416" s="1" t="s">
        <v>10</v>
      </c>
      <c r="C416" s="1" t="s">
        <v>1516</v>
      </c>
      <c r="D416" s="1" t="s">
        <v>1469</v>
      </c>
      <c r="E416" s="1" t="s">
        <v>473</v>
      </c>
      <c r="F416" s="1" t="s">
        <v>1517</v>
      </c>
      <c r="G416" s="1" t="s">
        <v>1518</v>
      </c>
      <c r="H416" s="1" t="s">
        <v>1519</v>
      </c>
      <c r="I416" t="b">
        <f>COUNTIF(Estadísticas!I:I,'Centraldecomunicacion.es'!H416)&gt;0</f>
        <v>0</v>
      </c>
    </row>
    <row r="417" spans="1:9">
      <c r="A417" s="1" t="s">
        <v>1520</v>
      </c>
      <c r="B417" s="1" t="s">
        <v>10</v>
      </c>
      <c r="C417" s="1" t="s">
        <v>1521</v>
      </c>
      <c r="D417" s="1" t="s">
        <v>1469</v>
      </c>
      <c r="E417" s="1" t="s">
        <v>473</v>
      </c>
      <c r="F417" s="1" t="s">
        <v>1522</v>
      </c>
      <c r="G417" s="1" t="s">
        <v>1523</v>
      </c>
      <c r="H417" s="1" t="s">
        <v>1524</v>
      </c>
      <c r="I417" t="b">
        <f>COUNTIF(Estadísticas!I:I,'Centraldecomunicacion.es'!H417)&gt;0</f>
        <v>0</v>
      </c>
    </row>
    <row r="418" spans="1:9">
      <c r="A418" s="1" t="s">
        <v>1525</v>
      </c>
      <c r="B418" s="1" t="s">
        <v>10</v>
      </c>
      <c r="C418" s="1" t="s">
        <v>1526</v>
      </c>
      <c r="D418" s="1" t="s">
        <v>1527</v>
      </c>
      <c r="E418" s="1" t="s">
        <v>473</v>
      </c>
      <c r="F418" s="1" t="s">
        <v>23</v>
      </c>
      <c r="G418" s="1" t="s">
        <v>1528</v>
      </c>
      <c r="H418" s="1" t="s">
        <v>15</v>
      </c>
      <c r="I418" t="b">
        <f>COUNTIF(Estadísticas!I:I,'Centraldecomunicacion.es'!H418)&gt;0</f>
        <v>0</v>
      </c>
    </row>
    <row r="419" spans="1:9">
      <c r="A419" s="1" t="s">
        <v>1529</v>
      </c>
      <c r="B419" s="1" t="s">
        <v>10</v>
      </c>
      <c r="C419" s="1" t="s">
        <v>1530</v>
      </c>
      <c r="D419" s="1" t="s">
        <v>1527</v>
      </c>
      <c r="E419" s="1" t="s">
        <v>473</v>
      </c>
      <c r="F419" s="1" t="s">
        <v>23</v>
      </c>
      <c r="G419" s="1" t="s">
        <v>1531</v>
      </c>
      <c r="H419" s="1" t="s">
        <v>15</v>
      </c>
      <c r="I419" t="b">
        <f>COUNTIF(Estadísticas!I:I,'Centraldecomunicacion.es'!H419)&gt;0</f>
        <v>0</v>
      </c>
    </row>
    <row r="420" spans="1:9">
      <c r="A420" s="1" t="s">
        <v>257</v>
      </c>
      <c r="B420" s="1" t="s">
        <v>10</v>
      </c>
      <c r="C420" s="1" t="s">
        <v>1532</v>
      </c>
      <c r="D420" s="1" t="s">
        <v>1533</v>
      </c>
      <c r="E420" s="1" t="s">
        <v>473</v>
      </c>
      <c r="F420" s="1" t="s">
        <v>81</v>
      </c>
      <c r="G420" s="1" t="s">
        <v>1534</v>
      </c>
      <c r="H420" s="1" t="s">
        <v>83</v>
      </c>
      <c r="I420" t="b">
        <f>COUNTIF(Estadísticas!I:I,'Centraldecomunicacion.es'!H420)&gt;0</f>
        <v>0</v>
      </c>
    </row>
    <row r="421" spans="1:9">
      <c r="A421" s="1" t="s">
        <v>1535</v>
      </c>
      <c r="B421" s="1" t="s">
        <v>10</v>
      </c>
      <c r="C421" s="1" t="s">
        <v>1536</v>
      </c>
      <c r="D421" s="1" t="s">
        <v>1469</v>
      </c>
      <c r="E421" s="1" t="s">
        <v>473</v>
      </c>
      <c r="F421" s="1" t="s">
        <v>1537</v>
      </c>
      <c r="G421" s="1" t="s">
        <v>23</v>
      </c>
      <c r="H421" s="1" t="s">
        <v>15</v>
      </c>
      <c r="I421" t="b">
        <f>COUNTIF(Estadísticas!I:I,'Centraldecomunicacion.es'!H421)&gt;0</f>
        <v>0</v>
      </c>
    </row>
    <row r="422" spans="1:9">
      <c r="A422" s="1" t="s">
        <v>1538</v>
      </c>
      <c r="B422" s="1" t="s">
        <v>10</v>
      </c>
      <c r="C422" s="1" t="s">
        <v>1539</v>
      </c>
      <c r="D422" s="1" t="s">
        <v>1540</v>
      </c>
      <c r="E422" s="1" t="s">
        <v>473</v>
      </c>
      <c r="F422" s="1" t="s">
        <v>1541</v>
      </c>
      <c r="G422" s="1" t="s">
        <v>1542</v>
      </c>
      <c r="H422" s="1" t="s">
        <v>1543</v>
      </c>
      <c r="I422" t="b">
        <f>COUNTIF(Estadísticas!I:I,'Centraldecomunicacion.es'!H422)&gt;0</f>
        <v>0</v>
      </c>
    </row>
    <row r="423" spans="1:9">
      <c r="A423" s="1" t="s">
        <v>1544</v>
      </c>
      <c r="B423" s="1" t="s">
        <v>10</v>
      </c>
      <c r="C423" s="1" t="s">
        <v>1545</v>
      </c>
      <c r="D423" s="1" t="s">
        <v>1546</v>
      </c>
      <c r="E423" s="1" t="s">
        <v>1546</v>
      </c>
      <c r="F423" s="1" t="s">
        <v>1547</v>
      </c>
      <c r="G423" s="1" t="s">
        <v>1548</v>
      </c>
      <c r="H423" s="1" t="s">
        <v>1549</v>
      </c>
      <c r="I423" t="b">
        <f>COUNTIF(Estadísticas!I:I,'Centraldecomunicacion.es'!H423)&gt;0</f>
        <v>0</v>
      </c>
    </row>
    <row r="424" spans="1:9">
      <c r="A424" s="1" t="s">
        <v>455</v>
      </c>
      <c r="B424" s="1" t="s">
        <v>10</v>
      </c>
      <c r="C424" s="1" t="s">
        <v>1550</v>
      </c>
      <c r="D424" s="1" t="s">
        <v>1551</v>
      </c>
      <c r="E424" s="1" t="s">
        <v>1551</v>
      </c>
      <c r="F424" s="1" t="s">
        <v>23</v>
      </c>
      <c r="G424" s="1" t="s">
        <v>1552</v>
      </c>
      <c r="H424" s="1" t="s">
        <v>15</v>
      </c>
      <c r="I424" t="b">
        <f>COUNTIF(Estadísticas!I:I,'Centraldecomunicacion.es'!H424)&gt;0</f>
        <v>0</v>
      </c>
    </row>
    <row r="425" spans="1:9">
      <c r="A425" s="1" t="s">
        <v>1553</v>
      </c>
      <c r="B425" s="1" t="s">
        <v>10</v>
      </c>
      <c r="C425" s="1" t="s">
        <v>1554</v>
      </c>
      <c r="D425" s="1" t="s">
        <v>1551</v>
      </c>
      <c r="E425" s="1" t="s">
        <v>1551</v>
      </c>
      <c r="F425" s="1" t="s">
        <v>23</v>
      </c>
      <c r="G425" s="1" t="s">
        <v>1555</v>
      </c>
      <c r="H425" s="1" t="s">
        <v>15</v>
      </c>
      <c r="I425" t="b">
        <f>COUNTIF(Estadísticas!I:I,'Centraldecomunicacion.es'!H425)&gt;0</f>
        <v>0</v>
      </c>
    </row>
    <row r="426" spans="1:9">
      <c r="A426" s="1" t="s">
        <v>1556</v>
      </c>
      <c r="B426" s="1" t="s">
        <v>10</v>
      </c>
      <c r="C426" s="1" t="s">
        <v>1557</v>
      </c>
      <c r="D426" s="1" t="s">
        <v>1551</v>
      </c>
      <c r="E426" s="1" t="s">
        <v>1551</v>
      </c>
      <c r="F426" s="1" t="s">
        <v>23</v>
      </c>
      <c r="G426" s="1" t="s">
        <v>1558</v>
      </c>
      <c r="H426" s="1" t="s">
        <v>15</v>
      </c>
      <c r="I426" t="b">
        <f>COUNTIF(Estadísticas!I:I,'Centraldecomunicacion.es'!H426)&gt;0</f>
        <v>0</v>
      </c>
    </row>
    <row r="427" spans="1:9">
      <c r="A427" s="1" t="s">
        <v>1559</v>
      </c>
      <c r="B427" s="1" t="s">
        <v>10</v>
      </c>
      <c r="C427" s="1" t="s">
        <v>1560</v>
      </c>
      <c r="D427" s="1" t="s">
        <v>1551</v>
      </c>
      <c r="E427" s="1" t="s">
        <v>1551</v>
      </c>
      <c r="F427" s="1" t="s">
        <v>23</v>
      </c>
      <c r="G427" s="1" t="s">
        <v>1561</v>
      </c>
      <c r="H427" s="1" t="s">
        <v>15</v>
      </c>
      <c r="I427" t="b">
        <f>COUNTIF(Estadísticas!I:I,'Centraldecomunicacion.es'!H427)&gt;0</f>
        <v>0</v>
      </c>
    </row>
    <row r="428" spans="1:9">
      <c r="A428" s="1" t="s">
        <v>1562</v>
      </c>
      <c r="B428" s="1" t="s">
        <v>10</v>
      </c>
      <c r="C428" s="1" t="s">
        <v>1563</v>
      </c>
      <c r="D428" s="1" t="s">
        <v>1551</v>
      </c>
      <c r="E428" s="1" t="s">
        <v>1551</v>
      </c>
      <c r="F428" s="1" t="s">
        <v>23</v>
      </c>
      <c r="G428" s="1" t="s">
        <v>1564</v>
      </c>
      <c r="H428" s="1" t="s">
        <v>15</v>
      </c>
      <c r="I428" t="b">
        <f>COUNTIF(Estadísticas!I:I,'Centraldecomunicacion.es'!H428)&gt;0</f>
        <v>0</v>
      </c>
    </row>
    <row r="429" spans="1:9">
      <c r="A429" s="1" t="s">
        <v>1565</v>
      </c>
      <c r="B429" s="1" t="s">
        <v>10</v>
      </c>
      <c r="C429" s="1" t="s">
        <v>1566</v>
      </c>
      <c r="D429" s="1" t="s">
        <v>1551</v>
      </c>
      <c r="E429" s="1" t="s">
        <v>1551</v>
      </c>
      <c r="F429" s="1" t="s">
        <v>23</v>
      </c>
      <c r="G429" s="1" t="s">
        <v>1567</v>
      </c>
      <c r="H429" s="1" t="s">
        <v>15</v>
      </c>
      <c r="I429" t="b">
        <f>COUNTIF(Estadísticas!I:I,'Centraldecomunicacion.es'!H429)&gt;0</f>
        <v>0</v>
      </c>
    </row>
    <row r="430" spans="1:9">
      <c r="A430" s="1" t="s">
        <v>1568</v>
      </c>
      <c r="B430" s="1" t="s">
        <v>10</v>
      </c>
      <c r="C430" s="1" t="s">
        <v>1569</v>
      </c>
      <c r="D430" s="1" t="s">
        <v>1551</v>
      </c>
      <c r="E430" s="1" t="s">
        <v>1551</v>
      </c>
      <c r="F430" s="1" t="s">
        <v>81</v>
      </c>
      <c r="G430" s="1" t="s">
        <v>23</v>
      </c>
      <c r="H430" s="1" t="s">
        <v>83</v>
      </c>
      <c r="I430" t="b">
        <f>COUNTIF(Estadísticas!I:I,'Centraldecomunicacion.es'!H430)&gt;0</f>
        <v>0</v>
      </c>
    </row>
    <row r="431" spans="1:9">
      <c r="A431" s="1" t="s">
        <v>1570</v>
      </c>
      <c r="B431" s="1" t="s">
        <v>10</v>
      </c>
      <c r="C431" s="1" t="s">
        <v>1571</v>
      </c>
      <c r="D431" s="1" t="s">
        <v>1551</v>
      </c>
      <c r="E431" s="1" t="s">
        <v>1551</v>
      </c>
      <c r="F431" s="1" t="s">
        <v>23</v>
      </c>
      <c r="G431" s="1" t="s">
        <v>1572</v>
      </c>
      <c r="H431" s="1" t="s">
        <v>15</v>
      </c>
      <c r="I431" t="b">
        <f>COUNTIF(Estadísticas!I:I,'Centraldecomunicacion.es'!H431)&gt;0</f>
        <v>0</v>
      </c>
    </row>
    <row r="432" spans="1:9">
      <c r="A432" s="1" t="s">
        <v>1573</v>
      </c>
      <c r="B432" s="1" t="s">
        <v>10</v>
      </c>
      <c r="C432" s="1" t="s">
        <v>1574</v>
      </c>
      <c r="D432" s="1" t="s">
        <v>1575</v>
      </c>
      <c r="E432" s="1" t="s">
        <v>1551</v>
      </c>
      <c r="F432" s="1" t="s">
        <v>23</v>
      </c>
      <c r="G432" s="1" t="s">
        <v>23</v>
      </c>
      <c r="H432" s="1" t="s">
        <v>15</v>
      </c>
      <c r="I432" t="b">
        <f>COUNTIF(Estadísticas!I:I,'Centraldecomunicacion.es'!H432)&gt;0</f>
        <v>0</v>
      </c>
    </row>
    <row r="433" spans="1:9">
      <c r="A433" s="1" t="s">
        <v>1576</v>
      </c>
      <c r="B433" s="1" t="s">
        <v>10</v>
      </c>
      <c r="C433" s="1" t="s">
        <v>1577</v>
      </c>
      <c r="D433" s="1" t="s">
        <v>1578</v>
      </c>
      <c r="E433" s="1" t="s">
        <v>1551</v>
      </c>
      <c r="F433" s="1" t="s">
        <v>23</v>
      </c>
      <c r="G433" s="1" t="s">
        <v>1579</v>
      </c>
      <c r="H433" s="1" t="s">
        <v>15</v>
      </c>
      <c r="I433" t="b">
        <f>COUNTIF(Estadísticas!I:I,'Centraldecomunicacion.es'!H433)&gt;0</f>
        <v>0</v>
      </c>
    </row>
    <row r="434" spans="1:9">
      <c r="A434" s="1" t="s">
        <v>1580</v>
      </c>
      <c r="B434" s="1" t="s">
        <v>10</v>
      </c>
      <c r="C434" s="1" t="s">
        <v>1581</v>
      </c>
      <c r="D434" s="1" t="s">
        <v>1582</v>
      </c>
      <c r="E434" s="1" t="s">
        <v>1551</v>
      </c>
      <c r="F434" s="1" t="s">
        <v>23</v>
      </c>
      <c r="G434" s="1" t="s">
        <v>1583</v>
      </c>
      <c r="H434" s="1" t="s">
        <v>15</v>
      </c>
      <c r="I434" t="b">
        <f>COUNTIF(Estadísticas!I:I,'Centraldecomunicacion.es'!H434)&gt;0</f>
        <v>0</v>
      </c>
    </row>
    <row r="435" spans="1:9">
      <c r="A435" s="1" t="s">
        <v>1584</v>
      </c>
      <c r="B435" s="1" t="s">
        <v>10</v>
      </c>
      <c r="C435" s="1" t="s">
        <v>1585</v>
      </c>
      <c r="D435" s="1" t="s">
        <v>1586</v>
      </c>
      <c r="E435" s="1" t="s">
        <v>1551</v>
      </c>
      <c r="F435" s="1" t="s">
        <v>1587</v>
      </c>
      <c r="G435" s="1" t="s">
        <v>1588</v>
      </c>
      <c r="H435" s="1" t="s">
        <v>15</v>
      </c>
      <c r="I435" t="b">
        <f>COUNTIF(Estadísticas!I:I,'Centraldecomunicacion.es'!H435)&gt;0</f>
        <v>0</v>
      </c>
    </row>
    <row r="436" spans="1:9">
      <c r="A436" s="1" t="s">
        <v>1589</v>
      </c>
      <c r="B436" s="1" t="s">
        <v>10</v>
      </c>
      <c r="C436" s="1" t="s">
        <v>1590</v>
      </c>
      <c r="D436" s="1" t="s">
        <v>1591</v>
      </c>
      <c r="E436" s="1" t="s">
        <v>1551</v>
      </c>
      <c r="F436" s="1" t="s">
        <v>1592</v>
      </c>
      <c r="G436" s="1" t="s">
        <v>1593</v>
      </c>
      <c r="H436" s="1" t="s">
        <v>1594</v>
      </c>
      <c r="I436" t="b">
        <f>COUNTIF(Estadísticas!I:I,'Centraldecomunicacion.es'!H436)&gt;0</f>
        <v>0</v>
      </c>
    </row>
    <row r="437" spans="1:9">
      <c r="A437" s="1" t="s">
        <v>1595</v>
      </c>
      <c r="B437" s="1" t="s">
        <v>10</v>
      </c>
      <c r="C437" s="1" t="s">
        <v>1596</v>
      </c>
      <c r="D437" s="1" t="s">
        <v>1597</v>
      </c>
      <c r="E437" s="1" t="s">
        <v>1551</v>
      </c>
      <c r="F437" s="1" t="s">
        <v>1598</v>
      </c>
      <c r="G437" s="1" t="s">
        <v>1599</v>
      </c>
      <c r="H437" s="1" t="s">
        <v>1600</v>
      </c>
      <c r="I437" t="b">
        <f>COUNTIF(Estadísticas!I:I,'Centraldecomunicacion.es'!H437)&gt;0</f>
        <v>0</v>
      </c>
    </row>
    <row r="438" spans="1:9">
      <c r="A438" s="1" t="s">
        <v>321</v>
      </c>
      <c r="B438" s="1" t="s">
        <v>10</v>
      </c>
      <c r="C438" s="1" t="s">
        <v>1601</v>
      </c>
      <c r="D438" s="1" t="s">
        <v>1582</v>
      </c>
      <c r="E438" s="1" t="s">
        <v>1551</v>
      </c>
      <c r="F438" s="1" t="s">
        <v>323</v>
      </c>
      <c r="G438" s="1" t="s">
        <v>1602</v>
      </c>
      <c r="H438" s="1" t="s">
        <v>325</v>
      </c>
      <c r="I438" t="b">
        <f>COUNTIF(Estadísticas!I:I,'Centraldecomunicacion.es'!H438)&gt;0</f>
        <v>0</v>
      </c>
    </row>
    <row r="439" spans="1:9">
      <c r="A439" s="1" t="s">
        <v>1603</v>
      </c>
      <c r="B439" s="1" t="s">
        <v>10</v>
      </c>
      <c r="C439" s="1" t="s">
        <v>1604</v>
      </c>
      <c r="D439" s="1" t="s">
        <v>1605</v>
      </c>
      <c r="E439" s="1" t="s">
        <v>1551</v>
      </c>
      <c r="F439" s="1" t="s">
        <v>23</v>
      </c>
      <c r="G439" s="1" t="s">
        <v>23</v>
      </c>
      <c r="H439" s="1" t="s">
        <v>15</v>
      </c>
      <c r="I439" t="b">
        <f>COUNTIF(Estadísticas!I:I,'Centraldecomunicacion.es'!H439)&gt;0</f>
        <v>0</v>
      </c>
    </row>
    <row r="440" spans="1:9">
      <c r="A440" s="1" t="s">
        <v>1606</v>
      </c>
      <c r="B440" s="1" t="s">
        <v>10</v>
      </c>
      <c r="C440" s="1" t="s">
        <v>1607</v>
      </c>
      <c r="D440" s="1" t="s">
        <v>1608</v>
      </c>
      <c r="E440" s="1" t="s">
        <v>1609</v>
      </c>
      <c r="F440" s="1" t="s">
        <v>23</v>
      </c>
      <c r="G440" s="1" t="s">
        <v>1610</v>
      </c>
      <c r="H440" s="1" t="s">
        <v>15</v>
      </c>
      <c r="I440" t="b">
        <f>COUNTIF(Estadísticas!I:I,'Centraldecomunicacion.es'!H440)&gt;0</f>
        <v>0</v>
      </c>
    </row>
    <row r="441" spans="1:9">
      <c r="A441" s="1" t="s">
        <v>1611</v>
      </c>
      <c r="B441" s="1" t="s">
        <v>10</v>
      </c>
      <c r="C441" s="1" t="s">
        <v>1612</v>
      </c>
      <c r="D441" s="1" t="s">
        <v>1613</v>
      </c>
      <c r="E441" s="1" t="s">
        <v>1614</v>
      </c>
      <c r="F441" s="1" t="s">
        <v>23</v>
      </c>
      <c r="G441" s="1" t="s">
        <v>1615</v>
      </c>
      <c r="H441" s="1" t="s">
        <v>15</v>
      </c>
      <c r="I441" t="b">
        <f>COUNTIF(Estadísticas!I:I,'Centraldecomunicacion.es'!H441)&gt;0</f>
        <v>0</v>
      </c>
    </row>
    <row r="442" spans="1:9">
      <c r="A442" s="1" t="s">
        <v>455</v>
      </c>
      <c r="B442" s="1" t="s">
        <v>10</v>
      </c>
      <c r="C442" s="1" t="s">
        <v>1616</v>
      </c>
      <c r="D442" s="1" t="s">
        <v>1614</v>
      </c>
      <c r="E442" s="1" t="s">
        <v>1614</v>
      </c>
      <c r="F442" s="1" t="s">
        <v>1617</v>
      </c>
      <c r="G442" s="1" t="s">
        <v>1618</v>
      </c>
      <c r="H442" s="1" t="s">
        <v>1619</v>
      </c>
      <c r="I442" t="b">
        <f>COUNTIF(Estadísticas!I:I,'Centraldecomunicacion.es'!H442)&gt;0</f>
        <v>0</v>
      </c>
    </row>
    <row r="443" spans="1:9">
      <c r="A443" s="1" t="s">
        <v>1620</v>
      </c>
      <c r="B443" s="1" t="s">
        <v>10</v>
      </c>
      <c r="C443" s="1" t="s">
        <v>1621</v>
      </c>
      <c r="D443" s="1" t="s">
        <v>1608</v>
      </c>
      <c r="E443" s="1" t="s">
        <v>1609</v>
      </c>
      <c r="F443" s="1" t="s">
        <v>1622</v>
      </c>
      <c r="G443" s="1" t="s">
        <v>1623</v>
      </c>
      <c r="H443" s="1" t="s">
        <v>1624</v>
      </c>
      <c r="I443" t="b">
        <f>COUNTIF(Estadísticas!I:I,'Centraldecomunicacion.es'!H443)&gt;0</f>
        <v>0</v>
      </c>
    </row>
    <row r="444" spans="1:9">
      <c r="A444" s="1" t="s">
        <v>1625</v>
      </c>
      <c r="B444" s="1" t="s">
        <v>10</v>
      </c>
      <c r="C444" s="1" t="s">
        <v>1626</v>
      </c>
      <c r="D444" s="1" t="s">
        <v>1608</v>
      </c>
      <c r="E444" s="1" t="s">
        <v>1609</v>
      </c>
      <c r="F444" s="1" t="s">
        <v>23</v>
      </c>
      <c r="G444" s="1" t="s">
        <v>1627</v>
      </c>
      <c r="H444" s="1" t="s">
        <v>15</v>
      </c>
      <c r="I444" t="b">
        <f>COUNTIF(Estadísticas!I:I,'Centraldecomunicacion.es'!H444)&gt;0</f>
        <v>0</v>
      </c>
    </row>
    <row r="445" spans="1:9">
      <c r="A445" s="1" t="s">
        <v>1628</v>
      </c>
      <c r="B445" s="1" t="s">
        <v>10</v>
      </c>
      <c r="C445" s="1" t="s">
        <v>1629</v>
      </c>
      <c r="D445" s="1" t="s">
        <v>1630</v>
      </c>
      <c r="E445" s="1" t="s">
        <v>1631</v>
      </c>
      <c r="F445" s="1" t="s">
        <v>23</v>
      </c>
      <c r="G445" s="1" t="s">
        <v>1632</v>
      </c>
      <c r="H445" s="1" t="s">
        <v>15</v>
      </c>
      <c r="I445" t="b">
        <f>COUNTIF(Estadísticas!I:I,'Centraldecomunicacion.es'!H445)&gt;0</f>
        <v>0</v>
      </c>
    </row>
    <row r="446" spans="1:9">
      <c r="A446" s="1" t="s">
        <v>1633</v>
      </c>
      <c r="B446" s="1" t="s">
        <v>10</v>
      </c>
      <c r="C446" s="1" t="s">
        <v>1634</v>
      </c>
      <c r="D446" s="1" t="s">
        <v>1635</v>
      </c>
      <c r="E446" s="1" t="s">
        <v>1614</v>
      </c>
      <c r="F446" s="1" t="s">
        <v>23</v>
      </c>
      <c r="G446" s="1" t="s">
        <v>1636</v>
      </c>
      <c r="H446" s="1" t="s">
        <v>15</v>
      </c>
      <c r="I446" t="b">
        <f>COUNTIF(Estadísticas!I:I,'Centraldecomunicacion.es'!H446)&gt;0</f>
        <v>0</v>
      </c>
    </row>
    <row r="447" spans="1:9">
      <c r="A447" s="1" t="s">
        <v>1637</v>
      </c>
      <c r="B447" s="1" t="s">
        <v>10</v>
      </c>
      <c r="C447" s="1" t="s">
        <v>1638</v>
      </c>
      <c r="D447" s="1" t="s">
        <v>1639</v>
      </c>
      <c r="E447" s="1" t="s">
        <v>693</v>
      </c>
      <c r="F447" s="1" t="s">
        <v>23</v>
      </c>
      <c r="G447" s="1" t="s">
        <v>1640</v>
      </c>
      <c r="H447" s="1" t="s">
        <v>15</v>
      </c>
      <c r="I447" t="b">
        <f>COUNTIF(Estadísticas!I:I,'Centraldecomunicacion.es'!H447)&gt;0</f>
        <v>0</v>
      </c>
    </row>
    <row r="448" spans="1:9">
      <c r="A448" s="1" t="s">
        <v>1641</v>
      </c>
      <c r="B448" s="1" t="s">
        <v>10</v>
      </c>
      <c r="C448" s="1" t="s">
        <v>1642</v>
      </c>
      <c r="D448" s="1" t="s">
        <v>1639</v>
      </c>
      <c r="E448" s="1" t="s">
        <v>693</v>
      </c>
      <c r="F448" s="1" t="s">
        <v>23</v>
      </c>
      <c r="G448" s="1" t="s">
        <v>1643</v>
      </c>
      <c r="H448" s="1" t="s">
        <v>15</v>
      </c>
      <c r="I448" t="b">
        <f>COUNTIF(Estadísticas!I:I,'Centraldecomunicacion.es'!H448)&gt;0</f>
        <v>0</v>
      </c>
    </row>
    <row r="449" spans="1:9">
      <c r="A449" s="1" t="s">
        <v>1644</v>
      </c>
      <c r="B449" s="1" t="s">
        <v>10</v>
      </c>
      <c r="C449" s="1" t="s">
        <v>1645</v>
      </c>
      <c r="D449" s="1" t="s">
        <v>693</v>
      </c>
      <c r="E449" s="1" t="s">
        <v>693</v>
      </c>
      <c r="F449" s="1" t="s">
        <v>1646</v>
      </c>
      <c r="G449" s="1" t="s">
        <v>1647</v>
      </c>
      <c r="H449" s="1" t="s">
        <v>15</v>
      </c>
      <c r="I449" t="b">
        <f>COUNTIF(Estadísticas!I:I,'Centraldecomunicacion.es'!H449)&gt;0</f>
        <v>0</v>
      </c>
    </row>
    <row r="450" spans="1:9">
      <c r="A450" s="1" t="s">
        <v>1648</v>
      </c>
      <c r="B450" s="1" t="s">
        <v>10</v>
      </c>
      <c r="C450" s="1" t="s">
        <v>1649</v>
      </c>
      <c r="D450" s="1" t="s">
        <v>1650</v>
      </c>
      <c r="E450" s="1" t="s">
        <v>1651</v>
      </c>
      <c r="F450" s="1" t="s">
        <v>23</v>
      </c>
      <c r="G450" s="1" t="s">
        <v>1652</v>
      </c>
      <c r="H450" s="1" t="s">
        <v>15</v>
      </c>
      <c r="I450" t="b">
        <f>COUNTIF(Estadísticas!I:I,'Centraldecomunicacion.es'!H450)&gt;0</f>
        <v>0</v>
      </c>
    </row>
    <row r="451" spans="1:9">
      <c r="A451" s="1" t="s">
        <v>1653</v>
      </c>
      <c r="B451" s="1" t="s">
        <v>10</v>
      </c>
      <c r="C451" s="1" t="s">
        <v>1654</v>
      </c>
      <c r="D451" s="1" t="s">
        <v>693</v>
      </c>
      <c r="E451" s="1" t="s">
        <v>693</v>
      </c>
      <c r="F451" s="1" t="s">
        <v>1655</v>
      </c>
      <c r="G451" s="1" t="s">
        <v>1656</v>
      </c>
      <c r="H451" s="1" t="s">
        <v>1657</v>
      </c>
      <c r="I451" t="b">
        <f>COUNTIF(Estadísticas!I:I,'Centraldecomunicacion.es'!H451)&gt;0</f>
        <v>0</v>
      </c>
    </row>
    <row r="452" spans="1:9">
      <c r="A452" s="1" t="s">
        <v>1658</v>
      </c>
      <c r="B452" s="1" t="s">
        <v>10</v>
      </c>
      <c r="C452" s="1" t="s">
        <v>1659</v>
      </c>
      <c r="D452" s="1" t="s">
        <v>1660</v>
      </c>
      <c r="E452" s="1" t="s">
        <v>1661</v>
      </c>
      <c r="F452" s="1" t="s">
        <v>23</v>
      </c>
      <c r="G452" s="1" t="s">
        <v>1662</v>
      </c>
      <c r="H452" s="1" t="s">
        <v>15</v>
      </c>
      <c r="I452" t="b">
        <f>COUNTIF(Estadísticas!I:I,'Centraldecomunicacion.es'!H452)&gt;0</f>
        <v>0</v>
      </c>
    </row>
    <row r="453" spans="1:9">
      <c r="A453" s="1" t="s">
        <v>1625</v>
      </c>
      <c r="B453" s="1" t="s">
        <v>10</v>
      </c>
      <c r="C453" s="1" t="s">
        <v>1663</v>
      </c>
      <c r="D453" s="1" t="s">
        <v>1609</v>
      </c>
      <c r="E453" s="1" t="s">
        <v>1609</v>
      </c>
      <c r="F453" s="1" t="s">
        <v>23</v>
      </c>
      <c r="G453" s="1" t="s">
        <v>1664</v>
      </c>
      <c r="H453" s="1" t="s">
        <v>15</v>
      </c>
      <c r="I453" t="b">
        <f>COUNTIF(Estadísticas!I:I,'Centraldecomunicacion.es'!H453)&gt;0</f>
        <v>0</v>
      </c>
    </row>
    <row r="454" spans="1:9">
      <c r="A454" s="1" t="s">
        <v>1665</v>
      </c>
      <c r="B454" s="1" t="s">
        <v>10</v>
      </c>
      <c r="C454" s="1" t="s">
        <v>1666</v>
      </c>
      <c r="D454" s="1" t="s">
        <v>1609</v>
      </c>
      <c r="E454" s="1" t="s">
        <v>1609</v>
      </c>
      <c r="F454" s="1" t="s">
        <v>1667</v>
      </c>
      <c r="G454" s="1" t="s">
        <v>1668</v>
      </c>
      <c r="H454" s="1" t="s">
        <v>1669</v>
      </c>
      <c r="I454" t="b">
        <f>COUNTIF(Estadísticas!I:I,'Centraldecomunicacion.es'!H454)&gt;0</f>
        <v>0</v>
      </c>
    </row>
    <row r="455" spans="1:9">
      <c r="A455" s="1" t="s">
        <v>1670</v>
      </c>
      <c r="B455" s="1" t="s">
        <v>10</v>
      </c>
      <c r="C455" s="1" t="s">
        <v>1671</v>
      </c>
      <c r="D455" s="1" t="s">
        <v>1672</v>
      </c>
      <c r="E455" s="1" t="s">
        <v>1609</v>
      </c>
      <c r="F455" s="1" t="s">
        <v>23</v>
      </c>
      <c r="G455" s="1" t="s">
        <v>1673</v>
      </c>
      <c r="H455" s="1" t="s">
        <v>15</v>
      </c>
      <c r="I455" t="b">
        <f>COUNTIF(Estadísticas!I:I,'Centraldecomunicacion.es'!H455)&gt;0</f>
        <v>0</v>
      </c>
    </row>
    <row r="456" spans="1:9">
      <c r="A456" s="1" t="s">
        <v>1674</v>
      </c>
      <c r="B456" s="1" t="s">
        <v>10</v>
      </c>
      <c r="C456" s="1" t="s">
        <v>1675</v>
      </c>
      <c r="D456" s="1" t="s">
        <v>1676</v>
      </c>
      <c r="E456" s="1" t="s">
        <v>1609</v>
      </c>
      <c r="F456" s="1" t="s">
        <v>23</v>
      </c>
      <c r="G456" s="1" t="s">
        <v>1677</v>
      </c>
      <c r="H456" s="1" t="s">
        <v>15</v>
      </c>
      <c r="I456" t="b">
        <f>COUNTIF(Estadísticas!I:I,'Centraldecomunicacion.es'!H456)&gt;0</f>
        <v>0</v>
      </c>
    </row>
    <row r="457" spans="1:9">
      <c r="A457" s="1" t="s">
        <v>1678</v>
      </c>
      <c r="B457" s="1" t="s">
        <v>10</v>
      </c>
      <c r="C457" s="1" t="s">
        <v>1679</v>
      </c>
      <c r="D457" s="1" t="s">
        <v>1680</v>
      </c>
      <c r="E457" s="1" t="s">
        <v>1609</v>
      </c>
      <c r="F457" s="1" t="s">
        <v>23</v>
      </c>
      <c r="G457" s="1" t="s">
        <v>1681</v>
      </c>
      <c r="H457" s="1" t="s">
        <v>15</v>
      </c>
      <c r="I457" t="b">
        <f>COUNTIF(Estadísticas!I:I,'Centraldecomunicacion.es'!H457)&gt;0</f>
        <v>0</v>
      </c>
    </row>
    <row r="458" spans="1:9">
      <c r="A458" s="1" t="s">
        <v>1682</v>
      </c>
      <c r="B458" s="1" t="s">
        <v>10</v>
      </c>
      <c r="C458" s="1" t="s">
        <v>1683</v>
      </c>
      <c r="D458" s="1" t="s">
        <v>1684</v>
      </c>
      <c r="E458" s="1" t="s">
        <v>1684</v>
      </c>
      <c r="F458" s="1" t="s">
        <v>23</v>
      </c>
      <c r="G458" s="1" t="s">
        <v>1685</v>
      </c>
      <c r="H458" s="1" t="s">
        <v>15</v>
      </c>
      <c r="I458" t="b">
        <f>COUNTIF(Estadísticas!I:I,'Centraldecomunicacion.es'!H458)&gt;0</f>
        <v>0</v>
      </c>
    </row>
    <row r="459" spans="1:9">
      <c r="A459" s="1" t="s">
        <v>1686</v>
      </c>
      <c r="B459" s="1" t="s">
        <v>10</v>
      </c>
      <c r="C459" s="1" t="s">
        <v>1687</v>
      </c>
      <c r="D459" s="1" t="s">
        <v>1688</v>
      </c>
      <c r="E459" s="1" t="s">
        <v>1609</v>
      </c>
      <c r="F459" s="1" t="s">
        <v>23</v>
      </c>
      <c r="G459" s="1" t="s">
        <v>1689</v>
      </c>
      <c r="H459" s="1" t="s">
        <v>15</v>
      </c>
      <c r="I459" t="b">
        <f>COUNTIF(Estadísticas!I:I,'Centraldecomunicacion.es'!H459)&gt;0</f>
        <v>0</v>
      </c>
    </row>
    <row r="460" spans="1:9">
      <c r="A460" s="1" t="s">
        <v>1690</v>
      </c>
      <c r="B460" s="1" t="s">
        <v>10</v>
      </c>
      <c r="C460" s="1" t="s">
        <v>1691</v>
      </c>
      <c r="D460" s="1" t="s">
        <v>1692</v>
      </c>
      <c r="E460" s="1" t="s">
        <v>1614</v>
      </c>
      <c r="F460" s="1" t="s">
        <v>23</v>
      </c>
      <c r="G460" s="1" t="s">
        <v>1693</v>
      </c>
      <c r="H460" s="1" t="s">
        <v>15</v>
      </c>
      <c r="I460" t="b">
        <f>COUNTIF(Estadísticas!I:I,'Centraldecomunicacion.es'!H460)&gt;0</f>
        <v>0</v>
      </c>
    </row>
    <row r="461" spans="1:9">
      <c r="A461" s="1" t="s">
        <v>1694</v>
      </c>
      <c r="B461" s="1" t="s">
        <v>10</v>
      </c>
      <c r="C461" s="1" t="s">
        <v>1695</v>
      </c>
      <c r="D461" s="1" t="s">
        <v>1614</v>
      </c>
      <c r="E461" s="1" t="s">
        <v>1614</v>
      </c>
      <c r="F461" s="1" t="s">
        <v>23</v>
      </c>
      <c r="G461" s="1" t="s">
        <v>1696</v>
      </c>
      <c r="H461" s="1" t="s">
        <v>15</v>
      </c>
      <c r="I461" t="b">
        <f>COUNTIF(Estadísticas!I:I,'Centraldecomunicacion.es'!H461)&gt;0</f>
        <v>0</v>
      </c>
    </row>
    <row r="462" spans="1:9">
      <c r="A462" s="1" t="s">
        <v>1697</v>
      </c>
      <c r="B462" s="1" t="s">
        <v>10</v>
      </c>
      <c r="C462" s="1" t="s">
        <v>1698</v>
      </c>
      <c r="D462" s="1" t="s">
        <v>1699</v>
      </c>
      <c r="E462" s="1" t="s">
        <v>1700</v>
      </c>
      <c r="F462" s="1" t="s">
        <v>1701</v>
      </c>
      <c r="G462" s="1" t="s">
        <v>1702</v>
      </c>
      <c r="H462" s="1" t="s">
        <v>15</v>
      </c>
      <c r="I462" t="b">
        <f>COUNTIF(Estadísticas!I:I,'Centraldecomunicacion.es'!H462)&gt;0</f>
        <v>0</v>
      </c>
    </row>
    <row r="463" spans="1:9">
      <c r="A463" s="1" t="s">
        <v>1703</v>
      </c>
      <c r="B463" s="1" t="s">
        <v>10</v>
      </c>
      <c r="C463" s="1" t="s">
        <v>1704</v>
      </c>
      <c r="D463" s="1" t="s">
        <v>1684</v>
      </c>
      <c r="E463" s="1" t="s">
        <v>1684</v>
      </c>
      <c r="F463" s="1" t="s">
        <v>1655</v>
      </c>
      <c r="G463" s="1" t="s">
        <v>1705</v>
      </c>
      <c r="H463" s="1" t="s">
        <v>1657</v>
      </c>
      <c r="I463" t="b">
        <f>COUNTIF(Estadísticas!I:I,'Centraldecomunicacion.es'!H463)&gt;0</f>
        <v>0</v>
      </c>
    </row>
    <row r="464" spans="1:9">
      <c r="A464" s="1" t="s">
        <v>1706</v>
      </c>
      <c r="B464" s="1" t="s">
        <v>10</v>
      </c>
      <c r="C464" s="1" t="s">
        <v>1707</v>
      </c>
      <c r="D464" s="1" t="s">
        <v>1708</v>
      </c>
      <c r="E464" s="1" t="s">
        <v>1709</v>
      </c>
      <c r="F464" s="1" t="s">
        <v>1655</v>
      </c>
      <c r="G464" s="1" t="s">
        <v>1710</v>
      </c>
      <c r="H464" s="1" t="s">
        <v>1657</v>
      </c>
      <c r="I464" t="b">
        <f>COUNTIF(Estadísticas!I:I,'Centraldecomunicacion.es'!H464)&gt;0</f>
        <v>0</v>
      </c>
    </row>
    <row r="465" spans="1:9">
      <c r="A465" s="1" t="s">
        <v>1711</v>
      </c>
      <c r="B465" s="1" t="s">
        <v>10</v>
      </c>
      <c r="C465" s="1" t="s">
        <v>1712</v>
      </c>
      <c r="D465" s="1" t="s">
        <v>1713</v>
      </c>
      <c r="E465" s="1" t="s">
        <v>1546</v>
      </c>
      <c r="F465" s="1" t="s">
        <v>23</v>
      </c>
      <c r="G465" s="1" t="s">
        <v>1714</v>
      </c>
      <c r="H465" s="1" t="s">
        <v>15</v>
      </c>
      <c r="I465" t="b">
        <f>COUNTIF(Estadísticas!I:I,'Centraldecomunicacion.es'!H465)&gt;0</f>
        <v>0</v>
      </c>
    </row>
    <row r="466" spans="1:9">
      <c r="A466" s="1" t="s">
        <v>731</v>
      </c>
      <c r="B466" s="1" t="s">
        <v>10</v>
      </c>
      <c r="C466" s="1" t="s">
        <v>1715</v>
      </c>
      <c r="D466" s="1" t="s">
        <v>1614</v>
      </c>
      <c r="E466" s="1" t="s">
        <v>1614</v>
      </c>
      <c r="F466" s="1" t="s">
        <v>23</v>
      </c>
      <c r="G466" s="1" t="s">
        <v>1716</v>
      </c>
      <c r="H466" s="1" t="s">
        <v>15</v>
      </c>
      <c r="I466" t="b">
        <f>COUNTIF(Estadísticas!I:I,'Centraldecomunicacion.es'!H466)&gt;0</f>
        <v>0</v>
      </c>
    </row>
    <row r="467" spans="1:9">
      <c r="A467" s="1" t="s">
        <v>1717</v>
      </c>
      <c r="B467" s="1" t="s">
        <v>10</v>
      </c>
      <c r="C467" s="1" t="s">
        <v>1718</v>
      </c>
      <c r="D467" s="1" t="s">
        <v>1614</v>
      </c>
      <c r="E467" s="1" t="s">
        <v>1614</v>
      </c>
      <c r="F467" s="1" t="s">
        <v>1719</v>
      </c>
      <c r="G467" s="1" t="s">
        <v>1720</v>
      </c>
      <c r="H467" s="1" t="s">
        <v>1721</v>
      </c>
      <c r="I467" t="b">
        <f>COUNTIF(Estadísticas!I:I,'Centraldecomunicacion.es'!H467)&gt;0</f>
        <v>0</v>
      </c>
    </row>
    <row r="468" spans="1:9">
      <c r="A468" s="1" t="s">
        <v>1722</v>
      </c>
      <c r="B468" s="1" t="s">
        <v>10</v>
      </c>
      <c r="C468" s="1" t="s">
        <v>1723</v>
      </c>
      <c r="D468" s="1" t="s">
        <v>1614</v>
      </c>
      <c r="E468" s="1" t="s">
        <v>1614</v>
      </c>
      <c r="F468" s="1" t="s">
        <v>1724</v>
      </c>
      <c r="G468" s="1" t="s">
        <v>1725</v>
      </c>
      <c r="H468" s="1" t="s">
        <v>15</v>
      </c>
      <c r="I468" t="b">
        <f>COUNTIF(Estadísticas!I:I,'Centraldecomunicacion.es'!H468)&gt;0</f>
        <v>0</v>
      </c>
    </row>
    <row r="469" spans="1:9">
      <c r="A469" s="1" t="s">
        <v>1726</v>
      </c>
      <c r="B469" s="1" t="s">
        <v>10</v>
      </c>
      <c r="C469" s="1" t="s">
        <v>1727</v>
      </c>
      <c r="D469" s="1" t="s">
        <v>1614</v>
      </c>
      <c r="E469" s="1" t="s">
        <v>1614</v>
      </c>
      <c r="F469" s="1" t="s">
        <v>23</v>
      </c>
      <c r="G469" s="1" t="s">
        <v>1728</v>
      </c>
      <c r="H469" s="1" t="s">
        <v>15</v>
      </c>
      <c r="I469" t="b">
        <f>COUNTIF(Estadísticas!I:I,'Centraldecomunicacion.es'!H469)&gt;0</f>
        <v>0</v>
      </c>
    </row>
    <row r="470" spans="1:9">
      <c r="A470" s="1" t="s">
        <v>1729</v>
      </c>
      <c r="B470" s="1" t="s">
        <v>10</v>
      </c>
      <c r="C470" s="1" t="s">
        <v>1730</v>
      </c>
      <c r="D470" s="1" t="s">
        <v>1614</v>
      </c>
      <c r="E470" s="1" t="s">
        <v>1614</v>
      </c>
      <c r="F470" s="1" t="s">
        <v>23</v>
      </c>
      <c r="G470" s="1" t="s">
        <v>1731</v>
      </c>
      <c r="H470" s="1" t="s">
        <v>15</v>
      </c>
      <c r="I470" t="b">
        <f>COUNTIF(Estadísticas!I:I,'Centraldecomunicacion.es'!H470)&gt;0</f>
        <v>0</v>
      </c>
    </row>
    <row r="471" spans="1:9">
      <c r="A471" s="1" t="s">
        <v>1732</v>
      </c>
      <c r="B471" s="1" t="s">
        <v>10</v>
      </c>
      <c r="C471" s="1" t="s">
        <v>1733</v>
      </c>
      <c r="D471" s="1" t="s">
        <v>1614</v>
      </c>
      <c r="E471" s="1" t="s">
        <v>1614</v>
      </c>
      <c r="F471" s="1" t="s">
        <v>23</v>
      </c>
      <c r="G471" s="1" t="s">
        <v>1734</v>
      </c>
      <c r="H471" s="1" t="s">
        <v>15</v>
      </c>
      <c r="I471" t="b">
        <f>COUNTIF(Estadísticas!I:I,'Centraldecomunicacion.es'!H471)&gt;0</f>
        <v>0</v>
      </c>
    </row>
    <row r="472" spans="1:9">
      <c r="A472" s="1" t="s">
        <v>1735</v>
      </c>
      <c r="B472" s="1" t="s">
        <v>10</v>
      </c>
      <c r="C472" s="1" t="s">
        <v>1736</v>
      </c>
      <c r="D472" s="1" t="s">
        <v>1614</v>
      </c>
      <c r="E472" s="1" t="s">
        <v>1614</v>
      </c>
      <c r="F472" s="1" t="s">
        <v>23</v>
      </c>
      <c r="G472" s="1" t="s">
        <v>1737</v>
      </c>
      <c r="H472" s="1" t="s">
        <v>15</v>
      </c>
      <c r="I472" t="b">
        <f>COUNTIF(Estadísticas!I:I,'Centraldecomunicacion.es'!H472)&gt;0</f>
        <v>0</v>
      </c>
    </row>
    <row r="473" spans="1:9">
      <c r="A473" s="1" t="s">
        <v>1738</v>
      </c>
      <c r="B473" s="1" t="s">
        <v>10</v>
      </c>
      <c r="C473" s="1" t="s">
        <v>1739</v>
      </c>
      <c r="D473" s="1" t="s">
        <v>1614</v>
      </c>
      <c r="E473" s="1" t="s">
        <v>1614</v>
      </c>
      <c r="F473" s="1" t="s">
        <v>23</v>
      </c>
      <c r="G473" s="1" t="s">
        <v>23</v>
      </c>
      <c r="H473" s="1" t="s">
        <v>15</v>
      </c>
      <c r="I473" t="b">
        <f>COUNTIF(Estadísticas!I:I,'Centraldecomunicacion.es'!H473)&gt;0</f>
        <v>0</v>
      </c>
    </row>
    <row r="474" spans="1:9">
      <c r="A474" s="1" t="s">
        <v>1740</v>
      </c>
      <c r="B474" s="1" t="s">
        <v>10</v>
      </c>
      <c r="C474" s="1" t="s">
        <v>1741</v>
      </c>
      <c r="D474" s="1" t="s">
        <v>1614</v>
      </c>
      <c r="E474" s="1" t="s">
        <v>1614</v>
      </c>
      <c r="F474" s="1" t="s">
        <v>1742</v>
      </c>
      <c r="G474" s="1" t="s">
        <v>1743</v>
      </c>
      <c r="H474" s="1" t="s">
        <v>1744</v>
      </c>
      <c r="I474" t="b">
        <f>COUNTIF(Estadísticas!I:I,'Centraldecomunicacion.es'!H474)&gt;0</f>
        <v>0</v>
      </c>
    </row>
    <row r="475" spans="1:9">
      <c r="A475" s="1" t="s">
        <v>1745</v>
      </c>
      <c r="B475" s="1" t="s">
        <v>10</v>
      </c>
      <c r="C475" s="1" t="s">
        <v>1746</v>
      </c>
      <c r="D475" s="1" t="s">
        <v>1614</v>
      </c>
      <c r="E475" s="1" t="s">
        <v>1614</v>
      </c>
      <c r="F475" s="1" t="s">
        <v>23</v>
      </c>
      <c r="G475" s="1" t="s">
        <v>1747</v>
      </c>
      <c r="H475" s="1" t="s">
        <v>15</v>
      </c>
      <c r="I475" t="b">
        <f>COUNTIF(Estadísticas!I:I,'Centraldecomunicacion.es'!H475)&gt;0</f>
        <v>0</v>
      </c>
    </row>
    <row r="476" spans="1:9">
      <c r="A476" s="1" t="s">
        <v>1748</v>
      </c>
      <c r="B476" s="1" t="s">
        <v>10</v>
      </c>
      <c r="C476" s="1" t="s">
        <v>1749</v>
      </c>
      <c r="D476" s="1" t="s">
        <v>1614</v>
      </c>
      <c r="E476" s="1" t="s">
        <v>1614</v>
      </c>
      <c r="F476" s="1" t="s">
        <v>1750</v>
      </c>
      <c r="G476" s="1" t="s">
        <v>1751</v>
      </c>
      <c r="H476" s="1" t="s">
        <v>1752</v>
      </c>
      <c r="I476" t="b">
        <f>COUNTIF(Estadísticas!I:I,'Centraldecomunicacion.es'!H476)&gt;0</f>
        <v>1</v>
      </c>
    </row>
    <row r="477" spans="1:9">
      <c r="A477" s="1" t="s">
        <v>1753</v>
      </c>
      <c r="B477" s="1" t="s">
        <v>10</v>
      </c>
      <c r="C477" s="1" t="s">
        <v>1754</v>
      </c>
      <c r="D477" s="1" t="s">
        <v>1614</v>
      </c>
      <c r="E477" s="1" t="s">
        <v>1614</v>
      </c>
      <c r="F477" s="1" t="s">
        <v>1755</v>
      </c>
      <c r="G477" s="1" t="s">
        <v>1756</v>
      </c>
      <c r="H477" s="1" t="s">
        <v>1757</v>
      </c>
      <c r="I477" t="b">
        <f>COUNTIF(Estadísticas!I:I,'Centraldecomunicacion.es'!H477)&gt;0</f>
        <v>1</v>
      </c>
    </row>
    <row r="478" spans="1:9">
      <c r="A478" s="1" t="s">
        <v>1758</v>
      </c>
      <c r="B478" s="1" t="s">
        <v>10</v>
      </c>
      <c r="C478" s="1" t="s">
        <v>1759</v>
      </c>
      <c r="D478" s="1" t="s">
        <v>1614</v>
      </c>
      <c r="E478" s="1" t="s">
        <v>1614</v>
      </c>
      <c r="F478" s="1" t="s">
        <v>23</v>
      </c>
      <c r="G478" s="1" t="s">
        <v>1760</v>
      </c>
      <c r="H478" s="1" t="s">
        <v>15</v>
      </c>
      <c r="I478" t="b">
        <f>COUNTIF(Estadísticas!I:I,'Centraldecomunicacion.es'!H478)&gt;0</f>
        <v>0</v>
      </c>
    </row>
    <row r="479" spans="1:9">
      <c r="A479" s="1" t="s">
        <v>1761</v>
      </c>
      <c r="B479" s="1" t="s">
        <v>10</v>
      </c>
      <c r="C479" s="1" t="s">
        <v>1762</v>
      </c>
      <c r="D479" s="1" t="s">
        <v>1614</v>
      </c>
      <c r="E479" s="1" t="s">
        <v>1614</v>
      </c>
      <c r="F479" s="1" t="s">
        <v>23</v>
      </c>
      <c r="G479" s="1" t="s">
        <v>1763</v>
      </c>
      <c r="H479" s="1" t="s">
        <v>15</v>
      </c>
      <c r="I479" t="b">
        <f>COUNTIF(Estadísticas!I:I,'Centraldecomunicacion.es'!H479)&gt;0</f>
        <v>0</v>
      </c>
    </row>
    <row r="480" spans="1:9">
      <c r="A480" s="1" t="s">
        <v>1197</v>
      </c>
      <c r="B480" s="1" t="s">
        <v>10</v>
      </c>
      <c r="C480" s="1" t="s">
        <v>1764</v>
      </c>
      <c r="D480" s="1" t="s">
        <v>1614</v>
      </c>
      <c r="E480" s="1" t="s">
        <v>1614</v>
      </c>
      <c r="F480" s="1" t="s">
        <v>23</v>
      </c>
      <c r="G480" s="1" t="s">
        <v>1765</v>
      </c>
      <c r="H480" s="1" t="s">
        <v>15</v>
      </c>
      <c r="I480" t="b">
        <f>COUNTIF(Estadísticas!I:I,'Centraldecomunicacion.es'!H480)&gt;0</f>
        <v>0</v>
      </c>
    </row>
    <row r="481" spans="1:9">
      <c r="A481" s="1" t="s">
        <v>1766</v>
      </c>
      <c r="B481" s="1" t="s">
        <v>10</v>
      </c>
      <c r="C481" s="1" t="s">
        <v>1767</v>
      </c>
      <c r="D481" s="1" t="s">
        <v>1614</v>
      </c>
      <c r="E481" s="1" t="s">
        <v>1614</v>
      </c>
      <c r="F481" s="1" t="s">
        <v>1755</v>
      </c>
      <c r="G481" s="1" t="s">
        <v>1768</v>
      </c>
      <c r="H481" s="1" t="s">
        <v>1757</v>
      </c>
      <c r="I481" t="b">
        <f>COUNTIF(Estadísticas!I:I,'Centraldecomunicacion.es'!H481)&gt;0</f>
        <v>1</v>
      </c>
    </row>
    <row r="482" spans="1:9">
      <c r="A482" s="1" t="s">
        <v>1769</v>
      </c>
      <c r="B482" s="1" t="s">
        <v>10</v>
      </c>
      <c r="C482" s="1" t="s">
        <v>1770</v>
      </c>
      <c r="D482" s="1" t="s">
        <v>1614</v>
      </c>
      <c r="E482" s="1" t="s">
        <v>1614</v>
      </c>
      <c r="F482" s="1" t="s">
        <v>23</v>
      </c>
      <c r="G482" s="1" t="s">
        <v>1771</v>
      </c>
      <c r="H482" s="1" t="s">
        <v>15</v>
      </c>
      <c r="I482" t="b">
        <f>COUNTIF(Estadísticas!I:I,'Centraldecomunicacion.es'!H482)&gt;0</f>
        <v>0</v>
      </c>
    </row>
    <row r="483" spans="1:9">
      <c r="A483" s="1" t="s">
        <v>1772</v>
      </c>
      <c r="B483" s="1" t="s">
        <v>10</v>
      </c>
      <c r="C483" s="1" t="s">
        <v>1773</v>
      </c>
      <c r="D483" s="1" t="s">
        <v>1614</v>
      </c>
      <c r="E483" s="1" t="s">
        <v>1614</v>
      </c>
      <c r="F483" s="1" t="s">
        <v>23</v>
      </c>
      <c r="G483" s="1" t="s">
        <v>1774</v>
      </c>
      <c r="H483" s="1" t="s">
        <v>15</v>
      </c>
      <c r="I483" t="b">
        <f>COUNTIF(Estadísticas!I:I,'Centraldecomunicacion.es'!H483)&gt;0</f>
        <v>0</v>
      </c>
    </row>
    <row r="484" spans="1:9">
      <c r="A484" s="1" t="s">
        <v>1775</v>
      </c>
      <c r="B484" s="1" t="s">
        <v>10</v>
      </c>
      <c r="C484" s="1" t="s">
        <v>1776</v>
      </c>
      <c r="D484" s="1" t="s">
        <v>1614</v>
      </c>
      <c r="E484" s="1" t="s">
        <v>1614</v>
      </c>
      <c r="F484" s="1" t="s">
        <v>23</v>
      </c>
      <c r="G484" s="1" t="s">
        <v>1777</v>
      </c>
      <c r="H484" s="1" t="s">
        <v>15</v>
      </c>
      <c r="I484" t="b">
        <f>COUNTIF(Estadísticas!I:I,'Centraldecomunicacion.es'!H484)&gt;0</f>
        <v>0</v>
      </c>
    </row>
    <row r="485" spans="1:9">
      <c r="A485" s="1" t="s">
        <v>1778</v>
      </c>
      <c r="B485" s="1" t="s">
        <v>10</v>
      </c>
      <c r="C485" s="1" t="s">
        <v>1779</v>
      </c>
      <c r="D485" s="1" t="s">
        <v>1614</v>
      </c>
      <c r="E485" s="1" t="s">
        <v>1614</v>
      </c>
      <c r="F485" s="1" t="s">
        <v>1780</v>
      </c>
      <c r="G485" s="1" t="s">
        <v>1781</v>
      </c>
      <c r="H485" s="1" t="s">
        <v>1782</v>
      </c>
      <c r="I485" t="b">
        <f>COUNTIF(Estadísticas!I:I,'Centraldecomunicacion.es'!H485)&gt;0</f>
        <v>0</v>
      </c>
    </row>
    <row r="486" spans="1:9">
      <c r="A486" s="1" t="s">
        <v>1783</v>
      </c>
      <c r="B486" s="1" t="s">
        <v>10</v>
      </c>
      <c r="C486" s="1" t="s">
        <v>1784</v>
      </c>
      <c r="D486" s="1" t="s">
        <v>1614</v>
      </c>
      <c r="E486" s="1" t="s">
        <v>1614</v>
      </c>
      <c r="F486" s="1" t="s">
        <v>23</v>
      </c>
      <c r="G486" s="1" t="s">
        <v>1785</v>
      </c>
      <c r="H486" s="1" t="s">
        <v>15</v>
      </c>
      <c r="I486" t="b">
        <f>COUNTIF(Estadísticas!I:I,'Centraldecomunicacion.es'!H486)&gt;0</f>
        <v>0</v>
      </c>
    </row>
    <row r="487" spans="1:9">
      <c r="A487" s="1" t="s">
        <v>1786</v>
      </c>
      <c r="B487" s="1" t="s">
        <v>10</v>
      </c>
      <c r="C487" s="1" t="s">
        <v>1787</v>
      </c>
      <c r="D487" s="1" t="s">
        <v>1614</v>
      </c>
      <c r="E487" s="1" t="s">
        <v>1614</v>
      </c>
      <c r="F487" s="1" t="s">
        <v>23</v>
      </c>
      <c r="G487" s="1" t="s">
        <v>23</v>
      </c>
      <c r="H487" s="1" t="s">
        <v>15</v>
      </c>
      <c r="I487" t="b">
        <f>COUNTIF(Estadísticas!I:I,'Centraldecomunicacion.es'!H487)&gt;0</f>
        <v>0</v>
      </c>
    </row>
    <row r="488" spans="1:9">
      <c r="A488" s="1" t="s">
        <v>1788</v>
      </c>
      <c r="B488" s="1" t="s">
        <v>10</v>
      </c>
      <c r="C488" s="1" t="s">
        <v>1789</v>
      </c>
      <c r="D488" s="1" t="s">
        <v>1614</v>
      </c>
      <c r="E488" s="1" t="s">
        <v>1614</v>
      </c>
      <c r="F488" s="1" t="s">
        <v>23</v>
      </c>
      <c r="G488" s="1" t="s">
        <v>23</v>
      </c>
      <c r="H488" s="1" t="s">
        <v>15</v>
      </c>
      <c r="I488" t="b">
        <f>COUNTIF(Estadísticas!I:I,'Centraldecomunicacion.es'!H488)&gt;0</f>
        <v>0</v>
      </c>
    </row>
    <row r="489" spans="1:9">
      <c r="A489" s="1" t="s">
        <v>1790</v>
      </c>
      <c r="B489" s="1" t="s">
        <v>10</v>
      </c>
      <c r="C489" s="1" t="s">
        <v>1791</v>
      </c>
      <c r="D489" s="1" t="s">
        <v>1614</v>
      </c>
      <c r="E489" s="1" t="s">
        <v>1614</v>
      </c>
      <c r="F489" s="1" t="s">
        <v>23</v>
      </c>
      <c r="G489" s="1" t="s">
        <v>1792</v>
      </c>
      <c r="H489" s="1" t="s">
        <v>15</v>
      </c>
      <c r="I489" t="b">
        <f>COUNTIF(Estadísticas!I:I,'Centraldecomunicacion.es'!H489)&gt;0</f>
        <v>0</v>
      </c>
    </row>
    <row r="490" spans="1:9">
      <c r="A490" s="1" t="s">
        <v>1732</v>
      </c>
      <c r="B490" s="1" t="s">
        <v>10</v>
      </c>
      <c r="C490" s="1" t="s">
        <v>1793</v>
      </c>
      <c r="D490" s="1" t="s">
        <v>1614</v>
      </c>
      <c r="E490" s="1" t="s">
        <v>1614</v>
      </c>
      <c r="F490" s="1" t="s">
        <v>23</v>
      </c>
      <c r="G490" s="1" t="s">
        <v>23</v>
      </c>
      <c r="H490" s="1" t="s">
        <v>15</v>
      </c>
      <c r="I490" t="b">
        <f>COUNTIF(Estadísticas!I:I,'Centraldecomunicacion.es'!H490)&gt;0</f>
        <v>0</v>
      </c>
    </row>
    <row r="491" spans="1:9">
      <c r="A491" s="1" t="s">
        <v>1794</v>
      </c>
      <c r="B491" s="1" t="s">
        <v>10</v>
      </c>
      <c r="C491" s="1" t="s">
        <v>1795</v>
      </c>
      <c r="D491" s="1" t="s">
        <v>1614</v>
      </c>
      <c r="E491" s="1" t="s">
        <v>1614</v>
      </c>
      <c r="F491" s="1" t="s">
        <v>23</v>
      </c>
      <c r="G491" s="1" t="s">
        <v>23</v>
      </c>
      <c r="H491" s="1" t="s">
        <v>15</v>
      </c>
      <c r="I491" t="b">
        <f>COUNTIF(Estadísticas!I:I,'Centraldecomunicacion.es'!H491)&gt;0</f>
        <v>0</v>
      </c>
    </row>
    <row r="492" spans="1:9">
      <c r="A492" s="1" t="s">
        <v>1796</v>
      </c>
      <c r="B492" s="1" t="s">
        <v>10</v>
      </c>
      <c r="C492" s="1" t="s">
        <v>1797</v>
      </c>
      <c r="D492" s="1" t="s">
        <v>1614</v>
      </c>
      <c r="E492" s="1" t="s">
        <v>1614</v>
      </c>
      <c r="F492" s="1" t="s">
        <v>1798</v>
      </c>
      <c r="G492" s="1" t="s">
        <v>1799</v>
      </c>
      <c r="H492" s="1" t="s">
        <v>15</v>
      </c>
      <c r="I492" t="b">
        <f>COUNTIF(Estadísticas!I:I,'Centraldecomunicacion.es'!H492)&gt;0</f>
        <v>0</v>
      </c>
    </row>
    <row r="493" spans="1:9">
      <c r="A493" s="1" t="s">
        <v>1800</v>
      </c>
      <c r="B493" s="1" t="s">
        <v>10</v>
      </c>
      <c r="C493" s="1" t="s">
        <v>1801</v>
      </c>
      <c r="D493" s="1" t="s">
        <v>1614</v>
      </c>
      <c r="E493" s="1" t="s">
        <v>1614</v>
      </c>
      <c r="F493" s="1" t="s">
        <v>1802</v>
      </c>
      <c r="G493" s="1" t="s">
        <v>1803</v>
      </c>
      <c r="H493" s="1" t="s">
        <v>1804</v>
      </c>
      <c r="I493" t="b">
        <f>COUNTIF(Estadísticas!I:I,'Centraldecomunicacion.es'!H493)&gt;0</f>
        <v>0</v>
      </c>
    </row>
    <row r="494" spans="1:9">
      <c r="A494" s="1" t="s">
        <v>1805</v>
      </c>
      <c r="B494" s="1" t="s">
        <v>10</v>
      </c>
      <c r="C494" s="1" t="s">
        <v>1806</v>
      </c>
      <c r="D494" s="1" t="s">
        <v>1614</v>
      </c>
      <c r="E494" s="1" t="s">
        <v>1614</v>
      </c>
      <c r="F494" s="1" t="s">
        <v>1807</v>
      </c>
      <c r="G494" s="1" t="s">
        <v>1808</v>
      </c>
      <c r="H494" s="1" t="s">
        <v>1809</v>
      </c>
      <c r="I494" t="b">
        <f>COUNTIF(Estadísticas!I:I,'Centraldecomunicacion.es'!H494)&gt;0</f>
        <v>0</v>
      </c>
    </row>
    <row r="495" spans="1:9">
      <c r="A495" s="1" t="s">
        <v>1810</v>
      </c>
      <c r="B495" s="1" t="s">
        <v>10</v>
      </c>
      <c r="C495" s="1" t="s">
        <v>1811</v>
      </c>
      <c r="D495" s="1" t="s">
        <v>1614</v>
      </c>
      <c r="E495" s="1" t="s">
        <v>1614</v>
      </c>
      <c r="F495" s="1" t="s">
        <v>1812</v>
      </c>
      <c r="G495" s="1" t="s">
        <v>1813</v>
      </c>
      <c r="H495" s="1" t="s">
        <v>1814</v>
      </c>
      <c r="I495" t="b">
        <f>COUNTIF(Estadísticas!I:I,'Centraldecomunicacion.es'!H495)&gt;0</f>
        <v>0</v>
      </c>
    </row>
    <row r="496" spans="1:9">
      <c r="A496" s="1" t="s">
        <v>1815</v>
      </c>
      <c r="B496" s="1" t="s">
        <v>10</v>
      </c>
      <c r="C496" s="1" t="s">
        <v>1816</v>
      </c>
      <c r="D496" s="1" t="s">
        <v>1614</v>
      </c>
      <c r="E496" s="1" t="s">
        <v>1614</v>
      </c>
      <c r="F496" s="1" t="s">
        <v>23</v>
      </c>
      <c r="G496" s="1" t="s">
        <v>1817</v>
      </c>
      <c r="H496" s="1" t="s">
        <v>15</v>
      </c>
      <c r="I496" t="b">
        <f>COUNTIF(Estadísticas!I:I,'Centraldecomunicacion.es'!H496)&gt;0</f>
        <v>0</v>
      </c>
    </row>
    <row r="497" spans="1:9">
      <c r="A497" s="1" t="s">
        <v>1818</v>
      </c>
      <c r="B497" s="1" t="s">
        <v>10</v>
      </c>
      <c r="C497" s="1" t="s">
        <v>1819</v>
      </c>
      <c r="D497" s="1" t="s">
        <v>1614</v>
      </c>
      <c r="E497" s="1" t="s">
        <v>1614</v>
      </c>
      <c r="F497" s="1" t="s">
        <v>23</v>
      </c>
      <c r="G497" s="1" t="s">
        <v>1820</v>
      </c>
      <c r="H497" s="1" t="s">
        <v>15</v>
      </c>
      <c r="I497" t="b">
        <f>COUNTIF(Estadísticas!I:I,'Centraldecomunicacion.es'!H497)&gt;0</f>
        <v>0</v>
      </c>
    </row>
    <row r="498" spans="1:9">
      <c r="A498" s="1" t="s">
        <v>1821</v>
      </c>
      <c r="B498" s="1" t="s">
        <v>10</v>
      </c>
      <c r="C498" s="1" t="s">
        <v>1822</v>
      </c>
      <c r="D498" s="1" t="s">
        <v>1614</v>
      </c>
      <c r="E498" s="1" t="s">
        <v>1614</v>
      </c>
      <c r="F498" s="1" t="s">
        <v>1823</v>
      </c>
      <c r="G498" s="1" t="s">
        <v>1824</v>
      </c>
      <c r="H498" s="1" t="s">
        <v>1825</v>
      </c>
      <c r="I498" t="b">
        <f>COUNTIF(Estadísticas!I:I,'Centraldecomunicacion.es'!H498)&gt;0</f>
        <v>0</v>
      </c>
    </row>
    <row r="499" spans="1:9">
      <c r="A499" s="1" t="s">
        <v>1826</v>
      </c>
      <c r="B499" s="1" t="s">
        <v>10</v>
      </c>
      <c r="C499" s="1" t="s">
        <v>1827</v>
      </c>
      <c r="D499" s="1" t="s">
        <v>1614</v>
      </c>
      <c r="E499" s="1" t="s">
        <v>1614</v>
      </c>
      <c r="F499" s="1" t="s">
        <v>23</v>
      </c>
      <c r="G499" s="1" t="s">
        <v>1828</v>
      </c>
      <c r="H499" s="1" t="s">
        <v>15</v>
      </c>
      <c r="I499" t="b">
        <f>COUNTIF(Estadísticas!I:I,'Centraldecomunicacion.es'!H499)&gt;0</f>
        <v>0</v>
      </c>
    </row>
    <row r="500" spans="1:9">
      <c r="A500" s="1" t="s">
        <v>773</v>
      </c>
      <c r="B500" s="1" t="s">
        <v>10</v>
      </c>
      <c r="C500" s="1" t="s">
        <v>1829</v>
      </c>
      <c r="D500" s="1" t="s">
        <v>1614</v>
      </c>
      <c r="E500" s="1" t="s">
        <v>1614</v>
      </c>
      <c r="F500" s="1" t="s">
        <v>23</v>
      </c>
      <c r="G500" s="1" t="s">
        <v>1830</v>
      </c>
      <c r="H500" s="1" t="s">
        <v>15</v>
      </c>
      <c r="I500" t="b">
        <f>COUNTIF(Estadísticas!I:I,'Centraldecomunicacion.es'!H500)&gt;0</f>
        <v>0</v>
      </c>
    </row>
    <row r="501" spans="1:9">
      <c r="A501" s="1" t="s">
        <v>1831</v>
      </c>
      <c r="B501" s="1" t="s">
        <v>10</v>
      </c>
      <c r="C501" s="1" t="s">
        <v>1832</v>
      </c>
      <c r="D501" s="1" t="s">
        <v>1614</v>
      </c>
      <c r="E501" s="1" t="s">
        <v>1614</v>
      </c>
      <c r="F501" s="1" t="s">
        <v>1833</v>
      </c>
      <c r="G501" s="1" t="s">
        <v>1834</v>
      </c>
      <c r="H501" s="1" t="s">
        <v>1835</v>
      </c>
      <c r="I501" t="b">
        <f>COUNTIF(Estadísticas!I:I,'Centraldecomunicacion.es'!H501)&gt;0</f>
        <v>1</v>
      </c>
    </row>
    <row r="502" spans="1:9">
      <c r="A502" s="1" t="s">
        <v>1836</v>
      </c>
      <c r="B502" s="1" t="s">
        <v>10</v>
      </c>
      <c r="C502" s="1" t="s">
        <v>1837</v>
      </c>
      <c r="D502" s="1" t="s">
        <v>1614</v>
      </c>
      <c r="E502" s="1" t="s">
        <v>1614</v>
      </c>
      <c r="F502" s="1" t="s">
        <v>23</v>
      </c>
      <c r="G502" s="1" t="s">
        <v>1838</v>
      </c>
      <c r="H502" s="1" t="s">
        <v>15</v>
      </c>
      <c r="I502" t="b">
        <f>COUNTIF(Estadísticas!I:I,'Centraldecomunicacion.es'!H502)&gt;0</f>
        <v>0</v>
      </c>
    </row>
    <row r="503" spans="1:9">
      <c r="A503" s="1" t="s">
        <v>1839</v>
      </c>
      <c r="B503" s="1" t="s">
        <v>10</v>
      </c>
      <c r="C503" s="1" t="s">
        <v>1840</v>
      </c>
      <c r="D503" s="1" t="s">
        <v>1614</v>
      </c>
      <c r="E503" s="1" t="s">
        <v>1614</v>
      </c>
      <c r="F503" s="1" t="s">
        <v>23</v>
      </c>
      <c r="G503" s="1" t="s">
        <v>1841</v>
      </c>
      <c r="H503" s="1" t="s">
        <v>15</v>
      </c>
      <c r="I503" t="b">
        <f>COUNTIF(Estadísticas!I:I,'Centraldecomunicacion.es'!H503)&gt;0</f>
        <v>0</v>
      </c>
    </row>
    <row r="504" spans="1:9">
      <c r="A504" s="1" t="s">
        <v>1842</v>
      </c>
      <c r="B504" s="1" t="s">
        <v>10</v>
      </c>
      <c r="C504" s="1" t="s">
        <v>1843</v>
      </c>
      <c r="D504" s="1" t="s">
        <v>1614</v>
      </c>
      <c r="E504" s="1" t="s">
        <v>1614</v>
      </c>
      <c r="F504" s="1" t="s">
        <v>23</v>
      </c>
      <c r="G504" s="1" t="s">
        <v>1844</v>
      </c>
      <c r="H504" s="1" t="s">
        <v>15</v>
      </c>
      <c r="I504" t="b">
        <f>COUNTIF(Estadísticas!I:I,'Centraldecomunicacion.es'!H504)&gt;0</f>
        <v>0</v>
      </c>
    </row>
    <row r="505" spans="1:9">
      <c r="A505" s="1" t="s">
        <v>1845</v>
      </c>
      <c r="B505" s="1" t="s">
        <v>10</v>
      </c>
      <c r="C505" s="1" t="s">
        <v>1846</v>
      </c>
      <c r="D505" s="1" t="s">
        <v>1614</v>
      </c>
      <c r="E505" s="1" t="s">
        <v>1614</v>
      </c>
      <c r="F505" s="1" t="s">
        <v>23</v>
      </c>
      <c r="G505" s="1" t="s">
        <v>1847</v>
      </c>
      <c r="H505" s="1" t="s">
        <v>15</v>
      </c>
      <c r="I505" t="b">
        <f>COUNTIF(Estadísticas!I:I,'Centraldecomunicacion.es'!H505)&gt;0</f>
        <v>0</v>
      </c>
    </row>
    <row r="506" spans="1:9">
      <c r="A506" s="1" t="s">
        <v>1848</v>
      </c>
      <c r="B506" s="1" t="s">
        <v>10</v>
      </c>
      <c r="C506" s="1" t="s">
        <v>1849</v>
      </c>
      <c r="D506" s="1" t="s">
        <v>1614</v>
      </c>
      <c r="E506" s="1" t="s">
        <v>1614</v>
      </c>
      <c r="F506" s="1" t="s">
        <v>23</v>
      </c>
      <c r="G506" s="1" t="s">
        <v>1850</v>
      </c>
      <c r="H506" s="1" t="s">
        <v>15</v>
      </c>
      <c r="I506" t="b">
        <f>COUNTIF(Estadísticas!I:I,'Centraldecomunicacion.es'!H506)&gt;0</f>
        <v>0</v>
      </c>
    </row>
    <row r="507" spans="1:9">
      <c r="A507" s="1" t="s">
        <v>1851</v>
      </c>
      <c r="B507" s="1" t="s">
        <v>10</v>
      </c>
      <c r="C507" s="1" t="s">
        <v>1852</v>
      </c>
      <c r="D507" s="1" t="s">
        <v>1614</v>
      </c>
      <c r="E507" s="1" t="s">
        <v>1614</v>
      </c>
      <c r="F507" s="1" t="s">
        <v>23</v>
      </c>
      <c r="G507" s="1" t="s">
        <v>1693</v>
      </c>
      <c r="H507" s="1" t="s">
        <v>15</v>
      </c>
      <c r="I507" t="b">
        <f>COUNTIF(Estadísticas!I:I,'Centraldecomunicacion.es'!H507)&gt;0</f>
        <v>0</v>
      </c>
    </row>
    <row r="508" spans="1:9">
      <c r="A508" s="1" t="s">
        <v>1853</v>
      </c>
      <c r="B508" s="1" t="s">
        <v>10</v>
      </c>
      <c r="C508" s="1" t="s">
        <v>1789</v>
      </c>
      <c r="D508" s="1" t="s">
        <v>1614</v>
      </c>
      <c r="E508" s="1" t="s">
        <v>1614</v>
      </c>
      <c r="F508" s="1" t="s">
        <v>23</v>
      </c>
      <c r="G508" s="1" t="s">
        <v>1854</v>
      </c>
      <c r="H508" s="1" t="s">
        <v>15</v>
      </c>
      <c r="I508" t="b">
        <f>COUNTIF(Estadísticas!I:I,'Centraldecomunicacion.es'!H508)&gt;0</f>
        <v>0</v>
      </c>
    </row>
    <row r="509" spans="1:9">
      <c r="A509" s="1" t="s">
        <v>1855</v>
      </c>
      <c r="B509" s="1" t="s">
        <v>10</v>
      </c>
      <c r="C509" s="1" t="s">
        <v>1795</v>
      </c>
      <c r="D509" s="1" t="s">
        <v>1614</v>
      </c>
      <c r="E509" s="1" t="s">
        <v>1614</v>
      </c>
      <c r="F509" s="1" t="s">
        <v>1856</v>
      </c>
      <c r="G509" s="1" t="s">
        <v>1857</v>
      </c>
      <c r="H509" s="1" t="s">
        <v>1858</v>
      </c>
      <c r="I509" t="b">
        <f>COUNTIF(Estadísticas!I:I,'Centraldecomunicacion.es'!H509)&gt;0</f>
        <v>0</v>
      </c>
    </row>
    <row r="510" spans="1:9">
      <c r="A510" s="1" t="s">
        <v>1859</v>
      </c>
      <c r="B510" s="1" t="s">
        <v>10</v>
      </c>
      <c r="C510" s="1" t="s">
        <v>1860</v>
      </c>
      <c r="D510" s="1" t="s">
        <v>1614</v>
      </c>
      <c r="E510" s="1" t="s">
        <v>1614</v>
      </c>
      <c r="F510" s="1" t="s">
        <v>1861</v>
      </c>
      <c r="G510" s="1" t="s">
        <v>1862</v>
      </c>
      <c r="H510" s="1" t="s">
        <v>1863</v>
      </c>
      <c r="I510" t="b">
        <f>COUNTIF(Estadísticas!I:I,'Centraldecomunicacion.es'!H510)&gt;0</f>
        <v>1</v>
      </c>
    </row>
    <row r="511" spans="1:9">
      <c r="A511" s="1" t="s">
        <v>1864</v>
      </c>
      <c r="B511" s="1" t="s">
        <v>10</v>
      </c>
      <c r="C511" s="1" t="s">
        <v>1865</v>
      </c>
      <c r="D511" s="1" t="s">
        <v>1614</v>
      </c>
      <c r="E511" s="1" t="s">
        <v>1614</v>
      </c>
      <c r="F511" s="1" t="s">
        <v>23</v>
      </c>
      <c r="G511" s="1" t="s">
        <v>1866</v>
      </c>
      <c r="H511" s="1" t="s">
        <v>15</v>
      </c>
      <c r="I511" t="b">
        <f>COUNTIF(Estadísticas!I:I,'Centraldecomunicacion.es'!H511)&gt;0</f>
        <v>0</v>
      </c>
    </row>
    <row r="512" spans="1:9">
      <c r="A512" s="1" t="s">
        <v>1867</v>
      </c>
      <c r="B512" s="1" t="s">
        <v>10</v>
      </c>
      <c r="C512" s="1" t="s">
        <v>1868</v>
      </c>
      <c r="D512" s="1" t="s">
        <v>1614</v>
      </c>
      <c r="E512" s="1" t="s">
        <v>1614</v>
      </c>
      <c r="F512" s="1" t="s">
        <v>1869</v>
      </c>
      <c r="G512" s="1" t="s">
        <v>1870</v>
      </c>
      <c r="H512" s="1" t="s">
        <v>15</v>
      </c>
      <c r="I512" t="b">
        <f>COUNTIF(Estadísticas!I:I,'Centraldecomunicacion.es'!H512)&gt;0</f>
        <v>0</v>
      </c>
    </row>
    <row r="513" spans="1:9">
      <c r="A513" s="1" t="s">
        <v>1871</v>
      </c>
      <c r="B513" s="1" t="s">
        <v>10</v>
      </c>
      <c r="C513" s="1" t="s">
        <v>1872</v>
      </c>
      <c r="D513" s="1" t="s">
        <v>1614</v>
      </c>
      <c r="E513" s="1" t="s">
        <v>1614</v>
      </c>
      <c r="F513" s="1" t="s">
        <v>1861</v>
      </c>
      <c r="G513" s="1" t="s">
        <v>1873</v>
      </c>
      <c r="H513" s="1" t="s">
        <v>1863</v>
      </c>
      <c r="I513" t="b">
        <f>COUNTIF(Estadísticas!I:I,'Centraldecomunicacion.es'!H513)&gt;0</f>
        <v>1</v>
      </c>
    </row>
    <row r="514" spans="1:9">
      <c r="A514" s="1" t="s">
        <v>1874</v>
      </c>
      <c r="B514" s="1" t="s">
        <v>10</v>
      </c>
      <c r="C514" s="1" t="s">
        <v>1875</v>
      </c>
      <c r="D514" s="1" t="s">
        <v>1614</v>
      </c>
      <c r="E514" s="1" t="s">
        <v>1614</v>
      </c>
      <c r="F514" s="1" t="s">
        <v>23</v>
      </c>
      <c r="G514" s="1" t="s">
        <v>1876</v>
      </c>
      <c r="H514" s="1" t="s">
        <v>15</v>
      </c>
      <c r="I514" t="b">
        <f>COUNTIF(Estadísticas!I:I,'Centraldecomunicacion.es'!H514)&gt;0</f>
        <v>0</v>
      </c>
    </row>
    <row r="515" spans="1:9">
      <c r="A515" s="1" t="s">
        <v>1877</v>
      </c>
      <c r="B515" s="1" t="s">
        <v>10</v>
      </c>
      <c r="C515" s="1" t="s">
        <v>1878</v>
      </c>
      <c r="D515" s="1" t="s">
        <v>1614</v>
      </c>
      <c r="E515" s="1" t="s">
        <v>1614</v>
      </c>
      <c r="F515" s="1" t="s">
        <v>23</v>
      </c>
      <c r="G515" s="1" t="s">
        <v>1866</v>
      </c>
      <c r="H515" s="1" t="s">
        <v>15</v>
      </c>
      <c r="I515" t="b">
        <f>COUNTIF(Estadísticas!I:I,'Centraldecomunicacion.es'!H515)&gt;0</f>
        <v>0</v>
      </c>
    </row>
    <row r="516" spans="1:9">
      <c r="A516" s="1" t="s">
        <v>1879</v>
      </c>
      <c r="B516" s="1" t="s">
        <v>10</v>
      </c>
      <c r="C516" s="1" t="s">
        <v>1880</v>
      </c>
      <c r="D516" s="1" t="s">
        <v>1614</v>
      </c>
      <c r="E516" s="1" t="s">
        <v>1614</v>
      </c>
      <c r="F516" s="1" t="s">
        <v>1881</v>
      </c>
      <c r="G516" s="1" t="s">
        <v>1882</v>
      </c>
      <c r="H516" s="1" t="s">
        <v>15</v>
      </c>
      <c r="I516" t="b">
        <f>COUNTIF(Estadísticas!I:I,'Centraldecomunicacion.es'!H516)&gt;0</f>
        <v>0</v>
      </c>
    </row>
    <row r="517" spans="1:9">
      <c r="A517" s="1" t="s">
        <v>1883</v>
      </c>
      <c r="B517" s="1" t="s">
        <v>10</v>
      </c>
      <c r="C517" s="1" t="s">
        <v>1884</v>
      </c>
      <c r="D517" s="1" t="s">
        <v>1614</v>
      </c>
      <c r="E517" s="1" t="s">
        <v>1614</v>
      </c>
      <c r="F517" s="1" t="s">
        <v>1885</v>
      </c>
      <c r="G517" s="1" t="s">
        <v>1886</v>
      </c>
      <c r="H517" s="1" t="s">
        <v>15</v>
      </c>
      <c r="I517" t="b">
        <f>COUNTIF(Estadísticas!I:I,'Centraldecomunicacion.es'!H517)&gt;0</f>
        <v>0</v>
      </c>
    </row>
    <row r="518" spans="1:9">
      <c r="A518" s="1" t="s">
        <v>1887</v>
      </c>
      <c r="B518" s="1" t="s">
        <v>10</v>
      </c>
      <c r="C518" s="1" t="s">
        <v>1888</v>
      </c>
      <c r="D518" s="1" t="s">
        <v>1614</v>
      </c>
      <c r="E518" s="1" t="s">
        <v>1614</v>
      </c>
      <c r="F518" s="1" t="s">
        <v>1889</v>
      </c>
      <c r="G518" s="1" t="s">
        <v>1890</v>
      </c>
      <c r="H518" s="1" t="s">
        <v>1891</v>
      </c>
      <c r="I518" t="b">
        <f>COUNTIF(Estadísticas!I:I,'Centraldecomunicacion.es'!H518)&gt;0</f>
        <v>0</v>
      </c>
    </row>
    <row r="519" spans="1:9">
      <c r="A519" s="1" t="s">
        <v>321</v>
      </c>
      <c r="B519" s="1" t="s">
        <v>10</v>
      </c>
      <c r="C519" s="1" t="s">
        <v>1843</v>
      </c>
      <c r="D519" s="1" t="s">
        <v>1614</v>
      </c>
      <c r="E519" s="1" t="s">
        <v>1614</v>
      </c>
      <c r="F519" s="1" t="s">
        <v>23</v>
      </c>
      <c r="G519" s="1" t="s">
        <v>1844</v>
      </c>
      <c r="H519" s="1" t="s">
        <v>15</v>
      </c>
      <c r="I519" t="b">
        <f>COUNTIF(Estadísticas!I:I,'Centraldecomunicacion.es'!H519)&gt;0</f>
        <v>0</v>
      </c>
    </row>
    <row r="520" spans="1:9">
      <c r="A520" s="1" t="s">
        <v>1892</v>
      </c>
      <c r="B520" s="1" t="s">
        <v>10</v>
      </c>
      <c r="C520" s="1" t="s">
        <v>1893</v>
      </c>
      <c r="D520" s="1" t="s">
        <v>1614</v>
      </c>
      <c r="E520" s="1" t="s">
        <v>1614</v>
      </c>
      <c r="F520" s="1" t="s">
        <v>23</v>
      </c>
      <c r="G520" s="1" t="s">
        <v>1894</v>
      </c>
      <c r="H520" s="1" t="s">
        <v>15</v>
      </c>
      <c r="I520" t="b">
        <f>COUNTIF(Estadísticas!I:I,'Centraldecomunicacion.es'!H520)&gt;0</f>
        <v>0</v>
      </c>
    </row>
    <row r="521" spans="1:9">
      <c r="A521" s="1" t="s">
        <v>1895</v>
      </c>
      <c r="B521" s="1" t="s">
        <v>10</v>
      </c>
      <c r="C521" s="1" t="s">
        <v>23</v>
      </c>
      <c r="D521" s="1" t="s">
        <v>1896</v>
      </c>
      <c r="E521" s="1" t="s">
        <v>23</v>
      </c>
      <c r="F521" s="1" t="s">
        <v>1897</v>
      </c>
      <c r="G521" s="1" t="s">
        <v>1898</v>
      </c>
      <c r="H521" s="1" t="s">
        <v>1899</v>
      </c>
      <c r="I521" t="b">
        <f>COUNTIF(Estadísticas!I:I,'Centraldecomunicacion.es'!H521)&gt;0</f>
        <v>0</v>
      </c>
    </row>
    <row r="522" spans="1:9">
      <c r="A522" s="1" t="s">
        <v>1900</v>
      </c>
      <c r="B522" s="1" t="s">
        <v>10</v>
      </c>
      <c r="C522" s="1" t="s">
        <v>1901</v>
      </c>
      <c r="D522" s="1" t="s">
        <v>1614</v>
      </c>
      <c r="E522" s="1" t="s">
        <v>1614</v>
      </c>
      <c r="F522" s="1" t="s">
        <v>23</v>
      </c>
      <c r="G522" s="1" t="s">
        <v>1902</v>
      </c>
      <c r="H522" s="1" t="s">
        <v>15</v>
      </c>
      <c r="I522" t="b">
        <f>COUNTIF(Estadísticas!I:I,'Centraldecomunicacion.es'!H522)&gt;0</f>
        <v>0</v>
      </c>
    </row>
    <row r="523" spans="1:9">
      <c r="A523" s="1" t="s">
        <v>1903</v>
      </c>
      <c r="B523" s="1" t="s">
        <v>10</v>
      </c>
      <c r="C523" s="1" t="s">
        <v>23</v>
      </c>
      <c r="D523" s="1" t="s">
        <v>1896</v>
      </c>
      <c r="E523" s="1" t="s">
        <v>23</v>
      </c>
      <c r="F523" s="1" t="s">
        <v>1904</v>
      </c>
      <c r="G523" s="1" t="s">
        <v>1905</v>
      </c>
      <c r="H523" s="1" t="s">
        <v>15</v>
      </c>
      <c r="I523" t="b">
        <f>COUNTIF(Estadísticas!I:I,'Centraldecomunicacion.es'!H523)&gt;0</f>
        <v>0</v>
      </c>
    </row>
    <row r="524" spans="1:9">
      <c r="A524" s="1" t="s">
        <v>1831</v>
      </c>
      <c r="B524" s="1" t="s">
        <v>10</v>
      </c>
      <c r="C524" s="1" t="s">
        <v>1906</v>
      </c>
      <c r="D524" s="1" t="s">
        <v>1614</v>
      </c>
      <c r="E524" s="1" t="s">
        <v>1614</v>
      </c>
      <c r="F524" s="1" t="s">
        <v>1833</v>
      </c>
      <c r="G524" s="1" t="s">
        <v>1907</v>
      </c>
      <c r="H524" s="1" t="s">
        <v>1835</v>
      </c>
      <c r="I524" t="b">
        <f>COUNTIF(Estadísticas!I:I,'Centraldecomunicacion.es'!H524)&gt;0</f>
        <v>1</v>
      </c>
    </row>
    <row r="525" spans="1:9">
      <c r="A525" s="1" t="s">
        <v>1908</v>
      </c>
      <c r="B525" s="1" t="s">
        <v>10</v>
      </c>
      <c r="C525" s="1" t="s">
        <v>1909</v>
      </c>
      <c r="D525" s="1" t="s">
        <v>1614</v>
      </c>
      <c r="E525" s="1" t="s">
        <v>1614</v>
      </c>
      <c r="F525" s="1" t="s">
        <v>23</v>
      </c>
      <c r="G525" s="1" t="s">
        <v>1910</v>
      </c>
      <c r="H525" s="1" t="s">
        <v>15</v>
      </c>
      <c r="I525" t="b">
        <f>COUNTIF(Estadísticas!I:I,'Centraldecomunicacion.es'!H525)&gt;0</f>
        <v>0</v>
      </c>
    </row>
    <row r="526" spans="1:9">
      <c r="A526" s="1" t="s">
        <v>1911</v>
      </c>
      <c r="B526" s="1" t="s">
        <v>10</v>
      </c>
      <c r="C526" s="1" t="s">
        <v>1912</v>
      </c>
      <c r="D526" s="1" t="s">
        <v>1913</v>
      </c>
      <c r="E526" s="1" t="s">
        <v>1614</v>
      </c>
      <c r="F526" s="1" t="s">
        <v>23</v>
      </c>
      <c r="G526" s="1" t="s">
        <v>1914</v>
      </c>
      <c r="H526" s="1" t="s">
        <v>15</v>
      </c>
      <c r="I526" t="b">
        <f>COUNTIF(Estadísticas!I:I,'Centraldecomunicacion.es'!H526)&gt;0</f>
        <v>0</v>
      </c>
    </row>
    <row r="527" spans="1:9">
      <c r="A527" s="1" t="s">
        <v>1915</v>
      </c>
      <c r="B527" s="1" t="s">
        <v>10</v>
      </c>
      <c r="C527" s="1" t="s">
        <v>1916</v>
      </c>
      <c r="D527" s="1" t="s">
        <v>1614</v>
      </c>
      <c r="E527" s="1" t="s">
        <v>1614</v>
      </c>
      <c r="F527" s="1" t="s">
        <v>1917</v>
      </c>
      <c r="G527" s="1" t="s">
        <v>1918</v>
      </c>
      <c r="H527" s="1" t="s">
        <v>1919</v>
      </c>
      <c r="I527" t="b">
        <f>COUNTIF(Estadísticas!I:I,'Centraldecomunicacion.es'!H527)&gt;0</f>
        <v>0</v>
      </c>
    </row>
    <row r="528" spans="1:9">
      <c r="A528" s="1" t="s">
        <v>1920</v>
      </c>
      <c r="B528" s="1" t="s">
        <v>10</v>
      </c>
      <c r="C528" s="1" t="s">
        <v>1921</v>
      </c>
      <c r="D528" s="1" t="s">
        <v>1614</v>
      </c>
      <c r="E528" s="1" t="s">
        <v>1614</v>
      </c>
      <c r="F528" s="1" t="s">
        <v>1922</v>
      </c>
      <c r="G528" s="1" t="s">
        <v>1923</v>
      </c>
      <c r="H528" s="1" t="s">
        <v>1924</v>
      </c>
      <c r="I528" t="b">
        <f>COUNTIF(Estadísticas!I:I,'Centraldecomunicacion.es'!H528)&gt;0</f>
        <v>0</v>
      </c>
    </row>
    <row r="529" spans="1:9">
      <c r="A529" s="1" t="s">
        <v>1925</v>
      </c>
      <c r="B529" s="1" t="s">
        <v>10</v>
      </c>
      <c r="C529" s="1" t="s">
        <v>1926</v>
      </c>
      <c r="D529" s="1" t="s">
        <v>1927</v>
      </c>
      <c r="E529" s="1" t="s">
        <v>1614</v>
      </c>
      <c r="F529" s="1" t="s">
        <v>1928</v>
      </c>
      <c r="G529" s="1" t="s">
        <v>1929</v>
      </c>
      <c r="H529" s="1" t="s">
        <v>15</v>
      </c>
      <c r="I529" t="b">
        <f>COUNTIF(Estadísticas!I:I,'Centraldecomunicacion.es'!H529)&gt;0</f>
        <v>0</v>
      </c>
    </row>
    <row r="530" spans="1:9">
      <c r="A530" s="1" t="s">
        <v>1930</v>
      </c>
      <c r="B530" s="1" t="s">
        <v>10</v>
      </c>
      <c r="C530" s="1" t="s">
        <v>1931</v>
      </c>
      <c r="D530" s="1" t="s">
        <v>1927</v>
      </c>
      <c r="E530" s="1" t="s">
        <v>1614</v>
      </c>
      <c r="F530" s="1" t="s">
        <v>23</v>
      </c>
      <c r="G530" s="1" t="s">
        <v>1932</v>
      </c>
      <c r="H530" s="1" t="s">
        <v>15</v>
      </c>
      <c r="I530" t="b">
        <f>COUNTIF(Estadísticas!I:I,'Centraldecomunicacion.es'!H530)&gt;0</f>
        <v>0</v>
      </c>
    </row>
    <row r="531" spans="1:9">
      <c r="A531" s="1" t="s">
        <v>1933</v>
      </c>
      <c r="B531" s="1" t="s">
        <v>10</v>
      </c>
      <c r="C531" s="1" t="s">
        <v>1934</v>
      </c>
      <c r="D531" s="1" t="s">
        <v>1896</v>
      </c>
      <c r="E531" s="1" t="s">
        <v>1935</v>
      </c>
      <c r="F531" s="1" t="s">
        <v>23</v>
      </c>
      <c r="G531" s="1" t="s">
        <v>1936</v>
      </c>
      <c r="H531" s="1" t="s">
        <v>15</v>
      </c>
      <c r="I531" t="b">
        <f>COUNTIF(Estadísticas!I:I,'Centraldecomunicacion.es'!H531)&gt;0</f>
        <v>0</v>
      </c>
    </row>
    <row r="532" spans="1:9">
      <c r="A532" s="1" t="s">
        <v>1937</v>
      </c>
      <c r="B532" s="1" t="s">
        <v>10</v>
      </c>
      <c r="C532" s="1" t="s">
        <v>1938</v>
      </c>
      <c r="D532" s="1" t="s">
        <v>1939</v>
      </c>
      <c r="E532" s="1" t="s">
        <v>1614</v>
      </c>
      <c r="F532" s="1" t="s">
        <v>1940</v>
      </c>
      <c r="G532" s="1" t="s">
        <v>1941</v>
      </c>
      <c r="H532" s="1" t="s">
        <v>15</v>
      </c>
      <c r="I532" t="b">
        <f>COUNTIF(Estadísticas!I:I,'Centraldecomunicacion.es'!H532)&gt;0</f>
        <v>0</v>
      </c>
    </row>
    <row r="533" spans="1:9">
      <c r="A533" s="1" t="s">
        <v>1942</v>
      </c>
      <c r="B533" s="1" t="s">
        <v>10</v>
      </c>
      <c r="C533" s="1" t="s">
        <v>23</v>
      </c>
      <c r="D533" s="1" t="s">
        <v>1896</v>
      </c>
      <c r="E533" s="1" t="s">
        <v>23</v>
      </c>
      <c r="F533" s="1" t="s">
        <v>1943</v>
      </c>
      <c r="G533" s="1" t="s">
        <v>1944</v>
      </c>
      <c r="H533" s="1" t="s">
        <v>1945</v>
      </c>
      <c r="I533" t="b">
        <f>COUNTIF(Estadísticas!I:I,'Centraldecomunicacion.es'!H533)&gt;0</f>
        <v>0</v>
      </c>
    </row>
    <row r="534" spans="1:9">
      <c r="A534" s="1" t="s">
        <v>1946</v>
      </c>
      <c r="B534" s="1" t="s">
        <v>10</v>
      </c>
      <c r="C534" s="1" t="s">
        <v>1947</v>
      </c>
      <c r="D534" s="1" t="s">
        <v>1935</v>
      </c>
      <c r="E534" s="1" t="s">
        <v>1614</v>
      </c>
      <c r="F534" s="1" t="s">
        <v>23</v>
      </c>
      <c r="G534" s="1" t="s">
        <v>1948</v>
      </c>
      <c r="H534" s="1" t="s">
        <v>15</v>
      </c>
      <c r="I534" t="b">
        <f>COUNTIF(Estadísticas!I:I,'Centraldecomunicacion.es'!H534)&gt;0</f>
        <v>0</v>
      </c>
    </row>
    <row r="535" spans="1:9">
      <c r="A535" s="1" t="s">
        <v>1949</v>
      </c>
      <c r="B535" s="1" t="s">
        <v>10</v>
      </c>
      <c r="C535" s="1" t="s">
        <v>1950</v>
      </c>
      <c r="D535" s="1" t="s">
        <v>1951</v>
      </c>
      <c r="E535" s="1" t="s">
        <v>1614</v>
      </c>
      <c r="F535" s="1" t="s">
        <v>1952</v>
      </c>
      <c r="G535" s="1" t="s">
        <v>1953</v>
      </c>
      <c r="H535" s="1" t="s">
        <v>15</v>
      </c>
      <c r="I535" t="b">
        <f>COUNTIF(Estadísticas!I:I,'Centraldecomunicacion.es'!H535)&gt;0</f>
        <v>0</v>
      </c>
    </row>
    <row r="536" spans="1:9">
      <c r="A536" s="1" t="s">
        <v>1954</v>
      </c>
      <c r="B536" s="1" t="s">
        <v>10</v>
      </c>
      <c r="C536" s="1" t="s">
        <v>1955</v>
      </c>
      <c r="D536" s="1" t="s">
        <v>1956</v>
      </c>
      <c r="E536" s="1" t="s">
        <v>1614</v>
      </c>
      <c r="F536" s="1" t="s">
        <v>23</v>
      </c>
      <c r="G536" s="1" t="s">
        <v>1957</v>
      </c>
      <c r="H536" s="1" t="s">
        <v>15</v>
      </c>
      <c r="I536" t="b">
        <f>COUNTIF(Estadísticas!I:I,'Centraldecomunicacion.es'!H536)&gt;0</f>
        <v>0</v>
      </c>
    </row>
    <row r="537" spans="1:9">
      <c r="A537" s="1" t="s">
        <v>1958</v>
      </c>
      <c r="B537" s="1" t="s">
        <v>10</v>
      </c>
      <c r="C537" s="1" t="s">
        <v>1959</v>
      </c>
      <c r="D537" s="1" t="s">
        <v>1960</v>
      </c>
      <c r="E537" s="1" t="s">
        <v>1614</v>
      </c>
      <c r="F537" s="1" t="s">
        <v>23</v>
      </c>
      <c r="G537" s="1" t="s">
        <v>1961</v>
      </c>
      <c r="H537" s="1" t="s">
        <v>15</v>
      </c>
      <c r="I537" t="b">
        <f>COUNTIF(Estadísticas!I:I,'Centraldecomunicacion.es'!H537)&gt;0</f>
        <v>0</v>
      </c>
    </row>
    <row r="538" spans="1:9">
      <c r="A538" s="1" t="s">
        <v>1962</v>
      </c>
      <c r="B538" s="1" t="s">
        <v>10</v>
      </c>
      <c r="C538" s="1" t="s">
        <v>1963</v>
      </c>
      <c r="D538" s="1" t="s">
        <v>1964</v>
      </c>
      <c r="E538" s="1" t="s">
        <v>1614</v>
      </c>
      <c r="F538" s="1" t="s">
        <v>23</v>
      </c>
      <c r="G538" s="1" t="s">
        <v>1965</v>
      </c>
      <c r="H538" s="1" t="s">
        <v>15</v>
      </c>
      <c r="I538" t="b">
        <f>COUNTIF(Estadísticas!I:I,'Centraldecomunicacion.es'!H538)&gt;0</f>
        <v>0</v>
      </c>
    </row>
    <row r="539" spans="1:9">
      <c r="A539" s="1" t="s">
        <v>1966</v>
      </c>
      <c r="B539" s="1" t="s">
        <v>10</v>
      </c>
      <c r="C539" s="1" t="s">
        <v>1967</v>
      </c>
      <c r="D539" s="1" t="s">
        <v>1968</v>
      </c>
      <c r="E539" s="1" t="s">
        <v>1614</v>
      </c>
      <c r="F539" s="1" t="s">
        <v>23</v>
      </c>
      <c r="G539" s="1" t="s">
        <v>1969</v>
      </c>
      <c r="H539" s="1" t="s">
        <v>15</v>
      </c>
      <c r="I539" t="b">
        <f>COUNTIF(Estadísticas!I:I,'Centraldecomunicacion.es'!H539)&gt;0</f>
        <v>0</v>
      </c>
    </row>
    <row r="540" spans="1:9">
      <c r="A540" s="1" t="s">
        <v>1970</v>
      </c>
      <c r="B540" s="1" t="s">
        <v>10</v>
      </c>
      <c r="C540" s="1" t="s">
        <v>1971</v>
      </c>
      <c r="D540" s="1" t="s">
        <v>1972</v>
      </c>
      <c r="E540" s="1" t="s">
        <v>1614</v>
      </c>
      <c r="F540" s="1" t="s">
        <v>1973</v>
      </c>
      <c r="G540" s="1" t="s">
        <v>1974</v>
      </c>
      <c r="H540" s="1" t="s">
        <v>1975</v>
      </c>
      <c r="I540" t="b">
        <f>COUNTIF(Estadísticas!I:I,'Centraldecomunicacion.es'!H540)&gt;0</f>
        <v>0</v>
      </c>
    </row>
    <row r="541" spans="1:9">
      <c r="A541" s="1" t="s">
        <v>1976</v>
      </c>
      <c r="B541" s="1" t="s">
        <v>10</v>
      </c>
      <c r="C541" s="1" t="s">
        <v>1977</v>
      </c>
      <c r="D541" s="1" t="s">
        <v>1978</v>
      </c>
      <c r="E541" s="1" t="s">
        <v>693</v>
      </c>
      <c r="F541" s="1" t="s">
        <v>23</v>
      </c>
      <c r="G541" s="1" t="s">
        <v>1979</v>
      </c>
      <c r="H541" s="1" t="s">
        <v>15</v>
      </c>
      <c r="I541" t="b">
        <f>COUNTIF(Estadísticas!I:I,'Centraldecomunicacion.es'!H541)&gt;0</f>
        <v>0</v>
      </c>
    </row>
    <row r="542" spans="1:9">
      <c r="A542" s="1" t="s">
        <v>1980</v>
      </c>
      <c r="B542" s="1" t="s">
        <v>10</v>
      </c>
      <c r="C542" s="1" t="s">
        <v>1981</v>
      </c>
      <c r="D542" s="1" t="s">
        <v>1982</v>
      </c>
      <c r="E542" s="1" t="s">
        <v>1614</v>
      </c>
      <c r="F542" s="1" t="s">
        <v>1983</v>
      </c>
      <c r="G542" s="1" t="s">
        <v>1984</v>
      </c>
      <c r="H542" s="1" t="s">
        <v>1985</v>
      </c>
      <c r="I542" t="b">
        <f>COUNTIF(Estadísticas!I:I,'Centraldecomunicacion.es'!H542)&gt;0</f>
        <v>0</v>
      </c>
    </row>
    <row r="543" spans="1:9">
      <c r="A543" s="1" t="s">
        <v>1986</v>
      </c>
      <c r="B543" s="1" t="s">
        <v>10</v>
      </c>
      <c r="C543" s="1" t="s">
        <v>1987</v>
      </c>
      <c r="D543" s="1" t="s">
        <v>1546</v>
      </c>
      <c r="E543" s="1" t="s">
        <v>1546</v>
      </c>
      <c r="F543" s="1" t="s">
        <v>1655</v>
      </c>
      <c r="G543" s="1" t="s">
        <v>1988</v>
      </c>
      <c r="H543" s="1" t="s">
        <v>1657</v>
      </c>
      <c r="I543" t="b">
        <f>COUNTIF(Estadísticas!I:I,'Centraldecomunicacion.es'!H543)&gt;0</f>
        <v>0</v>
      </c>
    </row>
    <row r="544" spans="1:9">
      <c r="A544" s="1" t="s">
        <v>1989</v>
      </c>
      <c r="B544" s="1" t="s">
        <v>10</v>
      </c>
      <c r="C544" s="1" t="s">
        <v>1990</v>
      </c>
      <c r="D544" s="1" t="s">
        <v>1546</v>
      </c>
      <c r="E544" s="1" t="s">
        <v>1546</v>
      </c>
      <c r="F544" s="1" t="s">
        <v>1655</v>
      </c>
      <c r="G544" s="1" t="s">
        <v>1991</v>
      </c>
      <c r="H544" s="1" t="s">
        <v>1657</v>
      </c>
      <c r="I544" t="b">
        <f>COUNTIF(Estadísticas!I:I,'Centraldecomunicacion.es'!H544)&gt;0</f>
        <v>0</v>
      </c>
    </row>
    <row r="545" spans="1:9">
      <c r="A545" s="1" t="s">
        <v>1992</v>
      </c>
      <c r="B545" s="1" t="s">
        <v>10</v>
      </c>
      <c r="C545" s="1" t="s">
        <v>1993</v>
      </c>
      <c r="D545" s="1" t="s">
        <v>1994</v>
      </c>
      <c r="E545" s="1" t="s">
        <v>1995</v>
      </c>
      <c r="F545" s="1" t="s">
        <v>1996</v>
      </c>
      <c r="G545" s="1" t="s">
        <v>1997</v>
      </c>
      <c r="H545" s="1" t="s">
        <v>1998</v>
      </c>
      <c r="I545" t="b">
        <f>COUNTIF(Estadísticas!I:I,'Centraldecomunicacion.es'!H545)&gt;0</f>
        <v>1</v>
      </c>
    </row>
    <row r="546" spans="1:9">
      <c r="A546" s="1" t="s">
        <v>1999</v>
      </c>
      <c r="B546" s="1" t="s">
        <v>10</v>
      </c>
      <c r="C546" s="1" t="s">
        <v>2000</v>
      </c>
      <c r="D546" s="1" t="s">
        <v>2001</v>
      </c>
      <c r="E546" s="1" t="s">
        <v>2002</v>
      </c>
      <c r="F546" s="1" t="s">
        <v>2003</v>
      </c>
      <c r="G546" s="1" t="s">
        <v>2004</v>
      </c>
      <c r="H546" s="1" t="s">
        <v>2005</v>
      </c>
      <c r="I546" t="b">
        <f>COUNTIF(Estadísticas!I:I,'Centraldecomunicacion.es'!H546)&gt;0</f>
        <v>1</v>
      </c>
    </row>
    <row r="547" spans="1:9">
      <c r="A547" s="1" t="s">
        <v>2006</v>
      </c>
      <c r="B547" s="1" t="s">
        <v>10</v>
      </c>
      <c r="C547" s="1" t="s">
        <v>2007</v>
      </c>
      <c r="D547" s="1" t="s">
        <v>693</v>
      </c>
      <c r="E547" s="1" t="s">
        <v>693</v>
      </c>
      <c r="F547" s="1" t="s">
        <v>2008</v>
      </c>
      <c r="G547" s="1" t="s">
        <v>2009</v>
      </c>
      <c r="H547" s="1" t="s">
        <v>2010</v>
      </c>
      <c r="I547" t="b">
        <f>COUNTIF(Estadísticas!I:I,'Centraldecomunicacion.es'!H547)&gt;0</f>
        <v>0</v>
      </c>
    </row>
    <row r="548" spans="1:9">
      <c r="A548" s="1" t="s">
        <v>2011</v>
      </c>
      <c r="B548" s="1" t="s">
        <v>10</v>
      </c>
      <c r="C548" s="1" t="s">
        <v>2012</v>
      </c>
      <c r="D548" s="1" t="s">
        <v>2013</v>
      </c>
      <c r="E548" s="1" t="s">
        <v>1661</v>
      </c>
      <c r="F548" s="1" t="s">
        <v>2014</v>
      </c>
      <c r="G548" s="1" t="s">
        <v>2015</v>
      </c>
      <c r="H548" s="1" t="s">
        <v>15</v>
      </c>
      <c r="I548" t="b">
        <f>COUNTIF(Estadísticas!I:I,'Centraldecomunicacion.es'!H548)&gt;0</f>
        <v>0</v>
      </c>
    </row>
    <row r="549" spans="1:9">
      <c r="A549" s="1" t="s">
        <v>2016</v>
      </c>
      <c r="B549" s="1" t="s">
        <v>10</v>
      </c>
      <c r="C549" s="1" t="s">
        <v>2017</v>
      </c>
      <c r="D549" s="1" t="s">
        <v>2018</v>
      </c>
      <c r="E549" s="1" t="s">
        <v>1661</v>
      </c>
      <c r="F549" s="1" t="s">
        <v>2019</v>
      </c>
      <c r="G549" s="1" t="s">
        <v>2020</v>
      </c>
      <c r="H549" s="1" t="s">
        <v>2021</v>
      </c>
      <c r="I549" t="b">
        <f>COUNTIF(Estadísticas!I:I,'Centraldecomunicacion.es'!H549)&gt;0</f>
        <v>0</v>
      </c>
    </row>
    <row r="550" spans="1:9">
      <c r="A550" s="1" t="s">
        <v>2022</v>
      </c>
      <c r="B550" s="1" t="s">
        <v>10</v>
      </c>
      <c r="C550" s="1" t="s">
        <v>2023</v>
      </c>
      <c r="D550" s="1" t="s">
        <v>2013</v>
      </c>
      <c r="E550" s="1" t="s">
        <v>1661</v>
      </c>
      <c r="F550" s="1" t="s">
        <v>23</v>
      </c>
      <c r="G550" s="1" t="s">
        <v>2024</v>
      </c>
      <c r="H550" s="1" t="s">
        <v>15</v>
      </c>
      <c r="I550" t="b">
        <f>COUNTIF(Estadísticas!I:I,'Centraldecomunicacion.es'!H550)&gt;0</f>
        <v>0</v>
      </c>
    </row>
    <row r="551" spans="1:9">
      <c r="A551" s="1" t="s">
        <v>2025</v>
      </c>
      <c r="B551" s="1" t="s">
        <v>10</v>
      </c>
      <c r="C551" s="1" t="s">
        <v>2026</v>
      </c>
      <c r="D551" s="1" t="s">
        <v>2027</v>
      </c>
      <c r="E551" s="1" t="s">
        <v>1661</v>
      </c>
      <c r="F551" s="1" t="s">
        <v>23</v>
      </c>
      <c r="G551" s="1" t="s">
        <v>2028</v>
      </c>
      <c r="H551" s="1" t="s">
        <v>15</v>
      </c>
      <c r="I551" t="b">
        <f>COUNTIF(Estadísticas!I:I,'Centraldecomunicacion.es'!H551)&gt;0</f>
        <v>0</v>
      </c>
    </row>
    <row r="552" spans="1:9">
      <c r="A552" s="1" t="s">
        <v>2029</v>
      </c>
      <c r="B552" s="1" t="s">
        <v>10</v>
      </c>
      <c r="C552" s="1" t="s">
        <v>2030</v>
      </c>
      <c r="D552" s="1" t="s">
        <v>2018</v>
      </c>
      <c r="E552" s="1" t="s">
        <v>1661</v>
      </c>
      <c r="F552" s="1" t="s">
        <v>2031</v>
      </c>
      <c r="G552" s="1" t="s">
        <v>2032</v>
      </c>
      <c r="H552" s="1" t="s">
        <v>15</v>
      </c>
      <c r="I552" t="b">
        <f>COUNTIF(Estadísticas!I:I,'Centraldecomunicacion.es'!H552)&gt;0</f>
        <v>0</v>
      </c>
    </row>
    <row r="553" spans="1:9">
      <c r="A553" s="1" t="s">
        <v>2033</v>
      </c>
      <c r="B553" s="1" t="s">
        <v>10</v>
      </c>
      <c r="C553" s="1" t="s">
        <v>2034</v>
      </c>
      <c r="D553" s="1" t="s">
        <v>2018</v>
      </c>
      <c r="E553" s="1" t="s">
        <v>1661</v>
      </c>
      <c r="F553" s="1" t="s">
        <v>2019</v>
      </c>
      <c r="G553" s="1" t="s">
        <v>2035</v>
      </c>
      <c r="H553" s="1" t="s">
        <v>2021</v>
      </c>
      <c r="I553" t="b">
        <f>COUNTIF(Estadísticas!I:I,'Centraldecomunicacion.es'!H553)&gt;0</f>
        <v>0</v>
      </c>
    </row>
    <row r="554" spans="1:9">
      <c r="A554" s="1" t="s">
        <v>2036</v>
      </c>
      <c r="B554" s="1" t="s">
        <v>10</v>
      </c>
      <c r="C554" s="1" t="s">
        <v>2037</v>
      </c>
      <c r="D554" s="1" t="s">
        <v>2013</v>
      </c>
      <c r="E554" s="1" t="s">
        <v>1661</v>
      </c>
      <c r="F554" s="1" t="s">
        <v>2038</v>
      </c>
      <c r="G554" s="1" t="s">
        <v>2039</v>
      </c>
      <c r="H554" s="1" t="s">
        <v>2040</v>
      </c>
      <c r="I554" t="b">
        <f>COUNTIF(Estadísticas!I:I,'Centraldecomunicacion.es'!H554)&gt;0</f>
        <v>1</v>
      </c>
    </row>
    <row r="555" spans="1:9">
      <c r="A555" s="1" t="s">
        <v>2041</v>
      </c>
      <c r="B555" s="1" t="s">
        <v>10</v>
      </c>
      <c r="C555" s="1" t="s">
        <v>2042</v>
      </c>
      <c r="D555" s="1" t="s">
        <v>2018</v>
      </c>
      <c r="E555" s="1" t="s">
        <v>1661</v>
      </c>
      <c r="F555" s="1" t="s">
        <v>23</v>
      </c>
      <c r="G555" s="1" t="s">
        <v>2043</v>
      </c>
      <c r="H555" s="1" t="s">
        <v>15</v>
      </c>
      <c r="I555" t="b">
        <f>COUNTIF(Estadísticas!I:I,'Centraldecomunicacion.es'!H555)&gt;0</f>
        <v>0</v>
      </c>
    </row>
    <row r="556" spans="1:9">
      <c r="A556" s="1" t="s">
        <v>2044</v>
      </c>
      <c r="B556" s="1" t="s">
        <v>10</v>
      </c>
      <c r="C556" s="1" t="s">
        <v>2045</v>
      </c>
      <c r="D556" s="1" t="s">
        <v>2013</v>
      </c>
      <c r="E556" s="1" t="s">
        <v>1661</v>
      </c>
      <c r="F556" s="1" t="s">
        <v>23</v>
      </c>
      <c r="G556" s="1" t="s">
        <v>2046</v>
      </c>
      <c r="H556" s="1" t="s">
        <v>15</v>
      </c>
      <c r="I556" t="b">
        <f>COUNTIF(Estadísticas!I:I,'Centraldecomunicacion.es'!H556)&gt;0</f>
        <v>0</v>
      </c>
    </row>
    <row r="557" spans="1:9">
      <c r="A557" s="1" t="s">
        <v>2047</v>
      </c>
      <c r="B557" s="1" t="s">
        <v>10</v>
      </c>
      <c r="C557" s="1" t="s">
        <v>2048</v>
      </c>
      <c r="D557" s="1" t="s">
        <v>2018</v>
      </c>
      <c r="E557" s="1" t="s">
        <v>1661</v>
      </c>
      <c r="F557" s="1" t="s">
        <v>2049</v>
      </c>
      <c r="G557" s="1" t="s">
        <v>2050</v>
      </c>
      <c r="H557" s="1" t="s">
        <v>2051</v>
      </c>
      <c r="I557" t="b">
        <f>COUNTIF(Estadísticas!I:I,'Centraldecomunicacion.es'!H557)&gt;0</f>
        <v>1</v>
      </c>
    </row>
    <row r="558" spans="1:9">
      <c r="A558" s="1" t="s">
        <v>2052</v>
      </c>
      <c r="B558" s="1" t="s">
        <v>10</v>
      </c>
      <c r="C558" s="1" t="s">
        <v>2053</v>
      </c>
      <c r="D558" s="1" t="s">
        <v>2054</v>
      </c>
      <c r="E558" s="1" t="s">
        <v>1661</v>
      </c>
      <c r="F558" s="1" t="s">
        <v>2055</v>
      </c>
      <c r="G558" s="1" t="s">
        <v>2056</v>
      </c>
      <c r="H558" s="1" t="s">
        <v>15</v>
      </c>
      <c r="I558" t="b">
        <f>COUNTIF(Estadísticas!I:I,'Centraldecomunicacion.es'!H558)&gt;0</f>
        <v>0</v>
      </c>
    </row>
    <row r="559" spans="1:9">
      <c r="A559" s="1" t="s">
        <v>2057</v>
      </c>
      <c r="B559" s="1" t="s">
        <v>10</v>
      </c>
      <c r="C559" s="1" t="s">
        <v>2058</v>
      </c>
      <c r="D559" s="1" t="s">
        <v>2054</v>
      </c>
      <c r="E559" s="1" t="s">
        <v>1661</v>
      </c>
      <c r="F559" s="1" t="s">
        <v>23</v>
      </c>
      <c r="G559" s="1" t="s">
        <v>2059</v>
      </c>
      <c r="H559" s="1" t="s">
        <v>15</v>
      </c>
      <c r="I559" t="b">
        <f>COUNTIF(Estadísticas!I:I,'Centraldecomunicacion.es'!H559)&gt;0</f>
        <v>0</v>
      </c>
    </row>
    <row r="560" spans="1:9">
      <c r="A560" s="1" t="s">
        <v>2060</v>
      </c>
      <c r="B560" s="1" t="s">
        <v>10</v>
      </c>
      <c r="C560" s="1" t="s">
        <v>2061</v>
      </c>
      <c r="D560" s="1" t="s">
        <v>2013</v>
      </c>
      <c r="E560" s="1" t="s">
        <v>1661</v>
      </c>
      <c r="F560" s="1" t="s">
        <v>2062</v>
      </c>
      <c r="G560" s="1" t="s">
        <v>2063</v>
      </c>
      <c r="H560" s="1" t="s">
        <v>2064</v>
      </c>
      <c r="I560" t="b">
        <f>COUNTIF(Estadísticas!I:I,'Centraldecomunicacion.es'!H560)&gt;0</f>
        <v>1</v>
      </c>
    </row>
    <row r="561" spans="1:9">
      <c r="A561" s="1" t="s">
        <v>2065</v>
      </c>
      <c r="B561" s="1" t="s">
        <v>10</v>
      </c>
      <c r="C561" s="1" t="s">
        <v>2066</v>
      </c>
      <c r="D561" s="1" t="s">
        <v>2013</v>
      </c>
      <c r="E561" s="1" t="s">
        <v>1661</v>
      </c>
      <c r="F561" s="1" t="s">
        <v>23</v>
      </c>
      <c r="G561" s="1" t="s">
        <v>2067</v>
      </c>
      <c r="H561" s="1" t="s">
        <v>15</v>
      </c>
      <c r="I561" t="b">
        <f>COUNTIF(Estadísticas!I:I,'Centraldecomunicacion.es'!H561)&gt;0</f>
        <v>0</v>
      </c>
    </row>
    <row r="562" spans="1:9">
      <c r="A562" s="1" t="s">
        <v>2068</v>
      </c>
      <c r="B562" s="1" t="s">
        <v>10</v>
      </c>
      <c r="C562" s="1" t="s">
        <v>2069</v>
      </c>
      <c r="D562" s="1" t="s">
        <v>2018</v>
      </c>
      <c r="E562" s="1" t="s">
        <v>1661</v>
      </c>
      <c r="F562" s="1" t="s">
        <v>23</v>
      </c>
      <c r="G562" s="1" t="s">
        <v>2070</v>
      </c>
      <c r="H562" s="1" t="s">
        <v>15</v>
      </c>
      <c r="I562" t="b">
        <f>COUNTIF(Estadísticas!I:I,'Centraldecomunicacion.es'!H562)&gt;0</f>
        <v>0</v>
      </c>
    </row>
    <row r="563" spans="1:9">
      <c r="A563" s="1" t="s">
        <v>2071</v>
      </c>
      <c r="B563" s="1" t="s">
        <v>10</v>
      </c>
      <c r="C563" s="1" t="s">
        <v>2072</v>
      </c>
      <c r="D563" s="1" t="s">
        <v>2073</v>
      </c>
      <c r="E563" s="1" t="s">
        <v>1661</v>
      </c>
      <c r="F563" s="1" t="s">
        <v>23</v>
      </c>
      <c r="G563" s="1" t="s">
        <v>2074</v>
      </c>
      <c r="H563" s="1" t="s">
        <v>15</v>
      </c>
      <c r="I563" t="b">
        <f>COUNTIF(Estadísticas!I:I,'Centraldecomunicacion.es'!H563)&gt;0</f>
        <v>0</v>
      </c>
    </row>
    <row r="564" spans="1:9">
      <c r="A564" s="1" t="s">
        <v>2075</v>
      </c>
      <c r="B564" s="1" t="s">
        <v>10</v>
      </c>
      <c r="C564" s="1" t="s">
        <v>2076</v>
      </c>
      <c r="D564" s="1" t="s">
        <v>2077</v>
      </c>
      <c r="E564" s="1" t="s">
        <v>1661</v>
      </c>
      <c r="F564" s="1" t="s">
        <v>23</v>
      </c>
      <c r="G564" s="1" t="s">
        <v>2078</v>
      </c>
      <c r="H564" s="1" t="s">
        <v>15</v>
      </c>
      <c r="I564" t="b">
        <f>COUNTIF(Estadísticas!I:I,'Centraldecomunicacion.es'!H564)&gt;0</f>
        <v>0</v>
      </c>
    </row>
    <row r="565" spans="1:9">
      <c r="A565" s="1" t="s">
        <v>2079</v>
      </c>
      <c r="B565" s="1" t="s">
        <v>10</v>
      </c>
      <c r="C565" s="1" t="s">
        <v>2080</v>
      </c>
      <c r="D565" s="1" t="s">
        <v>2013</v>
      </c>
      <c r="E565" s="1" t="s">
        <v>1661</v>
      </c>
      <c r="F565" s="1" t="s">
        <v>2081</v>
      </c>
      <c r="G565" s="1" t="s">
        <v>2082</v>
      </c>
      <c r="H565" s="1" t="s">
        <v>2083</v>
      </c>
      <c r="I565" t="b">
        <f>COUNTIF(Estadísticas!I:I,'Centraldecomunicacion.es'!H565)&gt;0</f>
        <v>0</v>
      </c>
    </row>
    <row r="566" spans="1:9">
      <c r="A566" s="1" t="s">
        <v>2084</v>
      </c>
      <c r="B566" s="1" t="s">
        <v>10</v>
      </c>
      <c r="C566" s="1" t="s">
        <v>2085</v>
      </c>
      <c r="D566" s="1" t="s">
        <v>2013</v>
      </c>
      <c r="E566" s="1" t="s">
        <v>1661</v>
      </c>
      <c r="F566" s="1" t="s">
        <v>2086</v>
      </c>
      <c r="G566" s="1" t="s">
        <v>2087</v>
      </c>
      <c r="H566" s="1" t="s">
        <v>15</v>
      </c>
      <c r="I566" t="b">
        <f>COUNTIF(Estadísticas!I:I,'Centraldecomunicacion.es'!H566)&gt;0</f>
        <v>0</v>
      </c>
    </row>
    <row r="567" spans="1:9">
      <c r="A567" s="1" t="s">
        <v>1845</v>
      </c>
      <c r="B567" s="1" t="s">
        <v>10</v>
      </c>
      <c r="C567" s="1" t="s">
        <v>2088</v>
      </c>
      <c r="D567" s="1" t="s">
        <v>2018</v>
      </c>
      <c r="E567" s="1" t="s">
        <v>1661</v>
      </c>
      <c r="F567" s="1" t="s">
        <v>2089</v>
      </c>
      <c r="G567" s="1" t="s">
        <v>2090</v>
      </c>
      <c r="H567" s="1" t="s">
        <v>2091</v>
      </c>
      <c r="I567" t="b">
        <f>COUNTIF(Estadísticas!I:I,'Centraldecomunicacion.es'!H567)&gt;0</f>
        <v>0</v>
      </c>
    </row>
    <row r="568" spans="1:9">
      <c r="A568" s="1" t="s">
        <v>2092</v>
      </c>
      <c r="B568" s="1" t="s">
        <v>10</v>
      </c>
      <c r="C568" s="1" t="s">
        <v>2093</v>
      </c>
      <c r="D568" s="1" t="s">
        <v>2013</v>
      </c>
      <c r="E568" s="1" t="s">
        <v>1661</v>
      </c>
      <c r="F568" s="1" t="s">
        <v>23</v>
      </c>
      <c r="G568" s="1" t="s">
        <v>2094</v>
      </c>
      <c r="H568" s="1" t="s">
        <v>15</v>
      </c>
      <c r="I568" t="b">
        <f>COUNTIF(Estadísticas!I:I,'Centraldecomunicacion.es'!H568)&gt;0</f>
        <v>0</v>
      </c>
    </row>
    <row r="569" spans="1:9">
      <c r="A569" s="1" t="s">
        <v>2095</v>
      </c>
      <c r="B569" s="1" t="s">
        <v>10</v>
      </c>
      <c r="C569" s="1" t="s">
        <v>2096</v>
      </c>
      <c r="D569" s="1" t="s">
        <v>2054</v>
      </c>
      <c r="E569" s="1" t="s">
        <v>1661</v>
      </c>
      <c r="F569" s="1" t="s">
        <v>23</v>
      </c>
      <c r="G569" s="1" t="s">
        <v>2097</v>
      </c>
      <c r="H569" s="1" t="s">
        <v>15</v>
      </c>
      <c r="I569" t="b">
        <f>COUNTIF(Estadísticas!I:I,'Centraldecomunicacion.es'!H569)&gt;0</f>
        <v>0</v>
      </c>
    </row>
    <row r="570" spans="1:9">
      <c r="A570" s="1" t="s">
        <v>2098</v>
      </c>
      <c r="B570" s="1" t="s">
        <v>10</v>
      </c>
      <c r="C570" s="1" t="s">
        <v>2099</v>
      </c>
      <c r="D570" s="1" t="s">
        <v>2013</v>
      </c>
      <c r="E570" s="1" t="s">
        <v>1661</v>
      </c>
      <c r="F570" s="1" t="s">
        <v>964</v>
      </c>
      <c r="G570" s="1" t="s">
        <v>2100</v>
      </c>
      <c r="H570" s="1" t="s">
        <v>966</v>
      </c>
      <c r="I570" t="b">
        <f>COUNTIF(Estadísticas!I:I,'Centraldecomunicacion.es'!H570)&gt;0</f>
        <v>0</v>
      </c>
    </row>
    <row r="571" spans="1:9">
      <c r="A571" s="1" t="s">
        <v>2101</v>
      </c>
      <c r="B571" s="1" t="s">
        <v>10</v>
      </c>
      <c r="C571" s="1" t="s">
        <v>2102</v>
      </c>
      <c r="D571" s="1" t="s">
        <v>2018</v>
      </c>
      <c r="E571" s="1" t="s">
        <v>1661</v>
      </c>
      <c r="F571" s="1" t="s">
        <v>23</v>
      </c>
      <c r="G571" s="1" t="s">
        <v>2103</v>
      </c>
      <c r="H571" s="1" t="s">
        <v>15</v>
      </c>
      <c r="I571" t="b">
        <f>COUNTIF(Estadísticas!I:I,'Centraldecomunicacion.es'!H571)&gt;0</f>
        <v>0</v>
      </c>
    </row>
    <row r="572" spans="1:9">
      <c r="A572" s="1" t="s">
        <v>2104</v>
      </c>
      <c r="B572" s="1" t="s">
        <v>10</v>
      </c>
      <c r="C572" s="1" t="s">
        <v>2069</v>
      </c>
      <c r="D572" s="1" t="s">
        <v>2018</v>
      </c>
      <c r="E572" s="1" t="s">
        <v>1661</v>
      </c>
      <c r="F572" s="1" t="s">
        <v>23</v>
      </c>
      <c r="G572" s="1" t="s">
        <v>2070</v>
      </c>
      <c r="H572" s="1" t="s">
        <v>15</v>
      </c>
      <c r="I572" t="b">
        <f>COUNTIF(Estadísticas!I:I,'Centraldecomunicacion.es'!H572)&gt;0</f>
        <v>0</v>
      </c>
    </row>
    <row r="573" spans="1:9">
      <c r="A573" s="1" t="s">
        <v>2105</v>
      </c>
      <c r="B573" s="1" t="s">
        <v>10</v>
      </c>
      <c r="C573" s="1" t="s">
        <v>2106</v>
      </c>
      <c r="D573" s="1" t="s">
        <v>2018</v>
      </c>
      <c r="E573" s="1" t="s">
        <v>1661</v>
      </c>
      <c r="F573" s="1" t="s">
        <v>2107</v>
      </c>
      <c r="G573" s="1" t="s">
        <v>2108</v>
      </c>
      <c r="H573" s="1" t="s">
        <v>2109</v>
      </c>
      <c r="I573" t="b">
        <f>COUNTIF(Estadísticas!I:I,'Centraldecomunicacion.es'!H573)&gt;0</f>
        <v>0</v>
      </c>
    </row>
    <row r="574" spans="1:9">
      <c r="A574" s="1" t="s">
        <v>2110</v>
      </c>
      <c r="B574" s="1" t="s">
        <v>10</v>
      </c>
      <c r="C574" s="1" t="s">
        <v>2111</v>
      </c>
      <c r="D574" s="1" t="s">
        <v>2013</v>
      </c>
      <c r="E574" s="1" t="s">
        <v>1661</v>
      </c>
      <c r="F574" s="1" t="s">
        <v>23</v>
      </c>
      <c r="G574" s="1" t="s">
        <v>2112</v>
      </c>
      <c r="H574" s="1" t="s">
        <v>15</v>
      </c>
      <c r="I574" t="b">
        <f>COUNTIF(Estadísticas!I:I,'Centraldecomunicacion.es'!H574)&gt;0</f>
        <v>0</v>
      </c>
    </row>
    <row r="575" spans="1:9">
      <c r="A575" s="1" t="s">
        <v>2113</v>
      </c>
      <c r="B575" s="1" t="s">
        <v>10</v>
      </c>
      <c r="C575" s="1" t="s">
        <v>2114</v>
      </c>
      <c r="D575" s="1" t="s">
        <v>2013</v>
      </c>
      <c r="E575" s="1" t="s">
        <v>1661</v>
      </c>
      <c r="F575" s="1" t="s">
        <v>23</v>
      </c>
      <c r="G575" s="1" t="s">
        <v>2115</v>
      </c>
      <c r="H575" s="1" t="s">
        <v>15</v>
      </c>
      <c r="I575" t="b">
        <f>COUNTIF(Estadísticas!I:I,'Centraldecomunicacion.es'!H575)&gt;0</f>
        <v>0</v>
      </c>
    </row>
    <row r="576" spans="1:9">
      <c r="A576" s="1" t="s">
        <v>2116</v>
      </c>
      <c r="B576" s="1" t="s">
        <v>10</v>
      </c>
      <c r="C576" s="1" t="s">
        <v>2117</v>
      </c>
      <c r="D576" s="1" t="s">
        <v>2018</v>
      </c>
      <c r="E576" s="1" t="s">
        <v>1661</v>
      </c>
      <c r="F576" s="1" t="s">
        <v>390</v>
      </c>
      <c r="G576" s="1" t="s">
        <v>23</v>
      </c>
      <c r="H576" s="1" t="s">
        <v>15</v>
      </c>
      <c r="I576" t="b">
        <f>COUNTIF(Estadísticas!I:I,'Centraldecomunicacion.es'!H576)&gt;0</f>
        <v>0</v>
      </c>
    </row>
    <row r="577" spans="1:9">
      <c r="A577" s="1" t="s">
        <v>2118</v>
      </c>
      <c r="B577" s="1" t="s">
        <v>10</v>
      </c>
      <c r="C577" s="1" t="s">
        <v>2119</v>
      </c>
      <c r="D577" s="1" t="s">
        <v>2018</v>
      </c>
      <c r="E577" s="1" t="s">
        <v>1661</v>
      </c>
      <c r="F577" s="1" t="s">
        <v>2120</v>
      </c>
      <c r="G577" s="1" t="s">
        <v>2121</v>
      </c>
      <c r="H577" s="1" t="s">
        <v>15</v>
      </c>
      <c r="I577" t="b">
        <f>COUNTIF(Estadísticas!I:I,'Centraldecomunicacion.es'!H577)&gt;0</f>
        <v>0</v>
      </c>
    </row>
    <row r="578" spans="1:9">
      <c r="A578" s="1" t="s">
        <v>2122</v>
      </c>
      <c r="B578" s="1" t="s">
        <v>10</v>
      </c>
      <c r="C578" s="1" t="s">
        <v>2123</v>
      </c>
      <c r="D578" s="1" t="s">
        <v>2077</v>
      </c>
      <c r="E578" s="1" t="s">
        <v>1661</v>
      </c>
      <c r="F578" s="1" t="s">
        <v>23</v>
      </c>
      <c r="G578" s="1" t="s">
        <v>2124</v>
      </c>
      <c r="H578" s="1" t="s">
        <v>15</v>
      </c>
      <c r="I578" t="b">
        <f>COUNTIF(Estadísticas!I:I,'Centraldecomunicacion.es'!H578)&gt;0</f>
        <v>0</v>
      </c>
    </row>
    <row r="579" spans="1:9">
      <c r="A579" s="1" t="s">
        <v>2125</v>
      </c>
      <c r="B579" s="1" t="s">
        <v>10</v>
      </c>
      <c r="C579" s="1" t="s">
        <v>2126</v>
      </c>
      <c r="D579" s="1" t="s">
        <v>2018</v>
      </c>
      <c r="E579" s="1" t="s">
        <v>1661</v>
      </c>
      <c r="F579" s="1" t="s">
        <v>2127</v>
      </c>
      <c r="G579" s="1" t="s">
        <v>2128</v>
      </c>
      <c r="H579" s="1" t="s">
        <v>2129</v>
      </c>
      <c r="I579" t="b">
        <f>COUNTIF(Estadísticas!I:I,'Centraldecomunicacion.es'!H579)&gt;0</f>
        <v>0</v>
      </c>
    </row>
    <row r="580" spans="1:9">
      <c r="A580" s="1" t="s">
        <v>2130</v>
      </c>
      <c r="B580" s="1" t="s">
        <v>10</v>
      </c>
      <c r="C580" s="1" t="s">
        <v>2131</v>
      </c>
      <c r="D580" s="1" t="s">
        <v>2054</v>
      </c>
      <c r="E580" s="1" t="s">
        <v>1661</v>
      </c>
      <c r="F580" s="1" t="s">
        <v>23</v>
      </c>
      <c r="G580" s="1" t="s">
        <v>2132</v>
      </c>
      <c r="H580" s="1" t="s">
        <v>15</v>
      </c>
      <c r="I580" t="b">
        <f>COUNTIF(Estadísticas!I:I,'Centraldecomunicacion.es'!H580)&gt;0</f>
        <v>0</v>
      </c>
    </row>
    <row r="581" spans="1:9">
      <c r="A581" s="1" t="s">
        <v>2133</v>
      </c>
      <c r="B581" s="1" t="s">
        <v>10</v>
      </c>
      <c r="C581" s="1" t="s">
        <v>2134</v>
      </c>
      <c r="D581" s="1" t="s">
        <v>2018</v>
      </c>
      <c r="E581" s="1" t="s">
        <v>1661</v>
      </c>
      <c r="F581" s="1" t="s">
        <v>23</v>
      </c>
      <c r="G581" s="1" t="s">
        <v>2135</v>
      </c>
      <c r="H581" s="1" t="s">
        <v>15</v>
      </c>
      <c r="I581" t="b">
        <f>COUNTIF(Estadísticas!I:I,'Centraldecomunicacion.es'!H581)&gt;0</f>
        <v>0</v>
      </c>
    </row>
    <row r="582" spans="1:9">
      <c r="A582" s="1" t="s">
        <v>2079</v>
      </c>
      <c r="B582" s="1" t="s">
        <v>10</v>
      </c>
      <c r="C582" s="1" t="s">
        <v>2136</v>
      </c>
      <c r="D582" s="1" t="s">
        <v>2054</v>
      </c>
      <c r="E582" s="1" t="s">
        <v>1661</v>
      </c>
      <c r="F582" s="1" t="s">
        <v>2081</v>
      </c>
      <c r="G582" s="1" t="s">
        <v>2137</v>
      </c>
      <c r="H582" s="1" t="s">
        <v>2083</v>
      </c>
      <c r="I582" t="b">
        <f>COUNTIF(Estadísticas!I:I,'Centraldecomunicacion.es'!H582)&gt;0</f>
        <v>0</v>
      </c>
    </row>
    <row r="583" spans="1:9">
      <c r="A583" s="1" t="s">
        <v>2138</v>
      </c>
      <c r="B583" s="1" t="s">
        <v>10</v>
      </c>
      <c r="C583" s="1" t="s">
        <v>2139</v>
      </c>
      <c r="D583" s="1" t="s">
        <v>2140</v>
      </c>
      <c r="E583" s="1" t="s">
        <v>1661</v>
      </c>
      <c r="F583" s="1" t="s">
        <v>23</v>
      </c>
      <c r="G583" s="1" t="s">
        <v>23</v>
      </c>
      <c r="H583" s="1" t="s">
        <v>15</v>
      </c>
      <c r="I583" t="b">
        <f>COUNTIF(Estadísticas!I:I,'Centraldecomunicacion.es'!H583)&gt;0</f>
        <v>0</v>
      </c>
    </row>
    <row r="584" spans="1:9">
      <c r="A584" s="1" t="s">
        <v>2141</v>
      </c>
      <c r="B584" s="1" t="s">
        <v>10</v>
      </c>
      <c r="C584" s="1" t="s">
        <v>2142</v>
      </c>
      <c r="D584" s="1" t="s">
        <v>2143</v>
      </c>
      <c r="E584" s="1" t="s">
        <v>1661</v>
      </c>
      <c r="F584" s="1" t="s">
        <v>23</v>
      </c>
      <c r="G584" s="1" t="s">
        <v>2144</v>
      </c>
      <c r="H584" s="1" t="s">
        <v>15</v>
      </c>
      <c r="I584" t="b">
        <f>COUNTIF(Estadísticas!I:I,'Centraldecomunicacion.es'!H584)&gt;0</f>
        <v>0</v>
      </c>
    </row>
    <row r="585" spans="1:9">
      <c r="A585" s="1" t="s">
        <v>2145</v>
      </c>
      <c r="B585" s="1" t="s">
        <v>10</v>
      </c>
      <c r="C585" s="1" t="s">
        <v>2146</v>
      </c>
      <c r="D585" s="1" t="s">
        <v>2147</v>
      </c>
      <c r="E585" s="1" t="s">
        <v>1661</v>
      </c>
      <c r="F585" s="1" t="s">
        <v>23</v>
      </c>
      <c r="G585" s="1" t="s">
        <v>2148</v>
      </c>
      <c r="H585" s="1" t="s">
        <v>15</v>
      </c>
      <c r="I585" t="b">
        <f>COUNTIF(Estadísticas!I:I,'Centraldecomunicacion.es'!H585)&gt;0</f>
        <v>0</v>
      </c>
    </row>
    <row r="586" spans="1:9">
      <c r="A586" s="1" t="s">
        <v>2149</v>
      </c>
      <c r="B586" s="1" t="s">
        <v>10</v>
      </c>
      <c r="C586" s="1" t="s">
        <v>2150</v>
      </c>
      <c r="D586" s="1" t="s">
        <v>2143</v>
      </c>
      <c r="E586" s="1" t="s">
        <v>1661</v>
      </c>
      <c r="F586" s="1" t="s">
        <v>81</v>
      </c>
      <c r="G586" s="1" t="s">
        <v>2151</v>
      </c>
      <c r="H586" s="1" t="s">
        <v>83</v>
      </c>
      <c r="I586" t="b">
        <f>COUNTIF(Estadísticas!I:I,'Centraldecomunicacion.es'!H586)&gt;0</f>
        <v>0</v>
      </c>
    </row>
    <row r="587" spans="1:9">
      <c r="A587" s="1" t="s">
        <v>2152</v>
      </c>
      <c r="B587" s="1" t="s">
        <v>10</v>
      </c>
      <c r="C587" s="1" t="s">
        <v>2153</v>
      </c>
      <c r="D587" s="1" t="s">
        <v>2018</v>
      </c>
      <c r="E587" s="1" t="s">
        <v>1661</v>
      </c>
      <c r="F587" s="1" t="s">
        <v>23</v>
      </c>
      <c r="G587" s="1" t="s">
        <v>2154</v>
      </c>
      <c r="H587" s="1" t="s">
        <v>15</v>
      </c>
      <c r="I587" t="b">
        <f>COUNTIF(Estadísticas!I:I,'Centraldecomunicacion.es'!H587)&gt;0</f>
        <v>0</v>
      </c>
    </row>
    <row r="588" spans="1:9">
      <c r="A588" s="1" t="s">
        <v>2155</v>
      </c>
      <c r="B588" s="1" t="s">
        <v>10</v>
      </c>
      <c r="C588" s="1" t="s">
        <v>2156</v>
      </c>
      <c r="D588" s="1" t="s">
        <v>2157</v>
      </c>
      <c r="E588" s="1" t="s">
        <v>1661</v>
      </c>
      <c r="F588" s="1" t="s">
        <v>2158</v>
      </c>
      <c r="G588" s="1" t="s">
        <v>2159</v>
      </c>
      <c r="H588" s="1" t="s">
        <v>15</v>
      </c>
      <c r="I588" t="b">
        <f>COUNTIF(Estadísticas!I:I,'Centraldecomunicacion.es'!H588)&gt;0</f>
        <v>0</v>
      </c>
    </row>
    <row r="589" spans="1:9">
      <c r="A589" s="1" t="s">
        <v>2160</v>
      </c>
      <c r="B589" s="1" t="s">
        <v>10</v>
      </c>
      <c r="C589" s="1" t="s">
        <v>2161</v>
      </c>
      <c r="D589" s="1" t="s">
        <v>2018</v>
      </c>
      <c r="E589" s="1" t="s">
        <v>1661</v>
      </c>
      <c r="F589" s="1" t="s">
        <v>23</v>
      </c>
      <c r="G589" s="1" t="s">
        <v>2162</v>
      </c>
      <c r="H589" s="1" t="s">
        <v>15</v>
      </c>
      <c r="I589" t="b">
        <f>COUNTIF(Estadísticas!I:I,'Centraldecomunicacion.es'!H589)&gt;0</f>
        <v>0</v>
      </c>
    </row>
    <row r="590" spans="1:9">
      <c r="A590" s="1" t="s">
        <v>2163</v>
      </c>
      <c r="B590" s="1" t="s">
        <v>10</v>
      </c>
      <c r="C590" s="1" t="s">
        <v>2164</v>
      </c>
      <c r="D590" s="1" t="s">
        <v>2018</v>
      </c>
      <c r="E590" s="1" t="s">
        <v>1661</v>
      </c>
      <c r="F590" s="1" t="s">
        <v>23</v>
      </c>
      <c r="G590" s="1" t="s">
        <v>2165</v>
      </c>
      <c r="H590" s="1" t="s">
        <v>15</v>
      </c>
      <c r="I590" t="b">
        <f>COUNTIF(Estadísticas!I:I,'Centraldecomunicacion.es'!H590)&gt;0</f>
        <v>0</v>
      </c>
    </row>
    <row r="591" spans="1:9">
      <c r="A591" s="1" t="s">
        <v>2166</v>
      </c>
      <c r="B591" s="1" t="s">
        <v>10</v>
      </c>
      <c r="C591" s="1" t="s">
        <v>2167</v>
      </c>
      <c r="D591" s="1" t="s">
        <v>2018</v>
      </c>
      <c r="E591" s="1" t="s">
        <v>1661</v>
      </c>
      <c r="F591" s="1" t="s">
        <v>2168</v>
      </c>
      <c r="G591" s="1" t="s">
        <v>2169</v>
      </c>
      <c r="H591" s="1" t="s">
        <v>15</v>
      </c>
      <c r="I591" t="b">
        <f>COUNTIF(Estadísticas!I:I,'Centraldecomunicacion.es'!H591)&gt;0</f>
        <v>0</v>
      </c>
    </row>
    <row r="592" spans="1:9">
      <c r="A592" s="1" t="s">
        <v>2170</v>
      </c>
      <c r="B592" s="1" t="s">
        <v>10</v>
      </c>
      <c r="C592" s="1" t="s">
        <v>2171</v>
      </c>
      <c r="D592" s="1" t="s">
        <v>1660</v>
      </c>
      <c r="E592" s="1" t="s">
        <v>1661</v>
      </c>
      <c r="F592" s="1" t="s">
        <v>2172</v>
      </c>
      <c r="G592" s="1" t="s">
        <v>2173</v>
      </c>
      <c r="H592" s="1" t="s">
        <v>2174</v>
      </c>
      <c r="I592" t="b">
        <f>COUNTIF(Estadísticas!I:I,'Centraldecomunicacion.es'!H592)&gt;0</f>
        <v>0</v>
      </c>
    </row>
    <row r="593" spans="1:9">
      <c r="A593" s="1" t="s">
        <v>2175</v>
      </c>
      <c r="B593" s="1" t="s">
        <v>10</v>
      </c>
      <c r="C593" s="1" t="s">
        <v>2176</v>
      </c>
      <c r="D593" s="1" t="s">
        <v>2177</v>
      </c>
      <c r="E593" s="1" t="s">
        <v>1661</v>
      </c>
      <c r="F593" s="1" t="s">
        <v>23</v>
      </c>
      <c r="G593" s="1" t="s">
        <v>2178</v>
      </c>
      <c r="H593" s="1" t="s">
        <v>15</v>
      </c>
      <c r="I593" t="b">
        <f>COUNTIF(Estadísticas!I:I,'Centraldecomunicacion.es'!H593)&gt;0</f>
        <v>0</v>
      </c>
    </row>
    <row r="594" spans="1:9">
      <c r="A594" s="1" t="s">
        <v>2179</v>
      </c>
      <c r="B594" s="1" t="s">
        <v>10</v>
      </c>
      <c r="C594" s="1" t="s">
        <v>2180</v>
      </c>
      <c r="D594" s="1" t="s">
        <v>2013</v>
      </c>
      <c r="E594" s="1" t="s">
        <v>1661</v>
      </c>
      <c r="F594" s="1" t="s">
        <v>2038</v>
      </c>
      <c r="G594" s="1" t="s">
        <v>2039</v>
      </c>
      <c r="H594" s="1" t="s">
        <v>2040</v>
      </c>
      <c r="I594" t="b">
        <f>COUNTIF(Estadísticas!I:I,'Centraldecomunicacion.es'!H594)&gt;0</f>
        <v>1</v>
      </c>
    </row>
    <row r="595" spans="1:9">
      <c r="A595" s="1" t="s">
        <v>2181</v>
      </c>
      <c r="B595" s="1" t="s">
        <v>10</v>
      </c>
      <c r="C595" s="1" t="s">
        <v>23</v>
      </c>
      <c r="D595" s="1" t="s">
        <v>2182</v>
      </c>
      <c r="E595" s="1" t="s">
        <v>23</v>
      </c>
      <c r="F595" s="1" t="s">
        <v>23</v>
      </c>
      <c r="G595" s="1" t="s">
        <v>2183</v>
      </c>
      <c r="H595" s="1" t="s">
        <v>15</v>
      </c>
      <c r="I595" t="b">
        <f>COUNTIF(Estadísticas!I:I,'Centraldecomunicacion.es'!H595)&gt;0</f>
        <v>0</v>
      </c>
    </row>
    <row r="596" spans="1:9">
      <c r="A596" s="1" t="s">
        <v>2184</v>
      </c>
      <c r="B596" s="1" t="s">
        <v>10</v>
      </c>
      <c r="C596" s="1" t="s">
        <v>2185</v>
      </c>
      <c r="D596" s="1" t="s">
        <v>2018</v>
      </c>
      <c r="E596" s="1" t="s">
        <v>1661</v>
      </c>
      <c r="F596" s="1" t="s">
        <v>2186</v>
      </c>
      <c r="G596" s="1" t="s">
        <v>2187</v>
      </c>
      <c r="H596" s="1" t="s">
        <v>15</v>
      </c>
      <c r="I596" t="b">
        <f>COUNTIF(Estadísticas!I:I,'Centraldecomunicacion.es'!H596)&gt;0</f>
        <v>0</v>
      </c>
    </row>
    <row r="597" spans="1:9">
      <c r="A597" s="1" t="s">
        <v>2188</v>
      </c>
      <c r="B597" s="1" t="s">
        <v>10</v>
      </c>
      <c r="C597" s="1" t="s">
        <v>2189</v>
      </c>
      <c r="D597" s="1" t="s">
        <v>2018</v>
      </c>
      <c r="E597" s="1" t="s">
        <v>1661</v>
      </c>
      <c r="F597" s="1" t="s">
        <v>23</v>
      </c>
      <c r="G597" s="1" t="s">
        <v>2190</v>
      </c>
      <c r="H597" s="1" t="s">
        <v>15</v>
      </c>
      <c r="I597" t="b">
        <f>COUNTIF(Estadísticas!I:I,'Centraldecomunicacion.es'!H597)&gt;0</f>
        <v>0</v>
      </c>
    </row>
    <row r="598" spans="1:9">
      <c r="A598" s="1" t="s">
        <v>2191</v>
      </c>
      <c r="B598" s="1" t="s">
        <v>10</v>
      </c>
      <c r="C598" s="1" t="s">
        <v>2192</v>
      </c>
      <c r="D598" s="1" t="s">
        <v>2193</v>
      </c>
      <c r="E598" s="1" t="s">
        <v>1661</v>
      </c>
      <c r="F598" s="1" t="s">
        <v>2194</v>
      </c>
      <c r="G598" s="1" t="s">
        <v>2195</v>
      </c>
      <c r="H598" s="1" t="s">
        <v>2196</v>
      </c>
      <c r="I598" t="b">
        <f>COUNTIF(Estadísticas!I:I,'Centraldecomunicacion.es'!H598)&gt;0</f>
        <v>0</v>
      </c>
    </row>
    <row r="599" spans="1:9">
      <c r="A599" s="1" t="s">
        <v>2197</v>
      </c>
      <c r="B599" s="1" t="s">
        <v>10</v>
      </c>
      <c r="C599" s="1" t="s">
        <v>2198</v>
      </c>
      <c r="D599" s="1" t="s">
        <v>2199</v>
      </c>
      <c r="E599" s="1" t="s">
        <v>1661</v>
      </c>
      <c r="F599" s="1" t="s">
        <v>23</v>
      </c>
      <c r="G599" s="1" t="s">
        <v>2200</v>
      </c>
      <c r="H599" s="1" t="s">
        <v>15</v>
      </c>
      <c r="I599" t="b">
        <f>COUNTIF(Estadísticas!I:I,'Centraldecomunicacion.es'!H599)&gt;0</f>
        <v>0</v>
      </c>
    </row>
    <row r="600" spans="1:9">
      <c r="A600" s="1" t="s">
        <v>2201</v>
      </c>
      <c r="B600" s="1" t="s">
        <v>10</v>
      </c>
      <c r="C600" s="1" t="s">
        <v>23</v>
      </c>
      <c r="D600" s="1" t="s">
        <v>2182</v>
      </c>
      <c r="E600" s="1" t="s">
        <v>23</v>
      </c>
      <c r="F600" s="1" t="s">
        <v>2186</v>
      </c>
      <c r="G600" s="1" t="s">
        <v>23</v>
      </c>
      <c r="H600" s="1" t="s">
        <v>15</v>
      </c>
      <c r="I600" t="b">
        <f>COUNTIF(Estadísticas!I:I,'Centraldecomunicacion.es'!H600)&gt;0</f>
        <v>0</v>
      </c>
    </row>
    <row r="601" spans="1:9">
      <c r="A601" s="1" t="s">
        <v>2202</v>
      </c>
      <c r="B601" s="1" t="s">
        <v>10</v>
      </c>
      <c r="C601" s="1" t="s">
        <v>2203</v>
      </c>
      <c r="D601" s="1" t="s">
        <v>2204</v>
      </c>
      <c r="E601" s="1" t="s">
        <v>1661</v>
      </c>
      <c r="F601" s="1" t="s">
        <v>23</v>
      </c>
      <c r="G601" s="1" t="s">
        <v>2205</v>
      </c>
      <c r="H601" s="1" t="s">
        <v>15</v>
      </c>
      <c r="I601" t="b">
        <f>COUNTIF(Estadísticas!I:I,'Centraldecomunicacion.es'!H601)&gt;0</f>
        <v>0</v>
      </c>
    </row>
    <row r="602" spans="1:9">
      <c r="A602" s="1" t="s">
        <v>2206</v>
      </c>
      <c r="B602" s="1" t="s">
        <v>10</v>
      </c>
      <c r="C602" s="1" t="s">
        <v>2207</v>
      </c>
      <c r="D602" s="1" t="s">
        <v>2208</v>
      </c>
      <c r="E602" s="1" t="s">
        <v>1661</v>
      </c>
      <c r="F602" s="1" t="s">
        <v>23</v>
      </c>
      <c r="G602" s="1" t="s">
        <v>2209</v>
      </c>
      <c r="H602" s="1" t="s">
        <v>15</v>
      </c>
      <c r="I602" t="b">
        <f>COUNTIF(Estadísticas!I:I,'Centraldecomunicacion.es'!H602)&gt;0</f>
        <v>0</v>
      </c>
    </row>
    <row r="603" spans="1:9">
      <c r="A603" s="1" t="s">
        <v>2210</v>
      </c>
      <c r="B603" s="1" t="s">
        <v>10</v>
      </c>
      <c r="C603" s="1" t="s">
        <v>2211</v>
      </c>
      <c r="D603" s="1" t="s">
        <v>2054</v>
      </c>
      <c r="E603" s="1" t="s">
        <v>1661</v>
      </c>
      <c r="F603" s="1" t="s">
        <v>23</v>
      </c>
      <c r="G603" s="1" t="s">
        <v>2212</v>
      </c>
      <c r="H603" s="1" t="s">
        <v>15</v>
      </c>
      <c r="I603" t="b">
        <f>COUNTIF(Estadísticas!I:I,'Centraldecomunicacion.es'!H603)&gt;0</f>
        <v>0</v>
      </c>
    </row>
    <row r="604" spans="1:9">
      <c r="A604" s="1" t="s">
        <v>2213</v>
      </c>
      <c r="B604" s="1" t="s">
        <v>10</v>
      </c>
      <c r="C604" s="1" t="s">
        <v>2214</v>
      </c>
      <c r="D604" s="1" t="s">
        <v>2215</v>
      </c>
      <c r="E604" s="1" t="s">
        <v>1661</v>
      </c>
      <c r="F604" s="1" t="s">
        <v>23</v>
      </c>
      <c r="G604" s="1" t="s">
        <v>2216</v>
      </c>
      <c r="H604" s="1" t="s">
        <v>15</v>
      </c>
      <c r="I604" t="b">
        <f>COUNTIF(Estadísticas!I:I,'Centraldecomunicacion.es'!H604)&gt;0</f>
        <v>0</v>
      </c>
    </row>
    <row r="605" spans="1:9">
      <c r="A605" s="1" t="s">
        <v>2217</v>
      </c>
      <c r="B605" s="1" t="s">
        <v>10</v>
      </c>
      <c r="C605" s="1" t="s">
        <v>2218</v>
      </c>
      <c r="D605" s="1" t="s">
        <v>2219</v>
      </c>
      <c r="E605" s="1" t="s">
        <v>1661</v>
      </c>
      <c r="F605" s="1" t="s">
        <v>23</v>
      </c>
      <c r="G605" s="1" t="s">
        <v>2220</v>
      </c>
      <c r="H605" s="1" t="s">
        <v>15</v>
      </c>
      <c r="I605" t="b">
        <f>COUNTIF(Estadísticas!I:I,'Centraldecomunicacion.es'!H605)&gt;0</f>
        <v>0</v>
      </c>
    </row>
    <row r="606" spans="1:9">
      <c r="A606" s="1" t="s">
        <v>2221</v>
      </c>
      <c r="B606" s="1" t="s">
        <v>10</v>
      </c>
      <c r="C606" s="1" t="s">
        <v>2222</v>
      </c>
      <c r="D606" s="1" t="s">
        <v>2018</v>
      </c>
      <c r="E606" s="1" t="s">
        <v>1661</v>
      </c>
      <c r="F606" s="1" t="s">
        <v>2223</v>
      </c>
      <c r="G606" s="1" t="s">
        <v>2224</v>
      </c>
      <c r="H606" s="1" t="s">
        <v>2225</v>
      </c>
      <c r="I606" t="b">
        <f>COUNTIF(Estadísticas!I:I,'Centraldecomunicacion.es'!H606)&gt;0</f>
        <v>0</v>
      </c>
    </row>
    <row r="607" spans="1:9">
      <c r="A607" s="1" t="s">
        <v>435</v>
      </c>
      <c r="B607" s="1" t="s">
        <v>10</v>
      </c>
      <c r="C607" s="1" t="s">
        <v>2226</v>
      </c>
      <c r="D607" s="1" t="s">
        <v>2227</v>
      </c>
      <c r="E607" s="1" t="s">
        <v>1661</v>
      </c>
      <c r="F607" s="1" t="s">
        <v>323</v>
      </c>
      <c r="G607" s="1" t="s">
        <v>2228</v>
      </c>
      <c r="H607" s="1" t="s">
        <v>325</v>
      </c>
      <c r="I607" t="b">
        <f>COUNTIF(Estadísticas!I:I,'Centraldecomunicacion.es'!H607)&gt;0</f>
        <v>0</v>
      </c>
    </row>
    <row r="608" spans="1:9">
      <c r="A608" s="1" t="s">
        <v>2229</v>
      </c>
      <c r="B608" s="1" t="s">
        <v>10</v>
      </c>
      <c r="C608" s="1" t="s">
        <v>2230</v>
      </c>
      <c r="D608" s="1" t="s">
        <v>2018</v>
      </c>
      <c r="E608" s="1" t="s">
        <v>1661</v>
      </c>
      <c r="F608" s="1" t="s">
        <v>23</v>
      </c>
      <c r="G608" s="1" t="s">
        <v>2231</v>
      </c>
      <c r="H608" s="1" t="s">
        <v>15</v>
      </c>
      <c r="I608" t="b">
        <f>COUNTIF(Estadísticas!I:I,'Centraldecomunicacion.es'!H608)&gt;0</f>
        <v>0</v>
      </c>
    </row>
    <row r="609" spans="1:9">
      <c r="A609" s="1" t="s">
        <v>2232</v>
      </c>
      <c r="B609" s="1" t="s">
        <v>10</v>
      </c>
      <c r="C609" s="1" t="s">
        <v>2233</v>
      </c>
      <c r="D609" s="1" t="s">
        <v>2234</v>
      </c>
      <c r="E609" s="1" t="s">
        <v>1661</v>
      </c>
      <c r="F609" s="1" t="s">
        <v>323</v>
      </c>
      <c r="G609" s="1" t="s">
        <v>2235</v>
      </c>
      <c r="H609" s="1" t="s">
        <v>325</v>
      </c>
      <c r="I609" t="b">
        <f>COUNTIF(Estadísticas!I:I,'Centraldecomunicacion.es'!H609)&gt;0</f>
        <v>0</v>
      </c>
    </row>
    <row r="610" spans="1:9">
      <c r="A610" s="1" t="s">
        <v>2236</v>
      </c>
      <c r="B610" s="1" t="s">
        <v>10</v>
      </c>
      <c r="C610" s="1" t="s">
        <v>2237</v>
      </c>
      <c r="D610" s="1" t="s">
        <v>2018</v>
      </c>
      <c r="E610" s="1" t="s">
        <v>1661</v>
      </c>
      <c r="F610" s="1" t="s">
        <v>2238</v>
      </c>
      <c r="G610" s="1" t="s">
        <v>2239</v>
      </c>
      <c r="H610" s="1" t="s">
        <v>2240</v>
      </c>
      <c r="I610" t="b">
        <f>COUNTIF(Estadísticas!I:I,'Centraldecomunicacion.es'!H610)&gt;0</f>
        <v>1</v>
      </c>
    </row>
    <row r="611" spans="1:9">
      <c r="A611" s="1" t="s">
        <v>2241</v>
      </c>
      <c r="B611" s="1" t="s">
        <v>10</v>
      </c>
      <c r="C611" s="1" t="s">
        <v>2242</v>
      </c>
      <c r="D611" s="1" t="s">
        <v>2018</v>
      </c>
      <c r="E611" s="1" t="s">
        <v>1661</v>
      </c>
      <c r="F611" s="1" t="s">
        <v>2243</v>
      </c>
      <c r="G611" s="1" t="s">
        <v>2244</v>
      </c>
      <c r="H611" s="1" t="s">
        <v>2245</v>
      </c>
      <c r="I611" t="b">
        <f>COUNTIF(Estadísticas!I:I,'Centraldecomunicacion.es'!H611)&gt;0</f>
        <v>0</v>
      </c>
    </row>
    <row r="612" spans="1:9">
      <c r="A612" s="1" t="s">
        <v>2246</v>
      </c>
      <c r="B612" s="1" t="s">
        <v>10</v>
      </c>
      <c r="C612" s="1" t="s">
        <v>2247</v>
      </c>
      <c r="D612" s="1" t="s">
        <v>2204</v>
      </c>
      <c r="E612" s="1" t="s">
        <v>1661</v>
      </c>
      <c r="F612" s="1" t="s">
        <v>2248</v>
      </c>
      <c r="G612" s="1" t="s">
        <v>2249</v>
      </c>
      <c r="H612" s="1" t="s">
        <v>2250</v>
      </c>
      <c r="I612" t="b">
        <f>COUNTIF(Estadísticas!I:I,'Centraldecomunicacion.es'!H612)&gt;0</f>
        <v>0</v>
      </c>
    </row>
    <row r="613" spans="1:9">
      <c r="A613" s="1" t="s">
        <v>2251</v>
      </c>
      <c r="B613" s="1" t="s">
        <v>10</v>
      </c>
      <c r="C613" s="1" t="s">
        <v>2252</v>
      </c>
      <c r="D613" s="1" t="s">
        <v>2177</v>
      </c>
      <c r="E613" s="1" t="s">
        <v>1661</v>
      </c>
      <c r="F613" s="1" t="s">
        <v>23</v>
      </c>
      <c r="G613" s="1" t="s">
        <v>2253</v>
      </c>
      <c r="H613" s="1" t="s">
        <v>15</v>
      </c>
      <c r="I613" t="b">
        <f>COUNTIF(Estadísticas!I:I,'Centraldecomunicacion.es'!H613)&gt;0</f>
        <v>0</v>
      </c>
    </row>
    <row r="614" spans="1:9">
      <c r="A614" s="1" t="s">
        <v>2254</v>
      </c>
      <c r="B614" s="1" t="s">
        <v>10</v>
      </c>
      <c r="C614" s="1" t="s">
        <v>2255</v>
      </c>
      <c r="D614" s="1" t="s">
        <v>2143</v>
      </c>
      <c r="E614" s="1" t="s">
        <v>1661</v>
      </c>
      <c r="F614" s="1" t="s">
        <v>23</v>
      </c>
      <c r="G614" s="1" t="s">
        <v>2256</v>
      </c>
      <c r="H614" s="1" t="s">
        <v>15</v>
      </c>
      <c r="I614" t="b">
        <f>COUNTIF(Estadísticas!I:I,'Centraldecomunicacion.es'!H614)&gt;0</f>
        <v>0</v>
      </c>
    </row>
    <row r="615" spans="1:9">
      <c r="A615" s="1" t="s">
        <v>2257</v>
      </c>
      <c r="B615" s="1" t="s">
        <v>10</v>
      </c>
      <c r="C615" s="1" t="s">
        <v>2258</v>
      </c>
      <c r="D615" s="1" t="s">
        <v>2234</v>
      </c>
      <c r="E615" s="1" t="s">
        <v>1661</v>
      </c>
      <c r="F615" s="1" t="s">
        <v>2259</v>
      </c>
      <c r="G615" s="1" t="s">
        <v>2260</v>
      </c>
      <c r="H615" s="1" t="s">
        <v>15</v>
      </c>
      <c r="I615" t="b">
        <f>COUNTIF(Estadísticas!I:I,'Centraldecomunicacion.es'!H615)&gt;0</f>
        <v>0</v>
      </c>
    </row>
    <row r="616" spans="1:9">
      <c r="A616" s="1" t="s">
        <v>2261</v>
      </c>
      <c r="B616" s="1" t="s">
        <v>10</v>
      </c>
      <c r="C616" s="1" t="s">
        <v>2262</v>
      </c>
      <c r="D616" s="1" t="s">
        <v>2263</v>
      </c>
      <c r="E616" s="1" t="s">
        <v>2264</v>
      </c>
      <c r="F616" s="1" t="s">
        <v>23</v>
      </c>
      <c r="G616" s="1" t="s">
        <v>2265</v>
      </c>
      <c r="H616" s="1" t="s">
        <v>15</v>
      </c>
      <c r="I616" t="b">
        <f>COUNTIF(Estadísticas!I:I,'Centraldecomunicacion.es'!H616)&gt;0</f>
        <v>0</v>
      </c>
    </row>
    <row r="617" spans="1:9">
      <c r="A617" s="1" t="s">
        <v>10</v>
      </c>
      <c r="B617" s="1" t="s">
        <v>10</v>
      </c>
      <c r="C617" s="1" t="s">
        <v>2266</v>
      </c>
      <c r="D617" s="1" t="s">
        <v>2263</v>
      </c>
      <c r="E617" s="1" t="s">
        <v>2264</v>
      </c>
      <c r="F617" s="1" t="s">
        <v>23</v>
      </c>
      <c r="G617" s="1" t="s">
        <v>2267</v>
      </c>
      <c r="H617" s="1" t="s">
        <v>15</v>
      </c>
      <c r="I617" t="b">
        <f>COUNTIF(Estadísticas!I:I,'Centraldecomunicacion.es'!H617)&gt;0</f>
        <v>0</v>
      </c>
    </row>
    <row r="618" spans="1:9">
      <c r="A618" s="1" t="s">
        <v>2268</v>
      </c>
      <c r="B618" s="1" t="s">
        <v>10</v>
      </c>
      <c r="C618" s="1" t="s">
        <v>2269</v>
      </c>
      <c r="D618" s="1" t="s">
        <v>2270</v>
      </c>
      <c r="E618" s="1" t="s">
        <v>1661</v>
      </c>
      <c r="F618" s="1" t="s">
        <v>2271</v>
      </c>
      <c r="G618" s="1" t="s">
        <v>2272</v>
      </c>
      <c r="H618" s="1" t="s">
        <v>2273</v>
      </c>
      <c r="I618" t="b">
        <f>COUNTIF(Estadísticas!I:I,'Centraldecomunicacion.es'!H618)&gt;0</f>
        <v>0</v>
      </c>
    </row>
    <row r="619" spans="1:9">
      <c r="A619" s="1" t="s">
        <v>2274</v>
      </c>
      <c r="B619" s="1" t="s">
        <v>10</v>
      </c>
      <c r="C619" s="1" t="s">
        <v>2275</v>
      </c>
      <c r="D619" s="1" t="s">
        <v>2276</v>
      </c>
      <c r="E619" s="1" t="s">
        <v>2277</v>
      </c>
      <c r="F619" s="1" t="s">
        <v>23</v>
      </c>
      <c r="G619" s="1" t="s">
        <v>2278</v>
      </c>
      <c r="H619" s="1" t="s">
        <v>15</v>
      </c>
      <c r="I619" t="b">
        <f>COUNTIF(Estadísticas!I:I,'Centraldecomunicacion.es'!H619)&gt;0</f>
        <v>0</v>
      </c>
    </row>
    <row r="620" spans="1:9">
      <c r="A620" s="1" t="s">
        <v>2279</v>
      </c>
      <c r="B620" s="1" t="s">
        <v>10</v>
      </c>
      <c r="C620" s="1" t="s">
        <v>2280</v>
      </c>
      <c r="D620" s="1" t="s">
        <v>2281</v>
      </c>
      <c r="E620" s="1" t="s">
        <v>2282</v>
      </c>
      <c r="F620" s="1" t="s">
        <v>23</v>
      </c>
      <c r="G620" s="1" t="s">
        <v>2283</v>
      </c>
      <c r="H620" s="1" t="s">
        <v>15</v>
      </c>
      <c r="I620" t="b">
        <f>COUNTIF(Estadísticas!I:I,'Centraldecomunicacion.es'!H620)&gt;0</f>
        <v>0</v>
      </c>
    </row>
    <row r="621" spans="1:9">
      <c r="A621" s="1" t="s">
        <v>2284</v>
      </c>
      <c r="B621" s="1" t="s">
        <v>10</v>
      </c>
      <c r="C621" s="1" t="s">
        <v>2285</v>
      </c>
      <c r="D621" s="1" t="s">
        <v>2277</v>
      </c>
      <c r="E621" s="1" t="s">
        <v>2277</v>
      </c>
      <c r="F621" s="1" t="s">
        <v>23</v>
      </c>
      <c r="G621" s="1" t="s">
        <v>2286</v>
      </c>
      <c r="H621" s="1" t="s">
        <v>15</v>
      </c>
      <c r="I621" t="b">
        <f>COUNTIF(Estadísticas!I:I,'Centraldecomunicacion.es'!H621)&gt;0</f>
        <v>0</v>
      </c>
    </row>
    <row r="622" spans="1:9">
      <c r="A622" s="1" t="s">
        <v>2287</v>
      </c>
      <c r="B622" s="1" t="s">
        <v>10</v>
      </c>
      <c r="C622" s="1" t="s">
        <v>2288</v>
      </c>
      <c r="D622" s="1" t="s">
        <v>2277</v>
      </c>
      <c r="E622" s="1" t="s">
        <v>2277</v>
      </c>
      <c r="F622" s="1" t="s">
        <v>23</v>
      </c>
      <c r="G622" s="1" t="s">
        <v>2289</v>
      </c>
      <c r="H622" s="1" t="s">
        <v>15</v>
      </c>
      <c r="I622" t="b">
        <f>COUNTIF(Estadísticas!I:I,'Centraldecomunicacion.es'!H622)&gt;0</f>
        <v>0</v>
      </c>
    </row>
    <row r="623" spans="1:9">
      <c r="A623" s="1" t="s">
        <v>2290</v>
      </c>
      <c r="B623" s="1" t="s">
        <v>10</v>
      </c>
      <c r="C623" s="1" t="s">
        <v>2291</v>
      </c>
      <c r="D623" s="1" t="s">
        <v>2277</v>
      </c>
      <c r="E623" s="1" t="s">
        <v>2277</v>
      </c>
      <c r="F623" s="1" t="s">
        <v>23</v>
      </c>
      <c r="G623" s="1" t="s">
        <v>2292</v>
      </c>
      <c r="H623" s="1" t="s">
        <v>15</v>
      </c>
      <c r="I623" t="b">
        <f>COUNTIF(Estadísticas!I:I,'Centraldecomunicacion.es'!H623)&gt;0</f>
        <v>0</v>
      </c>
    </row>
    <row r="624" spans="1:9">
      <c r="A624" s="1" t="s">
        <v>2293</v>
      </c>
      <c r="B624" s="1" t="s">
        <v>10</v>
      </c>
      <c r="C624" s="1" t="s">
        <v>2294</v>
      </c>
      <c r="D624" s="1" t="s">
        <v>2277</v>
      </c>
      <c r="E624" s="1" t="s">
        <v>2277</v>
      </c>
      <c r="F624" s="1" t="s">
        <v>23</v>
      </c>
      <c r="G624" s="1" t="s">
        <v>2295</v>
      </c>
      <c r="H624" s="1" t="s">
        <v>15</v>
      </c>
      <c r="I624" t="b">
        <f>COUNTIF(Estadísticas!I:I,'Centraldecomunicacion.es'!H624)&gt;0</f>
        <v>0</v>
      </c>
    </row>
    <row r="625" spans="1:9">
      <c r="A625" s="1" t="s">
        <v>2296</v>
      </c>
      <c r="B625" s="1" t="s">
        <v>10</v>
      </c>
      <c r="C625" s="1" t="s">
        <v>2297</v>
      </c>
      <c r="D625" s="1" t="s">
        <v>2298</v>
      </c>
      <c r="E625" s="1" t="s">
        <v>2299</v>
      </c>
      <c r="F625" s="1" t="s">
        <v>2300</v>
      </c>
      <c r="G625" s="1" t="s">
        <v>2301</v>
      </c>
      <c r="H625" s="1" t="s">
        <v>2302</v>
      </c>
      <c r="I625" t="b">
        <f>COUNTIF(Estadísticas!I:I,'Centraldecomunicacion.es'!H625)&gt;0</f>
        <v>0</v>
      </c>
    </row>
    <row r="626" spans="1:9">
      <c r="A626" s="1" t="s">
        <v>2303</v>
      </c>
      <c r="B626" s="1" t="s">
        <v>10</v>
      </c>
      <c r="C626" s="1" t="s">
        <v>2304</v>
      </c>
      <c r="D626" s="1" t="s">
        <v>2298</v>
      </c>
      <c r="E626" s="1" t="s">
        <v>2299</v>
      </c>
      <c r="F626" s="1" t="s">
        <v>1655</v>
      </c>
      <c r="G626" s="1" t="s">
        <v>2305</v>
      </c>
      <c r="H626" s="1" t="s">
        <v>1657</v>
      </c>
      <c r="I626" t="b">
        <f>COUNTIF(Estadísticas!I:I,'Centraldecomunicacion.es'!H626)&gt;0</f>
        <v>0</v>
      </c>
    </row>
    <row r="627" spans="1:9">
      <c r="A627" s="1" t="s">
        <v>2306</v>
      </c>
      <c r="B627" s="1" t="s">
        <v>10</v>
      </c>
      <c r="C627" s="1" t="s">
        <v>2307</v>
      </c>
      <c r="D627" s="1" t="s">
        <v>2298</v>
      </c>
      <c r="E627" s="1" t="s">
        <v>2299</v>
      </c>
      <c r="F627" s="1" t="s">
        <v>23</v>
      </c>
      <c r="G627" s="1" t="s">
        <v>2308</v>
      </c>
      <c r="H627" s="1" t="s">
        <v>15</v>
      </c>
      <c r="I627" t="b">
        <f>COUNTIF(Estadísticas!I:I,'Centraldecomunicacion.es'!H627)&gt;0</f>
        <v>0</v>
      </c>
    </row>
    <row r="628" spans="1:9">
      <c r="A628" s="1" t="s">
        <v>2309</v>
      </c>
      <c r="B628" s="1" t="s">
        <v>10</v>
      </c>
      <c r="C628" s="1" t="s">
        <v>2310</v>
      </c>
      <c r="D628" s="1" t="s">
        <v>2298</v>
      </c>
      <c r="E628" s="1" t="s">
        <v>2299</v>
      </c>
      <c r="F628" s="1" t="s">
        <v>23</v>
      </c>
      <c r="G628" s="1" t="s">
        <v>2311</v>
      </c>
      <c r="H628" s="1" t="s">
        <v>15</v>
      </c>
      <c r="I628" t="b">
        <f>COUNTIF(Estadísticas!I:I,'Centraldecomunicacion.es'!H628)&gt;0</f>
        <v>0</v>
      </c>
    </row>
    <row r="629" spans="1:9">
      <c r="A629" s="1" t="s">
        <v>2312</v>
      </c>
      <c r="B629" s="1" t="s">
        <v>10</v>
      </c>
      <c r="C629" s="1" t="s">
        <v>2313</v>
      </c>
      <c r="D629" s="1" t="s">
        <v>2298</v>
      </c>
      <c r="E629" s="1" t="s">
        <v>2299</v>
      </c>
      <c r="F629" s="1" t="s">
        <v>23</v>
      </c>
      <c r="G629" s="1" t="s">
        <v>2314</v>
      </c>
      <c r="H629" s="1" t="s">
        <v>15</v>
      </c>
      <c r="I629" t="b">
        <f>COUNTIF(Estadísticas!I:I,'Centraldecomunicacion.es'!H629)&gt;0</f>
        <v>0</v>
      </c>
    </row>
    <row r="630" spans="1:9">
      <c r="A630" s="1" t="s">
        <v>2315</v>
      </c>
      <c r="B630" s="1" t="s">
        <v>10</v>
      </c>
      <c r="C630" s="1" t="s">
        <v>2316</v>
      </c>
      <c r="D630" s="1" t="s">
        <v>2298</v>
      </c>
      <c r="E630" s="1" t="s">
        <v>2299</v>
      </c>
      <c r="F630" s="1" t="s">
        <v>23</v>
      </c>
      <c r="G630" s="1" t="s">
        <v>2317</v>
      </c>
      <c r="H630" s="1" t="s">
        <v>15</v>
      </c>
      <c r="I630" t="b">
        <f>COUNTIF(Estadísticas!I:I,'Centraldecomunicacion.es'!H630)&gt;0</f>
        <v>0</v>
      </c>
    </row>
    <row r="631" spans="1:9">
      <c r="A631" s="1" t="s">
        <v>2318</v>
      </c>
      <c r="B631" s="1" t="s">
        <v>10</v>
      </c>
      <c r="C631" s="1" t="s">
        <v>2319</v>
      </c>
      <c r="D631" s="1" t="s">
        <v>2320</v>
      </c>
      <c r="E631" s="1" t="s">
        <v>2299</v>
      </c>
      <c r="F631" s="1" t="s">
        <v>2321</v>
      </c>
      <c r="G631" s="1" t="s">
        <v>2322</v>
      </c>
      <c r="H631" s="1" t="s">
        <v>15</v>
      </c>
      <c r="I631" t="b">
        <f>COUNTIF(Estadísticas!I:I,'Centraldecomunicacion.es'!H631)&gt;0</f>
        <v>0</v>
      </c>
    </row>
    <row r="632" spans="1:9">
      <c r="A632" s="1" t="s">
        <v>2323</v>
      </c>
      <c r="B632" s="1" t="s">
        <v>10</v>
      </c>
      <c r="C632" s="1" t="s">
        <v>2324</v>
      </c>
      <c r="D632" s="1" t="s">
        <v>2298</v>
      </c>
      <c r="E632" s="1" t="s">
        <v>2299</v>
      </c>
      <c r="F632" s="1" t="s">
        <v>23</v>
      </c>
      <c r="G632" s="1" t="s">
        <v>2325</v>
      </c>
      <c r="H632" s="1" t="s">
        <v>15</v>
      </c>
      <c r="I632" t="b">
        <f>COUNTIF(Estadísticas!I:I,'Centraldecomunicacion.es'!H632)&gt;0</f>
        <v>0</v>
      </c>
    </row>
    <row r="633" spans="1:9">
      <c r="A633" s="1" t="s">
        <v>2326</v>
      </c>
      <c r="B633" s="1" t="s">
        <v>10</v>
      </c>
      <c r="C633" s="1" t="s">
        <v>2327</v>
      </c>
      <c r="D633" s="1" t="s">
        <v>2298</v>
      </c>
      <c r="E633" s="1" t="s">
        <v>2299</v>
      </c>
      <c r="F633" s="1" t="s">
        <v>2328</v>
      </c>
      <c r="G633" s="1" t="s">
        <v>2329</v>
      </c>
      <c r="H633" s="1" t="s">
        <v>15</v>
      </c>
      <c r="I633" t="b">
        <f>COUNTIF(Estadísticas!I:I,'Centraldecomunicacion.es'!H633)&gt;0</f>
        <v>0</v>
      </c>
    </row>
    <row r="634" spans="1:9">
      <c r="A634" s="1" t="s">
        <v>2330</v>
      </c>
      <c r="B634" s="1" t="s">
        <v>10</v>
      </c>
      <c r="C634" s="1" t="s">
        <v>2331</v>
      </c>
      <c r="D634" s="1" t="s">
        <v>2298</v>
      </c>
      <c r="E634" s="1" t="s">
        <v>2299</v>
      </c>
      <c r="F634" s="1" t="s">
        <v>23</v>
      </c>
      <c r="G634" s="1" t="s">
        <v>2332</v>
      </c>
      <c r="H634" s="1" t="s">
        <v>15</v>
      </c>
      <c r="I634" t="b">
        <f>COUNTIF(Estadísticas!I:I,'Centraldecomunicacion.es'!H634)&gt;0</f>
        <v>0</v>
      </c>
    </row>
    <row r="635" spans="1:9">
      <c r="A635" s="1" t="s">
        <v>2333</v>
      </c>
      <c r="B635" s="1" t="s">
        <v>10</v>
      </c>
      <c r="C635" s="1" t="s">
        <v>2334</v>
      </c>
      <c r="D635" s="1" t="s">
        <v>2298</v>
      </c>
      <c r="E635" s="1" t="s">
        <v>2299</v>
      </c>
      <c r="F635" s="1" t="s">
        <v>2335</v>
      </c>
      <c r="G635" s="1" t="s">
        <v>2336</v>
      </c>
      <c r="H635" s="1" t="s">
        <v>15</v>
      </c>
      <c r="I635" t="b">
        <f>COUNTIF(Estadísticas!I:I,'Centraldecomunicacion.es'!H635)&gt;0</f>
        <v>0</v>
      </c>
    </row>
    <row r="636" spans="1:9">
      <c r="A636" s="1" t="s">
        <v>2337</v>
      </c>
      <c r="B636" s="1" t="s">
        <v>10</v>
      </c>
      <c r="C636" s="1" t="s">
        <v>2338</v>
      </c>
      <c r="D636" s="1" t="s">
        <v>2298</v>
      </c>
      <c r="E636" s="1" t="s">
        <v>2299</v>
      </c>
      <c r="F636" s="1" t="s">
        <v>2339</v>
      </c>
      <c r="G636" s="1" t="s">
        <v>2340</v>
      </c>
      <c r="H636" s="1" t="s">
        <v>2341</v>
      </c>
      <c r="I636" t="b">
        <f>COUNTIF(Estadísticas!I:I,'Centraldecomunicacion.es'!H636)&gt;0</f>
        <v>1</v>
      </c>
    </row>
    <row r="637" spans="1:9">
      <c r="A637" s="1" t="s">
        <v>2342</v>
      </c>
      <c r="B637" s="1" t="s">
        <v>10</v>
      </c>
      <c r="C637" s="1" t="s">
        <v>2343</v>
      </c>
      <c r="D637" s="1" t="s">
        <v>2298</v>
      </c>
      <c r="E637" s="1" t="s">
        <v>2344</v>
      </c>
      <c r="F637" s="1" t="s">
        <v>23</v>
      </c>
      <c r="G637" s="1" t="s">
        <v>2345</v>
      </c>
      <c r="H637" s="1" t="s">
        <v>15</v>
      </c>
      <c r="I637" t="b">
        <f>COUNTIF(Estadísticas!I:I,'Centraldecomunicacion.es'!H637)&gt;0</f>
        <v>0</v>
      </c>
    </row>
    <row r="638" spans="1:9">
      <c r="A638" s="1" t="s">
        <v>2346</v>
      </c>
      <c r="B638" s="1" t="s">
        <v>10</v>
      </c>
      <c r="C638" s="1" t="s">
        <v>2347</v>
      </c>
      <c r="D638" s="1" t="s">
        <v>2298</v>
      </c>
      <c r="E638" s="1" t="s">
        <v>2299</v>
      </c>
      <c r="F638" s="1" t="s">
        <v>23</v>
      </c>
      <c r="G638" s="1" t="s">
        <v>2348</v>
      </c>
      <c r="H638" s="1" t="s">
        <v>15</v>
      </c>
      <c r="I638" t="b">
        <f>COUNTIF(Estadísticas!I:I,'Centraldecomunicacion.es'!H638)&gt;0</f>
        <v>0</v>
      </c>
    </row>
    <row r="639" spans="1:9">
      <c r="A639" s="1" t="s">
        <v>2349</v>
      </c>
      <c r="B639" s="1" t="s">
        <v>10</v>
      </c>
      <c r="C639" s="1" t="s">
        <v>2350</v>
      </c>
      <c r="D639" s="1" t="s">
        <v>2298</v>
      </c>
      <c r="E639" s="1" t="s">
        <v>2299</v>
      </c>
      <c r="F639" s="1" t="s">
        <v>23</v>
      </c>
      <c r="G639" s="1" t="s">
        <v>2351</v>
      </c>
      <c r="H639" s="1" t="s">
        <v>15</v>
      </c>
      <c r="I639" t="b">
        <f>COUNTIF(Estadísticas!I:I,'Centraldecomunicacion.es'!H639)&gt;0</f>
        <v>0</v>
      </c>
    </row>
    <row r="640" spans="1:9">
      <c r="A640" s="1" t="s">
        <v>2352</v>
      </c>
      <c r="B640" s="1" t="s">
        <v>10</v>
      </c>
      <c r="C640" s="1" t="s">
        <v>2353</v>
      </c>
      <c r="D640" s="1" t="s">
        <v>2298</v>
      </c>
      <c r="E640" s="1" t="s">
        <v>2344</v>
      </c>
      <c r="F640" s="1" t="s">
        <v>23</v>
      </c>
      <c r="G640" s="1" t="s">
        <v>2354</v>
      </c>
      <c r="H640" s="1" t="s">
        <v>15</v>
      </c>
      <c r="I640" t="b">
        <f>COUNTIF(Estadísticas!I:I,'Centraldecomunicacion.es'!H640)&gt;0</f>
        <v>0</v>
      </c>
    </row>
    <row r="641" spans="1:9">
      <c r="A641" s="1" t="s">
        <v>2355</v>
      </c>
      <c r="B641" s="1" t="s">
        <v>10</v>
      </c>
      <c r="C641" s="1" t="s">
        <v>2356</v>
      </c>
      <c r="D641" s="1" t="s">
        <v>2357</v>
      </c>
      <c r="E641" s="1" t="s">
        <v>2299</v>
      </c>
      <c r="F641" s="1" t="s">
        <v>23</v>
      </c>
      <c r="G641" s="1" t="s">
        <v>2358</v>
      </c>
      <c r="H641" s="1" t="s">
        <v>15</v>
      </c>
      <c r="I641" t="b">
        <f>COUNTIF(Estadísticas!I:I,'Centraldecomunicacion.es'!H641)&gt;0</f>
        <v>0</v>
      </c>
    </row>
    <row r="642" spans="1:9">
      <c r="A642" s="1" t="s">
        <v>2359</v>
      </c>
      <c r="B642" s="1" t="s">
        <v>10</v>
      </c>
      <c r="C642" s="1" t="s">
        <v>2360</v>
      </c>
      <c r="D642" s="1" t="s">
        <v>2298</v>
      </c>
      <c r="E642" s="1" t="s">
        <v>2344</v>
      </c>
      <c r="F642" s="1" t="s">
        <v>2361</v>
      </c>
      <c r="G642" s="1" t="s">
        <v>2362</v>
      </c>
      <c r="H642" s="1" t="s">
        <v>2363</v>
      </c>
      <c r="I642" t="b">
        <f>COUNTIF(Estadísticas!I:I,'Centraldecomunicacion.es'!H642)&gt;0</f>
        <v>0</v>
      </c>
    </row>
    <row r="643" spans="1:9">
      <c r="A643" s="1" t="s">
        <v>2364</v>
      </c>
      <c r="B643" s="1" t="s">
        <v>10</v>
      </c>
      <c r="C643" s="1" t="s">
        <v>2365</v>
      </c>
      <c r="D643" s="1" t="s">
        <v>2298</v>
      </c>
      <c r="E643" s="1" t="s">
        <v>2299</v>
      </c>
      <c r="F643" s="1" t="s">
        <v>23</v>
      </c>
      <c r="G643" s="1" t="s">
        <v>2366</v>
      </c>
      <c r="H643" s="1" t="s">
        <v>15</v>
      </c>
      <c r="I643" t="b">
        <f>COUNTIF(Estadísticas!I:I,'Centraldecomunicacion.es'!H643)&gt;0</f>
        <v>0</v>
      </c>
    </row>
    <row r="644" spans="1:9">
      <c r="A644" s="1" t="s">
        <v>2367</v>
      </c>
      <c r="B644" s="1" t="s">
        <v>10</v>
      </c>
      <c r="C644" s="1" t="s">
        <v>2368</v>
      </c>
      <c r="D644" s="1" t="s">
        <v>2369</v>
      </c>
      <c r="E644" s="1" t="s">
        <v>2299</v>
      </c>
      <c r="F644" s="1" t="s">
        <v>23</v>
      </c>
      <c r="G644" s="1" t="s">
        <v>2370</v>
      </c>
      <c r="H644" s="1" t="s">
        <v>15</v>
      </c>
      <c r="I644" t="b">
        <f>COUNTIF(Estadísticas!I:I,'Centraldecomunicacion.es'!H644)&gt;0</f>
        <v>0</v>
      </c>
    </row>
    <row r="645" spans="1:9">
      <c r="A645" s="1" t="s">
        <v>2371</v>
      </c>
      <c r="B645" s="1" t="s">
        <v>10</v>
      </c>
      <c r="C645" s="1" t="s">
        <v>2372</v>
      </c>
      <c r="D645" s="1" t="s">
        <v>2373</v>
      </c>
      <c r="E645" s="1" t="s">
        <v>2299</v>
      </c>
      <c r="F645" s="1" t="s">
        <v>811</v>
      </c>
      <c r="G645" s="1" t="s">
        <v>2374</v>
      </c>
      <c r="H645" s="1" t="s">
        <v>15</v>
      </c>
      <c r="I645" t="b">
        <f>COUNTIF(Estadísticas!I:I,'Centraldecomunicacion.es'!H645)&gt;0</f>
        <v>0</v>
      </c>
    </row>
    <row r="646" spans="1:9">
      <c r="A646" s="1" t="s">
        <v>2375</v>
      </c>
      <c r="B646" s="1" t="s">
        <v>10</v>
      </c>
      <c r="C646" s="1" t="s">
        <v>2376</v>
      </c>
      <c r="D646" s="1" t="s">
        <v>2377</v>
      </c>
      <c r="E646" s="1" t="s">
        <v>2299</v>
      </c>
      <c r="F646" s="1" t="s">
        <v>2378</v>
      </c>
      <c r="G646" s="1" t="s">
        <v>2379</v>
      </c>
      <c r="H646" s="1" t="s">
        <v>15</v>
      </c>
      <c r="I646" t="b">
        <f>COUNTIF(Estadísticas!I:I,'Centraldecomunicacion.es'!H646)&gt;0</f>
        <v>0</v>
      </c>
    </row>
    <row r="647" spans="1:9">
      <c r="A647" s="1" t="s">
        <v>2380</v>
      </c>
      <c r="B647" s="1" t="s">
        <v>10</v>
      </c>
      <c r="C647" s="1" t="s">
        <v>2381</v>
      </c>
      <c r="D647" s="1" t="s">
        <v>2382</v>
      </c>
      <c r="E647" s="1" t="s">
        <v>2299</v>
      </c>
      <c r="F647" s="1" t="s">
        <v>23</v>
      </c>
      <c r="G647" s="1" t="s">
        <v>2383</v>
      </c>
      <c r="H647" s="1" t="s">
        <v>15</v>
      </c>
      <c r="I647" t="b">
        <f>COUNTIF(Estadísticas!I:I,'Centraldecomunicacion.es'!H647)&gt;0</f>
        <v>0</v>
      </c>
    </row>
    <row r="648" spans="1:9">
      <c r="A648" s="1" t="s">
        <v>2384</v>
      </c>
      <c r="B648" s="1" t="s">
        <v>10</v>
      </c>
      <c r="C648" s="1" t="s">
        <v>2385</v>
      </c>
      <c r="D648" s="1" t="s">
        <v>2386</v>
      </c>
      <c r="E648" s="1" t="s">
        <v>2299</v>
      </c>
      <c r="F648" s="1" t="s">
        <v>23</v>
      </c>
      <c r="G648" s="1" t="s">
        <v>2387</v>
      </c>
      <c r="H648" s="1" t="s">
        <v>15</v>
      </c>
      <c r="I648" t="b">
        <f>COUNTIF(Estadísticas!I:I,'Centraldecomunicacion.es'!H648)&gt;0</f>
        <v>0</v>
      </c>
    </row>
    <row r="649" spans="1:9">
      <c r="A649" s="1" t="s">
        <v>2388</v>
      </c>
      <c r="B649" s="1" t="s">
        <v>10</v>
      </c>
      <c r="C649" s="1" t="s">
        <v>2389</v>
      </c>
      <c r="D649" s="1" t="s">
        <v>2298</v>
      </c>
      <c r="E649" s="1" t="s">
        <v>2299</v>
      </c>
      <c r="F649" s="1" t="s">
        <v>23</v>
      </c>
      <c r="G649" s="1" t="s">
        <v>2390</v>
      </c>
      <c r="H649" s="1" t="s">
        <v>15</v>
      </c>
      <c r="I649" t="b">
        <f>COUNTIF(Estadísticas!I:I,'Centraldecomunicacion.es'!H649)&gt;0</f>
        <v>0</v>
      </c>
    </row>
    <row r="650" spans="1:9">
      <c r="A650" s="1" t="s">
        <v>2391</v>
      </c>
      <c r="B650" s="1" t="s">
        <v>10</v>
      </c>
      <c r="C650" s="1" t="s">
        <v>2392</v>
      </c>
      <c r="D650" s="1" t="s">
        <v>2393</v>
      </c>
      <c r="E650" s="1" t="s">
        <v>2299</v>
      </c>
      <c r="F650" s="1" t="s">
        <v>23</v>
      </c>
      <c r="G650" s="1" t="s">
        <v>2394</v>
      </c>
      <c r="H650" s="1" t="s">
        <v>15</v>
      </c>
      <c r="I650" t="b">
        <f>COUNTIF(Estadísticas!I:I,'Centraldecomunicacion.es'!H650)&gt;0</f>
        <v>0</v>
      </c>
    </row>
    <row r="651" spans="1:9">
      <c r="A651" s="1" t="s">
        <v>2395</v>
      </c>
      <c r="B651" s="1" t="s">
        <v>10</v>
      </c>
      <c r="C651" s="1" t="s">
        <v>2396</v>
      </c>
      <c r="D651" s="1" t="s">
        <v>2382</v>
      </c>
      <c r="E651" s="1" t="s">
        <v>2299</v>
      </c>
      <c r="F651" s="1" t="s">
        <v>23</v>
      </c>
      <c r="G651" s="1" t="s">
        <v>23</v>
      </c>
      <c r="H651" s="1" t="s">
        <v>15</v>
      </c>
      <c r="I651" t="b">
        <f>COUNTIF(Estadísticas!I:I,'Centraldecomunicacion.es'!H651)&gt;0</f>
        <v>0</v>
      </c>
    </row>
    <row r="652" spans="1:9">
      <c r="A652" s="1" t="s">
        <v>2397</v>
      </c>
      <c r="B652" s="1" t="s">
        <v>10</v>
      </c>
      <c r="C652" s="1" t="s">
        <v>2398</v>
      </c>
      <c r="D652" s="1" t="s">
        <v>2298</v>
      </c>
      <c r="E652" s="1" t="s">
        <v>2299</v>
      </c>
      <c r="F652" s="1" t="s">
        <v>23</v>
      </c>
      <c r="G652" s="1" t="s">
        <v>2399</v>
      </c>
      <c r="H652" s="1" t="s">
        <v>15</v>
      </c>
      <c r="I652" t="b">
        <f>COUNTIF(Estadísticas!I:I,'Centraldecomunicacion.es'!H652)&gt;0</f>
        <v>0</v>
      </c>
    </row>
    <row r="653" spans="1:9">
      <c r="A653" s="1" t="s">
        <v>2400</v>
      </c>
      <c r="B653" s="1" t="s">
        <v>10</v>
      </c>
      <c r="C653" s="1" t="s">
        <v>2401</v>
      </c>
      <c r="D653" s="1" t="s">
        <v>2298</v>
      </c>
      <c r="E653" s="1" t="s">
        <v>2344</v>
      </c>
      <c r="F653" s="1" t="s">
        <v>2402</v>
      </c>
      <c r="G653" s="1" t="s">
        <v>2403</v>
      </c>
      <c r="H653" s="1" t="s">
        <v>1600</v>
      </c>
      <c r="I653" t="b">
        <f>COUNTIF(Estadísticas!I:I,'Centraldecomunicacion.es'!H653)&gt;0</f>
        <v>0</v>
      </c>
    </row>
    <row r="654" spans="1:9">
      <c r="A654" s="1" t="s">
        <v>2404</v>
      </c>
      <c r="B654" s="1" t="s">
        <v>10</v>
      </c>
      <c r="C654" s="1" t="s">
        <v>2405</v>
      </c>
      <c r="D654" s="1" t="s">
        <v>2386</v>
      </c>
      <c r="E654" s="1" t="s">
        <v>2299</v>
      </c>
      <c r="F654" s="1" t="s">
        <v>23</v>
      </c>
      <c r="G654" s="1" t="s">
        <v>2406</v>
      </c>
      <c r="H654" s="1" t="s">
        <v>15</v>
      </c>
      <c r="I654" t="b">
        <f>COUNTIF(Estadísticas!I:I,'Centraldecomunicacion.es'!H654)&gt;0</f>
        <v>0</v>
      </c>
    </row>
    <row r="655" spans="1:9">
      <c r="A655" s="1" t="s">
        <v>2407</v>
      </c>
      <c r="B655" s="1" t="s">
        <v>10</v>
      </c>
      <c r="C655" s="1" t="s">
        <v>2408</v>
      </c>
      <c r="D655" s="1" t="s">
        <v>2409</v>
      </c>
      <c r="E655" s="1" t="s">
        <v>2299</v>
      </c>
      <c r="F655" s="1" t="s">
        <v>23</v>
      </c>
      <c r="G655" s="1" t="s">
        <v>2410</v>
      </c>
      <c r="H655" s="1" t="s">
        <v>15</v>
      </c>
      <c r="I655" t="b">
        <f>COUNTIF(Estadísticas!I:I,'Centraldecomunicacion.es'!H655)&gt;0</f>
        <v>0</v>
      </c>
    </row>
    <row r="656" spans="1:9">
      <c r="A656" s="1" t="s">
        <v>2411</v>
      </c>
      <c r="B656" s="1" t="s">
        <v>10</v>
      </c>
      <c r="C656" s="1" t="s">
        <v>2412</v>
      </c>
      <c r="D656" s="1" t="s">
        <v>2413</v>
      </c>
      <c r="E656" s="1" t="s">
        <v>2299</v>
      </c>
      <c r="F656" s="1" t="s">
        <v>23</v>
      </c>
      <c r="G656" s="1" t="s">
        <v>2414</v>
      </c>
      <c r="H656" s="1" t="s">
        <v>15</v>
      </c>
      <c r="I656" t="b">
        <f>COUNTIF(Estadísticas!I:I,'Centraldecomunicacion.es'!H656)&gt;0</f>
        <v>0</v>
      </c>
    </row>
    <row r="657" spans="1:9">
      <c r="A657" s="1" t="s">
        <v>2415</v>
      </c>
      <c r="B657" s="1" t="s">
        <v>10</v>
      </c>
      <c r="C657" s="1" t="s">
        <v>2416</v>
      </c>
      <c r="D657" s="1" t="s">
        <v>2298</v>
      </c>
      <c r="E657" s="1" t="s">
        <v>2299</v>
      </c>
      <c r="F657" s="1" t="s">
        <v>2417</v>
      </c>
      <c r="G657" s="1" t="s">
        <v>2418</v>
      </c>
      <c r="H657" s="1" t="s">
        <v>2419</v>
      </c>
      <c r="I657" t="b">
        <f>COUNTIF(Estadísticas!I:I,'Centraldecomunicacion.es'!H657)&gt;0</f>
        <v>0</v>
      </c>
    </row>
    <row r="658" spans="1:9">
      <c r="A658" s="1" t="s">
        <v>2420</v>
      </c>
      <c r="B658" s="1" t="s">
        <v>10</v>
      </c>
      <c r="C658" s="1" t="s">
        <v>2421</v>
      </c>
      <c r="D658" s="1" t="s">
        <v>2422</v>
      </c>
      <c r="E658" s="1" t="s">
        <v>2299</v>
      </c>
      <c r="F658" s="1" t="s">
        <v>23</v>
      </c>
      <c r="G658" s="1" t="s">
        <v>2423</v>
      </c>
      <c r="H658" s="1" t="s">
        <v>15</v>
      </c>
      <c r="I658" t="b">
        <f>COUNTIF(Estadísticas!I:I,'Centraldecomunicacion.es'!H658)&gt;0</f>
        <v>0</v>
      </c>
    </row>
    <row r="659" spans="1:9">
      <c r="A659" s="1" t="s">
        <v>2424</v>
      </c>
      <c r="B659" s="1" t="s">
        <v>10</v>
      </c>
      <c r="C659" s="1" t="s">
        <v>2425</v>
      </c>
      <c r="D659" s="1" t="s">
        <v>2426</v>
      </c>
      <c r="E659" s="1" t="s">
        <v>2299</v>
      </c>
      <c r="F659" s="1" t="s">
        <v>1499</v>
      </c>
      <c r="G659" s="1" t="s">
        <v>2427</v>
      </c>
      <c r="H659" s="1" t="s">
        <v>1501</v>
      </c>
      <c r="I659" t="b">
        <f>COUNTIF(Estadísticas!I:I,'Centraldecomunicacion.es'!H659)&gt;0</f>
        <v>0</v>
      </c>
    </row>
    <row r="660" spans="1:9">
      <c r="A660" s="1" t="s">
        <v>2428</v>
      </c>
      <c r="B660" s="1" t="s">
        <v>10</v>
      </c>
      <c r="C660" s="1" t="s">
        <v>2429</v>
      </c>
      <c r="D660" s="1" t="s">
        <v>2430</v>
      </c>
      <c r="E660" s="1" t="s">
        <v>2299</v>
      </c>
      <c r="F660" s="1" t="s">
        <v>23</v>
      </c>
      <c r="G660" s="1" t="s">
        <v>2431</v>
      </c>
      <c r="H660" s="1" t="s">
        <v>15</v>
      </c>
      <c r="I660" t="b">
        <f>COUNTIF(Estadísticas!I:I,'Centraldecomunicacion.es'!H660)&gt;0</f>
        <v>0</v>
      </c>
    </row>
    <row r="661" spans="1:9">
      <c r="A661" s="1" t="s">
        <v>2432</v>
      </c>
      <c r="B661" s="1" t="s">
        <v>10</v>
      </c>
      <c r="C661" s="1" t="s">
        <v>2433</v>
      </c>
      <c r="D661" s="1" t="s">
        <v>2434</v>
      </c>
      <c r="E661" s="1" t="s">
        <v>2344</v>
      </c>
      <c r="F661" s="1" t="s">
        <v>2435</v>
      </c>
      <c r="G661" s="1" t="s">
        <v>2436</v>
      </c>
      <c r="H661" s="1" t="s">
        <v>15</v>
      </c>
      <c r="I661" t="b">
        <f>COUNTIF(Estadísticas!I:I,'Centraldecomunicacion.es'!H661)&gt;0</f>
        <v>0</v>
      </c>
    </row>
    <row r="662" spans="1:9">
      <c r="A662" s="1" t="s">
        <v>2437</v>
      </c>
      <c r="B662" s="1" t="s">
        <v>10</v>
      </c>
      <c r="C662" s="1" t="s">
        <v>2438</v>
      </c>
      <c r="D662" s="1" t="s">
        <v>2439</v>
      </c>
      <c r="E662" s="1" t="s">
        <v>2299</v>
      </c>
      <c r="F662" s="1" t="s">
        <v>2339</v>
      </c>
      <c r="G662" s="1" t="s">
        <v>2340</v>
      </c>
      <c r="H662" s="1" t="s">
        <v>2341</v>
      </c>
      <c r="I662" t="b">
        <f>COUNTIF(Estadísticas!I:I,'Centraldecomunicacion.es'!H662)&gt;0</f>
        <v>1</v>
      </c>
    </row>
    <row r="663" spans="1:9">
      <c r="A663" s="1" t="s">
        <v>2440</v>
      </c>
      <c r="B663" s="1" t="s">
        <v>10</v>
      </c>
      <c r="C663" s="1" t="s">
        <v>2441</v>
      </c>
      <c r="D663" s="1" t="s">
        <v>2442</v>
      </c>
      <c r="E663" s="1" t="s">
        <v>2344</v>
      </c>
      <c r="F663" s="1" t="s">
        <v>23</v>
      </c>
      <c r="G663" s="1" t="s">
        <v>2443</v>
      </c>
      <c r="H663" s="1" t="s">
        <v>15</v>
      </c>
      <c r="I663" t="b">
        <f>COUNTIF(Estadísticas!I:I,'Centraldecomunicacion.es'!H663)&gt;0</f>
        <v>0</v>
      </c>
    </row>
    <row r="664" spans="1:9">
      <c r="A664" s="1" t="s">
        <v>2444</v>
      </c>
      <c r="B664" s="1" t="s">
        <v>10</v>
      </c>
      <c r="C664" s="1" t="s">
        <v>2445</v>
      </c>
      <c r="D664" s="1" t="s">
        <v>2446</v>
      </c>
      <c r="E664" s="1" t="s">
        <v>2344</v>
      </c>
      <c r="F664" s="1" t="s">
        <v>23</v>
      </c>
      <c r="G664" s="1" t="s">
        <v>2447</v>
      </c>
      <c r="H664" s="1" t="s">
        <v>15</v>
      </c>
      <c r="I664" t="b">
        <f>COUNTIF(Estadísticas!I:I,'Centraldecomunicacion.es'!H664)&gt;0</f>
        <v>0</v>
      </c>
    </row>
    <row r="665" spans="1:9">
      <c r="A665" s="1" t="s">
        <v>2448</v>
      </c>
      <c r="B665" s="1" t="s">
        <v>10</v>
      </c>
      <c r="C665" s="1" t="s">
        <v>2449</v>
      </c>
      <c r="D665" s="1" t="s">
        <v>2413</v>
      </c>
      <c r="E665" s="1" t="s">
        <v>2299</v>
      </c>
      <c r="F665" s="1" t="s">
        <v>811</v>
      </c>
      <c r="G665" s="1" t="s">
        <v>2450</v>
      </c>
      <c r="H665" s="1" t="s">
        <v>15</v>
      </c>
      <c r="I665" t="b">
        <f>COUNTIF(Estadísticas!I:I,'Centraldecomunicacion.es'!H665)&gt;0</f>
        <v>0</v>
      </c>
    </row>
    <row r="666" spans="1:9">
      <c r="A666" s="1" t="s">
        <v>2451</v>
      </c>
      <c r="B666" s="1" t="s">
        <v>10</v>
      </c>
      <c r="C666" s="1" t="s">
        <v>2452</v>
      </c>
      <c r="D666" s="1" t="s">
        <v>2409</v>
      </c>
      <c r="E666" s="1" t="s">
        <v>2299</v>
      </c>
      <c r="F666" s="1" t="s">
        <v>23</v>
      </c>
      <c r="G666" s="1" t="s">
        <v>2410</v>
      </c>
      <c r="H666" s="1" t="s">
        <v>15</v>
      </c>
      <c r="I666" t="b">
        <f>COUNTIF(Estadísticas!I:I,'Centraldecomunicacion.es'!H666)&gt;0</f>
        <v>0</v>
      </c>
    </row>
    <row r="667" spans="1:9">
      <c r="A667" s="1" t="s">
        <v>2453</v>
      </c>
      <c r="B667" s="1" t="s">
        <v>10</v>
      </c>
      <c r="C667" s="1" t="s">
        <v>2454</v>
      </c>
      <c r="D667" s="1" t="s">
        <v>2439</v>
      </c>
      <c r="E667" s="1" t="s">
        <v>2299</v>
      </c>
      <c r="F667" s="1" t="s">
        <v>23</v>
      </c>
      <c r="G667" s="1" t="s">
        <v>2455</v>
      </c>
      <c r="H667" s="1" t="s">
        <v>15</v>
      </c>
      <c r="I667" t="b">
        <f>COUNTIF(Estadísticas!I:I,'Centraldecomunicacion.es'!H667)&gt;0</f>
        <v>0</v>
      </c>
    </row>
    <row r="668" spans="1:9">
      <c r="A668" s="1" t="s">
        <v>2456</v>
      </c>
      <c r="B668" s="1" t="s">
        <v>10</v>
      </c>
      <c r="C668" s="1" t="s">
        <v>2457</v>
      </c>
      <c r="D668" s="1" t="s">
        <v>2458</v>
      </c>
      <c r="E668" s="1" t="s">
        <v>2344</v>
      </c>
      <c r="F668" s="1" t="s">
        <v>2459</v>
      </c>
      <c r="G668" s="1" t="s">
        <v>2460</v>
      </c>
      <c r="H668" s="1" t="s">
        <v>2461</v>
      </c>
      <c r="I668" t="b">
        <f>COUNTIF(Estadísticas!I:I,'Centraldecomunicacion.es'!H668)&gt;0</f>
        <v>0</v>
      </c>
    </row>
    <row r="669" spans="1:9">
      <c r="A669" s="1" t="s">
        <v>2462</v>
      </c>
      <c r="B669" s="1" t="s">
        <v>10</v>
      </c>
      <c r="C669" s="1" t="s">
        <v>2463</v>
      </c>
      <c r="D669" s="1" t="s">
        <v>2393</v>
      </c>
      <c r="E669" s="1" t="s">
        <v>2299</v>
      </c>
      <c r="F669" s="1" t="s">
        <v>23</v>
      </c>
      <c r="G669" s="1" t="s">
        <v>2464</v>
      </c>
      <c r="H669" s="1" t="s">
        <v>15</v>
      </c>
      <c r="I669" t="b">
        <f>COUNTIF(Estadísticas!I:I,'Centraldecomunicacion.es'!H669)&gt;0</f>
        <v>0</v>
      </c>
    </row>
    <row r="670" spans="1:9">
      <c r="A670" s="1" t="s">
        <v>2465</v>
      </c>
      <c r="B670" s="1" t="s">
        <v>10</v>
      </c>
      <c r="C670" s="1" t="s">
        <v>2466</v>
      </c>
      <c r="D670" s="1" t="s">
        <v>2467</v>
      </c>
      <c r="E670" s="1" t="s">
        <v>2299</v>
      </c>
      <c r="F670" s="1" t="s">
        <v>23</v>
      </c>
      <c r="G670" s="1" t="s">
        <v>2468</v>
      </c>
      <c r="H670" s="1" t="s">
        <v>15</v>
      </c>
      <c r="I670" t="b">
        <f>COUNTIF(Estadísticas!I:I,'Centraldecomunicacion.es'!H670)&gt;0</f>
        <v>0</v>
      </c>
    </row>
    <row r="671" spans="1:9">
      <c r="A671" s="1" t="s">
        <v>2469</v>
      </c>
      <c r="B671" s="1" t="s">
        <v>10</v>
      </c>
      <c r="C671" s="1" t="s">
        <v>2470</v>
      </c>
      <c r="D671" s="1" t="s">
        <v>2471</v>
      </c>
      <c r="E671" s="1" t="s">
        <v>2299</v>
      </c>
      <c r="F671" s="1" t="s">
        <v>2472</v>
      </c>
      <c r="G671" s="1" t="s">
        <v>2473</v>
      </c>
      <c r="H671" s="1" t="s">
        <v>2474</v>
      </c>
      <c r="I671" t="b">
        <f>COUNTIF(Estadísticas!I:I,'Centraldecomunicacion.es'!H671)&gt;0</f>
        <v>0</v>
      </c>
    </row>
    <row r="672" spans="1:9">
      <c r="A672" s="1" t="s">
        <v>2475</v>
      </c>
      <c r="B672" s="1" t="s">
        <v>10</v>
      </c>
      <c r="C672" s="1" t="s">
        <v>2476</v>
      </c>
      <c r="D672" s="1" t="s">
        <v>2298</v>
      </c>
      <c r="E672" s="1" t="s">
        <v>2344</v>
      </c>
      <c r="F672" s="1" t="s">
        <v>23</v>
      </c>
      <c r="G672" s="1" t="s">
        <v>23</v>
      </c>
      <c r="H672" s="1" t="s">
        <v>15</v>
      </c>
      <c r="I672" t="b">
        <f>COUNTIF(Estadísticas!I:I,'Centraldecomunicacion.es'!H672)&gt;0</f>
        <v>0</v>
      </c>
    </row>
    <row r="673" spans="1:9">
      <c r="A673" s="1" t="s">
        <v>2477</v>
      </c>
      <c r="B673" s="1" t="s">
        <v>10</v>
      </c>
      <c r="C673" s="1" t="s">
        <v>2478</v>
      </c>
      <c r="D673" s="1" t="s">
        <v>2446</v>
      </c>
      <c r="E673" s="1" t="s">
        <v>2299</v>
      </c>
      <c r="F673" s="1" t="s">
        <v>2479</v>
      </c>
      <c r="G673" s="1" t="s">
        <v>2480</v>
      </c>
      <c r="H673" s="1" t="s">
        <v>15</v>
      </c>
      <c r="I673" t="b">
        <f>COUNTIF(Estadísticas!I:I,'Centraldecomunicacion.es'!H673)&gt;0</f>
        <v>0</v>
      </c>
    </row>
    <row r="674" spans="1:9">
      <c r="A674" s="1" t="s">
        <v>2481</v>
      </c>
      <c r="B674" s="1" t="s">
        <v>10</v>
      </c>
      <c r="C674" s="1" t="s">
        <v>2482</v>
      </c>
      <c r="D674" s="1" t="s">
        <v>2393</v>
      </c>
      <c r="E674" s="1" t="s">
        <v>2299</v>
      </c>
      <c r="F674" s="1" t="s">
        <v>23</v>
      </c>
      <c r="G674" s="1" t="s">
        <v>2483</v>
      </c>
      <c r="H674" s="1" t="s">
        <v>15</v>
      </c>
      <c r="I674" t="b">
        <f>COUNTIF(Estadísticas!I:I,'Centraldecomunicacion.es'!H674)&gt;0</f>
        <v>0</v>
      </c>
    </row>
    <row r="675" spans="1:9">
      <c r="A675" s="1" t="s">
        <v>2484</v>
      </c>
      <c r="B675" s="1" t="s">
        <v>10</v>
      </c>
      <c r="C675" s="1" t="s">
        <v>2485</v>
      </c>
      <c r="D675" s="1" t="s">
        <v>2471</v>
      </c>
      <c r="E675" s="1" t="s">
        <v>2299</v>
      </c>
      <c r="F675" s="1" t="s">
        <v>23</v>
      </c>
      <c r="G675" s="1" t="s">
        <v>2486</v>
      </c>
      <c r="H675" s="1" t="s">
        <v>15</v>
      </c>
      <c r="I675" t="b">
        <f>COUNTIF(Estadísticas!I:I,'Centraldecomunicacion.es'!H675)&gt;0</f>
        <v>0</v>
      </c>
    </row>
    <row r="676" spans="1:9">
      <c r="A676" s="1" t="s">
        <v>2487</v>
      </c>
      <c r="B676" s="1" t="s">
        <v>10</v>
      </c>
      <c r="C676" s="1" t="s">
        <v>2488</v>
      </c>
      <c r="D676" s="1" t="s">
        <v>2471</v>
      </c>
      <c r="E676" s="1" t="s">
        <v>2299</v>
      </c>
      <c r="F676" s="1" t="s">
        <v>23</v>
      </c>
      <c r="G676" s="1" t="s">
        <v>2489</v>
      </c>
      <c r="H676" s="1" t="s">
        <v>15</v>
      </c>
      <c r="I676" t="b">
        <f>COUNTIF(Estadísticas!I:I,'Centraldecomunicacion.es'!H676)&gt;0</f>
        <v>0</v>
      </c>
    </row>
    <row r="677" spans="1:9">
      <c r="A677" s="1" t="s">
        <v>2490</v>
      </c>
      <c r="B677" s="1" t="s">
        <v>10</v>
      </c>
      <c r="C677" s="1" t="s">
        <v>2491</v>
      </c>
      <c r="D677" s="1" t="s">
        <v>2492</v>
      </c>
      <c r="E677" s="1" t="s">
        <v>2299</v>
      </c>
      <c r="F677" s="1" t="s">
        <v>23</v>
      </c>
      <c r="G677" s="1" t="s">
        <v>2493</v>
      </c>
      <c r="H677" s="1" t="s">
        <v>15</v>
      </c>
      <c r="I677" t="b">
        <f>COUNTIF(Estadísticas!I:I,'Centraldecomunicacion.es'!H677)&gt;0</f>
        <v>0</v>
      </c>
    </row>
    <row r="678" spans="1:9">
      <c r="A678" s="1" t="s">
        <v>2494</v>
      </c>
      <c r="B678" s="1" t="s">
        <v>10</v>
      </c>
      <c r="C678" s="1" t="s">
        <v>2495</v>
      </c>
      <c r="D678" s="1" t="s">
        <v>2413</v>
      </c>
      <c r="E678" s="1" t="s">
        <v>2344</v>
      </c>
      <c r="F678" s="1" t="s">
        <v>2496</v>
      </c>
      <c r="G678" s="1" t="s">
        <v>2497</v>
      </c>
      <c r="H678" s="1" t="s">
        <v>2498</v>
      </c>
      <c r="I678" t="b">
        <f>COUNTIF(Estadísticas!I:I,'Centraldecomunicacion.es'!H678)&gt;0</f>
        <v>0</v>
      </c>
    </row>
    <row r="679" spans="1:9">
      <c r="A679" s="1" t="s">
        <v>2499</v>
      </c>
      <c r="B679" s="1" t="s">
        <v>10</v>
      </c>
      <c r="C679" s="1" t="s">
        <v>2500</v>
      </c>
      <c r="D679" s="1" t="s">
        <v>2501</v>
      </c>
      <c r="E679" s="1" t="s">
        <v>2344</v>
      </c>
      <c r="F679" s="1" t="s">
        <v>23</v>
      </c>
      <c r="G679" s="1" t="s">
        <v>23</v>
      </c>
      <c r="H679" s="1" t="s">
        <v>15</v>
      </c>
      <c r="I679" t="b">
        <f>COUNTIF(Estadísticas!I:I,'Centraldecomunicacion.es'!H679)&gt;0</f>
        <v>0</v>
      </c>
    </row>
    <row r="680" spans="1:9">
      <c r="A680" s="1" t="s">
        <v>2484</v>
      </c>
      <c r="B680" s="1" t="s">
        <v>10</v>
      </c>
      <c r="C680" s="1" t="s">
        <v>2502</v>
      </c>
      <c r="D680" s="1" t="s">
        <v>2471</v>
      </c>
      <c r="E680" s="1" t="s">
        <v>2299</v>
      </c>
      <c r="F680" s="1" t="s">
        <v>811</v>
      </c>
      <c r="G680" s="1" t="s">
        <v>2374</v>
      </c>
      <c r="H680" s="1" t="s">
        <v>15</v>
      </c>
      <c r="I680" t="b">
        <f>COUNTIF(Estadísticas!I:I,'Centraldecomunicacion.es'!H680)&gt;0</f>
        <v>0</v>
      </c>
    </row>
    <row r="681" spans="1:9">
      <c r="A681" s="1" t="s">
        <v>2503</v>
      </c>
      <c r="B681" s="1" t="s">
        <v>10</v>
      </c>
      <c r="C681" s="1" t="s">
        <v>2504</v>
      </c>
      <c r="D681" s="1" t="s">
        <v>1978</v>
      </c>
      <c r="E681" s="1" t="s">
        <v>693</v>
      </c>
      <c r="F681" s="1" t="s">
        <v>2505</v>
      </c>
      <c r="G681" s="1" t="s">
        <v>2506</v>
      </c>
      <c r="H681" s="1" t="s">
        <v>15</v>
      </c>
      <c r="I681" t="b">
        <f>COUNTIF(Estadísticas!I:I,'Centraldecomunicacion.es'!H681)&gt;0</f>
        <v>0</v>
      </c>
    </row>
    <row r="682" spans="1:9">
      <c r="A682" s="1" t="s">
        <v>2507</v>
      </c>
      <c r="B682" s="1" t="s">
        <v>10</v>
      </c>
      <c r="C682" s="1" t="s">
        <v>2508</v>
      </c>
      <c r="D682" s="1" t="s">
        <v>2509</v>
      </c>
      <c r="E682" s="1" t="s">
        <v>2510</v>
      </c>
      <c r="F682" s="1" t="s">
        <v>23</v>
      </c>
      <c r="G682" s="1" t="s">
        <v>2511</v>
      </c>
      <c r="H682" s="1" t="s">
        <v>15</v>
      </c>
      <c r="I682" t="b">
        <f>COUNTIF(Estadísticas!I:I,'Centraldecomunicacion.es'!H682)&gt;0</f>
        <v>0</v>
      </c>
    </row>
    <row r="683" spans="1:9">
      <c r="A683" s="1" t="s">
        <v>2512</v>
      </c>
      <c r="B683" s="1" t="s">
        <v>10</v>
      </c>
      <c r="C683" s="1" t="s">
        <v>2513</v>
      </c>
      <c r="D683" s="1" t="s">
        <v>2509</v>
      </c>
      <c r="E683" s="1" t="s">
        <v>2510</v>
      </c>
      <c r="F683" s="1" t="s">
        <v>2514</v>
      </c>
      <c r="G683" s="1" t="s">
        <v>2515</v>
      </c>
      <c r="H683" s="1" t="s">
        <v>2516</v>
      </c>
      <c r="I683" t="b">
        <f>COUNTIF(Estadísticas!I:I,'Centraldecomunicacion.es'!H683)&gt;0</f>
        <v>0</v>
      </c>
    </row>
    <row r="684" spans="1:9">
      <c r="A684" s="1" t="s">
        <v>2517</v>
      </c>
      <c r="B684" s="1" t="s">
        <v>10</v>
      </c>
      <c r="C684" s="1" t="s">
        <v>2518</v>
      </c>
      <c r="D684" s="1" t="s">
        <v>2509</v>
      </c>
      <c r="E684" s="1" t="s">
        <v>2510</v>
      </c>
      <c r="F684" s="1" t="s">
        <v>23</v>
      </c>
      <c r="G684" s="1" t="s">
        <v>2519</v>
      </c>
      <c r="H684" s="1" t="s">
        <v>15</v>
      </c>
      <c r="I684" t="b">
        <f>COUNTIF(Estadísticas!I:I,'Centraldecomunicacion.es'!H684)&gt;0</f>
        <v>0</v>
      </c>
    </row>
    <row r="685" spans="1:9">
      <c r="A685" s="1" t="s">
        <v>1064</v>
      </c>
      <c r="B685" s="1" t="s">
        <v>10</v>
      </c>
      <c r="C685" s="1" t="s">
        <v>2520</v>
      </c>
      <c r="D685" s="1" t="s">
        <v>2509</v>
      </c>
      <c r="E685" s="1" t="s">
        <v>2510</v>
      </c>
      <c r="F685" s="1" t="s">
        <v>23</v>
      </c>
      <c r="G685" s="1" t="s">
        <v>2521</v>
      </c>
      <c r="H685" s="1" t="s">
        <v>15</v>
      </c>
      <c r="I685" t="b">
        <f>COUNTIF(Estadísticas!I:I,'Centraldecomunicacion.es'!H685)&gt;0</f>
        <v>0</v>
      </c>
    </row>
    <row r="686" spans="1:9">
      <c r="A686" s="1" t="s">
        <v>2522</v>
      </c>
      <c r="B686" s="1" t="s">
        <v>10</v>
      </c>
      <c r="C686" s="1" t="s">
        <v>2523</v>
      </c>
      <c r="D686" s="1" t="s">
        <v>2509</v>
      </c>
      <c r="E686" s="1" t="s">
        <v>2510</v>
      </c>
      <c r="F686" s="1" t="s">
        <v>23</v>
      </c>
      <c r="G686" s="1" t="s">
        <v>2524</v>
      </c>
      <c r="H686" s="1" t="s">
        <v>15</v>
      </c>
      <c r="I686" t="b">
        <f>COUNTIF(Estadísticas!I:I,'Centraldecomunicacion.es'!H686)&gt;0</f>
        <v>0</v>
      </c>
    </row>
    <row r="687" spans="1:9">
      <c r="A687" s="1" t="s">
        <v>2525</v>
      </c>
      <c r="B687" s="1" t="s">
        <v>10</v>
      </c>
      <c r="C687" s="1" t="s">
        <v>2526</v>
      </c>
      <c r="D687" s="1" t="s">
        <v>2509</v>
      </c>
      <c r="E687" s="1" t="s">
        <v>2510</v>
      </c>
      <c r="F687" s="1" t="s">
        <v>2527</v>
      </c>
      <c r="G687" s="1" t="s">
        <v>2528</v>
      </c>
      <c r="H687" s="1" t="s">
        <v>15</v>
      </c>
      <c r="I687" t="b">
        <f>COUNTIF(Estadísticas!I:I,'Centraldecomunicacion.es'!H687)&gt;0</f>
        <v>0</v>
      </c>
    </row>
    <row r="688" spans="1:9">
      <c r="A688" s="1" t="s">
        <v>2529</v>
      </c>
      <c r="B688" s="1" t="s">
        <v>10</v>
      </c>
      <c r="C688" s="1" t="s">
        <v>2530</v>
      </c>
      <c r="D688" s="1" t="s">
        <v>2509</v>
      </c>
      <c r="E688" s="1" t="s">
        <v>2510</v>
      </c>
      <c r="F688" s="1" t="s">
        <v>23</v>
      </c>
      <c r="G688" s="1" t="s">
        <v>2531</v>
      </c>
      <c r="H688" s="1" t="s">
        <v>15</v>
      </c>
      <c r="I688" t="b">
        <f>COUNTIF(Estadísticas!I:I,'Centraldecomunicacion.es'!H688)&gt;0</f>
        <v>0</v>
      </c>
    </row>
    <row r="689" spans="1:9">
      <c r="A689" s="1" t="s">
        <v>2532</v>
      </c>
      <c r="B689" s="1" t="s">
        <v>10</v>
      </c>
      <c r="C689" s="1" t="s">
        <v>2533</v>
      </c>
      <c r="D689" s="1" t="s">
        <v>2509</v>
      </c>
      <c r="E689" s="1" t="s">
        <v>2510</v>
      </c>
      <c r="F689" s="1" t="s">
        <v>23</v>
      </c>
      <c r="G689" s="1" t="s">
        <v>2534</v>
      </c>
      <c r="H689" s="1" t="s">
        <v>15</v>
      </c>
      <c r="I689" t="b">
        <f>COUNTIF(Estadísticas!I:I,'Centraldecomunicacion.es'!H689)&gt;0</f>
        <v>0</v>
      </c>
    </row>
    <row r="690" spans="1:9">
      <c r="A690" s="1" t="s">
        <v>2535</v>
      </c>
      <c r="B690" s="1" t="s">
        <v>10</v>
      </c>
      <c r="C690" s="1" t="s">
        <v>2536</v>
      </c>
      <c r="D690" s="1" t="s">
        <v>2509</v>
      </c>
      <c r="E690" s="1" t="s">
        <v>2510</v>
      </c>
      <c r="F690" s="1" t="s">
        <v>23</v>
      </c>
      <c r="G690" s="1" t="s">
        <v>2537</v>
      </c>
      <c r="H690" s="1" t="s">
        <v>15</v>
      </c>
      <c r="I690" t="b">
        <f>COUNTIF(Estadísticas!I:I,'Centraldecomunicacion.es'!H690)&gt;0</f>
        <v>0</v>
      </c>
    </row>
    <row r="691" spans="1:9">
      <c r="A691" s="1" t="s">
        <v>2538</v>
      </c>
      <c r="B691" s="1" t="s">
        <v>10</v>
      </c>
      <c r="C691" s="1" t="s">
        <v>2539</v>
      </c>
      <c r="D691" s="1" t="s">
        <v>2509</v>
      </c>
      <c r="E691" s="1" t="s">
        <v>2510</v>
      </c>
      <c r="F691" s="1" t="s">
        <v>23</v>
      </c>
      <c r="G691" s="1" t="s">
        <v>2540</v>
      </c>
      <c r="H691" s="1" t="s">
        <v>15</v>
      </c>
      <c r="I691" t="b">
        <f>COUNTIF(Estadísticas!I:I,'Centraldecomunicacion.es'!H691)&gt;0</f>
        <v>0</v>
      </c>
    </row>
    <row r="692" spans="1:9">
      <c r="A692" s="1" t="s">
        <v>2541</v>
      </c>
      <c r="B692" s="1" t="s">
        <v>10</v>
      </c>
      <c r="C692" s="1" t="s">
        <v>2542</v>
      </c>
      <c r="D692" s="1" t="s">
        <v>2509</v>
      </c>
      <c r="E692" s="1" t="s">
        <v>2510</v>
      </c>
      <c r="F692" s="1" t="s">
        <v>23</v>
      </c>
      <c r="G692" s="1" t="s">
        <v>23</v>
      </c>
      <c r="H692" s="1" t="s">
        <v>15</v>
      </c>
      <c r="I692" t="b">
        <f>COUNTIF(Estadísticas!I:I,'Centraldecomunicacion.es'!H692)&gt;0</f>
        <v>0</v>
      </c>
    </row>
    <row r="693" spans="1:9">
      <c r="A693" s="1" t="s">
        <v>2543</v>
      </c>
      <c r="B693" s="1" t="s">
        <v>10</v>
      </c>
      <c r="C693" s="1" t="s">
        <v>2544</v>
      </c>
      <c r="D693" s="1" t="s">
        <v>2509</v>
      </c>
      <c r="E693" s="1" t="s">
        <v>2510</v>
      </c>
      <c r="F693" s="1" t="s">
        <v>23</v>
      </c>
      <c r="G693" s="1" t="s">
        <v>2545</v>
      </c>
      <c r="H693" s="1" t="s">
        <v>15</v>
      </c>
      <c r="I693" t="b">
        <f>COUNTIF(Estadísticas!I:I,'Centraldecomunicacion.es'!H693)&gt;0</f>
        <v>0</v>
      </c>
    </row>
    <row r="694" spans="1:9">
      <c r="A694" s="1" t="s">
        <v>2546</v>
      </c>
      <c r="B694" s="1" t="s">
        <v>10</v>
      </c>
      <c r="C694" s="1" t="s">
        <v>2547</v>
      </c>
      <c r="D694" s="1" t="s">
        <v>2509</v>
      </c>
      <c r="E694" s="1" t="s">
        <v>2510</v>
      </c>
      <c r="F694" s="1" t="s">
        <v>23</v>
      </c>
      <c r="G694" s="1" t="s">
        <v>2548</v>
      </c>
      <c r="H694" s="1" t="s">
        <v>15</v>
      </c>
      <c r="I694" t="b">
        <f>COUNTIF(Estadísticas!I:I,'Centraldecomunicacion.es'!H694)&gt;0</f>
        <v>0</v>
      </c>
    </row>
    <row r="695" spans="1:9">
      <c r="A695" s="1" t="s">
        <v>321</v>
      </c>
      <c r="B695" s="1" t="s">
        <v>10</v>
      </c>
      <c r="C695" s="1" t="s">
        <v>2549</v>
      </c>
      <c r="D695" s="1" t="s">
        <v>2509</v>
      </c>
      <c r="E695" s="1" t="s">
        <v>2510</v>
      </c>
      <c r="F695" s="1" t="s">
        <v>323</v>
      </c>
      <c r="G695" s="1" t="s">
        <v>2540</v>
      </c>
      <c r="H695" s="1" t="s">
        <v>325</v>
      </c>
      <c r="I695" t="b">
        <f>COUNTIF(Estadísticas!I:I,'Centraldecomunicacion.es'!H695)&gt;0</f>
        <v>0</v>
      </c>
    </row>
    <row r="696" spans="1:9">
      <c r="A696" s="1" t="s">
        <v>2550</v>
      </c>
      <c r="B696" s="1" t="s">
        <v>10</v>
      </c>
      <c r="C696" s="1" t="s">
        <v>2551</v>
      </c>
      <c r="D696" s="1" t="s">
        <v>2509</v>
      </c>
      <c r="E696" s="1" t="s">
        <v>2510</v>
      </c>
      <c r="F696" s="1" t="s">
        <v>23</v>
      </c>
      <c r="G696" s="1" t="s">
        <v>2552</v>
      </c>
      <c r="H696" s="1" t="s">
        <v>15</v>
      </c>
      <c r="I696" t="b">
        <f>COUNTIF(Estadísticas!I:I,'Centraldecomunicacion.es'!H696)&gt;0</f>
        <v>0</v>
      </c>
    </row>
    <row r="697" spans="1:9">
      <c r="A697" s="1" t="s">
        <v>2553</v>
      </c>
      <c r="B697" s="1" t="s">
        <v>10</v>
      </c>
      <c r="C697" s="1" t="s">
        <v>2554</v>
      </c>
      <c r="D697" s="1" t="s">
        <v>2509</v>
      </c>
      <c r="E697" s="1" t="s">
        <v>2510</v>
      </c>
      <c r="F697" s="1" t="s">
        <v>23</v>
      </c>
      <c r="G697" s="1" t="s">
        <v>2555</v>
      </c>
      <c r="H697" s="1" t="s">
        <v>15</v>
      </c>
      <c r="I697" t="b">
        <f>COUNTIF(Estadísticas!I:I,'Centraldecomunicacion.es'!H697)&gt;0</f>
        <v>0</v>
      </c>
    </row>
    <row r="698" spans="1:9">
      <c r="A698" s="1" t="s">
        <v>2556</v>
      </c>
      <c r="B698" s="1" t="s">
        <v>10</v>
      </c>
      <c r="C698" s="1" t="s">
        <v>2557</v>
      </c>
      <c r="D698" s="1" t="s">
        <v>2509</v>
      </c>
      <c r="E698" s="1" t="s">
        <v>2510</v>
      </c>
      <c r="F698" s="1" t="s">
        <v>2558</v>
      </c>
      <c r="G698" s="1" t="s">
        <v>2559</v>
      </c>
      <c r="H698" s="1" t="s">
        <v>15</v>
      </c>
      <c r="I698" t="b">
        <f>COUNTIF(Estadísticas!I:I,'Centraldecomunicacion.es'!H698)&gt;0</f>
        <v>0</v>
      </c>
    </row>
    <row r="699" spans="1:9">
      <c r="A699" s="1" t="s">
        <v>2560</v>
      </c>
      <c r="B699" s="1" t="s">
        <v>10</v>
      </c>
      <c r="C699" s="1" t="s">
        <v>2561</v>
      </c>
      <c r="D699" s="1" t="s">
        <v>2509</v>
      </c>
      <c r="E699" s="1" t="s">
        <v>2510</v>
      </c>
      <c r="F699" s="1" t="s">
        <v>23</v>
      </c>
      <c r="G699" s="1" t="s">
        <v>2562</v>
      </c>
      <c r="H699" s="1" t="s">
        <v>15</v>
      </c>
      <c r="I699" t="b">
        <f>COUNTIF(Estadísticas!I:I,'Centraldecomunicacion.es'!H699)&gt;0</f>
        <v>0</v>
      </c>
    </row>
    <row r="700" spans="1:9">
      <c r="A700" s="1" t="s">
        <v>2563</v>
      </c>
      <c r="B700" s="1" t="s">
        <v>10</v>
      </c>
      <c r="C700" s="1" t="s">
        <v>2564</v>
      </c>
      <c r="D700" s="1" t="s">
        <v>2509</v>
      </c>
      <c r="E700" s="1" t="s">
        <v>2510</v>
      </c>
      <c r="F700" s="1" t="s">
        <v>23</v>
      </c>
      <c r="G700" s="1" t="s">
        <v>2565</v>
      </c>
      <c r="H700" s="1" t="s">
        <v>15</v>
      </c>
      <c r="I700" t="b">
        <f>COUNTIF(Estadísticas!I:I,'Centraldecomunicacion.es'!H700)&gt;0</f>
        <v>0</v>
      </c>
    </row>
    <row r="701" spans="1:9">
      <c r="A701" s="1" t="s">
        <v>2566</v>
      </c>
      <c r="B701" s="1" t="s">
        <v>10</v>
      </c>
      <c r="C701" s="1" t="s">
        <v>2567</v>
      </c>
      <c r="D701" s="1" t="s">
        <v>2509</v>
      </c>
      <c r="E701" s="1" t="s">
        <v>2510</v>
      </c>
      <c r="F701" s="1" t="s">
        <v>23</v>
      </c>
      <c r="G701" s="1" t="s">
        <v>2568</v>
      </c>
      <c r="H701" s="1" t="s">
        <v>15</v>
      </c>
      <c r="I701" t="b">
        <f>COUNTIF(Estadísticas!I:I,'Centraldecomunicacion.es'!H701)&gt;0</f>
        <v>0</v>
      </c>
    </row>
    <row r="702" spans="1:9">
      <c r="A702" s="1" t="s">
        <v>2569</v>
      </c>
      <c r="B702" s="1" t="s">
        <v>10</v>
      </c>
      <c r="C702" s="1" t="s">
        <v>2570</v>
      </c>
      <c r="D702" s="1" t="s">
        <v>2571</v>
      </c>
      <c r="E702" s="1" t="s">
        <v>2510</v>
      </c>
      <c r="F702" s="1" t="s">
        <v>2572</v>
      </c>
      <c r="G702" s="1" t="s">
        <v>2573</v>
      </c>
      <c r="H702" s="1" t="s">
        <v>15</v>
      </c>
      <c r="I702" t="b">
        <f>COUNTIF(Estadísticas!I:I,'Centraldecomunicacion.es'!H702)&gt;0</f>
        <v>0</v>
      </c>
    </row>
    <row r="703" spans="1:9">
      <c r="A703" s="1" t="s">
        <v>2574</v>
      </c>
      <c r="B703" s="1" t="s">
        <v>10</v>
      </c>
      <c r="C703" s="1" t="s">
        <v>2575</v>
      </c>
      <c r="D703" s="1" t="s">
        <v>2509</v>
      </c>
      <c r="E703" s="1" t="s">
        <v>2510</v>
      </c>
      <c r="F703" s="1" t="s">
        <v>23</v>
      </c>
      <c r="G703" s="1" t="s">
        <v>2576</v>
      </c>
      <c r="H703" s="1" t="s">
        <v>15</v>
      </c>
      <c r="I703" t="b">
        <f>COUNTIF(Estadísticas!I:I,'Centraldecomunicacion.es'!H703)&gt;0</f>
        <v>0</v>
      </c>
    </row>
    <row r="704" spans="1:9">
      <c r="A704" s="1" t="s">
        <v>2577</v>
      </c>
      <c r="B704" s="1" t="s">
        <v>10</v>
      </c>
      <c r="C704" s="1" t="s">
        <v>2578</v>
      </c>
      <c r="D704" s="1" t="s">
        <v>2509</v>
      </c>
      <c r="E704" s="1" t="s">
        <v>2510</v>
      </c>
      <c r="F704" s="1" t="s">
        <v>23</v>
      </c>
      <c r="G704" s="1" t="s">
        <v>2579</v>
      </c>
      <c r="H704" s="1" t="s">
        <v>15</v>
      </c>
      <c r="I704" t="b">
        <f>COUNTIF(Estadísticas!I:I,'Centraldecomunicacion.es'!H704)&gt;0</f>
        <v>0</v>
      </c>
    </row>
    <row r="705" spans="1:9">
      <c r="A705" s="1" t="s">
        <v>2580</v>
      </c>
      <c r="B705" s="1" t="s">
        <v>10</v>
      </c>
      <c r="C705" s="1" t="s">
        <v>2581</v>
      </c>
      <c r="D705" s="1" t="s">
        <v>2509</v>
      </c>
      <c r="E705" s="1" t="s">
        <v>2510</v>
      </c>
      <c r="F705" s="1" t="s">
        <v>23</v>
      </c>
      <c r="G705" s="1" t="s">
        <v>2582</v>
      </c>
      <c r="H705" s="1" t="s">
        <v>15</v>
      </c>
      <c r="I705" t="b">
        <f>COUNTIF(Estadísticas!I:I,'Centraldecomunicacion.es'!H705)&gt;0</f>
        <v>0</v>
      </c>
    </row>
    <row r="706" spans="1:9">
      <c r="A706" s="1" t="s">
        <v>2583</v>
      </c>
      <c r="B706" s="1" t="s">
        <v>10</v>
      </c>
      <c r="C706" s="1" t="s">
        <v>2584</v>
      </c>
      <c r="D706" s="1" t="s">
        <v>2585</v>
      </c>
      <c r="E706" s="1" t="s">
        <v>2510</v>
      </c>
      <c r="F706" s="1" t="s">
        <v>23</v>
      </c>
      <c r="G706" s="1" t="s">
        <v>2586</v>
      </c>
      <c r="H706" s="1" t="s">
        <v>15</v>
      </c>
      <c r="I706" t="b">
        <f>COUNTIF(Estadísticas!I:I,'Centraldecomunicacion.es'!H706)&gt;0</f>
        <v>0</v>
      </c>
    </row>
    <row r="707" spans="1:9">
      <c r="A707" s="1" t="s">
        <v>2587</v>
      </c>
      <c r="B707" s="1" t="s">
        <v>10</v>
      </c>
      <c r="C707" s="1" t="s">
        <v>23</v>
      </c>
      <c r="D707" s="1" t="s">
        <v>2588</v>
      </c>
      <c r="E707" s="1" t="s">
        <v>23</v>
      </c>
      <c r="F707" s="1" t="s">
        <v>2589</v>
      </c>
      <c r="G707" s="1" t="s">
        <v>2590</v>
      </c>
      <c r="H707" s="1" t="s">
        <v>2591</v>
      </c>
      <c r="I707" t="b">
        <f>COUNTIF(Estadísticas!I:I,'Centraldecomunicacion.es'!H707)&gt;0</f>
        <v>0</v>
      </c>
    </row>
    <row r="708" spans="1:9">
      <c r="A708" s="1" t="s">
        <v>2592</v>
      </c>
      <c r="B708" s="1" t="s">
        <v>10</v>
      </c>
      <c r="C708" s="1" t="s">
        <v>2593</v>
      </c>
      <c r="D708" s="1" t="s">
        <v>2509</v>
      </c>
      <c r="E708" s="1" t="s">
        <v>2510</v>
      </c>
      <c r="F708" s="1" t="s">
        <v>23</v>
      </c>
      <c r="G708" s="1" t="s">
        <v>2594</v>
      </c>
      <c r="H708" s="1" t="s">
        <v>15</v>
      </c>
      <c r="I708" t="b">
        <f>COUNTIF(Estadísticas!I:I,'Centraldecomunicacion.es'!H708)&gt;0</f>
        <v>0</v>
      </c>
    </row>
    <row r="709" spans="1:9">
      <c r="A709" s="1" t="s">
        <v>2595</v>
      </c>
      <c r="B709" s="1" t="s">
        <v>10</v>
      </c>
      <c r="C709" s="1" t="s">
        <v>2596</v>
      </c>
      <c r="D709" s="1" t="s">
        <v>2597</v>
      </c>
      <c r="E709" s="1" t="s">
        <v>2510</v>
      </c>
      <c r="F709" s="1" t="s">
        <v>2598</v>
      </c>
      <c r="G709" s="1" t="s">
        <v>2599</v>
      </c>
      <c r="H709" s="1" t="s">
        <v>15</v>
      </c>
      <c r="I709" t="b">
        <f>COUNTIF(Estadísticas!I:I,'Centraldecomunicacion.es'!H709)&gt;0</f>
        <v>0</v>
      </c>
    </row>
    <row r="710" spans="1:9">
      <c r="A710" s="1" t="s">
        <v>2600</v>
      </c>
      <c r="B710" s="1" t="s">
        <v>10</v>
      </c>
      <c r="C710" s="1" t="s">
        <v>2601</v>
      </c>
      <c r="D710" s="1" t="s">
        <v>2602</v>
      </c>
      <c r="E710" s="1" t="s">
        <v>2510</v>
      </c>
      <c r="F710" s="1" t="s">
        <v>23</v>
      </c>
      <c r="G710" s="1" t="s">
        <v>2603</v>
      </c>
      <c r="H710" s="1" t="s">
        <v>15</v>
      </c>
      <c r="I710" t="b">
        <f>COUNTIF(Estadísticas!I:I,'Centraldecomunicacion.es'!H710)&gt;0</f>
        <v>0</v>
      </c>
    </row>
    <row r="711" spans="1:9">
      <c r="A711" s="1" t="s">
        <v>2604</v>
      </c>
      <c r="B711" s="1" t="s">
        <v>10</v>
      </c>
      <c r="C711" s="1" t="s">
        <v>2605</v>
      </c>
      <c r="D711" s="1" t="s">
        <v>2509</v>
      </c>
      <c r="E711" s="1" t="s">
        <v>2510</v>
      </c>
      <c r="F711" s="1" t="s">
        <v>2606</v>
      </c>
      <c r="G711" s="1" t="s">
        <v>2607</v>
      </c>
      <c r="H711" s="1" t="s">
        <v>2608</v>
      </c>
      <c r="I711" t="b">
        <f>COUNTIF(Estadísticas!I:I,'Centraldecomunicacion.es'!H711)&gt;0</f>
        <v>0</v>
      </c>
    </row>
    <row r="712" spans="1:9">
      <c r="A712" s="1" t="s">
        <v>2609</v>
      </c>
      <c r="B712" s="1" t="s">
        <v>10</v>
      </c>
      <c r="C712" s="1" t="s">
        <v>2610</v>
      </c>
      <c r="D712" s="1" t="s">
        <v>2611</v>
      </c>
      <c r="E712" s="1" t="s">
        <v>2510</v>
      </c>
      <c r="F712" s="1" t="s">
        <v>23</v>
      </c>
      <c r="G712" s="1" t="s">
        <v>2612</v>
      </c>
      <c r="H712" s="1" t="s">
        <v>15</v>
      </c>
      <c r="I712" t="b">
        <f>COUNTIF(Estadísticas!I:I,'Centraldecomunicacion.es'!H712)&gt;0</f>
        <v>0</v>
      </c>
    </row>
    <row r="713" spans="1:9">
      <c r="A713" s="1" t="s">
        <v>2613</v>
      </c>
      <c r="B713" s="1" t="s">
        <v>10</v>
      </c>
      <c r="C713" s="1" t="s">
        <v>2614</v>
      </c>
      <c r="D713" s="1" t="s">
        <v>2597</v>
      </c>
      <c r="E713" s="1" t="s">
        <v>2510</v>
      </c>
      <c r="F713" s="1" t="s">
        <v>23</v>
      </c>
      <c r="G713" s="1" t="s">
        <v>2615</v>
      </c>
      <c r="H713" s="1" t="s">
        <v>15</v>
      </c>
      <c r="I713" t="b">
        <f>COUNTIF(Estadísticas!I:I,'Centraldecomunicacion.es'!H713)&gt;0</f>
        <v>0</v>
      </c>
    </row>
    <row r="714" spans="1:9">
      <c r="A714" s="1" t="s">
        <v>2616</v>
      </c>
      <c r="B714" s="1" t="s">
        <v>10</v>
      </c>
      <c r="C714" s="1" t="s">
        <v>2617</v>
      </c>
      <c r="D714" s="1" t="s">
        <v>2618</v>
      </c>
      <c r="E714" s="1" t="s">
        <v>2510</v>
      </c>
      <c r="F714" s="1" t="s">
        <v>2619</v>
      </c>
      <c r="G714" s="1" t="s">
        <v>2620</v>
      </c>
      <c r="H714" s="1" t="s">
        <v>2621</v>
      </c>
      <c r="I714" t="b">
        <f>COUNTIF(Estadísticas!I:I,'Centraldecomunicacion.es'!H714)&gt;0</f>
        <v>0</v>
      </c>
    </row>
    <row r="715" spans="1:9">
      <c r="A715" s="1" t="s">
        <v>2556</v>
      </c>
      <c r="B715" s="1" t="s">
        <v>10</v>
      </c>
      <c r="C715" s="1" t="s">
        <v>2622</v>
      </c>
      <c r="D715" s="1" t="s">
        <v>2623</v>
      </c>
      <c r="E715" s="1" t="s">
        <v>2510</v>
      </c>
      <c r="F715" s="1" t="s">
        <v>2558</v>
      </c>
      <c r="G715" s="1" t="s">
        <v>2624</v>
      </c>
      <c r="H715" s="1" t="s">
        <v>15</v>
      </c>
      <c r="I715" t="b">
        <f>COUNTIF(Estadísticas!I:I,'Centraldecomunicacion.es'!H715)&gt;0</f>
        <v>0</v>
      </c>
    </row>
    <row r="716" spans="1:9">
      <c r="A716" s="1" t="s">
        <v>2625</v>
      </c>
      <c r="B716" s="1" t="s">
        <v>10</v>
      </c>
      <c r="C716" s="1" t="s">
        <v>2626</v>
      </c>
      <c r="D716" s="1" t="s">
        <v>2627</v>
      </c>
      <c r="E716" s="1" t="s">
        <v>2510</v>
      </c>
      <c r="F716" s="1" t="s">
        <v>2628</v>
      </c>
      <c r="G716" s="1" t="s">
        <v>2629</v>
      </c>
      <c r="H716" s="1" t="s">
        <v>2630</v>
      </c>
      <c r="I716" t="b">
        <f>COUNTIF(Estadísticas!I:I,'Centraldecomunicacion.es'!H716)&gt;0</f>
        <v>0</v>
      </c>
    </row>
    <row r="717" spans="1:9">
      <c r="A717" s="1" t="s">
        <v>2631</v>
      </c>
      <c r="B717" s="1" t="s">
        <v>10</v>
      </c>
      <c r="C717" s="1" t="s">
        <v>2632</v>
      </c>
      <c r="D717" s="1" t="s">
        <v>2633</v>
      </c>
      <c r="E717" s="1" t="s">
        <v>2510</v>
      </c>
      <c r="F717" s="1" t="s">
        <v>23</v>
      </c>
      <c r="G717" s="1" t="s">
        <v>2634</v>
      </c>
      <c r="H717" s="1" t="s">
        <v>15</v>
      </c>
      <c r="I717" t="b">
        <f>COUNTIF(Estadísticas!I:I,'Centraldecomunicacion.es'!H717)&gt;0</f>
        <v>0</v>
      </c>
    </row>
    <row r="718" spans="1:9">
      <c r="A718" s="1" t="s">
        <v>2635</v>
      </c>
      <c r="B718" s="1" t="s">
        <v>10</v>
      </c>
      <c r="C718" s="1" t="s">
        <v>2636</v>
      </c>
      <c r="D718" s="1" t="s">
        <v>2637</v>
      </c>
      <c r="E718" s="1" t="s">
        <v>2510</v>
      </c>
      <c r="F718" s="1" t="s">
        <v>23</v>
      </c>
      <c r="G718" s="1" t="s">
        <v>2638</v>
      </c>
      <c r="H718" s="1" t="s">
        <v>15</v>
      </c>
      <c r="I718" t="b">
        <f>COUNTIF(Estadísticas!I:I,'Centraldecomunicacion.es'!H718)&gt;0</f>
        <v>0</v>
      </c>
    </row>
    <row r="719" spans="1:9">
      <c r="A719" s="1" t="s">
        <v>2639</v>
      </c>
      <c r="B719" s="1" t="s">
        <v>10</v>
      </c>
      <c r="C719" s="1" t="s">
        <v>2640</v>
      </c>
      <c r="D719" s="1" t="s">
        <v>2641</v>
      </c>
      <c r="E719" s="1" t="s">
        <v>2510</v>
      </c>
      <c r="F719" s="1" t="s">
        <v>23</v>
      </c>
      <c r="G719" s="1" t="s">
        <v>2642</v>
      </c>
      <c r="H719" s="1" t="s">
        <v>15</v>
      </c>
      <c r="I719" t="b">
        <f>COUNTIF(Estadísticas!I:I,'Centraldecomunicacion.es'!H719)&gt;0</f>
        <v>0</v>
      </c>
    </row>
    <row r="720" spans="1:9">
      <c r="A720" s="1" t="s">
        <v>2643</v>
      </c>
      <c r="B720" s="1" t="s">
        <v>10</v>
      </c>
      <c r="C720" s="1" t="s">
        <v>2644</v>
      </c>
      <c r="D720" s="1" t="s">
        <v>2641</v>
      </c>
      <c r="E720" s="1" t="s">
        <v>2510</v>
      </c>
      <c r="F720" s="1" t="s">
        <v>23</v>
      </c>
      <c r="G720" s="1" t="s">
        <v>2645</v>
      </c>
      <c r="H720" s="1" t="s">
        <v>15</v>
      </c>
      <c r="I720" t="b">
        <f>COUNTIF(Estadísticas!I:I,'Centraldecomunicacion.es'!H720)&gt;0</f>
        <v>0</v>
      </c>
    </row>
    <row r="721" spans="1:9">
      <c r="A721" s="1" t="s">
        <v>2646</v>
      </c>
      <c r="B721" s="1" t="s">
        <v>10</v>
      </c>
      <c r="C721" s="1" t="s">
        <v>2647</v>
      </c>
      <c r="D721" s="1" t="s">
        <v>2648</v>
      </c>
      <c r="E721" s="1" t="s">
        <v>2510</v>
      </c>
      <c r="F721" s="1" t="s">
        <v>23</v>
      </c>
      <c r="G721" s="1" t="s">
        <v>2649</v>
      </c>
      <c r="H721" s="1" t="s">
        <v>15</v>
      </c>
      <c r="I721" t="b">
        <f>COUNTIF(Estadísticas!I:I,'Centraldecomunicacion.es'!H721)&gt;0</f>
        <v>0</v>
      </c>
    </row>
    <row r="722" spans="1:9">
      <c r="A722" s="1" t="s">
        <v>2650</v>
      </c>
      <c r="B722" s="1" t="s">
        <v>10</v>
      </c>
      <c r="C722" s="1" t="s">
        <v>2651</v>
      </c>
      <c r="D722" s="1" t="s">
        <v>2652</v>
      </c>
      <c r="E722" s="1" t="s">
        <v>2510</v>
      </c>
      <c r="F722" s="1" t="s">
        <v>2653</v>
      </c>
      <c r="G722" s="1" t="s">
        <v>2654</v>
      </c>
      <c r="H722" s="1" t="s">
        <v>2655</v>
      </c>
      <c r="I722" t="b">
        <f>COUNTIF(Estadísticas!I:I,'Centraldecomunicacion.es'!H722)&gt;0</f>
        <v>0</v>
      </c>
    </row>
    <row r="723" spans="1:9">
      <c r="A723" s="1" t="s">
        <v>2656</v>
      </c>
      <c r="B723" s="1" t="s">
        <v>10</v>
      </c>
      <c r="C723" s="1" t="s">
        <v>2657</v>
      </c>
      <c r="D723" s="1" t="s">
        <v>2658</v>
      </c>
      <c r="E723" s="1" t="s">
        <v>2510</v>
      </c>
      <c r="F723" s="1" t="s">
        <v>23</v>
      </c>
      <c r="G723" s="1" t="s">
        <v>2659</v>
      </c>
      <c r="H723" s="1" t="s">
        <v>15</v>
      </c>
      <c r="I723" t="b">
        <f>COUNTIF(Estadísticas!I:I,'Centraldecomunicacion.es'!H723)&gt;0</f>
        <v>0</v>
      </c>
    </row>
    <row r="724" spans="1:9">
      <c r="A724" s="1" t="s">
        <v>2660</v>
      </c>
      <c r="B724" s="1" t="s">
        <v>10</v>
      </c>
      <c r="C724" s="1" t="s">
        <v>2661</v>
      </c>
      <c r="D724" s="1" t="s">
        <v>2662</v>
      </c>
      <c r="E724" s="1" t="s">
        <v>2510</v>
      </c>
      <c r="F724" s="1" t="s">
        <v>23</v>
      </c>
      <c r="G724" s="1" t="s">
        <v>2663</v>
      </c>
      <c r="H724" s="1" t="s">
        <v>15</v>
      </c>
      <c r="I724" t="b">
        <f>COUNTIF(Estadísticas!I:I,'Centraldecomunicacion.es'!H724)&gt;0</f>
        <v>0</v>
      </c>
    </row>
    <row r="725" spans="1:9">
      <c r="A725" s="1" t="s">
        <v>2664</v>
      </c>
      <c r="B725" s="1" t="s">
        <v>10</v>
      </c>
      <c r="C725" s="1" t="s">
        <v>2665</v>
      </c>
      <c r="D725" s="1" t="s">
        <v>2666</v>
      </c>
      <c r="E725" s="1" t="s">
        <v>2510</v>
      </c>
      <c r="F725" s="1" t="s">
        <v>2667</v>
      </c>
      <c r="G725" s="1" t="s">
        <v>2668</v>
      </c>
      <c r="H725" s="1" t="s">
        <v>15</v>
      </c>
      <c r="I725" t="b">
        <f>COUNTIF(Estadísticas!I:I,'Centraldecomunicacion.es'!H725)&gt;0</f>
        <v>0</v>
      </c>
    </row>
    <row r="726" spans="1:9">
      <c r="A726" s="1" t="s">
        <v>2669</v>
      </c>
      <c r="B726" s="1" t="s">
        <v>10</v>
      </c>
      <c r="C726" s="1" t="s">
        <v>2670</v>
      </c>
      <c r="D726" s="1" t="s">
        <v>2671</v>
      </c>
      <c r="E726" s="1" t="s">
        <v>2510</v>
      </c>
      <c r="F726" s="1" t="s">
        <v>23</v>
      </c>
      <c r="G726" s="1" t="s">
        <v>2672</v>
      </c>
      <c r="H726" s="1" t="s">
        <v>15</v>
      </c>
      <c r="I726" t="b">
        <f>COUNTIF(Estadísticas!I:I,'Centraldecomunicacion.es'!H726)&gt;0</f>
        <v>0</v>
      </c>
    </row>
    <row r="727" spans="1:9">
      <c r="A727" s="1" t="s">
        <v>2673</v>
      </c>
      <c r="B727" s="1" t="s">
        <v>10</v>
      </c>
      <c r="C727" s="1" t="s">
        <v>2674</v>
      </c>
      <c r="D727" s="1" t="s">
        <v>2618</v>
      </c>
      <c r="E727" s="1" t="s">
        <v>2510</v>
      </c>
      <c r="F727" s="1" t="s">
        <v>23</v>
      </c>
      <c r="G727" s="1" t="s">
        <v>2675</v>
      </c>
      <c r="H727" s="1" t="s">
        <v>15</v>
      </c>
      <c r="I727" t="b">
        <f>COUNTIF(Estadísticas!I:I,'Centraldecomunicacion.es'!H727)&gt;0</f>
        <v>0</v>
      </c>
    </row>
    <row r="728" spans="1:9">
      <c r="A728" s="1" t="s">
        <v>2676</v>
      </c>
      <c r="B728" s="1" t="s">
        <v>10</v>
      </c>
      <c r="C728" s="1" t="s">
        <v>2677</v>
      </c>
      <c r="D728" s="1" t="s">
        <v>2678</v>
      </c>
      <c r="E728" s="1" t="s">
        <v>2510</v>
      </c>
      <c r="F728" s="1" t="s">
        <v>23</v>
      </c>
      <c r="G728" s="1" t="s">
        <v>2679</v>
      </c>
      <c r="H728" s="1" t="s">
        <v>15</v>
      </c>
      <c r="I728" t="b">
        <f>COUNTIF(Estadísticas!I:I,'Centraldecomunicacion.es'!H728)&gt;0</f>
        <v>0</v>
      </c>
    </row>
    <row r="729" spans="1:9">
      <c r="A729" s="1" t="s">
        <v>2680</v>
      </c>
      <c r="B729" s="1" t="s">
        <v>10</v>
      </c>
      <c r="C729" s="1" t="s">
        <v>2681</v>
      </c>
      <c r="D729" s="1" t="s">
        <v>2509</v>
      </c>
      <c r="E729" s="1" t="s">
        <v>2510</v>
      </c>
      <c r="F729" s="1" t="s">
        <v>23</v>
      </c>
      <c r="G729" s="1" t="s">
        <v>2682</v>
      </c>
      <c r="H729" s="1" t="s">
        <v>15</v>
      </c>
      <c r="I729" t="b">
        <f>COUNTIF(Estadísticas!I:I,'Centraldecomunicacion.es'!H729)&gt;0</f>
        <v>0</v>
      </c>
    </row>
    <row r="730" spans="1:9">
      <c r="A730" s="1" t="s">
        <v>2683</v>
      </c>
      <c r="B730" s="1" t="s">
        <v>10</v>
      </c>
      <c r="C730" s="1" t="s">
        <v>2684</v>
      </c>
      <c r="D730" s="1" t="s">
        <v>2685</v>
      </c>
      <c r="E730" s="1" t="s">
        <v>2510</v>
      </c>
      <c r="F730" s="1" t="s">
        <v>23</v>
      </c>
      <c r="G730" s="1" t="s">
        <v>2686</v>
      </c>
      <c r="H730" s="1" t="s">
        <v>15</v>
      </c>
      <c r="I730" t="b">
        <f>COUNTIF(Estadísticas!I:I,'Centraldecomunicacion.es'!H730)&gt;0</f>
        <v>0</v>
      </c>
    </row>
    <row r="731" spans="1:9">
      <c r="A731" s="1" t="s">
        <v>1930</v>
      </c>
      <c r="B731" s="1" t="s">
        <v>10</v>
      </c>
      <c r="C731" s="1" t="s">
        <v>2687</v>
      </c>
      <c r="D731" s="1" t="s">
        <v>2688</v>
      </c>
      <c r="E731" s="1" t="s">
        <v>2510</v>
      </c>
      <c r="F731" s="1" t="s">
        <v>23</v>
      </c>
      <c r="G731" s="1" t="s">
        <v>2689</v>
      </c>
      <c r="H731" s="1" t="s">
        <v>15</v>
      </c>
      <c r="I731" t="b">
        <f>COUNTIF(Estadísticas!I:I,'Centraldecomunicacion.es'!H731)&gt;0</f>
        <v>0</v>
      </c>
    </row>
    <row r="732" spans="1:9">
      <c r="A732" s="1" t="s">
        <v>2690</v>
      </c>
      <c r="B732" s="1" t="s">
        <v>10</v>
      </c>
      <c r="C732" s="1" t="s">
        <v>2605</v>
      </c>
      <c r="D732" s="1" t="s">
        <v>2509</v>
      </c>
      <c r="E732" s="1" t="s">
        <v>2510</v>
      </c>
      <c r="F732" s="1" t="s">
        <v>23</v>
      </c>
      <c r="G732" s="1" t="s">
        <v>23</v>
      </c>
      <c r="H732" s="1" t="s">
        <v>15</v>
      </c>
      <c r="I732" t="b">
        <f>COUNTIF(Estadísticas!I:I,'Centraldecomunicacion.es'!H732)&gt;0</f>
        <v>0</v>
      </c>
    </row>
    <row r="733" spans="1:9">
      <c r="A733" s="1" t="s">
        <v>2691</v>
      </c>
      <c r="B733" s="1" t="s">
        <v>10</v>
      </c>
      <c r="C733" s="1" t="s">
        <v>2692</v>
      </c>
      <c r="D733" s="1" t="s">
        <v>2693</v>
      </c>
      <c r="E733" s="1" t="s">
        <v>2510</v>
      </c>
      <c r="F733" s="1" t="s">
        <v>23</v>
      </c>
      <c r="G733" s="1" t="s">
        <v>2694</v>
      </c>
      <c r="H733" s="1" t="s">
        <v>15</v>
      </c>
      <c r="I733" t="b">
        <f>COUNTIF(Estadísticas!I:I,'Centraldecomunicacion.es'!H733)&gt;0</f>
        <v>0</v>
      </c>
    </row>
    <row r="734" spans="1:9">
      <c r="A734" s="1" t="s">
        <v>2695</v>
      </c>
      <c r="B734" s="1" t="s">
        <v>10</v>
      </c>
      <c r="C734" s="1" t="s">
        <v>2696</v>
      </c>
      <c r="D734" s="1" t="s">
        <v>2688</v>
      </c>
      <c r="E734" s="1" t="s">
        <v>2510</v>
      </c>
      <c r="F734" s="1" t="s">
        <v>23</v>
      </c>
      <c r="G734" s="1" t="s">
        <v>2697</v>
      </c>
      <c r="H734" s="1" t="s">
        <v>15</v>
      </c>
      <c r="I734" t="b">
        <f>COUNTIF(Estadísticas!I:I,'Centraldecomunicacion.es'!H734)&gt;0</f>
        <v>0</v>
      </c>
    </row>
    <row r="735" spans="1:9">
      <c r="A735" s="1" t="s">
        <v>2650</v>
      </c>
      <c r="B735" s="1" t="s">
        <v>10</v>
      </c>
      <c r="C735" s="1" t="s">
        <v>2698</v>
      </c>
      <c r="D735" s="1" t="s">
        <v>2688</v>
      </c>
      <c r="E735" s="1" t="s">
        <v>2510</v>
      </c>
      <c r="F735" s="1" t="s">
        <v>2653</v>
      </c>
      <c r="G735" s="1" t="s">
        <v>2699</v>
      </c>
      <c r="H735" s="1" t="s">
        <v>2655</v>
      </c>
      <c r="I735" t="b">
        <f>COUNTIF(Estadísticas!I:I,'Centraldecomunicacion.es'!H735)&gt;0</f>
        <v>0</v>
      </c>
    </row>
    <row r="736" spans="1:9">
      <c r="A736" s="1" t="s">
        <v>2700</v>
      </c>
      <c r="B736" s="1" t="s">
        <v>10</v>
      </c>
      <c r="C736" s="1" t="s">
        <v>2701</v>
      </c>
      <c r="D736" s="1" t="s">
        <v>2702</v>
      </c>
      <c r="E736" s="1" t="s">
        <v>2510</v>
      </c>
      <c r="F736" s="1" t="s">
        <v>23</v>
      </c>
      <c r="G736" s="1" t="s">
        <v>2703</v>
      </c>
      <c r="H736" s="1" t="s">
        <v>15</v>
      </c>
      <c r="I736" t="b">
        <f>COUNTIF(Estadísticas!I:I,'Centraldecomunicacion.es'!H736)&gt;0</f>
        <v>0</v>
      </c>
    </row>
    <row r="737" spans="1:9">
      <c r="A737" s="1" t="s">
        <v>2704</v>
      </c>
      <c r="B737" s="1" t="s">
        <v>10</v>
      </c>
      <c r="C737" s="1" t="s">
        <v>2705</v>
      </c>
      <c r="D737" s="1" t="s">
        <v>2688</v>
      </c>
      <c r="E737" s="1" t="s">
        <v>2510</v>
      </c>
      <c r="F737" s="1" t="s">
        <v>23</v>
      </c>
      <c r="G737" s="1" t="s">
        <v>2706</v>
      </c>
      <c r="H737" s="1" t="s">
        <v>15</v>
      </c>
      <c r="I737" t="b">
        <f>COUNTIF(Estadísticas!I:I,'Centraldecomunicacion.es'!H737)&gt;0</f>
        <v>0</v>
      </c>
    </row>
    <row r="738" spans="1:9">
      <c r="A738" s="1" t="s">
        <v>2707</v>
      </c>
      <c r="B738" s="1" t="s">
        <v>10</v>
      </c>
      <c r="C738" s="1" t="s">
        <v>2708</v>
      </c>
      <c r="D738" s="1" t="s">
        <v>2709</v>
      </c>
      <c r="E738" s="1" t="s">
        <v>2510</v>
      </c>
      <c r="F738" s="1" t="s">
        <v>23</v>
      </c>
      <c r="G738" s="1" t="s">
        <v>2710</v>
      </c>
      <c r="H738" s="1" t="s">
        <v>15</v>
      </c>
      <c r="I738" t="b">
        <f>COUNTIF(Estadísticas!I:I,'Centraldecomunicacion.es'!H738)&gt;0</f>
        <v>0</v>
      </c>
    </row>
    <row r="739" spans="1:9">
      <c r="A739" s="1" t="s">
        <v>2711</v>
      </c>
      <c r="B739" s="1" t="s">
        <v>10</v>
      </c>
      <c r="C739" s="1" t="s">
        <v>2712</v>
      </c>
      <c r="D739" s="1" t="s">
        <v>2713</v>
      </c>
      <c r="E739" s="1" t="s">
        <v>2510</v>
      </c>
      <c r="F739" s="1" t="s">
        <v>23</v>
      </c>
      <c r="G739" s="1" t="s">
        <v>2714</v>
      </c>
      <c r="H739" s="1" t="s">
        <v>15</v>
      </c>
      <c r="I739" t="b">
        <f>COUNTIF(Estadísticas!I:I,'Centraldecomunicacion.es'!H739)&gt;0</f>
        <v>0</v>
      </c>
    </row>
    <row r="740" spans="1:9">
      <c r="A740" s="1" t="s">
        <v>2715</v>
      </c>
      <c r="B740" s="1" t="s">
        <v>10</v>
      </c>
      <c r="C740" s="1" t="s">
        <v>2716</v>
      </c>
      <c r="D740" s="1" t="s">
        <v>2717</v>
      </c>
      <c r="E740" s="1" t="s">
        <v>2510</v>
      </c>
      <c r="F740" s="1" t="s">
        <v>23</v>
      </c>
      <c r="G740" s="1" t="s">
        <v>2718</v>
      </c>
      <c r="H740" s="1" t="s">
        <v>15</v>
      </c>
      <c r="I740" t="b">
        <f>COUNTIF(Estadísticas!I:I,'Centraldecomunicacion.es'!H740)&gt;0</f>
        <v>0</v>
      </c>
    </row>
    <row r="741" spans="1:9">
      <c r="A741" s="1" t="s">
        <v>2719</v>
      </c>
      <c r="B741" s="1" t="s">
        <v>10</v>
      </c>
      <c r="C741" s="1" t="s">
        <v>2720</v>
      </c>
      <c r="D741" s="1" t="s">
        <v>2721</v>
      </c>
      <c r="E741" s="1" t="s">
        <v>2510</v>
      </c>
      <c r="F741" s="1" t="s">
        <v>23</v>
      </c>
      <c r="G741" s="1" t="s">
        <v>2722</v>
      </c>
      <c r="H741" s="1" t="s">
        <v>15</v>
      </c>
      <c r="I741" t="b">
        <f>COUNTIF(Estadísticas!I:I,'Centraldecomunicacion.es'!H741)&gt;0</f>
        <v>0</v>
      </c>
    </row>
    <row r="742" spans="1:9">
      <c r="A742" s="1" t="s">
        <v>2723</v>
      </c>
      <c r="B742" s="1" t="s">
        <v>10</v>
      </c>
      <c r="C742" s="1" t="s">
        <v>2724</v>
      </c>
      <c r="D742" s="1" t="s">
        <v>2725</v>
      </c>
      <c r="E742" s="1" t="s">
        <v>2510</v>
      </c>
      <c r="F742" s="1" t="s">
        <v>2726</v>
      </c>
      <c r="G742" s="1" t="s">
        <v>2727</v>
      </c>
      <c r="H742" s="1" t="s">
        <v>2728</v>
      </c>
      <c r="I742" t="b">
        <f>COUNTIF(Estadísticas!I:I,'Centraldecomunicacion.es'!H742)&gt;0</f>
        <v>1</v>
      </c>
    </row>
    <row r="743" spans="1:9">
      <c r="A743" s="1" t="s">
        <v>2729</v>
      </c>
      <c r="B743" s="1" t="s">
        <v>10</v>
      </c>
      <c r="C743" s="1" t="s">
        <v>2730</v>
      </c>
      <c r="D743" s="1" t="s">
        <v>2688</v>
      </c>
      <c r="E743" s="1" t="s">
        <v>2510</v>
      </c>
      <c r="F743" s="1" t="s">
        <v>23</v>
      </c>
      <c r="G743" s="1" t="s">
        <v>2731</v>
      </c>
      <c r="H743" s="1" t="s">
        <v>15</v>
      </c>
      <c r="I743" t="b">
        <f>COUNTIF(Estadísticas!I:I,'Centraldecomunicacion.es'!H743)&gt;0</f>
        <v>0</v>
      </c>
    </row>
    <row r="744" spans="1:9">
      <c r="A744" s="1" t="s">
        <v>2732</v>
      </c>
      <c r="B744" s="1" t="s">
        <v>10</v>
      </c>
      <c r="C744" s="1" t="s">
        <v>2733</v>
      </c>
      <c r="D744" s="1" t="s">
        <v>2688</v>
      </c>
      <c r="E744" s="1" t="s">
        <v>2510</v>
      </c>
      <c r="F744" s="1" t="s">
        <v>23</v>
      </c>
      <c r="G744" s="1" t="s">
        <v>2734</v>
      </c>
      <c r="H744" s="1" t="s">
        <v>15</v>
      </c>
      <c r="I744" t="b">
        <f>COUNTIF(Estadísticas!I:I,'Centraldecomunicacion.es'!H744)&gt;0</f>
        <v>0</v>
      </c>
    </row>
    <row r="745" spans="1:9">
      <c r="A745" s="1" t="s">
        <v>2735</v>
      </c>
      <c r="B745" s="1" t="s">
        <v>10</v>
      </c>
      <c r="C745" s="1" t="s">
        <v>2736</v>
      </c>
      <c r="D745" s="1" t="s">
        <v>2737</v>
      </c>
      <c r="E745" s="1" t="s">
        <v>2510</v>
      </c>
      <c r="F745" s="1" t="s">
        <v>2738</v>
      </c>
      <c r="G745" s="1" t="s">
        <v>2739</v>
      </c>
      <c r="H745" s="1" t="s">
        <v>2740</v>
      </c>
      <c r="I745" t="b">
        <f>COUNTIF(Estadísticas!I:I,'Centraldecomunicacion.es'!H745)&gt;0</f>
        <v>1</v>
      </c>
    </row>
    <row r="746" spans="1:9">
      <c r="A746" s="1" t="s">
        <v>2741</v>
      </c>
      <c r="B746" s="1" t="s">
        <v>10</v>
      </c>
      <c r="C746" s="1" t="s">
        <v>2742</v>
      </c>
      <c r="D746" s="1" t="s">
        <v>2737</v>
      </c>
      <c r="E746" s="1" t="s">
        <v>2510</v>
      </c>
      <c r="F746" s="1" t="s">
        <v>23</v>
      </c>
      <c r="G746" s="1" t="s">
        <v>2743</v>
      </c>
      <c r="H746" s="1" t="s">
        <v>15</v>
      </c>
      <c r="I746" t="b">
        <f>COUNTIF(Estadísticas!I:I,'Centraldecomunicacion.es'!H746)&gt;0</f>
        <v>0</v>
      </c>
    </row>
    <row r="747" spans="1:9">
      <c r="A747" s="1" t="s">
        <v>2744</v>
      </c>
      <c r="B747" s="1" t="s">
        <v>10</v>
      </c>
      <c r="C747" s="1" t="s">
        <v>2745</v>
      </c>
      <c r="D747" s="1" t="s">
        <v>2737</v>
      </c>
      <c r="E747" s="1" t="s">
        <v>2510</v>
      </c>
      <c r="F747" s="1" t="s">
        <v>23</v>
      </c>
      <c r="G747" s="1" t="s">
        <v>2746</v>
      </c>
      <c r="H747" s="1" t="s">
        <v>15</v>
      </c>
      <c r="I747" t="b">
        <f>COUNTIF(Estadísticas!I:I,'Centraldecomunicacion.es'!H747)&gt;0</f>
        <v>0</v>
      </c>
    </row>
    <row r="748" spans="1:9">
      <c r="A748" s="1" t="s">
        <v>2747</v>
      </c>
      <c r="B748" s="1" t="s">
        <v>10</v>
      </c>
      <c r="C748" s="1" t="s">
        <v>2748</v>
      </c>
      <c r="D748" s="1" t="s">
        <v>2737</v>
      </c>
      <c r="E748" s="1" t="s">
        <v>2510</v>
      </c>
      <c r="F748" s="1" t="s">
        <v>23</v>
      </c>
      <c r="G748" s="1" t="s">
        <v>2749</v>
      </c>
      <c r="H748" s="1" t="s">
        <v>15</v>
      </c>
      <c r="I748" t="b">
        <f>COUNTIF(Estadísticas!I:I,'Centraldecomunicacion.es'!H748)&gt;0</f>
        <v>0</v>
      </c>
    </row>
    <row r="749" spans="1:9">
      <c r="A749" s="1" t="s">
        <v>2750</v>
      </c>
      <c r="B749" s="1" t="s">
        <v>10</v>
      </c>
      <c r="C749" s="1" t="s">
        <v>2751</v>
      </c>
      <c r="D749" s="1" t="s">
        <v>2709</v>
      </c>
      <c r="E749" s="1" t="s">
        <v>2510</v>
      </c>
      <c r="F749" s="1" t="s">
        <v>23</v>
      </c>
      <c r="G749" s="1" t="s">
        <v>23</v>
      </c>
      <c r="H749" s="1" t="s">
        <v>15</v>
      </c>
      <c r="I749" t="b">
        <f>COUNTIF(Estadísticas!I:I,'Centraldecomunicacion.es'!H749)&gt;0</f>
        <v>0</v>
      </c>
    </row>
    <row r="750" spans="1:9">
      <c r="A750" s="1" t="s">
        <v>2752</v>
      </c>
      <c r="B750" s="1" t="s">
        <v>10</v>
      </c>
      <c r="C750" s="1" t="s">
        <v>2753</v>
      </c>
      <c r="D750" s="1" t="s">
        <v>2754</v>
      </c>
      <c r="E750" s="1" t="s">
        <v>2510</v>
      </c>
      <c r="F750" s="1" t="s">
        <v>2755</v>
      </c>
      <c r="G750" s="1" t="s">
        <v>2756</v>
      </c>
      <c r="H750" s="1" t="s">
        <v>15</v>
      </c>
      <c r="I750" t="b">
        <f>COUNTIF(Estadísticas!I:I,'Centraldecomunicacion.es'!H750)&gt;0</f>
        <v>0</v>
      </c>
    </row>
    <row r="751" spans="1:9">
      <c r="A751" s="1" t="s">
        <v>2757</v>
      </c>
      <c r="B751" s="1" t="s">
        <v>10</v>
      </c>
      <c r="C751" s="1" t="s">
        <v>2758</v>
      </c>
      <c r="D751" s="1" t="s">
        <v>2759</v>
      </c>
      <c r="E751" s="1" t="s">
        <v>2510</v>
      </c>
      <c r="F751" s="1" t="s">
        <v>23</v>
      </c>
      <c r="G751" s="1" t="s">
        <v>2760</v>
      </c>
      <c r="H751" s="1" t="s">
        <v>15</v>
      </c>
      <c r="I751" t="b">
        <f>COUNTIF(Estadísticas!I:I,'Centraldecomunicacion.es'!H751)&gt;0</f>
        <v>0</v>
      </c>
    </row>
    <row r="752" spans="1:9">
      <c r="A752" s="1" t="s">
        <v>2761</v>
      </c>
      <c r="B752" s="1" t="s">
        <v>10</v>
      </c>
      <c r="C752" s="1" t="s">
        <v>2762</v>
      </c>
      <c r="D752" s="1" t="s">
        <v>2709</v>
      </c>
      <c r="E752" s="1" t="s">
        <v>2510</v>
      </c>
      <c r="F752" s="1" t="s">
        <v>23</v>
      </c>
      <c r="G752" s="1" t="s">
        <v>2763</v>
      </c>
      <c r="H752" s="1" t="s">
        <v>15</v>
      </c>
      <c r="I752" t="b">
        <f>COUNTIF(Estadísticas!I:I,'Centraldecomunicacion.es'!H752)&gt;0</f>
        <v>0</v>
      </c>
    </row>
    <row r="753" spans="1:9">
      <c r="A753" s="1" t="s">
        <v>2764</v>
      </c>
      <c r="B753" s="1" t="s">
        <v>10</v>
      </c>
      <c r="C753" s="1" t="s">
        <v>2765</v>
      </c>
      <c r="D753" s="1" t="s">
        <v>2688</v>
      </c>
      <c r="E753" s="1" t="s">
        <v>2510</v>
      </c>
      <c r="F753" s="1" t="s">
        <v>811</v>
      </c>
      <c r="G753" s="1" t="s">
        <v>2766</v>
      </c>
      <c r="H753" s="1" t="s">
        <v>15</v>
      </c>
      <c r="I753" t="b">
        <f>COUNTIF(Estadísticas!I:I,'Centraldecomunicacion.es'!H753)&gt;0</f>
        <v>0</v>
      </c>
    </row>
    <row r="754" spans="1:9">
      <c r="A754" s="1" t="s">
        <v>2767</v>
      </c>
      <c r="B754" s="1" t="s">
        <v>10</v>
      </c>
      <c r="C754" s="1" t="s">
        <v>2720</v>
      </c>
      <c r="D754" s="1" t="s">
        <v>2721</v>
      </c>
      <c r="E754" s="1" t="s">
        <v>2510</v>
      </c>
      <c r="F754" s="1" t="s">
        <v>23</v>
      </c>
      <c r="G754" s="1" t="s">
        <v>2722</v>
      </c>
      <c r="H754" s="1" t="s">
        <v>15</v>
      </c>
      <c r="I754" t="b">
        <f>COUNTIF(Estadísticas!I:I,'Centraldecomunicacion.es'!H754)&gt;0</f>
        <v>0</v>
      </c>
    </row>
    <row r="755" spans="1:9">
      <c r="A755" s="1" t="s">
        <v>2604</v>
      </c>
      <c r="B755" s="1" t="s">
        <v>10</v>
      </c>
      <c r="C755" s="1" t="s">
        <v>2768</v>
      </c>
      <c r="D755" s="1" t="s">
        <v>2713</v>
      </c>
      <c r="E755" s="1" t="s">
        <v>2510</v>
      </c>
      <c r="F755" s="1" t="s">
        <v>23</v>
      </c>
      <c r="G755" s="1" t="s">
        <v>2769</v>
      </c>
      <c r="H755" s="1" t="s">
        <v>15</v>
      </c>
      <c r="I755" t="b">
        <f>COUNTIF(Estadísticas!I:I,'Centraldecomunicacion.es'!H755)&gt;0</f>
        <v>0</v>
      </c>
    </row>
    <row r="756" spans="1:9">
      <c r="A756" s="1" t="s">
        <v>2770</v>
      </c>
      <c r="B756" s="1" t="s">
        <v>10</v>
      </c>
      <c r="C756" s="1" t="s">
        <v>2771</v>
      </c>
      <c r="D756" s="1" t="s">
        <v>2772</v>
      </c>
      <c r="E756" s="1" t="s">
        <v>2773</v>
      </c>
      <c r="F756" s="1" t="s">
        <v>390</v>
      </c>
      <c r="G756" s="1" t="s">
        <v>23</v>
      </c>
      <c r="H756" s="1" t="s">
        <v>15</v>
      </c>
      <c r="I756" t="b">
        <f>COUNTIF(Estadísticas!I:I,'Centraldecomunicacion.es'!H756)&gt;0</f>
        <v>0</v>
      </c>
    </row>
    <row r="757" spans="1:9">
      <c r="A757" s="1" t="s">
        <v>2774</v>
      </c>
      <c r="B757" s="1" t="s">
        <v>10</v>
      </c>
      <c r="C757" s="1" t="s">
        <v>2775</v>
      </c>
      <c r="D757" s="1" t="s">
        <v>2597</v>
      </c>
      <c r="E757" s="1" t="s">
        <v>2510</v>
      </c>
      <c r="F757" s="1" t="s">
        <v>23</v>
      </c>
      <c r="G757" s="1" t="s">
        <v>2776</v>
      </c>
      <c r="H757" s="1" t="s">
        <v>15</v>
      </c>
      <c r="I757" t="b">
        <f>COUNTIF(Estadísticas!I:I,'Centraldecomunicacion.es'!H757)&gt;0</f>
        <v>0</v>
      </c>
    </row>
    <row r="758" spans="1:9">
      <c r="A758" s="1" t="s">
        <v>2777</v>
      </c>
      <c r="B758" s="1" t="s">
        <v>10</v>
      </c>
      <c r="C758" s="1" t="s">
        <v>2778</v>
      </c>
      <c r="D758" s="1" t="s">
        <v>2509</v>
      </c>
      <c r="E758" s="1" t="s">
        <v>2510</v>
      </c>
      <c r="F758" s="1" t="s">
        <v>23</v>
      </c>
      <c r="G758" s="1" t="s">
        <v>23</v>
      </c>
      <c r="H758" s="1" t="s">
        <v>15</v>
      </c>
      <c r="I758" t="b">
        <f>COUNTIF(Estadísticas!I:I,'Centraldecomunicacion.es'!H758)&gt;0</f>
        <v>0</v>
      </c>
    </row>
    <row r="759" spans="1:9">
      <c r="A759" s="1" t="s">
        <v>2779</v>
      </c>
      <c r="B759" s="1" t="s">
        <v>10</v>
      </c>
      <c r="C759" s="1" t="s">
        <v>2780</v>
      </c>
      <c r="D759" s="1" t="s">
        <v>2781</v>
      </c>
      <c r="E759" s="1" t="s">
        <v>2781</v>
      </c>
      <c r="F759" s="1" t="s">
        <v>2782</v>
      </c>
      <c r="G759" s="1" t="s">
        <v>2783</v>
      </c>
      <c r="H759" s="1" t="s">
        <v>15</v>
      </c>
      <c r="I759" t="b">
        <f>COUNTIF(Estadísticas!I:I,'Centraldecomunicacion.es'!H759)&gt;0</f>
        <v>0</v>
      </c>
    </row>
    <row r="760" spans="1:9">
      <c r="A760" s="1" t="s">
        <v>2784</v>
      </c>
      <c r="B760" s="1" t="s">
        <v>10</v>
      </c>
      <c r="C760" s="1" t="s">
        <v>2785</v>
      </c>
      <c r="D760" s="1" t="s">
        <v>2786</v>
      </c>
      <c r="E760" s="1" t="s">
        <v>2781</v>
      </c>
      <c r="F760" s="1" t="s">
        <v>23</v>
      </c>
      <c r="G760" s="1" t="s">
        <v>2787</v>
      </c>
      <c r="H760" s="1" t="s">
        <v>15</v>
      </c>
      <c r="I760" t="b">
        <f>COUNTIF(Estadísticas!I:I,'Centraldecomunicacion.es'!H760)&gt;0</f>
        <v>0</v>
      </c>
    </row>
    <row r="761" spans="1:9">
      <c r="A761" s="1" t="s">
        <v>2788</v>
      </c>
      <c r="B761" s="1" t="s">
        <v>10</v>
      </c>
      <c r="C761" s="1" t="s">
        <v>2789</v>
      </c>
      <c r="D761" s="1" t="s">
        <v>2790</v>
      </c>
      <c r="E761" s="1" t="s">
        <v>2781</v>
      </c>
      <c r="F761" s="1" t="s">
        <v>2791</v>
      </c>
      <c r="G761" s="1" t="s">
        <v>2792</v>
      </c>
      <c r="H761" s="1" t="s">
        <v>2793</v>
      </c>
      <c r="I761" t="b">
        <f>COUNTIF(Estadísticas!I:I,'Centraldecomunicacion.es'!H761)&gt;0</f>
        <v>1</v>
      </c>
    </row>
    <row r="762" spans="1:9">
      <c r="A762" s="1" t="s">
        <v>2779</v>
      </c>
      <c r="B762" s="1" t="s">
        <v>10</v>
      </c>
      <c r="C762" s="1" t="s">
        <v>2794</v>
      </c>
      <c r="D762" s="1" t="s">
        <v>2781</v>
      </c>
      <c r="E762" s="1" t="s">
        <v>2781</v>
      </c>
      <c r="F762" s="1" t="s">
        <v>2782</v>
      </c>
      <c r="G762" s="1" t="s">
        <v>23</v>
      </c>
      <c r="H762" s="1" t="s">
        <v>15</v>
      </c>
      <c r="I762" t="b">
        <f>COUNTIF(Estadísticas!I:I,'Centraldecomunicacion.es'!H762)&gt;0</f>
        <v>0</v>
      </c>
    </row>
    <row r="763" spans="1:9">
      <c r="A763" s="1" t="s">
        <v>2795</v>
      </c>
      <c r="B763" s="1" t="s">
        <v>10</v>
      </c>
      <c r="C763" s="1" t="s">
        <v>2796</v>
      </c>
      <c r="D763" s="1" t="s">
        <v>2781</v>
      </c>
      <c r="E763" s="1" t="s">
        <v>2781</v>
      </c>
      <c r="F763" s="1" t="s">
        <v>23</v>
      </c>
      <c r="G763" s="1" t="s">
        <v>2797</v>
      </c>
      <c r="H763" s="1" t="s">
        <v>15</v>
      </c>
      <c r="I763" t="b">
        <f>COUNTIF(Estadísticas!I:I,'Centraldecomunicacion.es'!H763)&gt;0</f>
        <v>0</v>
      </c>
    </row>
    <row r="764" spans="1:9">
      <c r="A764" s="1" t="s">
        <v>2798</v>
      </c>
      <c r="B764" s="1" t="s">
        <v>10</v>
      </c>
      <c r="C764" s="1" t="s">
        <v>2799</v>
      </c>
      <c r="D764" s="1" t="s">
        <v>2781</v>
      </c>
      <c r="E764" s="1" t="s">
        <v>2781</v>
      </c>
      <c r="F764" s="1" t="s">
        <v>23</v>
      </c>
      <c r="G764" s="1" t="s">
        <v>2800</v>
      </c>
      <c r="H764" s="1" t="s">
        <v>15</v>
      </c>
      <c r="I764" t="b">
        <f>COUNTIF(Estadísticas!I:I,'Centraldecomunicacion.es'!H764)&gt;0</f>
        <v>0</v>
      </c>
    </row>
    <row r="765" spans="1:9">
      <c r="A765" s="1" t="s">
        <v>257</v>
      </c>
      <c r="B765" s="1" t="s">
        <v>10</v>
      </c>
      <c r="C765" s="1" t="s">
        <v>2801</v>
      </c>
      <c r="D765" s="1" t="s">
        <v>2781</v>
      </c>
      <c r="E765" s="1" t="s">
        <v>2781</v>
      </c>
      <c r="F765" s="1" t="s">
        <v>81</v>
      </c>
      <c r="G765" s="1" t="s">
        <v>2802</v>
      </c>
      <c r="H765" s="1" t="s">
        <v>83</v>
      </c>
      <c r="I765" t="b">
        <f>COUNTIF(Estadísticas!I:I,'Centraldecomunicacion.es'!H765)&gt;0</f>
        <v>0</v>
      </c>
    </row>
    <row r="766" spans="1:9">
      <c r="A766" s="1" t="s">
        <v>2803</v>
      </c>
      <c r="B766" s="1" t="s">
        <v>10</v>
      </c>
      <c r="C766" s="1" t="s">
        <v>2804</v>
      </c>
      <c r="D766" s="1" t="s">
        <v>2781</v>
      </c>
      <c r="E766" s="1" t="s">
        <v>2781</v>
      </c>
      <c r="F766" s="1" t="s">
        <v>23</v>
      </c>
      <c r="G766" s="1" t="s">
        <v>2805</v>
      </c>
      <c r="H766" s="1" t="s">
        <v>15</v>
      </c>
      <c r="I766" t="b">
        <f>COUNTIF(Estadísticas!I:I,'Centraldecomunicacion.es'!H766)&gt;0</f>
        <v>0</v>
      </c>
    </row>
    <row r="767" spans="1:9">
      <c r="A767" s="1" t="s">
        <v>2806</v>
      </c>
      <c r="B767" s="1" t="s">
        <v>10</v>
      </c>
      <c r="C767" s="1" t="s">
        <v>2807</v>
      </c>
      <c r="D767" s="1" t="s">
        <v>2781</v>
      </c>
      <c r="E767" s="1" t="s">
        <v>2781</v>
      </c>
      <c r="F767" s="1" t="s">
        <v>23</v>
      </c>
      <c r="G767" s="1" t="s">
        <v>2808</v>
      </c>
      <c r="H767" s="1" t="s">
        <v>15</v>
      </c>
      <c r="I767" t="b">
        <f>COUNTIF(Estadísticas!I:I,'Centraldecomunicacion.es'!H767)&gt;0</f>
        <v>0</v>
      </c>
    </row>
    <row r="768" spans="1:9">
      <c r="A768" s="1" t="s">
        <v>2809</v>
      </c>
      <c r="B768" s="1" t="s">
        <v>10</v>
      </c>
      <c r="C768" s="1" t="s">
        <v>2810</v>
      </c>
      <c r="D768" s="1" t="s">
        <v>2781</v>
      </c>
      <c r="E768" s="1" t="s">
        <v>2781</v>
      </c>
      <c r="F768" s="1" t="s">
        <v>23</v>
      </c>
      <c r="G768" s="1" t="s">
        <v>2811</v>
      </c>
      <c r="H768" s="1" t="s">
        <v>15</v>
      </c>
      <c r="I768" t="b">
        <f>COUNTIF(Estadísticas!I:I,'Centraldecomunicacion.es'!H768)&gt;0</f>
        <v>0</v>
      </c>
    </row>
    <row r="769" spans="1:9">
      <c r="A769" s="1" t="s">
        <v>2812</v>
      </c>
      <c r="B769" s="1" t="s">
        <v>10</v>
      </c>
      <c r="C769" s="1" t="s">
        <v>2813</v>
      </c>
      <c r="D769" s="1" t="s">
        <v>2781</v>
      </c>
      <c r="E769" s="1" t="s">
        <v>2781</v>
      </c>
      <c r="F769" s="1" t="s">
        <v>23</v>
      </c>
      <c r="G769" s="1" t="s">
        <v>2814</v>
      </c>
      <c r="H769" s="1" t="s">
        <v>15</v>
      </c>
      <c r="I769" t="b">
        <f>COUNTIF(Estadísticas!I:I,'Centraldecomunicacion.es'!H769)&gt;0</f>
        <v>0</v>
      </c>
    </row>
    <row r="770" spans="1:9">
      <c r="A770" s="1" t="s">
        <v>2815</v>
      </c>
      <c r="B770" s="1" t="s">
        <v>10</v>
      </c>
      <c r="C770" s="1" t="s">
        <v>2816</v>
      </c>
      <c r="D770" s="1" t="s">
        <v>2781</v>
      </c>
      <c r="E770" s="1" t="s">
        <v>2781</v>
      </c>
      <c r="F770" s="1" t="s">
        <v>23</v>
      </c>
      <c r="G770" s="1" t="s">
        <v>2817</v>
      </c>
      <c r="H770" s="1" t="s">
        <v>15</v>
      </c>
      <c r="I770" t="b">
        <f>COUNTIF(Estadísticas!I:I,'Centraldecomunicacion.es'!H770)&gt;0</f>
        <v>0</v>
      </c>
    </row>
    <row r="771" spans="1:9">
      <c r="A771" s="1" t="s">
        <v>2818</v>
      </c>
      <c r="B771" s="1" t="s">
        <v>10</v>
      </c>
      <c r="C771" s="1" t="s">
        <v>2819</v>
      </c>
      <c r="D771" s="1" t="s">
        <v>2781</v>
      </c>
      <c r="E771" s="1" t="s">
        <v>2781</v>
      </c>
      <c r="F771" s="1" t="s">
        <v>23</v>
      </c>
      <c r="G771" s="1" t="s">
        <v>2820</v>
      </c>
      <c r="H771" s="1" t="s">
        <v>15</v>
      </c>
      <c r="I771" t="b">
        <f>COUNTIF(Estadísticas!I:I,'Centraldecomunicacion.es'!H771)&gt;0</f>
        <v>0</v>
      </c>
    </row>
    <row r="772" spans="1:9">
      <c r="A772" s="1" t="s">
        <v>2821</v>
      </c>
      <c r="B772" s="1" t="s">
        <v>10</v>
      </c>
      <c r="C772" s="1" t="s">
        <v>2822</v>
      </c>
      <c r="D772" s="1" t="s">
        <v>2781</v>
      </c>
      <c r="E772" s="1" t="s">
        <v>2781</v>
      </c>
      <c r="F772" s="1" t="s">
        <v>2823</v>
      </c>
      <c r="G772" s="1" t="s">
        <v>2824</v>
      </c>
      <c r="H772" s="1" t="s">
        <v>15</v>
      </c>
      <c r="I772" t="b">
        <f>COUNTIF(Estadísticas!I:I,'Centraldecomunicacion.es'!H772)&gt;0</f>
        <v>0</v>
      </c>
    </row>
    <row r="773" spans="1:9">
      <c r="A773" s="1" t="s">
        <v>2825</v>
      </c>
      <c r="B773" s="1" t="s">
        <v>10</v>
      </c>
      <c r="C773" s="1" t="s">
        <v>2826</v>
      </c>
      <c r="D773" s="1" t="s">
        <v>2781</v>
      </c>
      <c r="E773" s="1" t="s">
        <v>2781</v>
      </c>
      <c r="F773" s="1" t="s">
        <v>23</v>
      </c>
      <c r="G773" s="1" t="s">
        <v>2827</v>
      </c>
      <c r="H773" s="1" t="s">
        <v>15</v>
      </c>
      <c r="I773" t="b">
        <f>COUNTIF(Estadísticas!I:I,'Centraldecomunicacion.es'!H773)&gt;0</f>
        <v>0</v>
      </c>
    </row>
    <row r="774" spans="1:9">
      <c r="A774" s="1" t="s">
        <v>2828</v>
      </c>
      <c r="B774" s="1" t="s">
        <v>10</v>
      </c>
      <c r="C774" s="1" t="s">
        <v>2829</v>
      </c>
      <c r="D774" s="1" t="s">
        <v>2781</v>
      </c>
      <c r="E774" s="1" t="s">
        <v>2781</v>
      </c>
      <c r="F774" s="1" t="s">
        <v>23</v>
      </c>
      <c r="G774" s="1" t="s">
        <v>2830</v>
      </c>
      <c r="H774" s="1" t="s">
        <v>15</v>
      </c>
      <c r="I774" t="b">
        <f>COUNTIF(Estadísticas!I:I,'Centraldecomunicacion.es'!H774)&gt;0</f>
        <v>0</v>
      </c>
    </row>
    <row r="775" spans="1:9">
      <c r="A775" s="1" t="s">
        <v>2779</v>
      </c>
      <c r="B775" s="1" t="s">
        <v>10</v>
      </c>
      <c r="C775" s="1" t="s">
        <v>2831</v>
      </c>
      <c r="D775" s="1" t="s">
        <v>2781</v>
      </c>
      <c r="E775" s="1" t="s">
        <v>2781</v>
      </c>
      <c r="F775" s="1" t="s">
        <v>2782</v>
      </c>
      <c r="G775" s="1" t="s">
        <v>2832</v>
      </c>
      <c r="H775" s="1" t="s">
        <v>15</v>
      </c>
      <c r="I775" t="b">
        <f>COUNTIF(Estadísticas!I:I,'Centraldecomunicacion.es'!H775)&gt;0</f>
        <v>0</v>
      </c>
    </row>
    <row r="776" spans="1:9">
      <c r="A776" s="1" t="s">
        <v>2833</v>
      </c>
      <c r="B776" s="1" t="s">
        <v>10</v>
      </c>
      <c r="C776" s="1" t="s">
        <v>2834</v>
      </c>
      <c r="D776" s="1" t="s">
        <v>2781</v>
      </c>
      <c r="E776" s="1" t="s">
        <v>2781</v>
      </c>
      <c r="F776" s="1" t="s">
        <v>23</v>
      </c>
      <c r="G776" s="1" t="s">
        <v>2835</v>
      </c>
      <c r="H776" s="1" t="s">
        <v>15</v>
      </c>
      <c r="I776" t="b">
        <f>COUNTIF(Estadísticas!I:I,'Centraldecomunicacion.es'!H776)&gt;0</f>
        <v>0</v>
      </c>
    </row>
    <row r="777" spans="1:9">
      <c r="A777" s="1" t="s">
        <v>2836</v>
      </c>
      <c r="B777" s="1" t="s">
        <v>10</v>
      </c>
      <c r="C777" s="1" t="s">
        <v>2837</v>
      </c>
      <c r="D777" s="1" t="s">
        <v>2781</v>
      </c>
      <c r="E777" s="1" t="s">
        <v>2781</v>
      </c>
      <c r="F777" s="1" t="s">
        <v>23</v>
      </c>
      <c r="G777" s="1" t="s">
        <v>2838</v>
      </c>
      <c r="H777" s="1" t="s">
        <v>15</v>
      </c>
      <c r="I777" t="b">
        <f>COUNTIF(Estadísticas!I:I,'Centraldecomunicacion.es'!H777)&gt;0</f>
        <v>0</v>
      </c>
    </row>
    <row r="778" spans="1:9">
      <c r="A778" s="1" t="s">
        <v>2839</v>
      </c>
      <c r="B778" s="1" t="s">
        <v>10</v>
      </c>
      <c r="C778" s="1" t="s">
        <v>2840</v>
      </c>
      <c r="D778" s="1" t="s">
        <v>2781</v>
      </c>
      <c r="E778" s="1" t="s">
        <v>2781</v>
      </c>
      <c r="F778" s="1" t="s">
        <v>2841</v>
      </c>
      <c r="G778" s="1" t="s">
        <v>2842</v>
      </c>
      <c r="H778" s="1" t="s">
        <v>2843</v>
      </c>
      <c r="I778" t="b">
        <f>COUNTIF(Estadísticas!I:I,'Centraldecomunicacion.es'!H778)&gt;0</f>
        <v>0</v>
      </c>
    </row>
    <row r="779" spans="1:9">
      <c r="A779" s="1" t="s">
        <v>2844</v>
      </c>
      <c r="B779" s="1" t="s">
        <v>10</v>
      </c>
      <c r="C779" s="1" t="s">
        <v>2845</v>
      </c>
      <c r="D779" s="1" t="s">
        <v>2781</v>
      </c>
      <c r="E779" s="1" t="s">
        <v>2781</v>
      </c>
      <c r="F779" s="1" t="s">
        <v>23</v>
      </c>
      <c r="G779" s="1" t="s">
        <v>2846</v>
      </c>
      <c r="H779" s="1" t="s">
        <v>15</v>
      </c>
      <c r="I779" t="b">
        <f>COUNTIF(Estadísticas!I:I,'Centraldecomunicacion.es'!H779)&gt;0</f>
        <v>0</v>
      </c>
    </row>
    <row r="780" spans="1:9">
      <c r="A780" s="1" t="s">
        <v>2847</v>
      </c>
      <c r="B780" s="1" t="s">
        <v>10</v>
      </c>
      <c r="C780" s="1" t="s">
        <v>2848</v>
      </c>
      <c r="D780" s="1" t="s">
        <v>2781</v>
      </c>
      <c r="E780" s="1" t="s">
        <v>2781</v>
      </c>
      <c r="F780" s="1" t="s">
        <v>23</v>
      </c>
      <c r="G780" s="1" t="s">
        <v>2849</v>
      </c>
      <c r="H780" s="1" t="s">
        <v>15</v>
      </c>
      <c r="I780" t="b">
        <f>COUNTIF(Estadísticas!I:I,'Centraldecomunicacion.es'!H780)&gt;0</f>
        <v>0</v>
      </c>
    </row>
    <row r="781" spans="1:9">
      <c r="A781" s="1" t="s">
        <v>2850</v>
      </c>
      <c r="B781" s="1" t="s">
        <v>10</v>
      </c>
      <c r="C781" s="1" t="s">
        <v>2851</v>
      </c>
      <c r="D781" s="1" t="s">
        <v>2781</v>
      </c>
      <c r="E781" s="1" t="s">
        <v>2781</v>
      </c>
      <c r="F781" s="1" t="s">
        <v>23</v>
      </c>
      <c r="G781" s="1" t="s">
        <v>23</v>
      </c>
      <c r="H781" s="1" t="s">
        <v>15</v>
      </c>
      <c r="I781" t="b">
        <f>COUNTIF(Estadísticas!I:I,'Centraldecomunicacion.es'!H781)&gt;0</f>
        <v>0</v>
      </c>
    </row>
    <row r="782" spans="1:9">
      <c r="A782" s="1" t="s">
        <v>2852</v>
      </c>
      <c r="B782" s="1" t="s">
        <v>10</v>
      </c>
      <c r="C782" s="1" t="s">
        <v>2853</v>
      </c>
      <c r="D782" s="1" t="s">
        <v>2781</v>
      </c>
      <c r="E782" s="1" t="s">
        <v>2781</v>
      </c>
      <c r="F782" s="1" t="s">
        <v>23</v>
      </c>
      <c r="G782" s="1" t="s">
        <v>2854</v>
      </c>
      <c r="H782" s="1" t="s">
        <v>15</v>
      </c>
      <c r="I782" t="b">
        <f>COUNTIF(Estadísticas!I:I,'Centraldecomunicacion.es'!H782)&gt;0</f>
        <v>0</v>
      </c>
    </row>
    <row r="783" spans="1:9">
      <c r="A783" s="1" t="s">
        <v>2855</v>
      </c>
      <c r="B783" s="1" t="s">
        <v>10</v>
      </c>
      <c r="C783" s="1" t="s">
        <v>2856</v>
      </c>
      <c r="D783" s="1" t="s">
        <v>2857</v>
      </c>
      <c r="E783" s="1" t="s">
        <v>2781</v>
      </c>
      <c r="F783" s="1" t="s">
        <v>2858</v>
      </c>
      <c r="G783" s="1" t="s">
        <v>2859</v>
      </c>
      <c r="H783" s="1" t="s">
        <v>2860</v>
      </c>
      <c r="I783" t="b">
        <f>COUNTIF(Estadísticas!I:I,'Centraldecomunicacion.es'!H783)&gt;0</f>
        <v>0</v>
      </c>
    </row>
    <row r="784" spans="1:9">
      <c r="A784" s="1" t="s">
        <v>2861</v>
      </c>
      <c r="B784" s="1" t="s">
        <v>10</v>
      </c>
      <c r="C784" s="1" t="s">
        <v>2862</v>
      </c>
      <c r="D784" s="1" t="s">
        <v>2781</v>
      </c>
      <c r="E784" s="1" t="s">
        <v>2781</v>
      </c>
      <c r="F784" s="1" t="s">
        <v>23</v>
      </c>
      <c r="G784" s="1" t="s">
        <v>2863</v>
      </c>
      <c r="H784" s="1" t="s">
        <v>15</v>
      </c>
      <c r="I784" t="b">
        <f>COUNTIF(Estadísticas!I:I,'Centraldecomunicacion.es'!H784)&gt;0</f>
        <v>0</v>
      </c>
    </row>
    <row r="785" spans="1:9">
      <c r="A785" s="1" t="s">
        <v>2864</v>
      </c>
      <c r="B785" s="1" t="s">
        <v>10</v>
      </c>
      <c r="C785" s="1" t="s">
        <v>2865</v>
      </c>
      <c r="D785" s="1" t="s">
        <v>2781</v>
      </c>
      <c r="E785" s="1" t="s">
        <v>2781</v>
      </c>
      <c r="F785" s="1" t="s">
        <v>2866</v>
      </c>
      <c r="G785" s="1" t="s">
        <v>2867</v>
      </c>
      <c r="H785" s="1" t="s">
        <v>15</v>
      </c>
      <c r="I785" t="b">
        <f>COUNTIF(Estadísticas!I:I,'Centraldecomunicacion.es'!H785)&gt;0</f>
        <v>0</v>
      </c>
    </row>
    <row r="786" spans="1:9">
      <c r="A786" s="1" t="s">
        <v>2868</v>
      </c>
      <c r="B786" s="1" t="s">
        <v>10</v>
      </c>
      <c r="C786" s="1" t="s">
        <v>23</v>
      </c>
      <c r="D786" s="1" t="s">
        <v>2869</v>
      </c>
      <c r="E786" s="1" t="s">
        <v>23</v>
      </c>
      <c r="F786" s="1" t="s">
        <v>2870</v>
      </c>
      <c r="G786" s="1" t="s">
        <v>2871</v>
      </c>
      <c r="H786" s="1" t="s">
        <v>2872</v>
      </c>
      <c r="I786" t="b">
        <f>COUNTIF(Estadísticas!I:I,'Centraldecomunicacion.es'!H786)&gt;0</f>
        <v>0</v>
      </c>
    </row>
    <row r="787" spans="1:9">
      <c r="A787" s="1" t="s">
        <v>2873</v>
      </c>
      <c r="B787" s="1" t="s">
        <v>10</v>
      </c>
      <c r="C787" s="1" t="s">
        <v>2874</v>
      </c>
      <c r="D787" s="1" t="s">
        <v>2857</v>
      </c>
      <c r="E787" s="1" t="s">
        <v>2781</v>
      </c>
      <c r="F787" s="1" t="s">
        <v>23</v>
      </c>
      <c r="G787" s="1" t="s">
        <v>2875</v>
      </c>
      <c r="H787" s="1" t="s">
        <v>15</v>
      </c>
      <c r="I787" t="b">
        <f>COUNTIF(Estadísticas!I:I,'Centraldecomunicacion.es'!H787)&gt;0</f>
        <v>0</v>
      </c>
    </row>
    <row r="788" spans="1:9">
      <c r="A788" s="1" t="s">
        <v>2876</v>
      </c>
      <c r="B788" s="1" t="s">
        <v>10</v>
      </c>
      <c r="C788" s="1" t="s">
        <v>2877</v>
      </c>
      <c r="D788" s="1" t="s">
        <v>2857</v>
      </c>
      <c r="E788" s="1" t="s">
        <v>2781</v>
      </c>
      <c r="F788" s="1" t="s">
        <v>23</v>
      </c>
      <c r="G788" s="1" t="s">
        <v>2878</v>
      </c>
      <c r="H788" s="1" t="s">
        <v>15</v>
      </c>
      <c r="I788" t="b">
        <f>COUNTIF(Estadísticas!I:I,'Centraldecomunicacion.es'!H788)&gt;0</f>
        <v>0</v>
      </c>
    </row>
    <row r="789" spans="1:9">
      <c r="A789" s="1" t="s">
        <v>2879</v>
      </c>
      <c r="B789" s="1" t="s">
        <v>10</v>
      </c>
      <c r="C789" s="1" t="s">
        <v>2880</v>
      </c>
      <c r="D789" s="1" t="s">
        <v>2857</v>
      </c>
      <c r="E789" s="1" t="s">
        <v>2781</v>
      </c>
      <c r="F789" s="1" t="s">
        <v>23</v>
      </c>
      <c r="G789" s="1" t="s">
        <v>2881</v>
      </c>
      <c r="H789" s="1" t="s">
        <v>15</v>
      </c>
      <c r="I789" t="b">
        <f>COUNTIF(Estadísticas!I:I,'Centraldecomunicacion.es'!H789)&gt;0</f>
        <v>0</v>
      </c>
    </row>
    <row r="790" spans="1:9">
      <c r="A790" s="1" t="s">
        <v>2882</v>
      </c>
      <c r="B790" s="1" t="s">
        <v>10</v>
      </c>
      <c r="C790" s="1" t="s">
        <v>2883</v>
      </c>
      <c r="D790" s="1" t="s">
        <v>2857</v>
      </c>
      <c r="E790" s="1" t="s">
        <v>2781</v>
      </c>
      <c r="F790" s="1" t="s">
        <v>2884</v>
      </c>
      <c r="G790" s="1" t="s">
        <v>2885</v>
      </c>
      <c r="H790" s="1" t="s">
        <v>2886</v>
      </c>
      <c r="I790" t="b">
        <f>COUNTIF(Estadísticas!I:I,'Centraldecomunicacion.es'!H790)&gt;0</f>
        <v>0</v>
      </c>
    </row>
    <row r="791" spans="1:9">
      <c r="A791" s="1" t="s">
        <v>2887</v>
      </c>
      <c r="B791" s="1" t="s">
        <v>10</v>
      </c>
      <c r="C791" s="1" t="s">
        <v>2888</v>
      </c>
      <c r="D791" s="1" t="s">
        <v>2857</v>
      </c>
      <c r="E791" s="1" t="s">
        <v>2781</v>
      </c>
      <c r="F791" s="1" t="s">
        <v>2889</v>
      </c>
      <c r="G791" s="1" t="s">
        <v>2890</v>
      </c>
      <c r="H791" s="1" t="s">
        <v>2891</v>
      </c>
      <c r="I791" t="b">
        <f>COUNTIF(Estadísticas!I:I,'Centraldecomunicacion.es'!H791)&gt;0</f>
        <v>0</v>
      </c>
    </row>
    <row r="792" spans="1:9">
      <c r="A792" s="1" t="s">
        <v>782</v>
      </c>
      <c r="B792" s="1" t="s">
        <v>10</v>
      </c>
      <c r="C792" s="1" t="s">
        <v>2892</v>
      </c>
      <c r="D792" s="1" t="s">
        <v>2857</v>
      </c>
      <c r="E792" s="1" t="s">
        <v>2781</v>
      </c>
      <c r="F792" s="1" t="s">
        <v>23</v>
      </c>
      <c r="G792" s="1" t="s">
        <v>2893</v>
      </c>
      <c r="H792" s="1" t="s">
        <v>15</v>
      </c>
      <c r="I792" t="b">
        <f>COUNTIF(Estadísticas!I:I,'Centraldecomunicacion.es'!H792)&gt;0</f>
        <v>0</v>
      </c>
    </row>
    <row r="793" spans="1:9">
      <c r="A793" s="1" t="s">
        <v>2894</v>
      </c>
      <c r="B793" s="1" t="s">
        <v>10</v>
      </c>
      <c r="C793" s="1" t="s">
        <v>2895</v>
      </c>
      <c r="D793" s="1" t="s">
        <v>2857</v>
      </c>
      <c r="E793" s="1" t="s">
        <v>2781</v>
      </c>
      <c r="F793" s="1" t="s">
        <v>23</v>
      </c>
      <c r="G793" s="1" t="s">
        <v>2896</v>
      </c>
      <c r="H793" s="1" t="s">
        <v>15</v>
      </c>
      <c r="I793" t="b">
        <f>COUNTIF(Estadísticas!I:I,'Centraldecomunicacion.es'!H793)&gt;0</f>
        <v>0</v>
      </c>
    </row>
    <row r="794" spans="1:9">
      <c r="A794" s="1" t="s">
        <v>2897</v>
      </c>
      <c r="B794" s="1" t="s">
        <v>10</v>
      </c>
      <c r="C794" s="1" t="s">
        <v>2898</v>
      </c>
      <c r="D794" s="1" t="s">
        <v>2857</v>
      </c>
      <c r="E794" s="1" t="s">
        <v>2781</v>
      </c>
      <c r="F794" s="1" t="s">
        <v>2899</v>
      </c>
      <c r="G794" s="1" t="s">
        <v>2854</v>
      </c>
      <c r="H794" s="1" t="s">
        <v>2900</v>
      </c>
      <c r="I794" t="b">
        <f>COUNTIF(Estadísticas!I:I,'Centraldecomunicacion.es'!H794)&gt;0</f>
        <v>0</v>
      </c>
    </row>
    <row r="795" spans="1:9">
      <c r="A795" s="1" t="s">
        <v>2901</v>
      </c>
      <c r="B795" s="1" t="s">
        <v>10</v>
      </c>
      <c r="C795" s="1" t="s">
        <v>2902</v>
      </c>
      <c r="D795" s="1" t="s">
        <v>2857</v>
      </c>
      <c r="E795" s="1" t="s">
        <v>2781</v>
      </c>
      <c r="F795" s="1" t="s">
        <v>23</v>
      </c>
      <c r="G795" s="1" t="s">
        <v>2903</v>
      </c>
      <c r="H795" s="1" t="s">
        <v>15</v>
      </c>
      <c r="I795" t="b">
        <f>COUNTIF(Estadísticas!I:I,'Centraldecomunicacion.es'!H795)&gt;0</f>
        <v>0</v>
      </c>
    </row>
    <row r="796" spans="1:9">
      <c r="A796" s="1" t="s">
        <v>2522</v>
      </c>
      <c r="B796" s="1" t="s">
        <v>10</v>
      </c>
      <c r="C796" s="1" t="s">
        <v>2904</v>
      </c>
      <c r="D796" s="1" t="s">
        <v>2857</v>
      </c>
      <c r="E796" s="1" t="s">
        <v>2781</v>
      </c>
      <c r="F796" s="1" t="s">
        <v>23</v>
      </c>
      <c r="G796" s="1" t="s">
        <v>2905</v>
      </c>
      <c r="H796" s="1" t="s">
        <v>15</v>
      </c>
      <c r="I796" t="b">
        <f>COUNTIF(Estadísticas!I:I,'Centraldecomunicacion.es'!H796)&gt;0</f>
        <v>0</v>
      </c>
    </row>
    <row r="797" spans="1:9">
      <c r="A797" s="1" t="s">
        <v>2906</v>
      </c>
      <c r="B797" s="1" t="s">
        <v>10</v>
      </c>
      <c r="C797" s="1" t="s">
        <v>23</v>
      </c>
      <c r="D797" s="1" t="s">
        <v>2869</v>
      </c>
      <c r="E797" s="1" t="s">
        <v>23</v>
      </c>
      <c r="F797" s="1" t="s">
        <v>2907</v>
      </c>
      <c r="G797" s="1" t="s">
        <v>23</v>
      </c>
      <c r="H797" s="1" t="s">
        <v>222</v>
      </c>
      <c r="I797" t="b">
        <f>COUNTIF(Estadísticas!I:I,'Centraldecomunicacion.es'!H797)&gt;0</f>
        <v>0</v>
      </c>
    </row>
    <row r="798" spans="1:9">
      <c r="A798" s="1" t="s">
        <v>2908</v>
      </c>
      <c r="B798" s="1" t="s">
        <v>10</v>
      </c>
      <c r="C798" s="1" t="s">
        <v>2877</v>
      </c>
      <c r="D798" s="1" t="s">
        <v>2857</v>
      </c>
      <c r="E798" s="1" t="s">
        <v>2781</v>
      </c>
      <c r="F798" s="1" t="s">
        <v>23</v>
      </c>
      <c r="G798" s="1" t="s">
        <v>2878</v>
      </c>
      <c r="H798" s="1" t="s">
        <v>15</v>
      </c>
      <c r="I798" t="b">
        <f>COUNTIF(Estadísticas!I:I,'Centraldecomunicacion.es'!H798)&gt;0</f>
        <v>0</v>
      </c>
    </row>
    <row r="799" spans="1:9">
      <c r="A799" s="1" t="s">
        <v>2909</v>
      </c>
      <c r="B799" s="1" t="s">
        <v>10</v>
      </c>
      <c r="C799" s="1" t="s">
        <v>2910</v>
      </c>
      <c r="D799" s="1" t="s">
        <v>2869</v>
      </c>
      <c r="E799" s="1" t="s">
        <v>2781</v>
      </c>
      <c r="F799" s="1" t="s">
        <v>2911</v>
      </c>
      <c r="G799" s="1" t="s">
        <v>2912</v>
      </c>
      <c r="H799" s="1" t="s">
        <v>15</v>
      </c>
      <c r="I799" t="b">
        <f>COUNTIF(Estadísticas!I:I,'Centraldecomunicacion.es'!H799)&gt;0</f>
        <v>0</v>
      </c>
    </row>
    <row r="800" spans="1:9">
      <c r="A800" s="1" t="s">
        <v>2913</v>
      </c>
      <c r="B800" s="1" t="s">
        <v>10</v>
      </c>
      <c r="C800" s="1" t="s">
        <v>2914</v>
      </c>
      <c r="D800" s="1" t="s">
        <v>2915</v>
      </c>
      <c r="E800" s="1" t="s">
        <v>2781</v>
      </c>
      <c r="F800" s="1" t="s">
        <v>23</v>
      </c>
      <c r="G800" s="1" t="s">
        <v>2916</v>
      </c>
      <c r="H800" s="1" t="s">
        <v>15</v>
      </c>
      <c r="I800" t="b">
        <f>COUNTIF(Estadísticas!I:I,'Centraldecomunicacion.es'!H800)&gt;0</f>
        <v>0</v>
      </c>
    </row>
    <row r="801" spans="1:9">
      <c r="A801" s="1" t="s">
        <v>2917</v>
      </c>
      <c r="B801" s="1" t="s">
        <v>10</v>
      </c>
      <c r="C801" s="1" t="s">
        <v>23</v>
      </c>
      <c r="D801" s="1" t="s">
        <v>2869</v>
      </c>
      <c r="E801" s="1" t="s">
        <v>23</v>
      </c>
      <c r="F801" s="1" t="s">
        <v>2918</v>
      </c>
      <c r="G801" s="1" t="s">
        <v>23</v>
      </c>
      <c r="H801" s="1" t="s">
        <v>2919</v>
      </c>
      <c r="I801" t="b">
        <f>COUNTIF(Estadísticas!I:I,'Centraldecomunicacion.es'!H801)&gt;0</f>
        <v>1</v>
      </c>
    </row>
    <row r="802" spans="1:9">
      <c r="A802" s="1" t="s">
        <v>2920</v>
      </c>
      <c r="B802" s="1" t="s">
        <v>10</v>
      </c>
      <c r="C802" s="1" t="s">
        <v>2921</v>
      </c>
      <c r="D802" s="1" t="s">
        <v>2922</v>
      </c>
      <c r="E802" s="1" t="s">
        <v>2781</v>
      </c>
      <c r="F802" s="1" t="s">
        <v>23</v>
      </c>
      <c r="G802" s="1" t="s">
        <v>2923</v>
      </c>
      <c r="H802" s="1" t="s">
        <v>15</v>
      </c>
      <c r="I802" t="b">
        <f>COUNTIF(Estadísticas!I:I,'Centraldecomunicacion.es'!H802)&gt;0</f>
        <v>0</v>
      </c>
    </row>
    <row r="803" spans="1:9">
      <c r="A803" s="1" t="s">
        <v>2924</v>
      </c>
      <c r="B803" s="1" t="s">
        <v>10</v>
      </c>
      <c r="C803" s="1" t="s">
        <v>2925</v>
      </c>
      <c r="D803" s="1" t="s">
        <v>2926</v>
      </c>
      <c r="E803" s="1" t="s">
        <v>2781</v>
      </c>
      <c r="F803" s="1" t="s">
        <v>2927</v>
      </c>
      <c r="G803" s="1" t="s">
        <v>2928</v>
      </c>
      <c r="H803" s="1" t="s">
        <v>2929</v>
      </c>
      <c r="I803" t="b">
        <f>COUNTIF(Estadísticas!I:I,'Centraldecomunicacion.es'!H803)&gt;0</f>
        <v>0</v>
      </c>
    </row>
    <row r="804" spans="1:9">
      <c r="A804" s="1" t="s">
        <v>2930</v>
      </c>
      <c r="B804" s="1" t="s">
        <v>10</v>
      </c>
      <c r="C804" s="1" t="s">
        <v>2931</v>
      </c>
      <c r="D804" s="1" t="s">
        <v>2926</v>
      </c>
      <c r="E804" s="1" t="s">
        <v>2781</v>
      </c>
      <c r="F804" s="1" t="s">
        <v>23</v>
      </c>
      <c r="G804" s="1" t="s">
        <v>23</v>
      </c>
      <c r="H804" s="1" t="s">
        <v>15</v>
      </c>
      <c r="I804" t="b">
        <f>COUNTIF(Estadísticas!I:I,'Centraldecomunicacion.es'!H804)&gt;0</f>
        <v>0</v>
      </c>
    </row>
    <row r="805" spans="1:9">
      <c r="A805" s="1" t="s">
        <v>2932</v>
      </c>
      <c r="B805" s="1" t="s">
        <v>10</v>
      </c>
      <c r="C805" s="1" t="s">
        <v>2933</v>
      </c>
      <c r="D805" s="1" t="s">
        <v>2934</v>
      </c>
      <c r="E805" s="1" t="s">
        <v>2781</v>
      </c>
      <c r="F805" s="1" t="s">
        <v>23</v>
      </c>
      <c r="G805" s="1" t="s">
        <v>2935</v>
      </c>
      <c r="H805" s="1" t="s">
        <v>15</v>
      </c>
      <c r="I805" t="b">
        <f>COUNTIF(Estadísticas!I:I,'Centraldecomunicacion.es'!H805)&gt;0</f>
        <v>0</v>
      </c>
    </row>
    <row r="806" spans="1:9">
      <c r="A806" s="1" t="s">
        <v>2936</v>
      </c>
      <c r="B806" s="1" t="s">
        <v>10</v>
      </c>
      <c r="C806" s="1" t="s">
        <v>2937</v>
      </c>
      <c r="D806" s="1" t="s">
        <v>2938</v>
      </c>
      <c r="E806" s="1" t="s">
        <v>2781</v>
      </c>
      <c r="F806" s="1" t="s">
        <v>1499</v>
      </c>
      <c r="G806" s="1" t="s">
        <v>2939</v>
      </c>
      <c r="H806" s="1" t="s">
        <v>1501</v>
      </c>
      <c r="I806" t="b">
        <f>COUNTIF(Estadísticas!I:I,'Centraldecomunicacion.es'!H806)&gt;0</f>
        <v>0</v>
      </c>
    </row>
    <row r="807" spans="1:9">
      <c r="A807" s="1" t="s">
        <v>2940</v>
      </c>
      <c r="B807" s="1" t="s">
        <v>10</v>
      </c>
      <c r="C807" s="1" t="s">
        <v>2941</v>
      </c>
      <c r="D807" s="1" t="s">
        <v>2926</v>
      </c>
      <c r="E807" s="1" t="s">
        <v>2781</v>
      </c>
      <c r="F807" s="1" t="s">
        <v>23</v>
      </c>
      <c r="G807" s="1" t="s">
        <v>2942</v>
      </c>
      <c r="H807" s="1" t="s">
        <v>15</v>
      </c>
      <c r="I807" t="b">
        <f>COUNTIF(Estadísticas!I:I,'Centraldecomunicacion.es'!H807)&gt;0</f>
        <v>0</v>
      </c>
    </row>
    <row r="808" spans="1:9">
      <c r="A808" s="1" t="s">
        <v>2943</v>
      </c>
      <c r="B808" s="1" t="s">
        <v>10</v>
      </c>
      <c r="C808" s="1" t="s">
        <v>2931</v>
      </c>
      <c r="D808" s="1" t="s">
        <v>2926</v>
      </c>
      <c r="E808" s="1" t="s">
        <v>2781</v>
      </c>
      <c r="F808" s="1" t="s">
        <v>2944</v>
      </c>
      <c r="G808" s="1" t="s">
        <v>2945</v>
      </c>
      <c r="H808" s="1" t="s">
        <v>2946</v>
      </c>
      <c r="I808" t="b">
        <f>COUNTIF(Estadísticas!I:I,'Centraldecomunicacion.es'!H808)&gt;0</f>
        <v>0</v>
      </c>
    </row>
    <row r="809" spans="1:9">
      <c r="A809" s="1" t="s">
        <v>2947</v>
      </c>
      <c r="B809" s="1" t="s">
        <v>10</v>
      </c>
      <c r="C809" s="1" t="s">
        <v>2948</v>
      </c>
      <c r="D809" s="1" t="s">
        <v>2949</v>
      </c>
      <c r="E809" s="1" t="s">
        <v>2781</v>
      </c>
      <c r="F809" s="1" t="s">
        <v>2858</v>
      </c>
      <c r="G809" s="1" t="s">
        <v>2950</v>
      </c>
      <c r="H809" s="1" t="s">
        <v>2860</v>
      </c>
      <c r="I809" t="b">
        <f>COUNTIF(Estadísticas!I:I,'Centraldecomunicacion.es'!H809)&gt;0</f>
        <v>0</v>
      </c>
    </row>
    <row r="810" spans="1:9">
      <c r="A810" s="1" t="s">
        <v>2951</v>
      </c>
      <c r="B810" s="1" t="s">
        <v>10</v>
      </c>
      <c r="C810" s="1" t="s">
        <v>2952</v>
      </c>
      <c r="D810" s="1" t="s">
        <v>2926</v>
      </c>
      <c r="E810" s="1" t="s">
        <v>2781</v>
      </c>
      <c r="F810" s="1" t="s">
        <v>23</v>
      </c>
      <c r="G810" s="1" t="s">
        <v>2953</v>
      </c>
      <c r="H810" s="1" t="s">
        <v>15</v>
      </c>
      <c r="I810" t="b">
        <f>COUNTIF(Estadísticas!I:I,'Centraldecomunicacion.es'!H810)&gt;0</f>
        <v>0</v>
      </c>
    </row>
    <row r="811" spans="1:9">
      <c r="A811" s="1" t="s">
        <v>2954</v>
      </c>
      <c r="B811" s="1" t="s">
        <v>10</v>
      </c>
      <c r="C811" s="1" t="s">
        <v>2955</v>
      </c>
      <c r="D811" s="1" t="s">
        <v>2949</v>
      </c>
      <c r="E811" s="1" t="s">
        <v>2781</v>
      </c>
      <c r="F811" s="1" t="s">
        <v>56</v>
      </c>
      <c r="G811" s="1" t="s">
        <v>2956</v>
      </c>
      <c r="H811" s="1" t="s">
        <v>15</v>
      </c>
      <c r="I811" t="b">
        <f>COUNTIF(Estadísticas!I:I,'Centraldecomunicacion.es'!H811)&gt;0</f>
        <v>0</v>
      </c>
    </row>
    <row r="812" spans="1:9">
      <c r="A812" s="1" t="s">
        <v>2957</v>
      </c>
      <c r="B812" s="1" t="s">
        <v>10</v>
      </c>
      <c r="C812" s="1" t="s">
        <v>2958</v>
      </c>
      <c r="D812" s="1" t="s">
        <v>2949</v>
      </c>
      <c r="E812" s="1" t="s">
        <v>2781</v>
      </c>
      <c r="F812" s="1" t="s">
        <v>2959</v>
      </c>
      <c r="G812" s="1" t="s">
        <v>2960</v>
      </c>
      <c r="H812" s="1" t="s">
        <v>2961</v>
      </c>
      <c r="I812" t="b">
        <f>COUNTIF(Estadísticas!I:I,'Centraldecomunicacion.es'!H812)&gt;0</f>
        <v>0</v>
      </c>
    </row>
    <row r="813" spans="1:9">
      <c r="A813" s="1" t="s">
        <v>2962</v>
      </c>
      <c r="B813" s="1" t="s">
        <v>10</v>
      </c>
      <c r="C813" s="1" t="s">
        <v>2963</v>
      </c>
      <c r="D813" s="1" t="s">
        <v>2938</v>
      </c>
      <c r="E813" s="1" t="s">
        <v>2781</v>
      </c>
      <c r="F813" s="1" t="s">
        <v>23</v>
      </c>
      <c r="G813" s="1" t="s">
        <v>2964</v>
      </c>
      <c r="H813" s="1" t="s">
        <v>15</v>
      </c>
      <c r="I813" t="b">
        <f>COUNTIF(Estadísticas!I:I,'Centraldecomunicacion.es'!H813)&gt;0</f>
        <v>0</v>
      </c>
    </row>
    <row r="814" spans="1:9">
      <c r="A814" s="1" t="s">
        <v>2965</v>
      </c>
      <c r="B814" s="1" t="s">
        <v>10</v>
      </c>
      <c r="C814" s="1" t="s">
        <v>2966</v>
      </c>
      <c r="D814" s="1" t="s">
        <v>2967</v>
      </c>
      <c r="E814" s="1" t="s">
        <v>2781</v>
      </c>
      <c r="F814" s="1" t="s">
        <v>23</v>
      </c>
      <c r="G814" s="1" t="s">
        <v>2968</v>
      </c>
      <c r="H814" s="1" t="s">
        <v>15</v>
      </c>
      <c r="I814" t="b">
        <f>COUNTIF(Estadísticas!I:I,'Centraldecomunicacion.es'!H814)&gt;0</f>
        <v>0</v>
      </c>
    </row>
    <row r="815" spans="1:9">
      <c r="A815" s="1" t="s">
        <v>2969</v>
      </c>
      <c r="B815" s="1" t="s">
        <v>10</v>
      </c>
      <c r="C815" s="1" t="s">
        <v>2970</v>
      </c>
      <c r="D815" s="1" t="s">
        <v>2971</v>
      </c>
      <c r="E815" s="1" t="s">
        <v>2781</v>
      </c>
      <c r="F815" s="1" t="s">
        <v>23</v>
      </c>
      <c r="G815" s="1" t="s">
        <v>2972</v>
      </c>
      <c r="H815" s="1" t="s">
        <v>15</v>
      </c>
      <c r="I815" t="b">
        <f>COUNTIF(Estadísticas!I:I,'Centraldecomunicacion.es'!H815)&gt;0</f>
        <v>0</v>
      </c>
    </row>
    <row r="816" spans="1:9">
      <c r="A816" s="1" t="s">
        <v>2973</v>
      </c>
      <c r="B816" s="1" t="s">
        <v>10</v>
      </c>
      <c r="C816" s="1" t="s">
        <v>2974</v>
      </c>
      <c r="D816" s="1" t="s">
        <v>2967</v>
      </c>
      <c r="E816" s="1" t="s">
        <v>2781</v>
      </c>
      <c r="F816" s="1" t="s">
        <v>23</v>
      </c>
      <c r="G816" s="1" t="s">
        <v>2975</v>
      </c>
      <c r="H816" s="1" t="s">
        <v>15</v>
      </c>
      <c r="I816" t="b">
        <f>COUNTIF(Estadísticas!I:I,'Centraldecomunicacion.es'!H816)&gt;0</f>
        <v>0</v>
      </c>
    </row>
    <row r="817" spans="1:9">
      <c r="A817" s="1" t="s">
        <v>2976</v>
      </c>
      <c r="B817" s="1" t="s">
        <v>10</v>
      </c>
      <c r="C817" s="1" t="s">
        <v>2977</v>
      </c>
      <c r="D817" s="1" t="s">
        <v>2926</v>
      </c>
      <c r="E817" s="1" t="s">
        <v>2781</v>
      </c>
      <c r="F817" s="1" t="s">
        <v>23</v>
      </c>
      <c r="G817" s="1" t="s">
        <v>2978</v>
      </c>
      <c r="H817" s="1" t="s">
        <v>15</v>
      </c>
      <c r="I817" t="b">
        <f>COUNTIF(Estadísticas!I:I,'Centraldecomunicacion.es'!H817)&gt;0</f>
        <v>0</v>
      </c>
    </row>
    <row r="818" spans="1:9">
      <c r="A818" s="1" t="s">
        <v>2979</v>
      </c>
      <c r="B818" s="1" t="s">
        <v>10</v>
      </c>
      <c r="C818" s="1" t="s">
        <v>2980</v>
      </c>
      <c r="D818" s="1" t="s">
        <v>2981</v>
      </c>
      <c r="E818" s="1" t="s">
        <v>2781</v>
      </c>
      <c r="F818" s="1" t="s">
        <v>23</v>
      </c>
      <c r="G818" s="1" t="s">
        <v>2982</v>
      </c>
      <c r="H818" s="1" t="s">
        <v>15</v>
      </c>
      <c r="I818" t="b">
        <f>COUNTIF(Estadísticas!I:I,'Centraldecomunicacion.es'!H818)&gt;0</f>
        <v>0</v>
      </c>
    </row>
    <row r="819" spans="1:9">
      <c r="A819" s="1" t="s">
        <v>2983</v>
      </c>
      <c r="B819" s="1" t="s">
        <v>10</v>
      </c>
      <c r="C819" s="1" t="s">
        <v>2984</v>
      </c>
      <c r="D819" s="1" t="s">
        <v>2985</v>
      </c>
      <c r="E819" s="1" t="s">
        <v>2781</v>
      </c>
      <c r="F819" s="1" t="s">
        <v>23</v>
      </c>
      <c r="G819" s="1" t="s">
        <v>2986</v>
      </c>
      <c r="H819" s="1" t="s">
        <v>15</v>
      </c>
      <c r="I819" t="b">
        <f>COUNTIF(Estadísticas!I:I,'Centraldecomunicacion.es'!H819)&gt;0</f>
        <v>0</v>
      </c>
    </row>
    <row r="820" spans="1:9">
      <c r="A820" s="1" t="s">
        <v>2987</v>
      </c>
      <c r="B820" s="1" t="s">
        <v>10</v>
      </c>
      <c r="C820" s="1" t="s">
        <v>2988</v>
      </c>
      <c r="D820" s="1" t="s">
        <v>2985</v>
      </c>
      <c r="E820" s="1" t="s">
        <v>2781</v>
      </c>
      <c r="F820" s="1" t="s">
        <v>23</v>
      </c>
      <c r="G820" s="1" t="s">
        <v>2989</v>
      </c>
      <c r="H820" s="1" t="s">
        <v>15</v>
      </c>
      <c r="I820" t="b">
        <f>COUNTIF(Estadísticas!I:I,'Centraldecomunicacion.es'!H820)&gt;0</f>
        <v>0</v>
      </c>
    </row>
    <row r="821" spans="1:9">
      <c r="A821" s="1" t="s">
        <v>2990</v>
      </c>
      <c r="B821" s="1" t="s">
        <v>10</v>
      </c>
      <c r="C821" s="1" t="s">
        <v>2991</v>
      </c>
      <c r="D821" s="1" t="s">
        <v>2981</v>
      </c>
      <c r="E821" s="1" t="s">
        <v>2781</v>
      </c>
      <c r="F821" s="1" t="s">
        <v>23</v>
      </c>
      <c r="G821" s="1" t="s">
        <v>2992</v>
      </c>
      <c r="H821" s="1" t="s">
        <v>15</v>
      </c>
      <c r="I821" t="b">
        <f>COUNTIF(Estadísticas!I:I,'Centraldecomunicacion.es'!H821)&gt;0</f>
        <v>0</v>
      </c>
    </row>
    <row r="822" spans="1:9">
      <c r="A822" s="1" t="s">
        <v>2993</v>
      </c>
      <c r="B822" s="1" t="s">
        <v>10</v>
      </c>
      <c r="C822" s="1" t="s">
        <v>2994</v>
      </c>
      <c r="D822" s="1" t="s">
        <v>2995</v>
      </c>
      <c r="E822" s="1" t="s">
        <v>2781</v>
      </c>
      <c r="F822" s="1" t="s">
        <v>2996</v>
      </c>
      <c r="G822" s="1" t="s">
        <v>2997</v>
      </c>
      <c r="H822" s="1" t="s">
        <v>2998</v>
      </c>
      <c r="I822" t="b">
        <f>COUNTIF(Estadísticas!I:I,'Centraldecomunicacion.es'!H822)&gt;0</f>
        <v>0</v>
      </c>
    </row>
    <row r="823" spans="1:9">
      <c r="A823" s="1" t="s">
        <v>2999</v>
      </c>
      <c r="B823" s="1" t="s">
        <v>10</v>
      </c>
      <c r="C823" s="1" t="s">
        <v>3000</v>
      </c>
      <c r="D823" s="1" t="s">
        <v>2981</v>
      </c>
      <c r="E823" s="1" t="s">
        <v>2781</v>
      </c>
      <c r="F823" s="1" t="s">
        <v>3001</v>
      </c>
      <c r="G823" s="1" t="s">
        <v>3002</v>
      </c>
      <c r="H823" s="1" t="s">
        <v>15</v>
      </c>
      <c r="I823" t="b">
        <f>COUNTIF(Estadísticas!I:I,'Centraldecomunicacion.es'!H823)&gt;0</f>
        <v>0</v>
      </c>
    </row>
    <row r="824" spans="1:9">
      <c r="A824" s="1" t="s">
        <v>3003</v>
      </c>
      <c r="B824" s="1" t="s">
        <v>10</v>
      </c>
      <c r="C824" s="1" t="s">
        <v>3004</v>
      </c>
      <c r="D824" s="1" t="s">
        <v>2790</v>
      </c>
      <c r="E824" s="1" t="s">
        <v>2781</v>
      </c>
      <c r="F824" s="1" t="s">
        <v>3005</v>
      </c>
      <c r="G824" s="1" t="s">
        <v>3006</v>
      </c>
      <c r="H824" s="1" t="s">
        <v>3007</v>
      </c>
      <c r="I824" t="b">
        <f>COUNTIF(Estadísticas!I:I,'Centraldecomunicacion.es'!H824)&gt;0</f>
        <v>1</v>
      </c>
    </row>
    <row r="825" spans="1:9">
      <c r="A825" s="1" t="s">
        <v>3008</v>
      </c>
      <c r="B825" s="1" t="s">
        <v>10</v>
      </c>
      <c r="C825" s="1" t="s">
        <v>3009</v>
      </c>
      <c r="D825" s="1" t="s">
        <v>3010</v>
      </c>
      <c r="E825" s="1" t="s">
        <v>2781</v>
      </c>
      <c r="F825" s="1" t="s">
        <v>2791</v>
      </c>
      <c r="G825" s="1" t="s">
        <v>3011</v>
      </c>
      <c r="H825" s="1" t="s">
        <v>2793</v>
      </c>
      <c r="I825" t="b">
        <f>COUNTIF(Estadísticas!I:I,'Centraldecomunicacion.es'!H825)&gt;0</f>
        <v>1</v>
      </c>
    </row>
    <row r="826" spans="1:9">
      <c r="A826" s="1" t="s">
        <v>3012</v>
      </c>
      <c r="B826" s="1" t="s">
        <v>10</v>
      </c>
      <c r="C826" s="1" t="s">
        <v>3013</v>
      </c>
      <c r="D826" s="1" t="s">
        <v>3014</v>
      </c>
      <c r="E826" s="1" t="s">
        <v>2781</v>
      </c>
      <c r="F826" s="1" t="s">
        <v>3015</v>
      </c>
      <c r="G826" s="1" t="s">
        <v>3016</v>
      </c>
      <c r="H826" s="1" t="s">
        <v>1091</v>
      </c>
      <c r="I826" t="b">
        <f>COUNTIF(Estadísticas!I:I,'Centraldecomunicacion.es'!H826)&gt;0</f>
        <v>0</v>
      </c>
    </row>
    <row r="827" spans="1:9">
      <c r="A827" s="1" t="s">
        <v>3017</v>
      </c>
      <c r="B827" s="1" t="s">
        <v>10</v>
      </c>
      <c r="C827" s="1" t="s">
        <v>3018</v>
      </c>
      <c r="D827" s="1" t="s">
        <v>2938</v>
      </c>
      <c r="E827" s="1" t="s">
        <v>2781</v>
      </c>
      <c r="F827" s="1" t="s">
        <v>3019</v>
      </c>
      <c r="G827" s="1" t="s">
        <v>2997</v>
      </c>
      <c r="H827" s="1" t="s">
        <v>3020</v>
      </c>
      <c r="I827" t="b">
        <f>COUNTIF(Estadísticas!I:I,'Centraldecomunicacion.es'!H827)&gt;0</f>
        <v>1</v>
      </c>
    </row>
    <row r="828" spans="1:9">
      <c r="A828" s="1" t="s">
        <v>3021</v>
      </c>
      <c r="B828" s="1" t="s">
        <v>10</v>
      </c>
      <c r="C828" s="1" t="s">
        <v>3022</v>
      </c>
      <c r="D828" s="1" t="s">
        <v>2790</v>
      </c>
      <c r="E828" s="1" t="s">
        <v>2781</v>
      </c>
      <c r="F828" s="1" t="s">
        <v>23</v>
      </c>
      <c r="G828" s="1" t="s">
        <v>3023</v>
      </c>
      <c r="H828" s="1" t="s">
        <v>15</v>
      </c>
      <c r="I828" t="b">
        <f>COUNTIF(Estadísticas!I:I,'Centraldecomunicacion.es'!H828)&gt;0</f>
        <v>0</v>
      </c>
    </row>
    <row r="829" spans="1:9">
      <c r="A829" s="1" t="s">
        <v>3024</v>
      </c>
      <c r="B829" s="1" t="s">
        <v>10</v>
      </c>
      <c r="C829" s="1" t="s">
        <v>3025</v>
      </c>
      <c r="D829" s="1" t="s">
        <v>3026</v>
      </c>
      <c r="E829" s="1" t="s">
        <v>2781</v>
      </c>
      <c r="F829" s="1" t="s">
        <v>3027</v>
      </c>
      <c r="G829" s="1" t="s">
        <v>3028</v>
      </c>
      <c r="H829" s="1" t="s">
        <v>3029</v>
      </c>
      <c r="I829" t="b">
        <f>COUNTIF(Estadísticas!I:I,'Centraldecomunicacion.es'!H829)&gt;0</f>
        <v>1</v>
      </c>
    </row>
    <row r="830" spans="1:9">
      <c r="A830" s="1" t="s">
        <v>3030</v>
      </c>
      <c r="B830" s="1" t="s">
        <v>10</v>
      </c>
      <c r="C830" s="1" t="s">
        <v>3031</v>
      </c>
      <c r="D830" s="1" t="s">
        <v>2786</v>
      </c>
      <c r="E830" s="1" t="s">
        <v>2781</v>
      </c>
      <c r="F830" s="1" t="s">
        <v>23</v>
      </c>
      <c r="G830" s="1" t="s">
        <v>3032</v>
      </c>
      <c r="H830" s="1" t="s">
        <v>15</v>
      </c>
      <c r="I830" t="b">
        <f>COUNTIF(Estadísticas!I:I,'Centraldecomunicacion.es'!H830)&gt;0</f>
        <v>0</v>
      </c>
    </row>
    <row r="831" spans="1:9">
      <c r="A831" s="1" t="s">
        <v>1068</v>
      </c>
      <c r="B831" s="1" t="s">
        <v>10</v>
      </c>
      <c r="C831" s="1" t="s">
        <v>3033</v>
      </c>
      <c r="D831" s="1" t="s">
        <v>3034</v>
      </c>
      <c r="E831" s="1" t="s">
        <v>2781</v>
      </c>
      <c r="F831" s="1" t="s">
        <v>23</v>
      </c>
      <c r="G831" s="1" t="s">
        <v>3035</v>
      </c>
      <c r="H831" s="1" t="s">
        <v>15</v>
      </c>
      <c r="I831" t="b">
        <f>COUNTIF(Estadísticas!I:I,'Centraldecomunicacion.es'!H831)&gt;0</f>
        <v>0</v>
      </c>
    </row>
    <row r="832" spans="1:9">
      <c r="A832" s="1" t="s">
        <v>3036</v>
      </c>
      <c r="B832" s="1" t="s">
        <v>10</v>
      </c>
      <c r="C832" s="1" t="s">
        <v>3037</v>
      </c>
      <c r="D832" s="1" t="s">
        <v>2869</v>
      </c>
      <c r="E832" s="1" t="s">
        <v>2781</v>
      </c>
      <c r="F832" s="1" t="s">
        <v>23</v>
      </c>
      <c r="G832" s="1" t="s">
        <v>3038</v>
      </c>
      <c r="H832" s="1" t="s">
        <v>15</v>
      </c>
      <c r="I832" t="b">
        <f>COUNTIF(Estadísticas!I:I,'Centraldecomunicacion.es'!H832)&gt;0</f>
        <v>0</v>
      </c>
    </row>
    <row r="833" spans="1:9">
      <c r="A833" s="1" t="s">
        <v>3039</v>
      </c>
      <c r="B833" s="1" t="s">
        <v>10</v>
      </c>
      <c r="C833" s="1" t="s">
        <v>3040</v>
      </c>
      <c r="D833" s="1" t="s">
        <v>2869</v>
      </c>
      <c r="E833" s="1" t="s">
        <v>2781</v>
      </c>
      <c r="F833" s="1" t="s">
        <v>23</v>
      </c>
      <c r="G833" s="1" t="s">
        <v>3041</v>
      </c>
      <c r="H833" s="1" t="s">
        <v>15</v>
      </c>
      <c r="I833" t="b">
        <f>COUNTIF(Estadísticas!I:I,'Centraldecomunicacion.es'!H833)&gt;0</f>
        <v>0</v>
      </c>
    </row>
    <row r="834" spans="1:9">
      <c r="A834" s="1" t="s">
        <v>3042</v>
      </c>
      <c r="B834" s="1" t="s">
        <v>10</v>
      </c>
      <c r="C834" s="1" t="s">
        <v>3043</v>
      </c>
      <c r="D834" s="1" t="s">
        <v>3044</v>
      </c>
      <c r="E834" s="1" t="s">
        <v>2781</v>
      </c>
      <c r="F834" s="1" t="s">
        <v>23</v>
      </c>
      <c r="G834" s="1" t="s">
        <v>3045</v>
      </c>
      <c r="H834" s="1" t="s">
        <v>15</v>
      </c>
      <c r="I834" t="b">
        <f>COUNTIF(Estadísticas!I:I,'Centraldecomunicacion.es'!H834)&gt;0</f>
        <v>0</v>
      </c>
    </row>
    <row r="835" spans="1:9">
      <c r="A835" s="1" t="s">
        <v>3046</v>
      </c>
      <c r="B835" s="1" t="s">
        <v>10</v>
      </c>
      <c r="C835" s="1" t="s">
        <v>3047</v>
      </c>
      <c r="D835" s="1" t="s">
        <v>3048</v>
      </c>
      <c r="E835" s="1" t="s">
        <v>2781</v>
      </c>
      <c r="F835" s="1" t="s">
        <v>23</v>
      </c>
      <c r="G835" s="1" t="s">
        <v>3049</v>
      </c>
      <c r="H835" s="1" t="s">
        <v>15</v>
      </c>
      <c r="I835" t="b">
        <f>COUNTIF(Estadísticas!I:I,'Centraldecomunicacion.es'!H835)&gt;0</f>
        <v>0</v>
      </c>
    </row>
    <row r="836" spans="1:9">
      <c r="A836" s="1" t="s">
        <v>3050</v>
      </c>
      <c r="B836" s="1" t="s">
        <v>10</v>
      </c>
      <c r="C836" s="1" t="s">
        <v>3051</v>
      </c>
      <c r="D836" s="1" t="s">
        <v>3052</v>
      </c>
      <c r="E836" s="1" t="s">
        <v>2781</v>
      </c>
      <c r="F836" s="1" t="s">
        <v>3053</v>
      </c>
      <c r="G836" s="1" t="s">
        <v>3054</v>
      </c>
      <c r="H836" s="1" t="s">
        <v>15</v>
      </c>
      <c r="I836" t="b">
        <f>COUNTIF(Estadísticas!I:I,'Centraldecomunicacion.es'!H836)&gt;0</f>
        <v>0</v>
      </c>
    </row>
    <row r="837" spans="1:9">
      <c r="A837" s="1" t="s">
        <v>3055</v>
      </c>
      <c r="B837" s="1" t="s">
        <v>10</v>
      </c>
      <c r="C837" s="1" t="s">
        <v>3056</v>
      </c>
      <c r="D837" s="1" t="s">
        <v>3014</v>
      </c>
      <c r="E837" s="1" t="s">
        <v>2781</v>
      </c>
      <c r="F837" s="1" t="s">
        <v>3057</v>
      </c>
      <c r="G837" s="1" t="s">
        <v>3058</v>
      </c>
      <c r="H837" s="1" t="s">
        <v>3059</v>
      </c>
      <c r="I837" t="b">
        <f>COUNTIF(Estadísticas!I:I,'Centraldecomunicacion.es'!H837)&gt;0</f>
        <v>1</v>
      </c>
    </row>
    <row r="838" spans="1:9">
      <c r="A838" s="1" t="s">
        <v>3060</v>
      </c>
      <c r="B838" s="1" t="s">
        <v>10</v>
      </c>
      <c r="C838" s="1" t="s">
        <v>3061</v>
      </c>
      <c r="D838" s="1" t="s">
        <v>3062</v>
      </c>
      <c r="E838" s="1" t="s">
        <v>2282</v>
      </c>
      <c r="F838" s="1" t="s">
        <v>3063</v>
      </c>
      <c r="G838" s="1" t="s">
        <v>3064</v>
      </c>
      <c r="H838" s="1" t="s">
        <v>3065</v>
      </c>
      <c r="I838" t="b">
        <f>COUNTIF(Estadísticas!I:I,'Centraldecomunicacion.es'!H838)&gt;0</f>
        <v>0</v>
      </c>
    </row>
    <row r="839" spans="1:9">
      <c r="A839" s="1" t="s">
        <v>3066</v>
      </c>
      <c r="B839" s="1" t="s">
        <v>10</v>
      </c>
      <c r="C839" s="1" t="s">
        <v>3067</v>
      </c>
      <c r="D839" s="1" t="s">
        <v>3062</v>
      </c>
      <c r="E839" s="1" t="s">
        <v>2282</v>
      </c>
      <c r="F839" s="1" t="s">
        <v>3068</v>
      </c>
      <c r="G839" s="1" t="s">
        <v>3069</v>
      </c>
      <c r="H839" s="1" t="s">
        <v>15</v>
      </c>
      <c r="I839" t="b">
        <f>COUNTIF(Estadísticas!I:I,'Centraldecomunicacion.es'!H839)&gt;0</f>
        <v>0</v>
      </c>
    </row>
    <row r="840" spans="1:9">
      <c r="A840" s="1" t="s">
        <v>3070</v>
      </c>
      <c r="B840" s="1" t="s">
        <v>10</v>
      </c>
      <c r="C840" s="1" t="s">
        <v>3071</v>
      </c>
      <c r="D840" s="1" t="s">
        <v>3062</v>
      </c>
      <c r="E840" s="1" t="s">
        <v>2282</v>
      </c>
      <c r="F840" s="1" t="s">
        <v>23</v>
      </c>
      <c r="G840" s="1" t="s">
        <v>3072</v>
      </c>
      <c r="H840" s="1" t="s">
        <v>15</v>
      </c>
      <c r="I840" t="b">
        <f>COUNTIF(Estadísticas!I:I,'Centraldecomunicacion.es'!H840)&gt;0</f>
        <v>0</v>
      </c>
    </row>
    <row r="841" spans="1:9">
      <c r="A841" s="1" t="s">
        <v>3073</v>
      </c>
      <c r="B841" s="1" t="s">
        <v>10</v>
      </c>
      <c r="C841" s="1" t="s">
        <v>3074</v>
      </c>
      <c r="D841" s="1" t="s">
        <v>3062</v>
      </c>
      <c r="E841" s="1" t="s">
        <v>2282</v>
      </c>
      <c r="F841" s="1" t="s">
        <v>23</v>
      </c>
      <c r="G841" s="1" t="s">
        <v>3075</v>
      </c>
      <c r="H841" s="1" t="s">
        <v>15</v>
      </c>
      <c r="I841" t="b">
        <f>COUNTIF(Estadísticas!I:I,'Centraldecomunicacion.es'!H841)&gt;0</f>
        <v>0</v>
      </c>
    </row>
    <row r="842" spans="1:9">
      <c r="A842" s="1" t="s">
        <v>3076</v>
      </c>
      <c r="B842" s="1" t="s">
        <v>10</v>
      </c>
      <c r="C842" s="1" t="s">
        <v>3077</v>
      </c>
      <c r="D842" s="1" t="s">
        <v>3078</v>
      </c>
      <c r="E842" s="1" t="s">
        <v>2282</v>
      </c>
      <c r="F842" s="1" t="s">
        <v>23</v>
      </c>
      <c r="G842" s="1" t="s">
        <v>3079</v>
      </c>
      <c r="H842" s="1" t="s">
        <v>15</v>
      </c>
      <c r="I842" t="b">
        <f>COUNTIF(Estadísticas!I:I,'Centraldecomunicacion.es'!H842)&gt;0</f>
        <v>0</v>
      </c>
    </row>
    <row r="843" spans="1:9">
      <c r="A843" s="1" t="s">
        <v>1653</v>
      </c>
      <c r="B843" s="1" t="s">
        <v>10</v>
      </c>
      <c r="C843" s="1" t="s">
        <v>3080</v>
      </c>
      <c r="D843" s="1" t="s">
        <v>3062</v>
      </c>
      <c r="E843" s="1" t="s">
        <v>2282</v>
      </c>
      <c r="F843" s="1" t="s">
        <v>1655</v>
      </c>
      <c r="G843" s="1" t="s">
        <v>3081</v>
      </c>
      <c r="H843" s="1" t="s">
        <v>1657</v>
      </c>
      <c r="I843" t="b">
        <f>COUNTIF(Estadísticas!I:I,'Centraldecomunicacion.es'!H843)&gt;0</f>
        <v>0</v>
      </c>
    </row>
    <row r="844" spans="1:9">
      <c r="A844" s="1" t="s">
        <v>3082</v>
      </c>
      <c r="B844" s="1" t="s">
        <v>10</v>
      </c>
      <c r="C844" s="1" t="s">
        <v>3083</v>
      </c>
      <c r="D844" s="1" t="s">
        <v>3062</v>
      </c>
      <c r="E844" s="1" t="s">
        <v>2282</v>
      </c>
      <c r="F844" s="1" t="s">
        <v>3084</v>
      </c>
      <c r="G844" s="1" t="s">
        <v>3085</v>
      </c>
      <c r="H844" s="1" t="s">
        <v>15</v>
      </c>
      <c r="I844" t="b">
        <f>COUNTIF(Estadísticas!I:I,'Centraldecomunicacion.es'!H844)&gt;0</f>
        <v>0</v>
      </c>
    </row>
    <row r="845" spans="1:9">
      <c r="A845" s="1" t="s">
        <v>3086</v>
      </c>
      <c r="B845" s="1" t="s">
        <v>10</v>
      </c>
      <c r="C845" s="1" t="s">
        <v>3087</v>
      </c>
      <c r="D845" s="1" t="s">
        <v>3062</v>
      </c>
      <c r="E845" s="1" t="s">
        <v>2282</v>
      </c>
      <c r="F845" s="1" t="s">
        <v>3088</v>
      </c>
      <c r="G845" s="1" t="s">
        <v>3089</v>
      </c>
      <c r="H845" s="1" t="s">
        <v>3090</v>
      </c>
      <c r="I845" t="b">
        <f>COUNTIF(Estadísticas!I:I,'Centraldecomunicacion.es'!H845)&gt;0</f>
        <v>0</v>
      </c>
    </row>
    <row r="846" spans="1:9">
      <c r="A846" s="1" t="s">
        <v>3091</v>
      </c>
      <c r="B846" s="1" t="s">
        <v>10</v>
      </c>
      <c r="C846" s="1" t="s">
        <v>3092</v>
      </c>
      <c r="D846" s="1" t="s">
        <v>3078</v>
      </c>
      <c r="E846" s="1" t="s">
        <v>2282</v>
      </c>
      <c r="F846" s="1" t="s">
        <v>3093</v>
      </c>
      <c r="G846" s="1" t="s">
        <v>3094</v>
      </c>
      <c r="H846" s="1" t="s">
        <v>15</v>
      </c>
      <c r="I846" t="b">
        <f>COUNTIF(Estadísticas!I:I,'Centraldecomunicacion.es'!H846)&gt;0</f>
        <v>0</v>
      </c>
    </row>
    <row r="847" spans="1:9">
      <c r="A847" s="1" t="s">
        <v>3095</v>
      </c>
      <c r="B847" s="1" t="s">
        <v>10</v>
      </c>
      <c r="C847" s="1" t="s">
        <v>3096</v>
      </c>
      <c r="D847" s="1" t="s">
        <v>3097</v>
      </c>
      <c r="E847" s="1" t="s">
        <v>2282</v>
      </c>
      <c r="F847" s="1" t="s">
        <v>3098</v>
      </c>
      <c r="G847" s="1" t="s">
        <v>3099</v>
      </c>
      <c r="H847" s="1" t="s">
        <v>3100</v>
      </c>
      <c r="I847" t="b">
        <f>COUNTIF(Estadísticas!I:I,'Centraldecomunicacion.es'!H847)&gt;0</f>
        <v>1</v>
      </c>
    </row>
    <row r="848" spans="1:9">
      <c r="A848" s="1" t="s">
        <v>3082</v>
      </c>
      <c r="B848" s="1" t="s">
        <v>10</v>
      </c>
      <c r="C848" s="1" t="s">
        <v>3101</v>
      </c>
      <c r="D848" s="1" t="s">
        <v>3102</v>
      </c>
      <c r="E848" s="1" t="s">
        <v>2282</v>
      </c>
      <c r="F848" s="1" t="s">
        <v>23</v>
      </c>
      <c r="G848" s="1" t="s">
        <v>3085</v>
      </c>
      <c r="H848" s="1" t="s">
        <v>15</v>
      </c>
      <c r="I848" t="b">
        <f>COUNTIF(Estadísticas!I:I,'Centraldecomunicacion.es'!H848)&gt;0</f>
        <v>0</v>
      </c>
    </row>
    <row r="849" spans="1:9">
      <c r="A849" s="1" t="s">
        <v>3103</v>
      </c>
      <c r="B849" s="1" t="s">
        <v>10</v>
      </c>
      <c r="C849" s="1" t="s">
        <v>3104</v>
      </c>
      <c r="D849" s="1" t="s">
        <v>3105</v>
      </c>
      <c r="E849" s="1" t="s">
        <v>2282</v>
      </c>
      <c r="F849" s="1" t="s">
        <v>3106</v>
      </c>
      <c r="G849" s="1" t="s">
        <v>3107</v>
      </c>
      <c r="H849" s="1" t="s">
        <v>15</v>
      </c>
      <c r="I849" t="b">
        <f>COUNTIF(Estadísticas!I:I,'Centraldecomunicacion.es'!H849)&gt;0</f>
        <v>0</v>
      </c>
    </row>
    <row r="850" spans="1:9">
      <c r="A850" s="1" t="s">
        <v>3108</v>
      </c>
      <c r="B850" s="1" t="s">
        <v>10</v>
      </c>
      <c r="C850" s="1" t="s">
        <v>3109</v>
      </c>
      <c r="D850" s="1" t="s">
        <v>3097</v>
      </c>
      <c r="E850" s="1" t="s">
        <v>2282</v>
      </c>
      <c r="F850" s="1" t="s">
        <v>23</v>
      </c>
      <c r="G850" s="1" t="s">
        <v>3110</v>
      </c>
      <c r="H850" s="1" t="s">
        <v>15</v>
      </c>
      <c r="I850" t="b">
        <f>COUNTIF(Estadísticas!I:I,'Centraldecomunicacion.es'!H850)&gt;0</f>
        <v>0</v>
      </c>
    </row>
    <row r="851" spans="1:9">
      <c r="A851" s="1" t="s">
        <v>3111</v>
      </c>
      <c r="B851" s="1" t="s">
        <v>10</v>
      </c>
      <c r="C851" s="1" t="s">
        <v>3112</v>
      </c>
      <c r="D851" s="1" t="s">
        <v>3113</v>
      </c>
      <c r="E851" s="1" t="s">
        <v>2282</v>
      </c>
      <c r="F851" s="1" t="s">
        <v>23</v>
      </c>
      <c r="G851" s="1" t="s">
        <v>3114</v>
      </c>
      <c r="H851" s="1" t="s">
        <v>15</v>
      </c>
      <c r="I851" t="b">
        <f>COUNTIF(Estadísticas!I:I,'Centraldecomunicacion.es'!H851)&gt;0</f>
        <v>0</v>
      </c>
    </row>
    <row r="852" spans="1:9">
      <c r="A852" s="1" t="s">
        <v>3115</v>
      </c>
      <c r="B852" s="1" t="s">
        <v>10</v>
      </c>
      <c r="C852" s="1" t="s">
        <v>3116</v>
      </c>
      <c r="D852" s="1" t="s">
        <v>3062</v>
      </c>
      <c r="E852" s="1" t="s">
        <v>2282</v>
      </c>
      <c r="F852" s="1" t="s">
        <v>3117</v>
      </c>
      <c r="G852" s="1" t="s">
        <v>3118</v>
      </c>
      <c r="H852" s="1" t="s">
        <v>15</v>
      </c>
      <c r="I852" t="b">
        <f>COUNTIF(Estadísticas!I:I,'Centraldecomunicacion.es'!H852)&gt;0</f>
        <v>0</v>
      </c>
    </row>
    <row r="853" spans="1:9">
      <c r="A853" s="1" t="s">
        <v>3119</v>
      </c>
      <c r="B853" s="1" t="s">
        <v>10</v>
      </c>
      <c r="C853" s="1" t="s">
        <v>3120</v>
      </c>
      <c r="D853" s="1" t="s">
        <v>3121</v>
      </c>
      <c r="E853" s="1" t="s">
        <v>2282</v>
      </c>
      <c r="F853" s="1" t="s">
        <v>23</v>
      </c>
      <c r="G853" s="1" t="s">
        <v>3122</v>
      </c>
      <c r="H853" s="1" t="s">
        <v>15</v>
      </c>
      <c r="I853" t="b">
        <f>COUNTIF(Estadísticas!I:I,'Centraldecomunicacion.es'!H853)&gt;0</f>
        <v>0</v>
      </c>
    </row>
    <row r="854" spans="1:9">
      <c r="A854" s="1" t="s">
        <v>3123</v>
      </c>
      <c r="B854" s="1" t="s">
        <v>10</v>
      </c>
      <c r="C854" s="1" t="s">
        <v>3124</v>
      </c>
      <c r="D854" s="1" t="s">
        <v>3125</v>
      </c>
      <c r="E854" s="1" t="s">
        <v>2282</v>
      </c>
      <c r="F854" s="1" t="s">
        <v>23</v>
      </c>
      <c r="G854" s="1" t="s">
        <v>3126</v>
      </c>
      <c r="H854" s="1" t="s">
        <v>15</v>
      </c>
      <c r="I854" t="b">
        <f>COUNTIF(Estadísticas!I:I,'Centraldecomunicacion.es'!H854)&gt;0</f>
        <v>0</v>
      </c>
    </row>
    <row r="855" spans="1:9">
      <c r="A855" s="1" t="s">
        <v>3127</v>
      </c>
      <c r="B855" s="1" t="s">
        <v>10</v>
      </c>
      <c r="C855" s="1" t="s">
        <v>3128</v>
      </c>
      <c r="D855" s="1" t="s">
        <v>3078</v>
      </c>
      <c r="E855" s="1" t="s">
        <v>2282</v>
      </c>
      <c r="F855" s="1" t="s">
        <v>23</v>
      </c>
      <c r="G855" s="1" t="s">
        <v>3129</v>
      </c>
      <c r="H855" s="1" t="s">
        <v>15</v>
      </c>
      <c r="I855" t="b">
        <f>COUNTIF(Estadísticas!I:I,'Centraldecomunicacion.es'!H855)&gt;0</f>
        <v>0</v>
      </c>
    </row>
    <row r="856" spans="1:9">
      <c r="A856" s="1" t="s">
        <v>3130</v>
      </c>
      <c r="B856" s="1" t="s">
        <v>10</v>
      </c>
      <c r="C856" s="1" t="s">
        <v>3131</v>
      </c>
      <c r="D856" s="1" t="s">
        <v>3132</v>
      </c>
      <c r="E856" s="1" t="s">
        <v>2282</v>
      </c>
      <c r="F856" s="1" t="s">
        <v>3068</v>
      </c>
      <c r="G856" s="1" t="s">
        <v>3133</v>
      </c>
      <c r="H856" s="1" t="s">
        <v>15</v>
      </c>
      <c r="I856" t="b">
        <f>COUNTIF(Estadísticas!I:I,'Centraldecomunicacion.es'!H856)&gt;0</f>
        <v>0</v>
      </c>
    </row>
    <row r="857" spans="1:9">
      <c r="A857" s="1" t="s">
        <v>3134</v>
      </c>
      <c r="B857" s="1" t="s">
        <v>10</v>
      </c>
      <c r="C857" s="1" t="s">
        <v>3135</v>
      </c>
      <c r="D857" s="1" t="s">
        <v>3062</v>
      </c>
      <c r="E857" s="1" t="s">
        <v>2282</v>
      </c>
      <c r="F857" s="1" t="s">
        <v>23</v>
      </c>
      <c r="G857" s="1" t="s">
        <v>23</v>
      </c>
      <c r="H857" s="1" t="s">
        <v>15</v>
      </c>
      <c r="I857" t="b">
        <f>COUNTIF(Estadísticas!I:I,'Centraldecomunicacion.es'!H857)&gt;0</f>
        <v>0</v>
      </c>
    </row>
    <row r="858" spans="1:9">
      <c r="A858" s="1" t="s">
        <v>3136</v>
      </c>
      <c r="B858" s="1" t="s">
        <v>10</v>
      </c>
      <c r="C858" s="1" t="s">
        <v>3137</v>
      </c>
      <c r="D858" s="1" t="s">
        <v>3062</v>
      </c>
      <c r="E858" s="1" t="s">
        <v>2282</v>
      </c>
      <c r="F858" s="1" t="s">
        <v>23</v>
      </c>
      <c r="G858" s="1" t="s">
        <v>3138</v>
      </c>
      <c r="H858" s="1" t="s">
        <v>15</v>
      </c>
      <c r="I858" t="b">
        <f>COUNTIF(Estadísticas!I:I,'Centraldecomunicacion.es'!H858)&gt;0</f>
        <v>0</v>
      </c>
    </row>
    <row r="859" spans="1:9">
      <c r="A859" s="1" t="s">
        <v>478</v>
      </c>
      <c r="B859" s="1" t="s">
        <v>10</v>
      </c>
      <c r="C859" s="1" t="s">
        <v>3139</v>
      </c>
      <c r="D859" s="1" t="s">
        <v>3140</v>
      </c>
      <c r="E859" s="1" t="s">
        <v>2282</v>
      </c>
      <c r="F859" s="1" t="s">
        <v>23</v>
      </c>
      <c r="G859" s="1" t="s">
        <v>3141</v>
      </c>
      <c r="H859" s="1" t="s">
        <v>15</v>
      </c>
      <c r="I859" t="b">
        <f>COUNTIF(Estadísticas!I:I,'Centraldecomunicacion.es'!H859)&gt;0</f>
        <v>0</v>
      </c>
    </row>
    <row r="860" spans="1:9">
      <c r="A860" s="1" t="s">
        <v>3142</v>
      </c>
      <c r="B860" s="1" t="s">
        <v>10</v>
      </c>
      <c r="C860" s="1" t="s">
        <v>3143</v>
      </c>
      <c r="D860" s="1" t="s">
        <v>3132</v>
      </c>
      <c r="E860" s="1" t="s">
        <v>2282</v>
      </c>
      <c r="F860" s="1" t="s">
        <v>23</v>
      </c>
      <c r="G860" s="1" t="s">
        <v>3144</v>
      </c>
      <c r="H860" s="1" t="s">
        <v>15</v>
      </c>
      <c r="I860" t="b">
        <f>COUNTIF(Estadísticas!I:I,'Centraldecomunicacion.es'!H860)&gt;0</f>
        <v>0</v>
      </c>
    </row>
    <row r="861" spans="1:9">
      <c r="A861" s="1" t="s">
        <v>3145</v>
      </c>
      <c r="B861" s="1" t="s">
        <v>10</v>
      </c>
      <c r="C861" s="1" t="s">
        <v>3146</v>
      </c>
      <c r="D861" s="1" t="s">
        <v>3147</v>
      </c>
      <c r="E861" s="1" t="s">
        <v>2282</v>
      </c>
      <c r="F861" s="1" t="s">
        <v>23</v>
      </c>
      <c r="G861" s="1" t="s">
        <v>3148</v>
      </c>
      <c r="H861" s="1" t="s">
        <v>15</v>
      </c>
      <c r="I861" t="b">
        <f>COUNTIF(Estadísticas!I:I,'Centraldecomunicacion.es'!H861)&gt;0</f>
        <v>0</v>
      </c>
    </row>
    <row r="862" spans="1:9">
      <c r="A862" s="1" t="s">
        <v>3149</v>
      </c>
      <c r="B862" s="1" t="s">
        <v>10</v>
      </c>
      <c r="C862" s="1" t="s">
        <v>3150</v>
      </c>
      <c r="D862" s="1" t="s">
        <v>3062</v>
      </c>
      <c r="E862" s="1" t="s">
        <v>2282</v>
      </c>
      <c r="F862" s="1" t="s">
        <v>23</v>
      </c>
      <c r="G862" s="1" t="s">
        <v>3151</v>
      </c>
      <c r="H862" s="1" t="s">
        <v>15</v>
      </c>
      <c r="I862" t="b">
        <f>COUNTIF(Estadísticas!I:I,'Centraldecomunicacion.es'!H862)&gt;0</f>
        <v>0</v>
      </c>
    </row>
    <row r="863" spans="1:9">
      <c r="A863" s="1" t="s">
        <v>3152</v>
      </c>
      <c r="B863" s="1" t="s">
        <v>10</v>
      </c>
      <c r="C863" s="1" t="s">
        <v>3153</v>
      </c>
      <c r="D863" s="1" t="s">
        <v>3147</v>
      </c>
      <c r="E863" s="1" t="s">
        <v>2282</v>
      </c>
      <c r="F863" s="1" t="s">
        <v>23</v>
      </c>
      <c r="G863" s="1" t="s">
        <v>3154</v>
      </c>
      <c r="H863" s="1" t="s">
        <v>15</v>
      </c>
      <c r="I863" t="b">
        <f>COUNTIF(Estadísticas!I:I,'Centraldecomunicacion.es'!H863)&gt;0</f>
        <v>0</v>
      </c>
    </row>
    <row r="864" spans="1:9">
      <c r="A864" s="1" t="s">
        <v>3155</v>
      </c>
      <c r="B864" s="1" t="s">
        <v>10</v>
      </c>
      <c r="C864" s="1" t="s">
        <v>3156</v>
      </c>
      <c r="D864" s="1" t="s">
        <v>3157</v>
      </c>
      <c r="E864" s="1" t="s">
        <v>2282</v>
      </c>
      <c r="F864" s="1" t="s">
        <v>23</v>
      </c>
      <c r="G864" s="1" t="s">
        <v>3158</v>
      </c>
      <c r="H864" s="1" t="s">
        <v>15</v>
      </c>
      <c r="I864" t="b">
        <f>COUNTIF(Estadísticas!I:I,'Centraldecomunicacion.es'!H864)&gt;0</f>
        <v>0</v>
      </c>
    </row>
    <row r="865" spans="1:9">
      <c r="A865" s="1" t="s">
        <v>3159</v>
      </c>
      <c r="B865" s="1" t="s">
        <v>10</v>
      </c>
      <c r="C865" s="1" t="s">
        <v>3146</v>
      </c>
      <c r="D865" s="1" t="s">
        <v>3147</v>
      </c>
      <c r="E865" s="1" t="s">
        <v>2282</v>
      </c>
      <c r="F865" s="1" t="s">
        <v>23</v>
      </c>
      <c r="G865" s="1" t="s">
        <v>3148</v>
      </c>
      <c r="H865" s="1" t="s">
        <v>15</v>
      </c>
      <c r="I865" t="b">
        <f>COUNTIF(Estadísticas!I:I,'Centraldecomunicacion.es'!H865)&gt;0</f>
        <v>0</v>
      </c>
    </row>
    <row r="866" spans="1:9">
      <c r="A866" s="1" t="s">
        <v>3160</v>
      </c>
      <c r="B866" s="1" t="s">
        <v>10</v>
      </c>
      <c r="C866" s="1" t="s">
        <v>3161</v>
      </c>
      <c r="D866" s="1" t="s">
        <v>3062</v>
      </c>
      <c r="E866" s="1" t="s">
        <v>2282</v>
      </c>
      <c r="F866" s="1" t="s">
        <v>3162</v>
      </c>
      <c r="G866" s="1" t="s">
        <v>3163</v>
      </c>
      <c r="H866" s="1" t="s">
        <v>3164</v>
      </c>
      <c r="I866" t="b">
        <f>COUNTIF(Estadísticas!I:I,'Centraldecomunicacion.es'!H866)&gt;0</f>
        <v>0</v>
      </c>
    </row>
    <row r="867" spans="1:9">
      <c r="A867" s="1" t="s">
        <v>3165</v>
      </c>
      <c r="B867" s="1" t="s">
        <v>10</v>
      </c>
      <c r="C867" s="1" t="s">
        <v>3166</v>
      </c>
      <c r="D867" s="1" t="s">
        <v>3147</v>
      </c>
      <c r="E867" s="1" t="s">
        <v>2282</v>
      </c>
      <c r="F867" s="1" t="s">
        <v>23</v>
      </c>
      <c r="G867" s="1" t="s">
        <v>3167</v>
      </c>
      <c r="H867" s="1" t="s">
        <v>15</v>
      </c>
      <c r="I867" t="b">
        <f>COUNTIF(Estadísticas!I:I,'Centraldecomunicacion.es'!H867)&gt;0</f>
        <v>0</v>
      </c>
    </row>
    <row r="868" spans="1:9">
      <c r="A868" s="1" t="s">
        <v>3168</v>
      </c>
      <c r="B868" s="1" t="s">
        <v>10</v>
      </c>
      <c r="C868" s="1" t="s">
        <v>3169</v>
      </c>
      <c r="D868" s="1" t="s">
        <v>3170</v>
      </c>
      <c r="E868" s="1" t="s">
        <v>2282</v>
      </c>
      <c r="F868" s="1" t="s">
        <v>3171</v>
      </c>
      <c r="G868" s="1" t="s">
        <v>3172</v>
      </c>
      <c r="H868" s="1" t="s">
        <v>3173</v>
      </c>
      <c r="I868" t="b">
        <f>COUNTIF(Estadísticas!I:I,'Centraldecomunicacion.es'!H868)&gt;0</f>
        <v>1</v>
      </c>
    </row>
    <row r="869" spans="1:9">
      <c r="A869" s="1" t="s">
        <v>3174</v>
      </c>
      <c r="B869" s="1" t="s">
        <v>10</v>
      </c>
      <c r="C869" s="1" t="s">
        <v>3175</v>
      </c>
      <c r="D869" s="1" t="s">
        <v>3176</v>
      </c>
      <c r="E869" s="1" t="s">
        <v>2282</v>
      </c>
      <c r="F869" s="1" t="s">
        <v>3177</v>
      </c>
      <c r="G869" s="1" t="s">
        <v>3178</v>
      </c>
      <c r="H869" s="1" t="s">
        <v>15</v>
      </c>
      <c r="I869" t="b">
        <f>COUNTIF(Estadísticas!I:I,'Centraldecomunicacion.es'!H869)&gt;0</f>
        <v>0</v>
      </c>
    </row>
    <row r="870" spans="1:9">
      <c r="A870" s="1" t="s">
        <v>3179</v>
      </c>
      <c r="B870" s="1" t="s">
        <v>10</v>
      </c>
      <c r="C870" s="1" t="s">
        <v>3180</v>
      </c>
      <c r="D870" s="1" t="s">
        <v>3181</v>
      </c>
      <c r="E870" s="1" t="s">
        <v>2282</v>
      </c>
      <c r="F870" s="1" t="s">
        <v>23</v>
      </c>
      <c r="G870" s="1" t="s">
        <v>3182</v>
      </c>
      <c r="H870" s="1" t="s">
        <v>15</v>
      </c>
      <c r="I870" t="b">
        <f>COUNTIF(Estadísticas!I:I,'Centraldecomunicacion.es'!H870)&gt;0</f>
        <v>0</v>
      </c>
    </row>
    <row r="871" spans="1:9">
      <c r="A871" s="1" t="s">
        <v>3183</v>
      </c>
      <c r="B871" s="1" t="s">
        <v>10</v>
      </c>
      <c r="C871" s="1" t="s">
        <v>3184</v>
      </c>
      <c r="D871" s="1" t="s">
        <v>3062</v>
      </c>
      <c r="E871" s="1" t="s">
        <v>2282</v>
      </c>
      <c r="F871" s="1" t="s">
        <v>23</v>
      </c>
      <c r="G871" s="1" t="s">
        <v>3185</v>
      </c>
      <c r="H871" s="1" t="s">
        <v>15</v>
      </c>
      <c r="I871" t="b">
        <f>COUNTIF(Estadísticas!I:I,'Centraldecomunicacion.es'!H871)&gt;0</f>
        <v>0</v>
      </c>
    </row>
    <row r="872" spans="1:9">
      <c r="A872" s="1" t="s">
        <v>3186</v>
      </c>
      <c r="B872" s="1" t="s">
        <v>10</v>
      </c>
      <c r="C872" s="1" t="s">
        <v>3187</v>
      </c>
      <c r="D872" s="1" t="s">
        <v>3188</v>
      </c>
      <c r="E872" s="1" t="s">
        <v>3189</v>
      </c>
      <c r="F872" s="1" t="s">
        <v>23</v>
      </c>
      <c r="G872" s="1" t="s">
        <v>3190</v>
      </c>
      <c r="H872" s="1" t="s">
        <v>15</v>
      </c>
      <c r="I872" t="b">
        <f>COUNTIF(Estadísticas!I:I,'Centraldecomunicacion.es'!H872)&gt;0</f>
        <v>0</v>
      </c>
    </row>
    <row r="873" spans="1:9">
      <c r="A873" s="1" t="s">
        <v>3191</v>
      </c>
      <c r="B873" s="1" t="s">
        <v>10</v>
      </c>
      <c r="C873" s="1" t="s">
        <v>3192</v>
      </c>
      <c r="D873" s="1" t="s">
        <v>3193</v>
      </c>
      <c r="E873" s="1" t="s">
        <v>3189</v>
      </c>
      <c r="F873" s="1" t="s">
        <v>23</v>
      </c>
      <c r="G873" s="1" t="s">
        <v>3194</v>
      </c>
      <c r="H873" s="1" t="s">
        <v>15</v>
      </c>
      <c r="I873" t="b">
        <f>COUNTIF(Estadísticas!I:I,'Centraldecomunicacion.es'!H873)&gt;0</f>
        <v>0</v>
      </c>
    </row>
    <row r="874" spans="1:9">
      <c r="A874" s="1" t="s">
        <v>3195</v>
      </c>
      <c r="B874" s="1" t="s">
        <v>10</v>
      </c>
      <c r="C874" s="1" t="s">
        <v>3196</v>
      </c>
      <c r="D874" s="1" t="s">
        <v>3193</v>
      </c>
      <c r="E874" s="1" t="s">
        <v>3197</v>
      </c>
      <c r="F874" s="1" t="s">
        <v>23</v>
      </c>
      <c r="G874" s="1" t="s">
        <v>3198</v>
      </c>
      <c r="H874" s="1" t="s">
        <v>15</v>
      </c>
      <c r="I874" t="b">
        <f>COUNTIF(Estadísticas!I:I,'Centraldecomunicacion.es'!H874)&gt;0</f>
        <v>0</v>
      </c>
    </row>
    <row r="875" spans="1:9">
      <c r="A875" s="1" t="s">
        <v>3199</v>
      </c>
      <c r="B875" s="1" t="s">
        <v>10</v>
      </c>
      <c r="C875" s="1" t="s">
        <v>3200</v>
      </c>
      <c r="D875" s="1" t="s">
        <v>3193</v>
      </c>
      <c r="E875" s="1" t="s">
        <v>3189</v>
      </c>
      <c r="F875" s="1" t="s">
        <v>3201</v>
      </c>
      <c r="G875" s="1" t="s">
        <v>3202</v>
      </c>
      <c r="H875" s="1" t="s">
        <v>3203</v>
      </c>
      <c r="I875" t="b">
        <f>COUNTIF(Estadísticas!I:I,'Centraldecomunicacion.es'!H875)&gt;0</f>
        <v>0</v>
      </c>
    </row>
    <row r="876" spans="1:9">
      <c r="A876" s="1" t="s">
        <v>3204</v>
      </c>
      <c r="B876" s="1" t="s">
        <v>10</v>
      </c>
      <c r="C876" s="1" t="s">
        <v>3205</v>
      </c>
      <c r="D876" s="1" t="s">
        <v>3206</v>
      </c>
      <c r="E876" s="1" t="s">
        <v>3189</v>
      </c>
      <c r="F876" s="1" t="s">
        <v>23</v>
      </c>
      <c r="G876" s="1" t="s">
        <v>3207</v>
      </c>
      <c r="H876" s="1" t="s">
        <v>15</v>
      </c>
      <c r="I876" t="b">
        <f>COUNTIF(Estadísticas!I:I,'Centraldecomunicacion.es'!H876)&gt;0</f>
        <v>0</v>
      </c>
    </row>
    <row r="877" spans="1:9">
      <c r="A877" s="1" t="s">
        <v>3208</v>
      </c>
      <c r="B877" s="1" t="s">
        <v>10</v>
      </c>
      <c r="C877" s="1" t="s">
        <v>3209</v>
      </c>
      <c r="D877" s="1" t="s">
        <v>3210</v>
      </c>
      <c r="E877" s="1" t="s">
        <v>3189</v>
      </c>
      <c r="F877" s="1" t="s">
        <v>23</v>
      </c>
      <c r="G877" s="1" t="s">
        <v>3211</v>
      </c>
      <c r="H877" s="1" t="s">
        <v>15</v>
      </c>
      <c r="I877" t="b">
        <f>COUNTIF(Estadísticas!I:I,'Centraldecomunicacion.es'!H877)&gt;0</f>
        <v>0</v>
      </c>
    </row>
    <row r="878" spans="1:9">
      <c r="A878" s="1" t="s">
        <v>3212</v>
      </c>
      <c r="B878" s="1" t="s">
        <v>10</v>
      </c>
      <c r="C878" s="1" t="s">
        <v>3213</v>
      </c>
      <c r="D878" s="1" t="s">
        <v>3214</v>
      </c>
      <c r="E878" s="1" t="s">
        <v>3215</v>
      </c>
      <c r="F878" s="1" t="s">
        <v>23</v>
      </c>
      <c r="G878" s="1" t="s">
        <v>3216</v>
      </c>
      <c r="H878" s="1" t="s">
        <v>15</v>
      </c>
      <c r="I878" t="b">
        <f>COUNTIF(Estadísticas!I:I,'Centraldecomunicacion.es'!H878)&gt;0</f>
        <v>0</v>
      </c>
    </row>
    <row r="879" spans="1:9">
      <c r="A879" s="1" t="s">
        <v>3217</v>
      </c>
      <c r="B879" s="1" t="s">
        <v>10</v>
      </c>
      <c r="C879" s="1" t="s">
        <v>3218</v>
      </c>
      <c r="D879" s="1" t="s">
        <v>3206</v>
      </c>
      <c r="E879" s="1" t="s">
        <v>3189</v>
      </c>
      <c r="F879" s="1" t="s">
        <v>23</v>
      </c>
      <c r="G879" s="1" t="s">
        <v>3219</v>
      </c>
      <c r="H879" s="1" t="s">
        <v>15</v>
      </c>
      <c r="I879" t="b">
        <f>COUNTIF(Estadísticas!I:I,'Centraldecomunicacion.es'!H879)&gt;0</f>
        <v>0</v>
      </c>
    </row>
    <row r="880" spans="1:9">
      <c r="A880" s="1" t="s">
        <v>321</v>
      </c>
      <c r="B880" s="1" t="s">
        <v>10</v>
      </c>
      <c r="C880" s="1" t="s">
        <v>3220</v>
      </c>
      <c r="D880" s="1" t="s">
        <v>3221</v>
      </c>
      <c r="E880" s="1" t="s">
        <v>3189</v>
      </c>
      <c r="F880" s="1" t="s">
        <v>323</v>
      </c>
      <c r="G880" s="1" t="s">
        <v>3222</v>
      </c>
      <c r="H880" s="1" t="s">
        <v>325</v>
      </c>
      <c r="I880" t="b">
        <f>COUNTIF(Estadísticas!I:I,'Centraldecomunicacion.es'!H880)&gt;0</f>
        <v>0</v>
      </c>
    </row>
    <row r="881" spans="1:9">
      <c r="A881" s="1" t="s">
        <v>2784</v>
      </c>
      <c r="B881" s="1" t="s">
        <v>10</v>
      </c>
      <c r="C881" s="1" t="s">
        <v>3223</v>
      </c>
      <c r="D881" s="1" t="s">
        <v>3224</v>
      </c>
      <c r="E881" s="1" t="s">
        <v>3225</v>
      </c>
      <c r="F881" s="1" t="s">
        <v>23</v>
      </c>
      <c r="G881" s="1" t="s">
        <v>3226</v>
      </c>
      <c r="H881" s="1" t="s">
        <v>15</v>
      </c>
      <c r="I881" t="b">
        <f>COUNTIF(Estadísticas!I:I,'Centraldecomunicacion.es'!H881)&gt;0</f>
        <v>0</v>
      </c>
    </row>
    <row r="882" spans="1:9">
      <c r="A882" s="1" t="s">
        <v>3227</v>
      </c>
      <c r="B882" s="1" t="s">
        <v>10</v>
      </c>
      <c r="C882" s="1" t="s">
        <v>3228</v>
      </c>
      <c r="D882" s="1" t="s">
        <v>3193</v>
      </c>
      <c r="E882" s="1" t="s">
        <v>3189</v>
      </c>
      <c r="F882" s="1" t="s">
        <v>23</v>
      </c>
      <c r="G882" s="1" t="s">
        <v>3229</v>
      </c>
      <c r="H882" s="1" t="s">
        <v>15</v>
      </c>
      <c r="I882" t="b">
        <f>COUNTIF(Estadísticas!I:I,'Centraldecomunicacion.es'!H882)&gt;0</f>
        <v>0</v>
      </c>
    </row>
    <row r="883" spans="1:9">
      <c r="A883" s="1" t="s">
        <v>3230</v>
      </c>
      <c r="B883" s="1" t="s">
        <v>10</v>
      </c>
      <c r="C883" s="1" t="s">
        <v>3231</v>
      </c>
      <c r="D883" s="1" t="s">
        <v>1684</v>
      </c>
      <c r="E883" s="1" t="s">
        <v>1684</v>
      </c>
      <c r="F883" s="1" t="s">
        <v>3232</v>
      </c>
      <c r="G883" s="1" t="s">
        <v>3233</v>
      </c>
      <c r="H883" s="1" t="s">
        <v>3234</v>
      </c>
      <c r="I883" t="b">
        <f>COUNTIF(Estadísticas!I:I,'Centraldecomunicacion.es'!H883)&gt;0</f>
        <v>1</v>
      </c>
    </row>
    <row r="884" spans="1:9">
      <c r="A884" s="1" t="s">
        <v>257</v>
      </c>
      <c r="B884" s="1" t="s">
        <v>10</v>
      </c>
      <c r="C884" s="1" t="s">
        <v>3235</v>
      </c>
      <c r="D884" s="1" t="s">
        <v>1684</v>
      </c>
      <c r="E884" s="1" t="s">
        <v>1684</v>
      </c>
      <c r="F884" s="1" t="s">
        <v>81</v>
      </c>
      <c r="G884" s="1" t="s">
        <v>3236</v>
      </c>
      <c r="H884" s="1" t="s">
        <v>83</v>
      </c>
      <c r="I884" t="b">
        <f>COUNTIF(Estadísticas!I:I,'Centraldecomunicacion.es'!H884)&gt;0</f>
        <v>0</v>
      </c>
    </row>
    <row r="885" spans="1:9">
      <c r="A885" s="1" t="s">
        <v>3237</v>
      </c>
      <c r="B885" s="1" t="s">
        <v>10</v>
      </c>
      <c r="C885" s="1" t="s">
        <v>3238</v>
      </c>
      <c r="D885" s="1" t="s">
        <v>1684</v>
      </c>
      <c r="E885" s="1" t="s">
        <v>1684</v>
      </c>
      <c r="F885" s="1" t="s">
        <v>23</v>
      </c>
      <c r="G885" s="1" t="s">
        <v>3239</v>
      </c>
      <c r="H885" s="1" t="s">
        <v>15</v>
      </c>
      <c r="I885" t="b">
        <f>COUNTIF(Estadísticas!I:I,'Centraldecomunicacion.es'!H885)&gt;0</f>
        <v>0</v>
      </c>
    </row>
    <row r="886" spans="1:9">
      <c r="A886" s="1" t="s">
        <v>3240</v>
      </c>
      <c r="B886" s="1" t="s">
        <v>10</v>
      </c>
      <c r="C886" s="1" t="s">
        <v>3241</v>
      </c>
      <c r="D886" s="1" t="s">
        <v>1684</v>
      </c>
      <c r="E886" s="1" t="s">
        <v>1684</v>
      </c>
      <c r="F886" s="1" t="s">
        <v>3242</v>
      </c>
      <c r="G886" s="1" t="s">
        <v>3243</v>
      </c>
      <c r="H886" s="1" t="s">
        <v>15</v>
      </c>
      <c r="I886" t="b">
        <f>COUNTIF(Estadísticas!I:I,'Centraldecomunicacion.es'!H886)&gt;0</f>
        <v>0</v>
      </c>
    </row>
    <row r="887" spans="1:9">
      <c r="A887" s="1" t="s">
        <v>3244</v>
      </c>
      <c r="B887" s="1" t="s">
        <v>10</v>
      </c>
      <c r="C887" s="1" t="s">
        <v>3245</v>
      </c>
      <c r="D887" s="1" t="s">
        <v>1684</v>
      </c>
      <c r="E887" s="1" t="s">
        <v>1684</v>
      </c>
      <c r="F887" s="1" t="s">
        <v>23</v>
      </c>
      <c r="G887" s="1" t="s">
        <v>3246</v>
      </c>
      <c r="H887" s="1" t="s">
        <v>15</v>
      </c>
      <c r="I887" t="b">
        <f>COUNTIF(Estadísticas!I:I,'Centraldecomunicacion.es'!H887)&gt;0</f>
        <v>0</v>
      </c>
    </row>
    <row r="888" spans="1:9">
      <c r="A888" s="1" t="s">
        <v>3247</v>
      </c>
      <c r="B888" s="1" t="s">
        <v>10</v>
      </c>
      <c r="C888" s="1" t="s">
        <v>3248</v>
      </c>
      <c r="D888" s="1" t="s">
        <v>1684</v>
      </c>
      <c r="E888" s="1" t="s">
        <v>1684</v>
      </c>
      <c r="F888" s="1" t="s">
        <v>23</v>
      </c>
      <c r="G888" s="1" t="s">
        <v>23</v>
      </c>
      <c r="H888" s="1" t="s">
        <v>15</v>
      </c>
      <c r="I888" t="b">
        <f>COUNTIF(Estadísticas!I:I,'Centraldecomunicacion.es'!H888)&gt;0</f>
        <v>0</v>
      </c>
    </row>
    <row r="889" spans="1:9">
      <c r="A889" s="1" t="s">
        <v>3249</v>
      </c>
      <c r="B889" s="1" t="s">
        <v>10</v>
      </c>
      <c r="C889" s="1" t="s">
        <v>3250</v>
      </c>
      <c r="D889" s="1" t="s">
        <v>1684</v>
      </c>
      <c r="E889" s="1" t="s">
        <v>1684</v>
      </c>
      <c r="F889" s="1" t="s">
        <v>23</v>
      </c>
      <c r="G889" s="1" t="s">
        <v>3251</v>
      </c>
      <c r="H889" s="1" t="s">
        <v>15</v>
      </c>
      <c r="I889" t="b">
        <f>COUNTIF(Estadísticas!I:I,'Centraldecomunicacion.es'!H889)&gt;0</f>
        <v>0</v>
      </c>
    </row>
    <row r="890" spans="1:9">
      <c r="A890" s="1" t="s">
        <v>3252</v>
      </c>
      <c r="B890" s="1" t="s">
        <v>10</v>
      </c>
      <c r="C890" s="1" t="s">
        <v>3253</v>
      </c>
      <c r="D890" s="1" t="s">
        <v>1684</v>
      </c>
      <c r="E890" s="1" t="s">
        <v>1684</v>
      </c>
      <c r="F890" s="1" t="s">
        <v>23</v>
      </c>
      <c r="G890" s="1" t="s">
        <v>3254</v>
      </c>
      <c r="H890" s="1" t="s">
        <v>15</v>
      </c>
      <c r="I890" t="b">
        <f>COUNTIF(Estadísticas!I:I,'Centraldecomunicacion.es'!H890)&gt;0</f>
        <v>0</v>
      </c>
    </row>
    <row r="891" spans="1:9">
      <c r="A891" s="1" t="s">
        <v>3255</v>
      </c>
      <c r="B891" s="1" t="s">
        <v>10</v>
      </c>
      <c r="C891" s="1" t="s">
        <v>3256</v>
      </c>
      <c r="D891" s="1" t="s">
        <v>1684</v>
      </c>
      <c r="E891" s="1" t="s">
        <v>1684</v>
      </c>
      <c r="F891" s="1" t="s">
        <v>23</v>
      </c>
      <c r="G891" s="1" t="s">
        <v>23</v>
      </c>
      <c r="H891" s="1" t="s">
        <v>15</v>
      </c>
      <c r="I891" t="b">
        <f>COUNTIF(Estadísticas!I:I,'Centraldecomunicacion.es'!H891)&gt;0</f>
        <v>0</v>
      </c>
    </row>
    <row r="892" spans="1:9">
      <c r="A892" s="1" t="s">
        <v>3257</v>
      </c>
      <c r="B892" s="1" t="s">
        <v>10</v>
      </c>
      <c r="C892" s="1" t="s">
        <v>3258</v>
      </c>
      <c r="D892" s="1" t="s">
        <v>1684</v>
      </c>
      <c r="E892" s="1" t="s">
        <v>1684</v>
      </c>
      <c r="F892" s="1" t="s">
        <v>3259</v>
      </c>
      <c r="G892" s="1" t="s">
        <v>3260</v>
      </c>
      <c r="H892" s="1" t="s">
        <v>15</v>
      </c>
      <c r="I892" t="b">
        <f>COUNTIF(Estadísticas!I:I,'Centraldecomunicacion.es'!H892)&gt;0</f>
        <v>0</v>
      </c>
    </row>
    <row r="893" spans="1:9">
      <c r="A893" s="1" t="s">
        <v>3261</v>
      </c>
      <c r="B893" s="1" t="s">
        <v>10</v>
      </c>
      <c r="C893" s="1" t="s">
        <v>3262</v>
      </c>
      <c r="D893" s="1" t="s">
        <v>1684</v>
      </c>
      <c r="E893" s="1" t="s">
        <v>1684</v>
      </c>
      <c r="F893" s="1" t="s">
        <v>23</v>
      </c>
      <c r="G893" s="1" t="s">
        <v>3263</v>
      </c>
      <c r="H893" s="1" t="s">
        <v>15</v>
      </c>
      <c r="I893" t="b">
        <f>COUNTIF(Estadísticas!I:I,'Centraldecomunicacion.es'!H893)&gt;0</f>
        <v>0</v>
      </c>
    </row>
    <row r="894" spans="1:9">
      <c r="A894" s="1" t="s">
        <v>3264</v>
      </c>
      <c r="B894" s="1" t="s">
        <v>10</v>
      </c>
      <c r="C894" s="1" t="s">
        <v>3265</v>
      </c>
      <c r="D894" s="1" t="s">
        <v>1684</v>
      </c>
      <c r="E894" s="1" t="s">
        <v>1684</v>
      </c>
      <c r="F894" s="1" t="s">
        <v>23</v>
      </c>
      <c r="G894" s="1" t="s">
        <v>3266</v>
      </c>
      <c r="H894" s="1" t="s">
        <v>15</v>
      </c>
      <c r="I894" t="b">
        <f>COUNTIF(Estadísticas!I:I,'Centraldecomunicacion.es'!H894)&gt;0</f>
        <v>0</v>
      </c>
    </row>
    <row r="895" spans="1:9">
      <c r="A895" s="1" t="s">
        <v>3267</v>
      </c>
      <c r="B895" s="1" t="s">
        <v>10</v>
      </c>
      <c r="C895" s="1" t="s">
        <v>3268</v>
      </c>
      <c r="D895" s="1" t="s">
        <v>3269</v>
      </c>
      <c r="E895" s="1" t="s">
        <v>1684</v>
      </c>
      <c r="F895" s="1" t="s">
        <v>3270</v>
      </c>
      <c r="G895" s="1" t="s">
        <v>3271</v>
      </c>
      <c r="H895" s="1" t="s">
        <v>3272</v>
      </c>
      <c r="I895" t="b">
        <f>COUNTIF(Estadísticas!I:I,'Centraldecomunicacion.es'!H895)&gt;0</f>
        <v>0</v>
      </c>
    </row>
    <row r="896" spans="1:9">
      <c r="A896" s="1" t="s">
        <v>3273</v>
      </c>
      <c r="B896" s="1" t="s">
        <v>10</v>
      </c>
      <c r="C896" s="1" t="s">
        <v>3274</v>
      </c>
      <c r="D896" s="1" t="s">
        <v>3275</v>
      </c>
      <c r="E896" s="1" t="s">
        <v>1684</v>
      </c>
      <c r="F896" s="1" t="s">
        <v>23</v>
      </c>
      <c r="G896" s="1" t="s">
        <v>23</v>
      </c>
      <c r="H896" s="1" t="s">
        <v>15</v>
      </c>
      <c r="I896" t="b">
        <f>COUNTIF(Estadísticas!I:I,'Centraldecomunicacion.es'!H896)&gt;0</f>
        <v>0</v>
      </c>
    </row>
    <row r="897" spans="1:9">
      <c r="A897" s="1" t="s">
        <v>3276</v>
      </c>
      <c r="B897" s="1" t="s">
        <v>10</v>
      </c>
      <c r="C897" s="1" t="s">
        <v>3277</v>
      </c>
      <c r="D897" s="1" t="s">
        <v>3278</v>
      </c>
      <c r="E897" s="1" t="s">
        <v>1684</v>
      </c>
      <c r="F897" s="1" t="s">
        <v>23</v>
      </c>
      <c r="G897" s="1" t="s">
        <v>3279</v>
      </c>
      <c r="H897" s="1" t="s">
        <v>15</v>
      </c>
      <c r="I897" t="b">
        <f>COUNTIF(Estadísticas!I:I,'Centraldecomunicacion.es'!H897)&gt;0</f>
        <v>0</v>
      </c>
    </row>
    <row r="898" spans="1:9">
      <c r="A898" s="1" t="s">
        <v>3280</v>
      </c>
      <c r="B898" s="1" t="s">
        <v>10</v>
      </c>
      <c r="C898" s="1" t="s">
        <v>3281</v>
      </c>
      <c r="D898" s="1" t="s">
        <v>3282</v>
      </c>
      <c r="E898" s="1" t="s">
        <v>1684</v>
      </c>
      <c r="F898" s="1" t="s">
        <v>3283</v>
      </c>
      <c r="G898" s="1" t="s">
        <v>3284</v>
      </c>
      <c r="H898" s="1" t="s">
        <v>15</v>
      </c>
      <c r="I898" t="b">
        <f>COUNTIF(Estadísticas!I:I,'Centraldecomunicacion.es'!H898)&gt;0</f>
        <v>0</v>
      </c>
    </row>
    <row r="899" spans="1:9">
      <c r="A899" s="1" t="s">
        <v>603</v>
      </c>
      <c r="B899" s="1" t="s">
        <v>10</v>
      </c>
      <c r="C899" s="1" t="s">
        <v>3285</v>
      </c>
      <c r="D899" s="1" t="s">
        <v>3286</v>
      </c>
      <c r="E899" s="1" t="s">
        <v>1684</v>
      </c>
      <c r="F899" s="1" t="s">
        <v>23</v>
      </c>
      <c r="G899" s="1" t="s">
        <v>3287</v>
      </c>
      <c r="H899" s="1" t="s">
        <v>15</v>
      </c>
      <c r="I899" t="b">
        <f>COUNTIF(Estadísticas!I:I,'Centraldecomunicacion.es'!H899)&gt;0</f>
        <v>0</v>
      </c>
    </row>
    <row r="900" spans="1:9">
      <c r="A900" s="1" t="s">
        <v>3288</v>
      </c>
      <c r="B900" s="1" t="s">
        <v>10</v>
      </c>
      <c r="C900" s="1" t="s">
        <v>3289</v>
      </c>
      <c r="D900" s="1" t="s">
        <v>3286</v>
      </c>
      <c r="E900" s="1" t="s">
        <v>1684</v>
      </c>
      <c r="F900" s="1" t="s">
        <v>3290</v>
      </c>
      <c r="G900" s="1" t="s">
        <v>3291</v>
      </c>
      <c r="H900" s="1" t="s">
        <v>3292</v>
      </c>
      <c r="I900" t="b">
        <f>COUNTIF(Estadísticas!I:I,'Centraldecomunicacion.es'!H900)&gt;0</f>
        <v>0</v>
      </c>
    </row>
    <row r="901" spans="1:9">
      <c r="A901" s="1" t="s">
        <v>3293</v>
      </c>
      <c r="B901" s="1" t="s">
        <v>10</v>
      </c>
      <c r="C901" s="1" t="s">
        <v>3294</v>
      </c>
      <c r="D901" s="1" t="s">
        <v>3278</v>
      </c>
      <c r="E901" s="1" t="s">
        <v>1684</v>
      </c>
      <c r="F901" s="1" t="s">
        <v>23</v>
      </c>
      <c r="G901" s="1" t="s">
        <v>23</v>
      </c>
      <c r="H901" s="1" t="s">
        <v>15</v>
      </c>
      <c r="I901" t="b">
        <f>COUNTIF(Estadísticas!I:I,'Centraldecomunicacion.es'!H901)&gt;0</f>
        <v>0</v>
      </c>
    </row>
    <row r="902" spans="1:9">
      <c r="A902" s="1" t="s">
        <v>241</v>
      </c>
      <c r="B902" s="1" t="s">
        <v>10</v>
      </c>
      <c r="C902" s="1" t="s">
        <v>3295</v>
      </c>
      <c r="D902" s="1" t="s">
        <v>3278</v>
      </c>
      <c r="E902" s="1" t="s">
        <v>1684</v>
      </c>
      <c r="F902" s="1" t="s">
        <v>81</v>
      </c>
      <c r="G902" s="1" t="s">
        <v>3296</v>
      </c>
      <c r="H902" s="1" t="s">
        <v>83</v>
      </c>
      <c r="I902" t="b">
        <f>COUNTIF(Estadísticas!I:I,'Centraldecomunicacion.es'!H902)&gt;0</f>
        <v>0</v>
      </c>
    </row>
    <row r="903" spans="1:9">
      <c r="A903" s="1" t="s">
        <v>3297</v>
      </c>
      <c r="B903" s="1" t="s">
        <v>10</v>
      </c>
      <c r="C903" s="1" t="s">
        <v>3298</v>
      </c>
      <c r="D903" s="1" t="s">
        <v>3286</v>
      </c>
      <c r="E903" s="1" t="s">
        <v>1684</v>
      </c>
      <c r="F903" s="1" t="s">
        <v>23</v>
      </c>
      <c r="G903" s="1" t="s">
        <v>23</v>
      </c>
      <c r="H903" s="1" t="s">
        <v>15</v>
      </c>
      <c r="I903" t="b">
        <f>COUNTIF(Estadísticas!I:I,'Centraldecomunicacion.es'!H903)&gt;0</f>
        <v>0</v>
      </c>
    </row>
    <row r="904" spans="1:9">
      <c r="A904" s="1" t="s">
        <v>3299</v>
      </c>
      <c r="B904" s="1" t="s">
        <v>10</v>
      </c>
      <c r="C904" s="1" t="s">
        <v>3300</v>
      </c>
      <c r="D904" s="1" t="s">
        <v>3301</v>
      </c>
      <c r="E904" s="1" t="s">
        <v>1684</v>
      </c>
      <c r="F904" s="1" t="s">
        <v>23</v>
      </c>
      <c r="G904" s="1" t="s">
        <v>3302</v>
      </c>
      <c r="H904" s="1" t="s">
        <v>15</v>
      </c>
      <c r="I904" t="b">
        <f>COUNTIF(Estadísticas!I:I,'Centraldecomunicacion.es'!H904)&gt;0</f>
        <v>0</v>
      </c>
    </row>
    <row r="905" spans="1:9">
      <c r="A905" s="1" t="s">
        <v>455</v>
      </c>
      <c r="B905" s="1" t="s">
        <v>10</v>
      </c>
      <c r="C905" s="1" t="s">
        <v>3303</v>
      </c>
      <c r="D905" s="1" t="s">
        <v>3304</v>
      </c>
      <c r="E905" s="1" t="s">
        <v>3305</v>
      </c>
      <c r="F905" s="1" t="s">
        <v>3306</v>
      </c>
      <c r="G905" s="1" t="s">
        <v>3307</v>
      </c>
      <c r="H905" s="1" t="s">
        <v>15</v>
      </c>
      <c r="I905" t="b">
        <f>COUNTIF(Estadísticas!I:I,'Centraldecomunicacion.es'!H905)&gt;0</f>
        <v>0</v>
      </c>
    </row>
    <row r="906" spans="1:9">
      <c r="A906" s="1" t="s">
        <v>3308</v>
      </c>
      <c r="B906" s="1" t="s">
        <v>10</v>
      </c>
      <c r="C906" s="1" t="s">
        <v>3309</v>
      </c>
      <c r="D906" s="1" t="s">
        <v>3304</v>
      </c>
      <c r="E906" s="1" t="s">
        <v>3305</v>
      </c>
      <c r="F906" s="1" t="s">
        <v>3310</v>
      </c>
      <c r="G906" s="1" t="s">
        <v>3311</v>
      </c>
      <c r="H906" s="1" t="s">
        <v>3312</v>
      </c>
      <c r="I906" t="b">
        <f>COUNTIF(Estadísticas!I:I,'Centraldecomunicacion.es'!H906)&gt;0</f>
        <v>1</v>
      </c>
    </row>
    <row r="907" spans="1:9">
      <c r="A907" s="1" t="s">
        <v>257</v>
      </c>
      <c r="B907" s="1" t="s">
        <v>10</v>
      </c>
      <c r="C907" s="1" t="s">
        <v>3313</v>
      </c>
      <c r="D907" s="1" t="s">
        <v>3304</v>
      </c>
      <c r="E907" s="1" t="s">
        <v>3305</v>
      </c>
      <c r="F907" s="1" t="s">
        <v>23</v>
      </c>
      <c r="G907" s="1" t="s">
        <v>3314</v>
      </c>
      <c r="H907" s="1" t="s">
        <v>15</v>
      </c>
      <c r="I907" t="b">
        <f>COUNTIF(Estadísticas!I:I,'Centraldecomunicacion.es'!H907)&gt;0</f>
        <v>0</v>
      </c>
    </row>
    <row r="908" spans="1:9">
      <c r="A908" s="1" t="s">
        <v>3315</v>
      </c>
      <c r="B908" s="1" t="s">
        <v>10</v>
      </c>
      <c r="C908" s="1" t="s">
        <v>3316</v>
      </c>
      <c r="D908" s="1" t="s">
        <v>3304</v>
      </c>
      <c r="E908" s="1" t="s">
        <v>3305</v>
      </c>
      <c r="F908" s="1" t="s">
        <v>23</v>
      </c>
      <c r="G908" s="1" t="s">
        <v>3317</v>
      </c>
      <c r="H908" s="1" t="s">
        <v>15</v>
      </c>
      <c r="I908" t="b">
        <f>COUNTIF(Estadísticas!I:I,'Centraldecomunicacion.es'!H908)&gt;0</f>
        <v>0</v>
      </c>
    </row>
    <row r="909" spans="1:9">
      <c r="A909" s="1" t="s">
        <v>3318</v>
      </c>
      <c r="B909" s="1" t="s">
        <v>10</v>
      </c>
      <c r="C909" s="1" t="s">
        <v>3319</v>
      </c>
      <c r="D909" s="1" t="s">
        <v>3304</v>
      </c>
      <c r="E909" s="1" t="s">
        <v>3305</v>
      </c>
      <c r="F909" s="1" t="s">
        <v>23</v>
      </c>
      <c r="G909" s="1" t="s">
        <v>3320</v>
      </c>
      <c r="H909" s="1" t="s">
        <v>15</v>
      </c>
      <c r="I909" t="b">
        <f>COUNTIF(Estadísticas!I:I,'Centraldecomunicacion.es'!H909)&gt;0</f>
        <v>0</v>
      </c>
    </row>
    <row r="910" spans="1:9">
      <c r="A910" s="1" t="s">
        <v>321</v>
      </c>
      <c r="B910" s="1" t="s">
        <v>10</v>
      </c>
      <c r="C910" s="1" t="s">
        <v>3321</v>
      </c>
      <c r="D910" s="1" t="s">
        <v>3304</v>
      </c>
      <c r="E910" s="1" t="s">
        <v>3305</v>
      </c>
      <c r="F910" s="1" t="s">
        <v>323</v>
      </c>
      <c r="G910" s="1" t="s">
        <v>3322</v>
      </c>
      <c r="H910" s="1" t="s">
        <v>325</v>
      </c>
      <c r="I910" t="b">
        <f>COUNTIF(Estadísticas!I:I,'Centraldecomunicacion.es'!H910)&gt;0</f>
        <v>0</v>
      </c>
    </row>
    <row r="911" spans="1:9">
      <c r="A911" s="1" t="s">
        <v>3323</v>
      </c>
      <c r="B911" s="1" t="s">
        <v>10</v>
      </c>
      <c r="C911" s="1" t="s">
        <v>3324</v>
      </c>
      <c r="D911" s="1" t="s">
        <v>3304</v>
      </c>
      <c r="E911" s="1" t="s">
        <v>3305</v>
      </c>
      <c r="F911" s="1" t="s">
        <v>3325</v>
      </c>
      <c r="G911" s="1" t="s">
        <v>3326</v>
      </c>
      <c r="H911" s="1" t="s">
        <v>3327</v>
      </c>
      <c r="I911" t="b">
        <f>COUNTIF(Estadísticas!I:I,'Centraldecomunicacion.es'!H911)&gt;0</f>
        <v>0</v>
      </c>
    </row>
    <row r="912" spans="1:9">
      <c r="A912" s="1" t="s">
        <v>3328</v>
      </c>
      <c r="B912" s="1" t="s">
        <v>10</v>
      </c>
      <c r="C912" s="1" t="s">
        <v>3329</v>
      </c>
      <c r="D912" s="1" t="s">
        <v>3304</v>
      </c>
      <c r="E912" s="1" t="s">
        <v>3305</v>
      </c>
      <c r="F912" s="1" t="s">
        <v>23</v>
      </c>
      <c r="G912" s="1" t="s">
        <v>3330</v>
      </c>
      <c r="H912" s="1" t="s">
        <v>15</v>
      </c>
      <c r="I912" t="b">
        <f>COUNTIF(Estadísticas!I:I,'Centraldecomunicacion.es'!H912)&gt;0</f>
        <v>0</v>
      </c>
    </row>
    <row r="913" spans="1:9">
      <c r="A913" s="1" t="s">
        <v>3331</v>
      </c>
      <c r="B913" s="1" t="s">
        <v>10</v>
      </c>
      <c r="C913" s="1" t="s">
        <v>3332</v>
      </c>
      <c r="D913" s="1" t="s">
        <v>3333</v>
      </c>
      <c r="E913" s="1" t="s">
        <v>3305</v>
      </c>
      <c r="F913" s="1" t="s">
        <v>3334</v>
      </c>
      <c r="G913" s="1" t="s">
        <v>3335</v>
      </c>
      <c r="H913" s="1" t="s">
        <v>15</v>
      </c>
      <c r="I913" t="b">
        <f>COUNTIF(Estadísticas!I:I,'Centraldecomunicacion.es'!H913)&gt;0</f>
        <v>0</v>
      </c>
    </row>
    <row r="914" spans="1:9">
      <c r="A914" s="1" t="s">
        <v>3336</v>
      </c>
      <c r="B914" s="1" t="s">
        <v>10</v>
      </c>
      <c r="C914" s="1" t="s">
        <v>3337</v>
      </c>
      <c r="D914" s="1" t="s">
        <v>3338</v>
      </c>
      <c r="E914" s="1" t="s">
        <v>3305</v>
      </c>
      <c r="F914" s="1" t="s">
        <v>23</v>
      </c>
      <c r="G914" s="1" t="s">
        <v>3339</v>
      </c>
      <c r="H914" s="1" t="s">
        <v>15</v>
      </c>
      <c r="I914" t="b">
        <f>COUNTIF(Estadísticas!I:I,'Centraldecomunicacion.es'!H914)&gt;0</f>
        <v>0</v>
      </c>
    </row>
    <row r="915" spans="1:9">
      <c r="A915" s="1" t="s">
        <v>3340</v>
      </c>
      <c r="B915" s="1" t="s">
        <v>10</v>
      </c>
      <c r="C915" s="1" t="s">
        <v>3341</v>
      </c>
      <c r="D915" s="1" t="s">
        <v>3342</v>
      </c>
      <c r="E915" s="1" t="s">
        <v>3305</v>
      </c>
      <c r="F915" s="1" t="s">
        <v>23</v>
      </c>
      <c r="G915" s="1" t="s">
        <v>3343</v>
      </c>
      <c r="H915" s="1" t="s">
        <v>15</v>
      </c>
      <c r="I915" t="b">
        <f>COUNTIF(Estadísticas!I:I,'Centraldecomunicacion.es'!H915)&gt;0</f>
        <v>0</v>
      </c>
    </row>
    <row r="916" spans="1:9">
      <c r="A916" s="1" t="s">
        <v>3344</v>
      </c>
      <c r="B916" s="1" t="s">
        <v>10</v>
      </c>
      <c r="C916" s="1" t="s">
        <v>3345</v>
      </c>
      <c r="D916" s="1" t="s">
        <v>3346</v>
      </c>
      <c r="E916" s="1" t="s">
        <v>3305</v>
      </c>
      <c r="F916" s="1" t="s">
        <v>3347</v>
      </c>
      <c r="G916" s="1" t="s">
        <v>3348</v>
      </c>
      <c r="H916" s="1" t="s">
        <v>15</v>
      </c>
      <c r="I916" t="b">
        <f>COUNTIF(Estadísticas!I:I,'Centraldecomunicacion.es'!H916)&gt;0</f>
        <v>0</v>
      </c>
    </row>
    <row r="917" spans="1:9">
      <c r="A917" s="1" t="s">
        <v>3349</v>
      </c>
      <c r="B917" s="1" t="s">
        <v>10</v>
      </c>
      <c r="C917" s="1" t="s">
        <v>3350</v>
      </c>
      <c r="D917" s="1" t="s">
        <v>3351</v>
      </c>
      <c r="E917" s="1" t="s">
        <v>3305</v>
      </c>
      <c r="F917" s="1" t="s">
        <v>3352</v>
      </c>
      <c r="G917" s="1" t="s">
        <v>3353</v>
      </c>
      <c r="H917" s="1" t="s">
        <v>3354</v>
      </c>
      <c r="I917" t="b">
        <f>COUNTIF(Estadísticas!I:I,'Centraldecomunicacion.es'!H917)&gt;0</f>
        <v>1</v>
      </c>
    </row>
    <row r="918" spans="1:9">
      <c r="A918" s="1" t="s">
        <v>3355</v>
      </c>
      <c r="B918" s="1" t="s">
        <v>10</v>
      </c>
      <c r="C918" s="1" t="s">
        <v>3356</v>
      </c>
      <c r="D918" s="1" t="s">
        <v>3357</v>
      </c>
      <c r="E918" s="1" t="s">
        <v>3305</v>
      </c>
      <c r="F918" s="1" t="s">
        <v>3358</v>
      </c>
      <c r="G918" s="1" t="s">
        <v>3359</v>
      </c>
      <c r="H918" s="1" t="s">
        <v>15</v>
      </c>
      <c r="I918" t="b">
        <f>COUNTIF(Estadísticas!I:I,'Centraldecomunicacion.es'!H918)&gt;0</f>
        <v>0</v>
      </c>
    </row>
    <row r="919" spans="1:9">
      <c r="A919" s="1" t="s">
        <v>3360</v>
      </c>
      <c r="B919" s="1" t="s">
        <v>10</v>
      </c>
      <c r="C919" s="1" t="s">
        <v>3361</v>
      </c>
      <c r="D919" s="1" t="s">
        <v>3357</v>
      </c>
      <c r="E919" s="1" t="s">
        <v>3305</v>
      </c>
      <c r="F919" s="1" t="s">
        <v>23</v>
      </c>
      <c r="G919" s="1" t="s">
        <v>3362</v>
      </c>
      <c r="H919" s="1" t="s">
        <v>15</v>
      </c>
      <c r="I919" t="b">
        <f>COUNTIF(Estadísticas!I:I,'Centraldecomunicacion.es'!H919)&gt;0</f>
        <v>0</v>
      </c>
    </row>
    <row r="920" spans="1:9">
      <c r="A920" s="1" t="s">
        <v>3363</v>
      </c>
      <c r="B920" s="1" t="s">
        <v>10</v>
      </c>
      <c r="C920" s="1" t="s">
        <v>3364</v>
      </c>
      <c r="D920" s="1" t="s">
        <v>3365</v>
      </c>
      <c r="E920" s="1" t="s">
        <v>3305</v>
      </c>
      <c r="F920" s="1" t="s">
        <v>3366</v>
      </c>
      <c r="G920" s="1" t="s">
        <v>3367</v>
      </c>
      <c r="H920" s="1" t="s">
        <v>3368</v>
      </c>
      <c r="I920" t="b">
        <f>COUNTIF(Estadísticas!I:I,'Centraldecomunicacion.es'!H920)&gt;0</f>
        <v>0</v>
      </c>
    </row>
    <row r="921" spans="1:9">
      <c r="A921" s="1" t="s">
        <v>3369</v>
      </c>
      <c r="B921" s="1" t="s">
        <v>10</v>
      </c>
      <c r="C921" s="1" t="s">
        <v>3370</v>
      </c>
      <c r="D921" s="1" t="s">
        <v>3351</v>
      </c>
      <c r="E921" s="1" t="s">
        <v>3305</v>
      </c>
      <c r="F921" s="1" t="s">
        <v>23</v>
      </c>
      <c r="G921" s="1" t="s">
        <v>3371</v>
      </c>
      <c r="H921" s="1" t="s">
        <v>15</v>
      </c>
      <c r="I921" t="b">
        <f>COUNTIF(Estadísticas!I:I,'Centraldecomunicacion.es'!H921)&gt;0</f>
        <v>0</v>
      </c>
    </row>
    <row r="922" spans="1:9">
      <c r="A922" s="1" t="s">
        <v>3372</v>
      </c>
      <c r="B922" s="1" t="s">
        <v>10</v>
      </c>
      <c r="C922" s="1" t="s">
        <v>3373</v>
      </c>
      <c r="D922" s="1" t="s">
        <v>3374</v>
      </c>
      <c r="E922" s="1" t="s">
        <v>3305</v>
      </c>
      <c r="F922" s="1" t="s">
        <v>23</v>
      </c>
      <c r="G922" s="1" t="s">
        <v>23</v>
      </c>
      <c r="H922" s="1" t="s">
        <v>15</v>
      </c>
      <c r="I922" t="b">
        <f>COUNTIF(Estadísticas!I:I,'Centraldecomunicacion.es'!H922)&gt;0</f>
        <v>0</v>
      </c>
    </row>
    <row r="923" spans="1:9">
      <c r="A923" s="1" t="s">
        <v>3375</v>
      </c>
      <c r="B923" s="1" t="s">
        <v>10</v>
      </c>
      <c r="C923" s="1" t="s">
        <v>3376</v>
      </c>
      <c r="D923" s="1" t="s">
        <v>3351</v>
      </c>
      <c r="E923" s="1" t="s">
        <v>3305</v>
      </c>
      <c r="F923" s="1" t="s">
        <v>23</v>
      </c>
      <c r="G923" s="1" t="s">
        <v>3377</v>
      </c>
      <c r="H923" s="1" t="s">
        <v>15</v>
      </c>
      <c r="I923" t="b">
        <f>COUNTIF(Estadísticas!I:I,'Centraldecomunicacion.es'!H923)&gt;0</f>
        <v>0</v>
      </c>
    </row>
    <row r="924" spans="1:9">
      <c r="A924" s="1" t="s">
        <v>3378</v>
      </c>
      <c r="B924" s="1" t="s">
        <v>10</v>
      </c>
      <c r="C924" s="1" t="s">
        <v>3379</v>
      </c>
      <c r="D924" s="1" t="s">
        <v>3380</v>
      </c>
      <c r="E924" s="1" t="s">
        <v>3305</v>
      </c>
      <c r="F924" s="1" t="s">
        <v>23</v>
      </c>
      <c r="G924" s="1" t="s">
        <v>23</v>
      </c>
      <c r="H924" s="1" t="s">
        <v>15</v>
      </c>
      <c r="I924" t="b">
        <f>COUNTIF(Estadísticas!I:I,'Centraldecomunicacion.es'!H924)&gt;0</f>
        <v>0</v>
      </c>
    </row>
    <row r="925" spans="1:9">
      <c r="A925" s="1" t="s">
        <v>3381</v>
      </c>
      <c r="B925" s="1" t="s">
        <v>10</v>
      </c>
      <c r="C925" s="1" t="s">
        <v>3382</v>
      </c>
      <c r="D925" s="1" t="s">
        <v>3383</v>
      </c>
      <c r="E925" s="1" t="s">
        <v>3305</v>
      </c>
      <c r="F925" s="1" t="s">
        <v>23</v>
      </c>
      <c r="G925" s="1" t="s">
        <v>3384</v>
      </c>
      <c r="H925" s="1" t="s">
        <v>15</v>
      </c>
      <c r="I925" t="b">
        <f>COUNTIF(Estadísticas!I:I,'Centraldecomunicacion.es'!H925)&gt;0</f>
        <v>0</v>
      </c>
    </row>
    <row r="926" spans="1:9">
      <c r="A926" s="1" t="s">
        <v>3385</v>
      </c>
      <c r="B926" s="1" t="s">
        <v>10</v>
      </c>
      <c r="C926" s="1" t="s">
        <v>3386</v>
      </c>
      <c r="D926" s="1" t="s">
        <v>3387</v>
      </c>
      <c r="E926" s="1" t="s">
        <v>3305</v>
      </c>
      <c r="F926" s="1" t="s">
        <v>23</v>
      </c>
      <c r="G926" s="1" t="s">
        <v>3388</v>
      </c>
      <c r="H926" s="1" t="s">
        <v>15</v>
      </c>
      <c r="I926" t="b">
        <f>COUNTIF(Estadísticas!I:I,'Centraldecomunicacion.es'!H926)&gt;0</f>
        <v>0</v>
      </c>
    </row>
    <row r="927" spans="1:9">
      <c r="A927" s="1" t="s">
        <v>3389</v>
      </c>
      <c r="B927" s="1" t="s">
        <v>10</v>
      </c>
      <c r="C927" s="1" t="s">
        <v>3390</v>
      </c>
      <c r="D927" s="1" t="s">
        <v>3391</v>
      </c>
      <c r="E927" s="1" t="s">
        <v>3305</v>
      </c>
      <c r="F927" s="1" t="s">
        <v>23</v>
      </c>
      <c r="G927" s="1" t="s">
        <v>3392</v>
      </c>
      <c r="H927" s="1" t="s">
        <v>15</v>
      </c>
      <c r="I927" t="b">
        <f>COUNTIF(Estadísticas!I:I,'Centraldecomunicacion.es'!H927)&gt;0</f>
        <v>0</v>
      </c>
    </row>
    <row r="928" spans="1:9">
      <c r="A928" s="1" t="s">
        <v>3393</v>
      </c>
      <c r="B928" s="1" t="s">
        <v>10</v>
      </c>
      <c r="C928" s="1" t="s">
        <v>3394</v>
      </c>
      <c r="D928" s="1" t="s">
        <v>3395</v>
      </c>
      <c r="E928" s="1" t="s">
        <v>3305</v>
      </c>
      <c r="F928" s="1" t="s">
        <v>3396</v>
      </c>
      <c r="G928" s="1" t="s">
        <v>3397</v>
      </c>
      <c r="H928" s="1" t="s">
        <v>3398</v>
      </c>
      <c r="I928" t="b">
        <f>COUNTIF(Estadísticas!I:I,'Centraldecomunicacion.es'!H928)&gt;0</f>
        <v>1</v>
      </c>
    </row>
    <row r="929" spans="1:9">
      <c r="A929" s="1" t="s">
        <v>321</v>
      </c>
      <c r="B929" s="1" t="s">
        <v>10</v>
      </c>
      <c r="C929" s="1" t="s">
        <v>3399</v>
      </c>
      <c r="D929" s="1" t="s">
        <v>3400</v>
      </c>
      <c r="E929" s="1" t="s">
        <v>3305</v>
      </c>
      <c r="F929" s="1" t="s">
        <v>323</v>
      </c>
      <c r="G929" s="1" t="s">
        <v>3401</v>
      </c>
      <c r="H929" s="1" t="s">
        <v>325</v>
      </c>
      <c r="I929" t="b">
        <f>COUNTIF(Estadísticas!I:I,'Centraldecomunicacion.es'!H929)&gt;0</f>
        <v>0</v>
      </c>
    </row>
    <row r="930" spans="1:9">
      <c r="A930" s="1" t="s">
        <v>3402</v>
      </c>
      <c r="B930" s="1" t="s">
        <v>10</v>
      </c>
      <c r="C930" s="1" t="s">
        <v>3403</v>
      </c>
      <c r="D930" s="1" t="s">
        <v>3404</v>
      </c>
      <c r="E930" s="1" t="s">
        <v>3305</v>
      </c>
      <c r="F930" s="1" t="s">
        <v>23</v>
      </c>
      <c r="G930" s="1" t="s">
        <v>3405</v>
      </c>
      <c r="H930" s="1" t="s">
        <v>15</v>
      </c>
      <c r="I930" t="b">
        <f>COUNTIF(Estadísticas!I:I,'Centraldecomunicacion.es'!H930)&gt;0</f>
        <v>0</v>
      </c>
    </row>
    <row r="931" spans="1:9">
      <c r="A931" s="1" t="s">
        <v>3406</v>
      </c>
      <c r="B931" s="1" t="s">
        <v>10</v>
      </c>
      <c r="C931" s="1" t="s">
        <v>3407</v>
      </c>
      <c r="D931" s="1" t="s">
        <v>3387</v>
      </c>
      <c r="E931" s="1" t="s">
        <v>3305</v>
      </c>
      <c r="F931" s="1" t="s">
        <v>23</v>
      </c>
      <c r="G931" s="1" t="s">
        <v>3408</v>
      </c>
      <c r="H931" s="1" t="s">
        <v>15</v>
      </c>
      <c r="I931" t="b">
        <f>COUNTIF(Estadísticas!I:I,'Centraldecomunicacion.es'!H931)&gt;0</f>
        <v>0</v>
      </c>
    </row>
    <row r="932" spans="1:9">
      <c r="A932" s="1" t="s">
        <v>3409</v>
      </c>
      <c r="B932" s="1" t="s">
        <v>10</v>
      </c>
      <c r="C932" s="1" t="s">
        <v>3410</v>
      </c>
      <c r="D932" s="1" t="s">
        <v>3411</v>
      </c>
      <c r="E932" s="1" t="s">
        <v>3411</v>
      </c>
      <c r="F932" s="1" t="s">
        <v>3412</v>
      </c>
      <c r="G932" s="1" t="s">
        <v>3413</v>
      </c>
      <c r="H932" s="1" t="s">
        <v>3414</v>
      </c>
      <c r="I932" t="b">
        <f>COUNTIF(Estadísticas!I:I,'Centraldecomunicacion.es'!H932)&gt;0</f>
        <v>0</v>
      </c>
    </row>
    <row r="933" spans="1:9">
      <c r="A933" s="1" t="s">
        <v>3415</v>
      </c>
      <c r="B933" s="1" t="s">
        <v>10</v>
      </c>
      <c r="C933" s="1" t="s">
        <v>3416</v>
      </c>
      <c r="D933" s="1" t="s">
        <v>3411</v>
      </c>
      <c r="E933" s="1" t="s">
        <v>3411</v>
      </c>
      <c r="F933" s="1" t="s">
        <v>1655</v>
      </c>
      <c r="G933" s="1" t="s">
        <v>3417</v>
      </c>
      <c r="H933" s="1" t="s">
        <v>1657</v>
      </c>
      <c r="I933" t="b">
        <f>COUNTIF(Estadísticas!I:I,'Centraldecomunicacion.es'!H933)&gt;0</f>
        <v>0</v>
      </c>
    </row>
    <row r="934" spans="1:9">
      <c r="A934" s="1" t="s">
        <v>3418</v>
      </c>
      <c r="B934" s="1" t="s">
        <v>10</v>
      </c>
      <c r="C934" s="1" t="s">
        <v>3419</v>
      </c>
      <c r="D934" s="1" t="s">
        <v>3411</v>
      </c>
      <c r="E934" s="1" t="s">
        <v>3411</v>
      </c>
      <c r="F934" s="1" t="s">
        <v>3420</v>
      </c>
      <c r="G934" s="1" t="s">
        <v>3421</v>
      </c>
      <c r="H934" s="1" t="s">
        <v>15</v>
      </c>
      <c r="I934" t="b">
        <f>COUNTIF(Estadísticas!I:I,'Centraldecomunicacion.es'!H934)&gt;0</f>
        <v>0</v>
      </c>
    </row>
    <row r="935" spans="1:9">
      <c r="A935" s="1" t="s">
        <v>3422</v>
      </c>
      <c r="B935" s="1" t="s">
        <v>10</v>
      </c>
      <c r="C935" s="1" t="s">
        <v>3423</v>
      </c>
      <c r="D935" s="1" t="s">
        <v>3411</v>
      </c>
      <c r="E935" s="1" t="s">
        <v>3411</v>
      </c>
      <c r="F935" s="1" t="s">
        <v>23</v>
      </c>
      <c r="G935" s="1" t="s">
        <v>3424</v>
      </c>
      <c r="H935" s="1" t="s">
        <v>15</v>
      </c>
      <c r="I935" t="b">
        <f>COUNTIF(Estadísticas!I:I,'Centraldecomunicacion.es'!H935)&gt;0</f>
        <v>0</v>
      </c>
    </row>
    <row r="936" spans="1:9">
      <c r="A936" s="1" t="s">
        <v>3425</v>
      </c>
      <c r="B936" s="1" t="s">
        <v>10</v>
      </c>
      <c r="C936" s="1" t="s">
        <v>3426</v>
      </c>
      <c r="D936" s="1" t="s">
        <v>3411</v>
      </c>
      <c r="E936" s="1" t="s">
        <v>3411</v>
      </c>
      <c r="F936" s="1" t="s">
        <v>23</v>
      </c>
      <c r="G936" s="1" t="s">
        <v>3427</v>
      </c>
      <c r="H936" s="1" t="s">
        <v>15</v>
      </c>
      <c r="I936" t="b">
        <f>COUNTIF(Estadísticas!I:I,'Centraldecomunicacion.es'!H936)&gt;0</f>
        <v>0</v>
      </c>
    </row>
    <row r="937" spans="1:9">
      <c r="A937" s="1" t="s">
        <v>3428</v>
      </c>
      <c r="B937" s="1" t="s">
        <v>10</v>
      </c>
      <c r="C937" s="1" t="s">
        <v>3429</v>
      </c>
      <c r="D937" s="1" t="s">
        <v>3411</v>
      </c>
      <c r="E937" s="1" t="s">
        <v>3411</v>
      </c>
      <c r="F937" s="1" t="s">
        <v>23</v>
      </c>
      <c r="G937" s="1" t="s">
        <v>23</v>
      </c>
      <c r="H937" s="1" t="s">
        <v>15</v>
      </c>
      <c r="I937" t="b">
        <f>COUNTIF(Estadísticas!I:I,'Centraldecomunicacion.es'!H937)&gt;0</f>
        <v>0</v>
      </c>
    </row>
    <row r="938" spans="1:9">
      <c r="A938" s="1" t="s">
        <v>3430</v>
      </c>
      <c r="B938" s="1" t="s">
        <v>10</v>
      </c>
      <c r="C938" s="1" t="s">
        <v>3431</v>
      </c>
      <c r="D938" s="1" t="s">
        <v>1546</v>
      </c>
      <c r="E938" s="1" t="s">
        <v>1546</v>
      </c>
      <c r="F938" s="1" t="s">
        <v>23</v>
      </c>
      <c r="G938" s="1" t="s">
        <v>3432</v>
      </c>
      <c r="H938" s="1" t="s">
        <v>15</v>
      </c>
      <c r="I938" t="b">
        <f>COUNTIF(Estadísticas!I:I,'Centraldecomunicacion.es'!H938)&gt;0</f>
        <v>0</v>
      </c>
    </row>
    <row r="939" spans="1:9">
      <c r="A939" s="1" t="s">
        <v>3433</v>
      </c>
      <c r="B939" s="1" t="s">
        <v>10</v>
      </c>
      <c r="C939" s="1" t="s">
        <v>3434</v>
      </c>
      <c r="D939" s="1" t="s">
        <v>3435</v>
      </c>
      <c r="E939" s="1" t="s">
        <v>693</v>
      </c>
      <c r="F939" s="1" t="s">
        <v>3436</v>
      </c>
      <c r="G939" s="1" t="s">
        <v>3437</v>
      </c>
      <c r="H939" s="1" t="s">
        <v>3438</v>
      </c>
      <c r="I939" t="b">
        <f>COUNTIF(Estadísticas!I:I,'Centraldecomunicacion.es'!H939)&gt;0</f>
        <v>0</v>
      </c>
    </row>
    <row r="940" spans="1:9">
      <c r="A940" s="1" t="s">
        <v>3439</v>
      </c>
      <c r="B940" s="1" t="s">
        <v>10</v>
      </c>
      <c r="C940" s="1" t="s">
        <v>3440</v>
      </c>
      <c r="D940" s="1" t="s">
        <v>1630</v>
      </c>
      <c r="E940" s="1" t="s">
        <v>1631</v>
      </c>
      <c r="F940" s="1" t="s">
        <v>23</v>
      </c>
      <c r="G940" s="1" t="s">
        <v>3441</v>
      </c>
      <c r="H940" s="1" t="s">
        <v>15</v>
      </c>
      <c r="I940" t="b">
        <f>COUNTIF(Estadísticas!I:I,'Centraldecomunicacion.es'!H940)&gt;0</f>
        <v>0</v>
      </c>
    </row>
    <row r="941" spans="1:9">
      <c r="A941" s="1" t="s">
        <v>257</v>
      </c>
      <c r="B941" s="1" t="s">
        <v>10</v>
      </c>
      <c r="C941" s="1" t="s">
        <v>3442</v>
      </c>
      <c r="D941" s="1" t="s">
        <v>3443</v>
      </c>
      <c r="E941" s="1" t="s">
        <v>3443</v>
      </c>
      <c r="F941" s="1" t="s">
        <v>3444</v>
      </c>
      <c r="G941" s="1" t="s">
        <v>3445</v>
      </c>
      <c r="H941" s="1" t="s">
        <v>15</v>
      </c>
      <c r="I941" t="b">
        <f>COUNTIF(Estadísticas!I:I,'Centraldecomunicacion.es'!H941)&gt;0</f>
        <v>0</v>
      </c>
    </row>
    <row r="942" spans="1:9">
      <c r="A942" s="1" t="s">
        <v>3446</v>
      </c>
      <c r="B942" s="1" t="s">
        <v>10</v>
      </c>
      <c r="C942" s="1" t="s">
        <v>3447</v>
      </c>
      <c r="D942" s="1" t="s">
        <v>3443</v>
      </c>
      <c r="E942" s="1" t="s">
        <v>3443</v>
      </c>
      <c r="F942" s="1" t="s">
        <v>23</v>
      </c>
      <c r="G942" s="1" t="s">
        <v>3448</v>
      </c>
      <c r="H942" s="1" t="s">
        <v>15</v>
      </c>
      <c r="I942" t="b">
        <f>COUNTIF(Estadísticas!I:I,'Centraldecomunicacion.es'!H942)&gt;0</f>
        <v>0</v>
      </c>
    </row>
    <row r="943" spans="1:9">
      <c r="A943" s="1" t="s">
        <v>3449</v>
      </c>
      <c r="B943" s="1" t="s">
        <v>10</v>
      </c>
      <c r="C943" s="1" t="s">
        <v>3450</v>
      </c>
      <c r="D943" s="1" t="s">
        <v>3443</v>
      </c>
      <c r="E943" s="1" t="s">
        <v>3443</v>
      </c>
      <c r="F943" s="1" t="s">
        <v>3451</v>
      </c>
      <c r="G943" s="1" t="s">
        <v>3452</v>
      </c>
      <c r="H943" s="1" t="s">
        <v>15</v>
      </c>
      <c r="I943" t="b">
        <f>COUNTIF(Estadísticas!I:I,'Centraldecomunicacion.es'!H943)&gt;0</f>
        <v>0</v>
      </c>
    </row>
    <row r="944" spans="1:9">
      <c r="A944" s="1" t="s">
        <v>3453</v>
      </c>
      <c r="B944" s="1" t="s">
        <v>10</v>
      </c>
      <c r="C944" s="1" t="s">
        <v>3454</v>
      </c>
      <c r="D944" s="1" t="s">
        <v>3443</v>
      </c>
      <c r="E944" s="1" t="s">
        <v>3443</v>
      </c>
      <c r="F944" s="1" t="s">
        <v>3455</v>
      </c>
      <c r="G944" s="1" t="s">
        <v>3456</v>
      </c>
      <c r="H944" s="1" t="s">
        <v>3457</v>
      </c>
      <c r="I944" t="b">
        <f>COUNTIF(Estadísticas!I:I,'Centraldecomunicacion.es'!H944)&gt;0</f>
        <v>0</v>
      </c>
    </row>
    <row r="945" spans="1:9">
      <c r="A945" s="1" t="s">
        <v>3458</v>
      </c>
      <c r="B945" s="1" t="s">
        <v>10</v>
      </c>
      <c r="C945" s="1" t="s">
        <v>3447</v>
      </c>
      <c r="D945" s="1" t="s">
        <v>3443</v>
      </c>
      <c r="E945" s="1" t="s">
        <v>3443</v>
      </c>
      <c r="F945" s="1" t="s">
        <v>23</v>
      </c>
      <c r="G945" s="1" t="s">
        <v>3448</v>
      </c>
      <c r="H945" s="1" t="s">
        <v>15</v>
      </c>
      <c r="I945" t="b">
        <f>COUNTIF(Estadísticas!I:I,'Centraldecomunicacion.es'!H945)&gt;0</f>
        <v>0</v>
      </c>
    </row>
    <row r="946" spans="1:9">
      <c r="A946" s="1" t="s">
        <v>3459</v>
      </c>
      <c r="B946" s="1" t="s">
        <v>10</v>
      </c>
      <c r="C946" s="1" t="s">
        <v>3460</v>
      </c>
      <c r="D946" s="1" t="s">
        <v>3443</v>
      </c>
      <c r="E946" s="1" t="s">
        <v>3443</v>
      </c>
      <c r="F946" s="1" t="s">
        <v>23</v>
      </c>
      <c r="G946" s="1" t="s">
        <v>3461</v>
      </c>
      <c r="H946" s="1" t="s">
        <v>15</v>
      </c>
      <c r="I946" t="b">
        <f>COUNTIF(Estadísticas!I:I,'Centraldecomunicacion.es'!H946)&gt;0</f>
        <v>0</v>
      </c>
    </row>
    <row r="947" spans="1:9">
      <c r="A947" s="1" t="s">
        <v>3462</v>
      </c>
      <c r="B947" s="1" t="s">
        <v>10</v>
      </c>
      <c r="C947" s="1" t="s">
        <v>3463</v>
      </c>
      <c r="D947" s="1" t="s">
        <v>3464</v>
      </c>
      <c r="E947" s="1" t="s">
        <v>3443</v>
      </c>
      <c r="F947" s="1" t="s">
        <v>23</v>
      </c>
      <c r="G947" s="1" t="s">
        <v>3465</v>
      </c>
      <c r="H947" s="1" t="s">
        <v>15</v>
      </c>
      <c r="I947" t="b">
        <f>COUNTIF(Estadísticas!I:I,'Centraldecomunicacion.es'!H947)&gt;0</f>
        <v>0</v>
      </c>
    </row>
    <row r="948" spans="1:9">
      <c r="A948" s="1" t="s">
        <v>257</v>
      </c>
      <c r="B948" s="1" t="s">
        <v>10</v>
      </c>
      <c r="C948" s="1" t="s">
        <v>3466</v>
      </c>
      <c r="D948" s="1" t="s">
        <v>3467</v>
      </c>
      <c r="E948" s="1" t="s">
        <v>3443</v>
      </c>
      <c r="F948" s="1" t="s">
        <v>23</v>
      </c>
      <c r="G948" s="1" t="s">
        <v>3468</v>
      </c>
      <c r="H948" s="1" t="s">
        <v>15</v>
      </c>
      <c r="I948" t="b">
        <f>COUNTIF(Estadísticas!I:I,'Centraldecomunicacion.es'!H948)&gt;0</f>
        <v>0</v>
      </c>
    </row>
    <row r="949" spans="1:9">
      <c r="A949" s="1" t="s">
        <v>3469</v>
      </c>
      <c r="B949" s="1" t="s">
        <v>10</v>
      </c>
      <c r="C949" s="1" t="s">
        <v>3470</v>
      </c>
      <c r="D949" s="1" t="s">
        <v>3471</v>
      </c>
      <c r="E949" s="1" t="s">
        <v>3443</v>
      </c>
      <c r="F949" s="1" t="s">
        <v>23</v>
      </c>
      <c r="G949" s="1" t="s">
        <v>3472</v>
      </c>
      <c r="H949" s="1" t="s">
        <v>15</v>
      </c>
      <c r="I949" t="b">
        <f>COUNTIF(Estadísticas!I:I,'Centraldecomunicacion.es'!H949)&gt;0</f>
        <v>0</v>
      </c>
    </row>
    <row r="950" spans="1:9">
      <c r="A950" s="1" t="s">
        <v>3473</v>
      </c>
      <c r="B950" s="1" t="s">
        <v>10</v>
      </c>
      <c r="C950" s="1" t="s">
        <v>3474</v>
      </c>
      <c r="D950" s="1" t="s">
        <v>3475</v>
      </c>
      <c r="E950" s="1" t="s">
        <v>3443</v>
      </c>
      <c r="F950" s="1" t="s">
        <v>3476</v>
      </c>
      <c r="G950" s="1" t="s">
        <v>3477</v>
      </c>
      <c r="H950" s="1" t="s">
        <v>1091</v>
      </c>
      <c r="I950" t="b">
        <f>COUNTIF(Estadísticas!I:I,'Centraldecomunicacion.es'!H950)&gt;0</f>
        <v>0</v>
      </c>
    </row>
    <row r="951" spans="1:9">
      <c r="A951" s="1" t="s">
        <v>3478</v>
      </c>
      <c r="B951" s="1" t="s">
        <v>10</v>
      </c>
      <c r="C951" s="1" t="s">
        <v>3479</v>
      </c>
      <c r="D951" s="1" t="s">
        <v>3480</v>
      </c>
      <c r="E951" s="1" t="s">
        <v>693</v>
      </c>
      <c r="F951" s="1" t="s">
        <v>323</v>
      </c>
      <c r="G951" s="1" t="s">
        <v>3481</v>
      </c>
      <c r="H951" s="1" t="s">
        <v>325</v>
      </c>
      <c r="I951" t="b">
        <f>COUNTIF(Estadísticas!I:I,'Centraldecomunicacion.es'!H951)&gt;0</f>
        <v>0</v>
      </c>
    </row>
    <row r="952" spans="1:9">
      <c r="A952" s="1" t="s">
        <v>3482</v>
      </c>
      <c r="B952" s="1" t="s">
        <v>10</v>
      </c>
      <c r="C952" s="1" t="s">
        <v>3483</v>
      </c>
      <c r="D952" s="1" t="s">
        <v>693</v>
      </c>
      <c r="E952" s="1" t="s">
        <v>693</v>
      </c>
      <c r="F952" s="1" t="s">
        <v>2008</v>
      </c>
      <c r="G952" s="1" t="s">
        <v>3484</v>
      </c>
      <c r="H952" s="1" t="s">
        <v>2010</v>
      </c>
      <c r="I952" t="b">
        <f>COUNTIF(Estadísticas!I:I,'Centraldecomunicacion.es'!H952)&gt;0</f>
        <v>0</v>
      </c>
    </row>
    <row r="953" spans="1:9">
      <c r="A953" s="1" t="s">
        <v>3485</v>
      </c>
      <c r="B953" s="1" t="s">
        <v>10</v>
      </c>
      <c r="C953" s="1" t="s">
        <v>3486</v>
      </c>
      <c r="D953" s="1" t="s">
        <v>693</v>
      </c>
      <c r="E953" s="1" t="s">
        <v>693</v>
      </c>
      <c r="F953" s="1" t="s">
        <v>3487</v>
      </c>
      <c r="G953" s="1" t="s">
        <v>3488</v>
      </c>
      <c r="H953" s="1" t="s">
        <v>1104</v>
      </c>
      <c r="I953" t="b">
        <f>COUNTIF(Estadísticas!I:I,'Centraldecomunicacion.es'!H953)&gt;0</f>
        <v>0</v>
      </c>
    </row>
    <row r="954" spans="1:9">
      <c r="A954" s="1" t="s">
        <v>3489</v>
      </c>
      <c r="B954" s="1" t="s">
        <v>10</v>
      </c>
      <c r="C954" s="1" t="s">
        <v>3490</v>
      </c>
      <c r="D954" s="1" t="s">
        <v>3491</v>
      </c>
      <c r="E954" s="1" t="s">
        <v>693</v>
      </c>
      <c r="F954" s="1" t="s">
        <v>81</v>
      </c>
      <c r="G954" s="1" t="s">
        <v>3492</v>
      </c>
      <c r="H954" s="1" t="s">
        <v>83</v>
      </c>
      <c r="I954" t="b">
        <f>COUNTIF(Estadísticas!I:I,'Centraldecomunicacion.es'!H954)&gt;0</f>
        <v>0</v>
      </c>
    </row>
    <row r="955" spans="1:9">
      <c r="A955" s="1" t="s">
        <v>3493</v>
      </c>
      <c r="B955" s="1" t="s">
        <v>10</v>
      </c>
      <c r="C955" s="1" t="s">
        <v>3494</v>
      </c>
      <c r="D955" s="1" t="s">
        <v>219</v>
      </c>
      <c r="E955" s="1" t="s">
        <v>219</v>
      </c>
      <c r="F955" s="1" t="s">
        <v>3495</v>
      </c>
      <c r="G955" s="1" t="s">
        <v>3496</v>
      </c>
      <c r="H955" s="1" t="s">
        <v>3497</v>
      </c>
      <c r="I955" t="b">
        <f>COUNTIF(Estadísticas!I:I,'Centraldecomunicacion.es'!H955)&gt;0</f>
        <v>0</v>
      </c>
    </row>
    <row r="956" spans="1:9">
      <c r="A956" s="1" t="s">
        <v>3498</v>
      </c>
      <c r="B956" s="1" t="s">
        <v>10</v>
      </c>
      <c r="C956" s="1" t="s">
        <v>3499</v>
      </c>
      <c r="D956" s="1" t="s">
        <v>3500</v>
      </c>
      <c r="E956" s="1" t="s">
        <v>3500</v>
      </c>
      <c r="F956" s="1" t="s">
        <v>23</v>
      </c>
      <c r="G956" s="1" t="s">
        <v>3501</v>
      </c>
      <c r="H956" s="1" t="s">
        <v>15</v>
      </c>
      <c r="I956" t="b">
        <f>COUNTIF(Estadísticas!I:I,'Centraldecomunicacion.es'!H956)&gt;0</f>
        <v>0</v>
      </c>
    </row>
    <row r="957" spans="1:9">
      <c r="A957" s="1" t="s">
        <v>1845</v>
      </c>
      <c r="B957" s="1" t="s">
        <v>10</v>
      </c>
      <c r="C957" s="1" t="s">
        <v>3502</v>
      </c>
      <c r="D957" s="1" t="s">
        <v>3500</v>
      </c>
      <c r="E957" s="1" t="s">
        <v>3500</v>
      </c>
      <c r="F957" s="1" t="s">
        <v>3503</v>
      </c>
      <c r="G957" s="1" t="s">
        <v>3504</v>
      </c>
      <c r="H957" s="1" t="s">
        <v>3505</v>
      </c>
      <c r="I957" t="b">
        <f>COUNTIF(Estadísticas!I:I,'Centraldecomunicacion.es'!H957)&gt;0</f>
        <v>1</v>
      </c>
    </row>
    <row r="958" spans="1:9">
      <c r="A958" s="1" t="s">
        <v>3506</v>
      </c>
      <c r="B958" s="1" t="s">
        <v>10</v>
      </c>
      <c r="C958" s="1" t="s">
        <v>3507</v>
      </c>
      <c r="D958" s="1" t="s">
        <v>3500</v>
      </c>
      <c r="E958" s="1" t="s">
        <v>3500</v>
      </c>
      <c r="F958" s="1" t="s">
        <v>23</v>
      </c>
      <c r="G958" s="1" t="s">
        <v>3508</v>
      </c>
      <c r="H958" s="1" t="s">
        <v>15</v>
      </c>
      <c r="I958" t="b">
        <f>COUNTIF(Estadísticas!I:I,'Centraldecomunicacion.es'!H958)&gt;0</f>
        <v>0</v>
      </c>
    </row>
    <row r="959" spans="1:9">
      <c r="A959" s="1" t="s">
        <v>3509</v>
      </c>
      <c r="B959" s="1" t="s">
        <v>10</v>
      </c>
      <c r="C959" s="1" t="s">
        <v>3510</v>
      </c>
      <c r="D959" s="1" t="s">
        <v>3500</v>
      </c>
      <c r="E959" s="1" t="s">
        <v>3500</v>
      </c>
      <c r="F959" s="1" t="s">
        <v>23</v>
      </c>
      <c r="G959" s="1" t="s">
        <v>3511</v>
      </c>
      <c r="H959" s="1" t="s">
        <v>15</v>
      </c>
      <c r="I959" t="b">
        <f>COUNTIF(Estadísticas!I:I,'Centraldecomunicacion.es'!H959)&gt;0</f>
        <v>0</v>
      </c>
    </row>
    <row r="960" spans="1:9">
      <c r="A960" s="1" t="s">
        <v>3512</v>
      </c>
      <c r="B960" s="1" t="s">
        <v>10</v>
      </c>
      <c r="C960" s="1" t="s">
        <v>3513</v>
      </c>
      <c r="D960" s="1" t="s">
        <v>3500</v>
      </c>
      <c r="E960" s="1" t="s">
        <v>3500</v>
      </c>
      <c r="F960" s="1" t="s">
        <v>23</v>
      </c>
      <c r="G960" s="1" t="s">
        <v>3514</v>
      </c>
      <c r="H960" s="1" t="s">
        <v>15</v>
      </c>
      <c r="I960" t="b">
        <f>COUNTIF(Estadísticas!I:I,'Centraldecomunicacion.es'!H960)&gt;0</f>
        <v>0</v>
      </c>
    </row>
    <row r="961" spans="1:9">
      <c r="A961" s="1" t="s">
        <v>3515</v>
      </c>
      <c r="B961" s="1" t="s">
        <v>10</v>
      </c>
      <c r="C961" s="1" t="s">
        <v>3516</v>
      </c>
      <c r="D961" s="1" t="s">
        <v>3500</v>
      </c>
      <c r="E961" s="1" t="s">
        <v>3500</v>
      </c>
      <c r="F961" s="1" t="s">
        <v>23</v>
      </c>
      <c r="G961" s="1" t="s">
        <v>3517</v>
      </c>
      <c r="H961" s="1" t="s">
        <v>15</v>
      </c>
      <c r="I961" t="b">
        <f>COUNTIF(Estadísticas!I:I,'Centraldecomunicacion.es'!H961)&gt;0</f>
        <v>0</v>
      </c>
    </row>
    <row r="962" spans="1:9">
      <c r="A962" s="1" t="s">
        <v>3518</v>
      </c>
      <c r="B962" s="1" t="s">
        <v>10</v>
      </c>
      <c r="C962" s="1" t="s">
        <v>3519</v>
      </c>
      <c r="D962" s="1" t="s">
        <v>3500</v>
      </c>
      <c r="E962" s="1" t="s">
        <v>3500</v>
      </c>
      <c r="F962" s="1" t="s">
        <v>23</v>
      </c>
      <c r="G962" s="1" t="s">
        <v>3520</v>
      </c>
      <c r="H962" s="1" t="s">
        <v>15</v>
      </c>
      <c r="I962" t="b">
        <f>COUNTIF(Estadísticas!I:I,'Centraldecomunicacion.es'!H962)&gt;0</f>
        <v>0</v>
      </c>
    </row>
    <row r="963" spans="1:9">
      <c r="A963" s="1" t="s">
        <v>3521</v>
      </c>
      <c r="B963" s="1" t="s">
        <v>10</v>
      </c>
      <c r="C963" s="1" t="s">
        <v>3522</v>
      </c>
      <c r="D963" s="1" t="s">
        <v>3523</v>
      </c>
      <c r="E963" s="1" t="s">
        <v>3500</v>
      </c>
      <c r="F963" s="1" t="s">
        <v>23</v>
      </c>
      <c r="G963" s="1" t="s">
        <v>3524</v>
      </c>
      <c r="H963" s="1" t="s">
        <v>15</v>
      </c>
      <c r="I963" t="b">
        <f>COUNTIF(Estadísticas!I:I,'Centraldecomunicacion.es'!H963)&gt;0</f>
        <v>0</v>
      </c>
    </row>
    <row r="964" spans="1:9">
      <c r="A964" s="1" t="s">
        <v>3525</v>
      </c>
      <c r="B964" s="1" t="s">
        <v>10</v>
      </c>
      <c r="C964" s="1" t="s">
        <v>3516</v>
      </c>
      <c r="D964" s="1" t="s">
        <v>3500</v>
      </c>
      <c r="E964" s="1" t="s">
        <v>3500</v>
      </c>
      <c r="F964" s="1" t="s">
        <v>3526</v>
      </c>
      <c r="G964" s="1" t="s">
        <v>3527</v>
      </c>
      <c r="H964" s="1" t="s">
        <v>3528</v>
      </c>
      <c r="I964" t="b">
        <f>COUNTIF(Estadísticas!I:I,'Centraldecomunicacion.es'!H964)&gt;0</f>
        <v>0</v>
      </c>
    </row>
    <row r="965" spans="1:9">
      <c r="A965" s="1" t="s">
        <v>3529</v>
      </c>
      <c r="B965" s="1" t="s">
        <v>10</v>
      </c>
      <c r="C965" s="1" t="s">
        <v>3530</v>
      </c>
      <c r="D965" s="1" t="s">
        <v>3531</v>
      </c>
      <c r="E965" s="1" t="s">
        <v>3500</v>
      </c>
      <c r="F965" s="1" t="s">
        <v>3532</v>
      </c>
      <c r="G965" s="1" t="s">
        <v>3533</v>
      </c>
      <c r="H965" s="1" t="s">
        <v>3534</v>
      </c>
      <c r="I965" t="b">
        <f>COUNTIF(Estadísticas!I:I,'Centraldecomunicacion.es'!H965)&gt;0</f>
        <v>1</v>
      </c>
    </row>
    <row r="966" spans="1:9">
      <c r="A966" s="1" t="s">
        <v>3535</v>
      </c>
      <c r="B966" s="1" t="s">
        <v>10</v>
      </c>
      <c r="C966" s="1" t="s">
        <v>3536</v>
      </c>
      <c r="D966" s="1" t="s">
        <v>3531</v>
      </c>
      <c r="E966" s="1" t="s">
        <v>3500</v>
      </c>
      <c r="F966" s="1" t="s">
        <v>3537</v>
      </c>
      <c r="G966" s="1" t="s">
        <v>3538</v>
      </c>
      <c r="H966" s="1" t="s">
        <v>15</v>
      </c>
      <c r="I966" t="b">
        <f>COUNTIF(Estadísticas!I:I,'Centraldecomunicacion.es'!H966)&gt;0</f>
        <v>0</v>
      </c>
    </row>
    <row r="967" spans="1:9">
      <c r="A967" s="1" t="s">
        <v>3539</v>
      </c>
      <c r="B967" s="1" t="s">
        <v>10</v>
      </c>
      <c r="C967" s="1" t="s">
        <v>3540</v>
      </c>
      <c r="D967" s="1" t="s">
        <v>3541</v>
      </c>
      <c r="E967" s="1" t="s">
        <v>3500</v>
      </c>
      <c r="F967" s="1" t="s">
        <v>23</v>
      </c>
      <c r="G967" s="1" t="s">
        <v>3542</v>
      </c>
      <c r="H967" s="1" t="s">
        <v>15</v>
      </c>
      <c r="I967" t="b">
        <f>COUNTIF(Estadísticas!I:I,'Centraldecomunicacion.es'!H967)&gt;0</f>
        <v>0</v>
      </c>
    </row>
    <row r="968" spans="1:9">
      <c r="A968" s="1" t="s">
        <v>3543</v>
      </c>
      <c r="B968" s="1" t="s">
        <v>10</v>
      </c>
      <c r="C968" s="1" t="s">
        <v>3544</v>
      </c>
      <c r="D968" s="1" t="s">
        <v>3545</v>
      </c>
      <c r="E968" s="1" t="s">
        <v>3500</v>
      </c>
      <c r="F968" s="1" t="s">
        <v>23</v>
      </c>
      <c r="G968" s="1" t="s">
        <v>3546</v>
      </c>
      <c r="H968" s="1" t="s">
        <v>15</v>
      </c>
      <c r="I968" t="b">
        <f>COUNTIF(Estadísticas!I:I,'Centraldecomunicacion.es'!H968)&gt;0</f>
        <v>0</v>
      </c>
    </row>
    <row r="969" spans="1:9">
      <c r="A969" s="1" t="s">
        <v>3547</v>
      </c>
      <c r="B969" s="1" t="s">
        <v>10</v>
      </c>
      <c r="C969" s="1" t="s">
        <v>3536</v>
      </c>
      <c r="D969" s="1" t="s">
        <v>3531</v>
      </c>
      <c r="E969" s="1" t="s">
        <v>3500</v>
      </c>
      <c r="F969" s="1" t="s">
        <v>23</v>
      </c>
      <c r="G969" s="1" t="s">
        <v>3538</v>
      </c>
      <c r="H969" s="1" t="s">
        <v>15</v>
      </c>
      <c r="I969" t="b">
        <f>COUNTIF(Estadísticas!I:I,'Centraldecomunicacion.es'!H969)&gt;0</f>
        <v>0</v>
      </c>
    </row>
    <row r="970" spans="1:9">
      <c r="A970" s="1" t="s">
        <v>3548</v>
      </c>
      <c r="B970" s="1" t="s">
        <v>10</v>
      </c>
      <c r="C970" s="1" t="s">
        <v>3549</v>
      </c>
      <c r="D970" s="1" t="s">
        <v>3531</v>
      </c>
      <c r="E970" s="1" t="s">
        <v>3500</v>
      </c>
      <c r="F970" s="1" t="s">
        <v>3532</v>
      </c>
      <c r="G970" s="1" t="s">
        <v>3533</v>
      </c>
      <c r="H970" s="1" t="s">
        <v>3534</v>
      </c>
      <c r="I970" t="b">
        <f>COUNTIF(Estadísticas!I:I,'Centraldecomunicacion.es'!H970)&gt;0</f>
        <v>1</v>
      </c>
    </row>
    <row r="971" spans="1:9">
      <c r="A971" s="1" t="s">
        <v>3550</v>
      </c>
      <c r="B971" s="1" t="s">
        <v>10</v>
      </c>
      <c r="C971" s="1" t="s">
        <v>3551</v>
      </c>
      <c r="D971" s="1" t="s">
        <v>3545</v>
      </c>
      <c r="E971" s="1" t="s">
        <v>3500</v>
      </c>
      <c r="F971" s="1" t="s">
        <v>23</v>
      </c>
      <c r="G971" s="1" t="s">
        <v>3552</v>
      </c>
      <c r="H971" s="1" t="s">
        <v>15</v>
      </c>
      <c r="I971" t="b">
        <f>COUNTIF(Estadísticas!I:I,'Centraldecomunicacion.es'!H971)&gt;0</f>
        <v>0</v>
      </c>
    </row>
    <row r="972" spans="1:9">
      <c r="A972" s="1" t="s">
        <v>3553</v>
      </c>
      <c r="B972" s="1" t="s">
        <v>10</v>
      </c>
      <c r="C972" s="1" t="s">
        <v>3554</v>
      </c>
      <c r="D972" s="1" t="s">
        <v>3545</v>
      </c>
      <c r="E972" s="1" t="s">
        <v>3500</v>
      </c>
      <c r="F972" s="1" t="s">
        <v>23</v>
      </c>
      <c r="G972" s="1" t="s">
        <v>3555</v>
      </c>
      <c r="H972" s="1" t="s">
        <v>15</v>
      </c>
      <c r="I972" t="b">
        <f>COUNTIF(Estadísticas!I:I,'Centraldecomunicacion.es'!H972)&gt;0</f>
        <v>0</v>
      </c>
    </row>
    <row r="973" spans="1:9">
      <c r="A973" s="1" t="s">
        <v>3556</v>
      </c>
      <c r="B973" s="1" t="s">
        <v>10</v>
      </c>
      <c r="C973" s="1" t="s">
        <v>3557</v>
      </c>
      <c r="D973" s="1" t="s">
        <v>3541</v>
      </c>
      <c r="E973" s="1" t="s">
        <v>3500</v>
      </c>
      <c r="F973" s="1" t="s">
        <v>23</v>
      </c>
      <c r="G973" s="1" t="s">
        <v>3558</v>
      </c>
      <c r="H973" s="1" t="s">
        <v>15</v>
      </c>
      <c r="I973" t="b">
        <f>COUNTIF(Estadísticas!I:I,'Centraldecomunicacion.es'!H973)&gt;0</f>
        <v>0</v>
      </c>
    </row>
    <row r="974" spans="1:9">
      <c r="A974" s="1" t="s">
        <v>3559</v>
      </c>
      <c r="B974" s="1" t="s">
        <v>10</v>
      </c>
      <c r="C974" s="1" t="s">
        <v>3560</v>
      </c>
      <c r="D974" s="1" t="s">
        <v>1639</v>
      </c>
      <c r="E974" s="1" t="s">
        <v>693</v>
      </c>
      <c r="F974" s="1" t="s">
        <v>23</v>
      </c>
      <c r="G974" s="1" t="s">
        <v>3561</v>
      </c>
      <c r="H974" s="1" t="s">
        <v>15</v>
      </c>
      <c r="I974" t="b">
        <f>COUNTIF(Estadísticas!I:I,'Centraldecomunicacion.es'!H974)&gt;0</f>
        <v>0</v>
      </c>
    </row>
    <row r="975" spans="1:9">
      <c r="A975" s="1" t="s">
        <v>257</v>
      </c>
      <c r="B975" s="1" t="s">
        <v>10</v>
      </c>
      <c r="C975" s="1" t="s">
        <v>3562</v>
      </c>
      <c r="D975" s="1" t="s">
        <v>693</v>
      </c>
      <c r="E975" s="1" t="s">
        <v>693</v>
      </c>
      <c r="F975" s="1" t="s">
        <v>81</v>
      </c>
      <c r="G975" s="1" t="s">
        <v>3563</v>
      </c>
      <c r="H975" s="1" t="s">
        <v>83</v>
      </c>
      <c r="I975" t="b">
        <f>COUNTIF(Estadísticas!I:I,'Centraldecomunicacion.es'!H975)&gt;0</f>
        <v>0</v>
      </c>
    </row>
    <row r="976" spans="1:9">
      <c r="A976" s="1" t="s">
        <v>3564</v>
      </c>
      <c r="B976" s="1" t="s">
        <v>10</v>
      </c>
      <c r="C976" s="1" t="s">
        <v>3565</v>
      </c>
      <c r="D976" s="1" t="s">
        <v>3566</v>
      </c>
      <c r="E976" s="1" t="s">
        <v>3500</v>
      </c>
      <c r="F976" s="1" t="s">
        <v>23</v>
      </c>
      <c r="G976" s="1" t="s">
        <v>3567</v>
      </c>
      <c r="H976" s="1" t="s">
        <v>15</v>
      </c>
      <c r="I976" t="b">
        <f>COUNTIF(Estadísticas!I:I,'Centraldecomunicacion.es'!H976)&gt;0</f>
        <v>0</v>
      </c>
    </row>
    <row r="977" spans="1:9">
      <c r="A977" s="1" t="s">
        <v>3568</v>
      </c>
      <c r="B977" s="1" t="s">
        <v>10</v>
      </c>
      <c r="C977" s="1" t="s">
        <v>3569</v>
      </c>
      <c r="D977" s="1" t="s">
        <v>3570</v>
      </c>
      <c r="E977" s="1" t="s">
        <v>3500</v>
      </c>
      <c r="F977" s="1" t="s">
        <v>3571</v>
      </c>
      <c r="G977" s="1" t="s">
        <v>3572</v>
      </c>
      <c r="H977" s="1" t="s">
        <v>3573</v>
      </c>
      <c r="I977" t="b">
        <f>COUNTIF(Estadísticas!I:I,'Centraldecomunicacion.es'!H977)&gt;0</f>
        <v>1</v>
      </c>
    </row>
    <row r="978" spans="1:9">
      <c r="A978" s="1" t="s">
        <v>3574</v>
      </c>
      <c r="B978" s="1" t="s">
        <v>10</v>
      </c>
      <c r="C978" s="1" t="s">
        <v>3575</v>
      </c>
      <c r="D978" s="1" t="s">
        <v>3576</v>
      </c>
      <c r="E978" s="1" t="s">
        <v>3500</v>
      </c>
      <c r="F978" s="1" t="s">
        <v>23</v>
      </c>
      <c r="G978" s="1" t="s">
        <v>3577</v>
      </c>
      <c r="H978" s="1" t="s">
        <v>15</v>
      </c>
      <c r="I978" t="b">
        <f>COUNTIF(Estadísticas!I:I,'Centraldecomunicacion.es'!H978)&gt;0</f>
        <v>0</v>
      </c>
    </row>
    <row r="979" spans="1:9">
      <c r="A979" s="1" t="s">
        <v>3578</v>
      </c>
      <c r="B979" s="1" t="s">
        <v>10</v>
      </c>
      <c r="C979" s="1" t="s">
        <v>3579</v>
      </c>
      <c r="D979" s="1" t="s">
        <v>3580</v>
      </c>
      <c r="E979" s="1" t="s">
        <v>3500</v>
      </c>
      <c r="F979" s="1" t="s">
        <v>23</v>
      </c>
      <c r="G979" s="1" t="s">
        <v>3581</v>
      </c>
      <c r="H979" s="1" t="s">
        <v>15</v>
      </c>
      <c r="I979" t="b">
        <f>COUNTIF(Estadísticas!I:I,'Centraldecomunicacion.es'!H979)&gt;0</f>
        <v>0</v>
      </c>
    </row>
    <row r="980" spans="1:9">
      <c r="A980" s="1" t="s">
        <v>3582</v>
      </c>
      <c r="B980" s="1" t="s">
        <v>10</v>
      </c>
      <c r="C980" s="1" t="s">
        <v>3583</v>
      </c>
      <c r="D980" s="1" t="s">
        <v>3584</v>
      </c>
      <c r="E980" s="1" t="s">
        <v>3500</v>
      </c>
      <c r="F980" s="1" t="s">
        <v>23</v>
      </c>
      <c r="G980" s="1" t="s">
        <v>3585</v>
      </c>
      <c r="H980" s="1" t="s">
        <v>15</v>
      </c>
      <c r="I980" t="b">
        <f>COUNTIF(Estadísticas!I:I,'Centraldecomunicacion.es'!H980)&gt;0</f>
        <v>0</v>
      </c>
    </row>
    <row r="981" spans="1:9">
      <c r="A981" s="1" t="s">
        <v>3586</v>
      </c>
      <c r="B981" s="1" t="s">
        <v>10</v>
      </c>
      <c r="C981" s="1" t="s">
        <v>3587</v>
      </c>
      <c r="D981" s="1" t="s">
        <v>693</v>
      </c>
      <c r="E981" s="1" t="s">
        <v>693</v>
      </c>
      <c r="F981" s="1" t="s">
        <v>23</v>
      </c>
      <c r="G981" s="1" t="s">
        <v>3588</v>
      </c>
      <c r="H981" s="1" t="s">
        <v>15</v>
      </c>
      <c r="I981" t="b">
        <f>COUNTIF(Estadísticas!I:I,'Centraldecomunicacion.es'!H981)&gt;0</f>
        <v>0</v>
      </c>
    </row>
    <row r="982" spans="1:9">
      <c r="A982" s="1" t="s">
        <v>3589</v>
      </c>
      <c r="B982" s="1" t="s">
        <v>10</v>
      </c>
      <c r="C982" s="1" t="s">
        <v>3590</v>
      </c>
      <c r="D982" s="1" t="s">
        <v>3591</v>
      </c>
      <c r="E982" s="1" t="s">
        <v>3500</v>
      </c>
      <c r="F982" s="1" t="s">
        <v>23</v>
      </c>
      <c r="G982" s="1" t="s">
        <v>23</v>
      </c>
      <c r="H982" s="1" t="s">
        <v>15</v>
      </c>
      <c r="I982" t="b">
        <f>COUNTIF(Estadísticas!I:I,'Centraldecomunicacion.es'!H982)&gt;0</f>
        <v>0</v>
      </c>
    </row>
    <row r="983" spans="1:9">
      <c r="A983" s="1" t="s">
        <v>3592</v>
      </c>
      <c r="B983" s="1" t="s">
        <v>10</v>
      </c>
      <c r="C983" s="1" t="s">
        <v>3593</v>
      </c>
      <c r="D983" s="1" t="s">
        <v>3594</v>
      </c>
      <c r="E983" s="1" t="s">
        <v>3500</v>
      </c>
      <c r="F983" s="1" t="s">
        <v>23</v>
      </c>
      <c r="G983" s="1" t="s">
        <v>3595</v>
      </c>
      <c r="H983" s="1" t="s">
        <v>15</v>
      </c>
      <c r="I983" t="b">
        <f>COUNTIF(Estadísticas!I:I,'Centraldecomunicacion.es'!H983)&gt;0</f>
        <v>0</v>
      </c>
    </row>
    <row r="984" spans="1:9">
      <c r="A984" s="1" t="s">
        <v>3596</v>
      </c>
      <c r="B984" s="1" t="s">
        <v>10</v>
      </c>
      <c r="C984" s="1" t="s">
        <v>3597</v>
      </c>
      <c r="D984" s="1" t="s">
        <v>3591</v>
      </c>
      <c r="E984" s="1" t="s">
        <v>3500</v>
      </c>
      <c r="F984" s="1" t="s">
        <v>23</v>
      </c>
      <c r="G984" s="1" t="s">
        <v>3598</v>
      </c>
      <c r="H984" s="1" t="s">
        <v>15</v>
      </c>
      <c r="I984" t="b">
        <f>COUNTIF(Estadísticas!I:I,'Centraldecomunicacion.es'!H984)&gt;0</f>
        <v>0</v>
      </c>
    </row>
    <row r="985" spans="1:9">
      <c r="A985" s="1" t="s">
        <v>3599</v>
      </c>
      <c r="B985" s="1" t="s">
        <v>10</v>
      </c>
      <c r="C985" s="1" t="s">
        <v>3600</v>
      </c>
      <c r="D985" s="1" t="s">
        <v>3601</v>
      </c>
      <c r="E985" s="1" t="s">
        <v>3500</v>
      </c>
      <c r="F985" s="1" t="s">
        <v>81</v>
      </c>
      <c r="G985" s="1" t="s">
        <v>3602</v>
      </c>
      <c r="H985" s="1" t="s">
        <v>83</v>
      </c>
      <c r="I985" t="b">
        <f>COUNTIF(Estadísticas!I:I,'Centraldecomunicacion.es'!H985)&gt;0</f>
        <v>0</v>
      </c>
    </row>
    <row r="986" spans="1:9">
      <c r="A986" s="1" t="s">
        <v>3603</v>
      </c>
      <c r="B986" s="1" t="s">
        <v>10</v>
      </c>
      <c r="C986" s="1" t="s">
        <v>3604</v>
      </c>
      <c r="D986" s="1" t="s">
        <v>3601</v>
      </c>
      <c r="E986" s="1" t="s">
        <v>3500</v>
      </c>
      <c r="F986" s="1" t="s">
        <v>3605</v>
      </c>
      <c r="G986" s="1" t="s">
        <v>3606</v>
      </c>
      <c r="H986" s="1" t="s">
        <v>15</v>
      </c>
      <c r="I986" t="b">
        <f>COUNTIF(Estadísticas!I:I,'Centraldecomunicacion.es'!H986)&gt;0</f>
        <v>0</v>
      </c>
    </row>
    <row r="987" spans="1:9">
      <c r="A987" s="1" t="s">
        <v>3607</v>
      </c>
      <c r="B987" s="1" t="s">
        <v>10</v>
      </c>
      <c r="C987" s="1" t="s">
        <v>3608</v>
      </c>
      <c r="D987" s="1" t="s">
        <v>3601</v>
      </c>
      <c r="E987" s="1" t="s">
        <v>3500</v>
      </c>
      <c r="F987" s="1" t="s">
        <v>23</v>
      </c>
      <c r="G987" s="1" t="s">
        <v>3609</v>
      </c>
      <c r="H987" s="1" t="s">
        <v>15</v>
      </c>
      <c r="I987" t="b">
        <f>COUNTIF(Estadísticas!I:I,'Centraldecomunicacion.es'!H987)&gt;0</f>
        <v>0</v>
      </c>
    </row>
    <row r="988" spans="1:9">
      <c r="A988" s="1" t="s">
        <v>3610</v>
      </c>
      <c r="B988" s="1" t="s">
        <v>10</v>
      </c>
      <c r="C988" s="1" t="s">
        <v>3611</v>
      </c>
      <c r="D988" s="1" t="s">
        <v>3612</v>
      </c>
      <c r="E988" s="1" t="s">
        <v>3500</v>
      </c>
      <c r="F988" s="1" t="s">
        <v>3613</v>
      </c>
      <c r="G988" s="1" t="s">
        <v>3614</v>
      </c>
      <c r="H988" s="1" t="s">
        <v>3615</v>
      </c>
      <c r="I988" t="b">
        <f>COUNTIF(Estadísticas!I:I,'Centraldecomunicacion.es'!H988)&gt;0</f>
        <v>0</v>
      </c>
    </row>
    <row r="989" spans="1:9">
      <c r="A989" s="1" t="s">
        <v>3616</v>
      </c>
      <c r="B989" s="1" t="s">
        <v>10</v>
      </c>
      <c r="C989" s="1" t="s">
        <v>3617</v>
      </c>
      <c r="D989" s="1" t="s">
        <v>3584</v>
      </c>
      <c r="E989" s="1" t="s">
        <v>3500</v>
      </c>
      <c r="F989" s="1" t="s">
        <v>23</v>
      </c>
      <c r="G989" s="1" t="s">
        <v>3618</v>
      </c>
      <c r="H989" s="1" t="s">
        <v>15</v>
      </c>
      <c r="I989" t="b">
        <f>COUNTIF(Estadísticas!I:I,'Centraldecomunicacion.es'!H989)&gt;0</f>
        <v>0</v>
      </c>
    </row>
    <row r="990" spans="1:9">
      <c r="A990" s="1" t="s">
        <v>3619</v>
      </c>
      <c r="B990" s="1" t="s">
        <v>10</v>
      </c>
      <c r="C990" s="1" t="s">
        <v>3620</v>
      </c>
      <c r="D990" s="1" t="s">
        <v>3601</v>
      </c>
      <c r="E990" s="1" t="s">
        <v>3500</v>
      </c>
      <c r="F990" s="1" t="s">
        <v>81</v>
      </c>
      <c r="G990" s="1" t="s">
        <v>3621</v>
      </c>
      <c r="H990" s="1" t="s">
        <v>83</v>
      </c>
      <c r="I990" t="b">
        <f>COUNTIF(Estadísticas!I:I,'Centraldecomunicacion.es'!H990)&gt;0</f>
        <v>0</v>
      </c>
    </row>
    <row r="991" spans="1:9">
      <c r="A991" s="1" t="s">
        <v>3622</v>
      </c>
      <c r="B991" s="1" t="s">
        <v>10</v>
      </c>
      <c r="C991" s="1" t="s">
        <v>3623</v>
      </c>
      <c r="D991" s="1" t="s">
        <v>3580</v>
      </c>
      <c r="E991" s="1" t="s">
        <v>3500</v>
      </c>
      <c r="F991" s="1" t="s">
        <v>23</v>
      </c>
      <c r="G991" s="1" t="s">
        <v>3581</v>
      </c>
      <c r="H991" s="1" t="s">
        <v>15</v>
      </c>
      <c r="I991" t="b">
        <f>COUNTIF(Estadísticas!I:I,'Centraldecomunicacion.es'!H991)&gt;0</f>
        <v>0</v>
      </c>
    </row>
    <row r="992" spans="1:9">
      <c r="A992" s="1" t="s">
        <v>3624</v>
      </c>
      <c r="B992" s="1" t="s">
        <v>10</v>
      </c>
      <c r="C992" s="1" t="s">
        <v>3625</v>
      </c>
      <c r="D992" s="1" t="s">
        <v>3601</v>
      </c>
      <c r="E992" s="1" t="s">
        <v>3500</v>
      </c>
      <c r="F992" s="1" t="s">
        <v>23</v>
      </c>
      <c r="G992" s="1" t="s">
        <v>3626</v>
      </c>
      <c r="H992" s="1" t="s">
        <v>15</v>
      </c>
      <c r="I992" t="b">
        <f>COUNTIF(Estadísticas!I:I,'Centraldecomunicacion.es'!H992)&gt;0</f>
        <v>0</v>
      </c>
    </row>
    <row r="993" spans="1:9">
      <c r="A993" s="1" t="s">
        <v>3627</v>
      </c>
      <c r="B993" s="1" t="s">
        <v>10</v>
      </c>
      <c r="C993" s="1" t="s">
        <v>3628</v>
      </c>
      <c r="D993" s="1" t="s">
        <v>3601</v>
      </c>
      <c r="E993" s="1" t="s">
        <v>3500</v>
      </c>
      <c r="F993" s="1" t="s">
        <v>3629</v>
      </c>
      <c r="G993" s="1" t="s">
        <v>3630</v>
      </c>
      <c r="H993" s="1" t="s">
        <v>3631</v>
      </c>
      <c r="I993" t="b">
        <f>COUNTIF(Estadísticas!I:I,'Centraldecomunicacion.es'!H993)&gt;0</f>
        <v>1</v>
      </c>
    </row>
    <row r="994" spans="1:9">
      <c r="A994" s="1" t="s">
        <v>3632</v>
      </c>
      <c r="B994" s="1" t="s">
        <v>10</v>
      </c>
      <c r="C994" s="1" t="s">
        <v>3633</v>
      </c>
      <c r="D994" s="1" t="s">
        <v>1639</v>
      </c>
      <c r="E994" s="1" t="s">
        <v>693</v>
      </c>
      <c r="F994" s="1" t="s">
        <v>23</v>
      </c>
      <c r="G994" s="1" t="s">
        <v>3634</v>
      </c>
      <c r="H994" s="1" t="s">
        <v>15</v>
      </c>
      <c r="I994" t="b">
        <f>COUNTIF(Estadísticas!I:I,'Centraldecomunicacion.es'!H994)&gt;0</f>
        <v>0</v>
      </c>
    </row>
    <row r="995" spans="1:9">
      <c r="A995" s="1" t="s">
        <v>3635</v>
      </c>
      <c r="B995" s="1" t="s">
        <v>10</v>
      </c>
      <c r="C995" s="1" t="s">
        <v>3636</v>
      </c>
      <c r="D995" s="1" t="s">
        <v>3601</v>
      </c>
      <c r="E995" s="1" t="s">
        <v>3500</v>
      </c>
      <c r="F995" s="1" t="s">
        <v>23</v>
      </c>
      <c r="G995" s="1" t="s">
        <v>3637</v>
      </c>
      <c r="H995" s="1" t="s">
        <v>15</v>
      </c>
      <c r="I995" t="b">
        <f>COUNTIF(Estadísticas!I:I,'Centraldecomunicacion.es'!H995)&gt;0</f>
        <v>0</v>
      </c>
    </row>
    <row r="996" spans="1:9">
      <c r="A996" s="1" t="s">
        <v>3638</v>
      </c>
      <c r="B996" s="1" t="s">
        <v>10</v>
      </c>
      <c r="C996" s="1" t="s">
        <v>3639</v>
      </c>
      <c r="D996" s="1" t="s">
        <v>3601</v>
      </c>
      <c r="E996" s="1" t="s">
        <v>3500</v>
      </c>
      <c r="F996" s="1" t="s">
        <v>23</v>
      </c>
      <c r="G996" s="1" t="s">
        <v>3640</v>
      </c>
      <c r="H996" s="1" t="s">
        <v>15</v>
      </c>
      <c r="I996" t="b">
        <f>COUNTIF(Estadísticas!I:I,'Centraldecomunicacion.es'!H996)&gt;0</f>
        <v>0</v>
      </c>
    </row>
    <row r="997" spans="1:9">
      <c r="A997" s="1" t="s">
        <v>3641</v>
      </c>
      <c r="B997" s="1" t="s">
        <v>10</v>
      </c>
      <c r="C997" s="1" t="s">
        <v>3642</v>
      </c>
      <c r="D997" s="1" t="s">
        <v>3643</v>
      </c>
      <c r="E997" s="1" t="s">
        <v>3500</v>
      </c>
      <c r="F997" s="1" t="s">
        <v>23</v>
      </c>
      <c r="G997" s="1" t="s">
        <v>23</v>
      </c>
      <c r="H997" s="1" t="s">
        <v>15</v>
      </c>
      <c r="I997" t="b">
        <f>COUNTIF(Estadísticas!I:I,'Centraldecomunicacion.es'!H997)&gt;0</f>
        <v>0</v>
      </c>
    </row>
    <row r="998" spans="1:9">
      <c r="A998" s="1" t="s">
        <v>3644</v>
      </c>
      <c r="B998" s="1" t="s">
        <v>10</v>
      </c>
      <c r="C998" s="1" t="s">
        <v>3645</v>
      </c>
      <c r="D998" s="1" t="s">
        <v>3646</v>
      </c>
      <c r="E998" s="1" t="s">
        <v>3500</v>
      </c>
      <c r="F998" s="1" t="s">
        <v>23</v>
      </c>
      <c r="G998" s="1" t="s">
        <v>3647</v>
      </c>
      <c r="H998" s="1" t="s">
        <v>15</v>
      </c>
      <c r="I998" t="b">
        <f>COUNTIF(Estadísticas!I:I,'Centraldecomunicacion.es'!H998)&gt;0</f>
        <v>0</v>
      </c>
    </row>
    <row r="999" spans="1:9">
      <c r="A999" s="1" t="s">
        <v>3648</v>
      </c>
      <c r="B999" s="1" t="s">
        <v>10</v>
      </c>
      <c r="C999" s="1" t="s">
        <v>3649</v>
      </c>
      <c r="D999" s="1" t="s">
        <v>693</v>
      </c>
      <c r="E999" s="1" t="s">
        <v>693</v>
      </c>
      <c r="F999" s="1" t="s">
        <v>23</v>
      </c>
      <c r="G999" s="1" t="s">
        <v>3650</v>
      </c>
      <c r="H999" s="1" t="s">
        <v>15</v>
      </c>
      <c r="I999" t="b">
        <f>COUNTIF(Estadísticas!I:I,'Centraldecomunicacion.es'!H999)&gt;0</f>
        <v>0</v>
      </c>
    </row>
    <row r="1000" spans="1:9">
      <c r="A1000" s="1" t="s">
        <v>3651</v>
      </c>
      <c r="B1000" s="1" t="s">
        <v>10</v>
      </c>
      <c r="C1000" s="1" t="s">
        <v>3652</v>
      </c>
      <c r="D1000" s="1" t="s">
        <v>1639</v>
      </c>
      <c r="E1000" s="1" t="s">
        <v>693</v>
      </c>
      <c r="F1000" s="1" t="s">
        <v>3653</v>
      </c>
      <c r="G1000" s="1" t="s">
        <v>3654</v>
      </c>
      <c r="H1000" s="1" t="s">
        <v>15</v>
      </c>
      <c r="I1000" t="b">
        <f>COUNTIF(Estadísticas!I:I,'Centraldecomunicacion.es'!H1000)&gt;0</f>
        <v>0</v>
      </c>
    </row>
    <row r="1001" spans="1:9">
      <c r="A1001" s="1" t="s">
        <v>3655</v>
      </c>
      <c r="B1001" s="1" t="s">
        <v>10</v>
      </c>
      <c r="C1001" s="1" t="s">
        <v>3656</v>
      </c>
      <c r="D1001" s="1" t="s">
        <v>1639</v>
      </c>
      <c r="E1001" s="1" t="s">
        <v>693</v>
      </c>
      <c r="F1001" s="1" t="s">
        <v>23</v>
      </c>
      <c r="G1001" s="1" t="s">
        <v>3657</v>
      </c>
      <c r="H1001" s="1" t="s">
        <v>15</v>
      </c>
      <c r="I1001" t="b">
        <f>COUNTIF(Estadísticas!I:I,'Centraldecomunicacion.es'!H1001)&gt;0</f>
        <v>0</v>
      </c>
    </row>
    <row r="1002" spans="1:9">
      <c r="A1002" s="1" t="s">
        <v>3658</v>
      </c>
      <c r="B1002" s="1" t="s">
        <v>10</v>
      </c>
      <c r="C1002" s="1" t="s">
        <v>3659</v>
      </c>
      <c r="D1002" s="1" t="s">
        <v>1639</v>
      </c>
      <c r="E1002" s="1" t="s">
        <v>693</v>
      </c>
      <c r="F1002" s="1" t="s">
        <v>3660</v>
      </c>
      <c r="G1002" s="1" t="s">
        <v>3661</v>
      </c>
      <c r="H1002" s="1" t="s">
        <v>15</v>
      </c>
      <c r="I1002" t="b">
        <f>COUNTIF(Estadísticas!I:I,'Centraldecomunicacion.es'!H1002)&gt;0</f>
        <v>0</v>
      </c>
    </row>
    <row r="1003" spans="1:9">
      <c r="A1003" s="1" t="s">
        <v>3662</v>
      </c>
      <c r="B1003" s="1" t="s">
        <v>10</v>
      </c>
      <c r="C1003" s="1" t="s">
        <v>3663</v>
      </c>
      <c r="D1003" s="1" t="s">
        <v>3664</v>
      </c>
      <c r="E1003" s="1" t="s">
        <v>693</v>
      </c>
      <c r="F1003" s="1" t="s">
        <v>23</v>
      </c>
      <c r="G1003" s="1" t="s">
        <v>3665</v>
      </c>
      <c r="H1003" s="1" t="s">
        <v>15</v>
      </c>
      <c r="I1003" t="b">
        <f>COUNTIF(Estadísticas!I:I,'Centraldecomunicacion.es'!H1003)&gt;0</f>
        <v>0</v>
      </c>
    </row>
    <row r="1004" spans="1:9">
      <c r="A1004" s="1" t="s">
        <v>3666</v>
      </c>
      <c r="B1004" s="1" t="s">
        <v>10</v>
      </c>
      <c r="C1004" s="1" t="s">
        <v>3667</v>
      </c>
      <c r="D1004" s="1" t="s">
        <v>693</v>
      </c>
      <c r="E1004" s="1" t="s">
        <v>693</v>
      </c>
      <c r="F1004" s="1" t="s">
        <v>3668</v>
      </c>
      <c r="G1004" s="1" t="s">
        <v>3669</v>
      </c>
      <c r="H1004" s="1" t="s">
        <v>3670</v>
      </c>
      <c r="I1004" t="b">
        <f>COUNTIF(Estadísticas!I:I,'Centraldecomunicacion.es'!H1004)&gt;0</f>
        <v>0</v>
      </c>
    </row>
    <row r="1005" spans="1:9">
      <c r="A1005" s="1" t="s">
        <v>3671</v>
      </c>
      <c r="B1005" s="1" t="s">
        <v>10</v>
      </c>
      <c r="C1005" s="1" t="s">
        <v>3672</v>
      </c>
      <c r="D1005" s="1" t="s">
        <v>3673</v>
      </c>
      <c r="E1005" s="1" t="s">
        <v>3500</v>
      </c>
      <c r="F1005" s="1" t="s">
        <v>23</v>
      </c>
      <c r="G1005" s="1" t="s">
        <v>3674</v>
      </c>
      <c r="H1005" s="1" t="s">
        <v>15</v>
      </c>
      <c r="I1005" t="b">
        <f>COUNTIF(Estadísticas!I:I,'Centraldecomunicacion.es'!H1005)&gt;0</f>
        <v>0</v>
      </c>
    </row>
    <row r="1006" spans="1:9">
      <c r="A1006" s="1" t="s">
        <v>3675</v>
      </c>
      <c r="B1006" s="1" t="s">
        <v>10</v>
      </c>
      <c r="C1006" s="1" t="s">
        <v>3676</v>
      </c>
      <c r="D1006" s="1" t="s">
        <v>693</v>
      </c>
      <c r="E1006" s="1" t="s">
        <v>693</v>
      </c>
      <c r="F1006" s="1" t="s">
        <v>3677</v>
      </c>
      <c r="G1006" s="1" t="s">
        <v>3678</v>
      </c>
      <c r="H1006" s="1" t="s">
        <v>3679</v>
      </c>
      <c r="I1006" t="b">
        <f>COUNTIF(Estadísticas!I:I,'Centraldecomunicacion.es'!H1006)&gt;0</f>
        <v>0</v>
      </c>
    </row>
    <row r="1007" spans="1:9">
      <c r="A1007" s="1" t="s">
        <v>3680</v>
      </c>
      <c r="B1007" s="1" t="s">
        <v>10</v>
      </c>
      <c r="C1007" s="1" t="s">
        <v>3681</v>
      </c>
      <c r="D1007" s="1" t="s">
        <v>1639</v>
      </c>
      <c r="E1007" s="1" t="s">
        <v>693</v>
      </c>
      <c r="F1007" s="1" t="s">
        <v>23</v>
      </c>
      <c r="G1007" s="1" t="s">
        <v>3682</v>
      </c>
      <c r="H1007" s="1" t="s">
        <v>15</v>
      </c>
      <c r="I1007" t="b">
        <f>COUNTIF(Estadísticas!I:I,'Centraldecomunicacion.es'!H1007)&gt;0</f>
        <v>0</v>
      </c>
    </row>
    <row r="1008" spans="1:9">
      <c r="A1008" s="1" t="s">
        <v>3683</v>
      </c>
      <c r="B1008" s="1" t="s">
        <v>10</v>
      </c>
      <c r="C1008" s="1" t="s">
        <v>3684</v>
      </c>
      <c r="D1008" s="1" t="s">
        <v>693</v>
      </c>
      <c r="E1008" s="1" t="s">
        <v>693</v>
      </c>
      <c r="F1008" s="1" t="s">
        <v>23</v>
      </c>
      <c r="G1008" s="1" t="s">
        <v>3685</v>
      </c>
      <c r="H1008" s="1" t="s">
        <v>15</v>
      </c>
      <c r="I1008" t="b">
        <f>COUNTIF(Estadísticas!I:I,'Centraldecomunicacion.es'!H1008)&gt;0</f>
        <v>0</v>
      </c>
    </row>
    <row r="1009" spans="1:9">
      <c r="A1009" s="1" t="s">
        <v>3686</v>
      </c>
      <c r="B1009" s="1" t="s">
        <v>10</v>
      </c>
      <c r="C1009" s="1" t="s">
        <v>3687</v>
      </c>
      <c r="D1009" s="1" t="s">
        <v>3664</v>
      </c>
      <c r="E1009" s="1" t="s">
        <v>693</v>
      </c>
      <c r="F1009" s="1" t="s">
        <v>23</v>
      </c>
      <c r="G1009" s="1" t="s">
        <v>3688</v>
      </c>
      <c r="H1009" s="1" t="s">
        <v>15</v>
      </c>
      <c r="I1009" t="b">
        <f>COUNTIF(Estadísticas!I:I,'Centraldecomunicacion.es'!H1009)&gt;0</f>
        <v>0</v>
      </c>
    </row>
    <row r="1010" spans="1:9">
      <c r="A1010" s="1" t="s">
        <v>3689</v>
      </c>
      <c r="B1010" s="1" t="s">
        <v>10</v>
      </c>
      <c r="C1010" s="1" t="s">
        <v>3690</v>
      </c>
      <c r="D1010" s="1" t="s">
        <v>3691</v>
      </c>
      <c r="E1010" s="1" t="s">
        <v>693</v>
      </c>
      <c r="F1010" s="1" t="s">
        <v>23</v>
      </c>
      <c r="G1010" s="1" t="s">
        <v>3692</v>
      </c>
      <c r="H1010" s="1" t="s">
        <v>15</v>
      </c>
      <c r="I1010" t="b">
        <f>COUNTIF(Estadísticas!I:I,'Centraldecomunicacion.es'!H1010)&gt;0</f>
        <v>0</v>
      </c>
    </row>
    <row r="1011" spans="1:9">
      <c r="A1011" s="1" t="s">
        <v>3693</v>
      </c>
      <c r="B1011" s="1" t="s">
        <v>10</v>
      </c>
      <c r="C1011" s="1" t="s">
        <v>3694</v>
      </c>
      <c r="D1011" s="1" t="s">
        <v>3691</v>
      </c>
      <c r="E1011" s="1" t="s">
        <v>693</v>
      </c>
      <c r="F1011" s="1" t="s">
        <v>23</v>
      </c>
      <c r="G1011" s="1" t="s">
        <v>3695</v>
      </c>
      <c r="H1011" s="1" t="s">
        <v>15</v>
      </c>
      <c r="I1011" t="b">
        <f>COUNTIF(Estadísticas!I:I,'Centraldecomunicacion.es'!H1011)&gt;0</f>
        <v>0</v>
      </c>
    </row>
    <row r="1012" spans="1:9">
      <c r="A1012" s="1" t="s">
        <v>3696</v>
      </c>
      <c r="B1012" s="1" t="s">
        <v>10</v>
      </c>
      <c r="C1012" s="1" t="s">
        <v>3697</v>
      </c>
      <c r="D1012" s="1" t="s">
        <v>693</v>
      </c>
      <c r="E1012" s="1" t="s">
        <v>693</v>
      </c>
      <c r="F1012" s="1" t="s">
        <v>3698</v>
      </c>
      <c r="G1012" s="1" t="s">
        <v>3699</v>
      </c>
      <c r="H1012" s="1" t="s">
        <v>3700</v>
      </c>
      <c r="I1012" t="b">
        <f>COUNTIF(Estadísticas!I:I,'Centraldecomunicacion.es'!H1012)&gt;0</f>
        <v>1</v>
      </c>
    </row>
    <row r="1013" spans="1:9">
      <c r="A1013" s="1" t="s">
        <v>3701</v>
      </c>
      <c r="B1013" s="1" t="s">
        <v>10</v>
      </c>
      <c r="C1013" s="1" t="s">
        <v>3702</v>
      </c>
      <c r="D1013" s="1" t="s">
        <v>693</v>
      </c>
      <c r="E1013" s="1" t="s">
        <v>693</v>
      </c>
      <c r="F1013" s="1" t="s">
        <v>3703</v>
      </c>
      <c r="G1013" s="1" t="s">
        <v>3704</v>
      </c>
      <c r="H1013" s="1" t="s">
        <v>15</v>
      </c>
      <c r="I1013" t="b">
        <f>COUNTIF(Estadísticas!I:I,'Centraldecomunicacion.es'!H1013)&gt;0</f>
        <v>0</v>
      </c>
    </row>
    <row r="1014" spans="1:9">
      <c r="A1014" s="1" t="s">
        <v>1845</v>
      </c>
      <c r="B1014" s="1" t="s">
        <v>10</v>
      </c>
      <c r="C1014" s="1" t="s">
        <v>3705</v>
      </c>
      <c r="D1014" s="1" t="s">
        <v>3706</v>
      </c>
      <c r="E1014" s="1" t="s">
        <v>693</v>
      </c>
      <c r="F1014" s="1" t="s">
        <v>23</v>
      </c>
      <c r="G1014" s="1" t="s">
        <v>3707</v>
      </c>
      <c r="H1014" s="1" t="s">
        <v>15</v>
      </c>
      <c r="I1014" t="b">
        <f>COUNTIF(Estadísticas!I:I,'Centraldecomunicacion.es'!H1014)&gt;0</f>
        <v>0</v>
      </c>
    </row>
    <row r="1015" spans="1:9">
      <c r="A1015" s="1" t="s">
        <v>3708</v>
      </c>
      <c r="B1015" s="1" t="s">
        <v>10</v>
      </c>
      <c r="C1015" s="1" t="s">
        <v>3709</v>
      </c>
      <c r="D1015" s="1" t="s">
        <v>3691</v>
      </c>
      <c r="E1015" s="1" t="s">
        <v>693</v>
      </c>
      <c r="F1015" s="1" t="s">
        <v>23</v>
      </c>
      <c r="G1015" s="1" t="s">
        <v>23</v>
      </c>
      <c r="H1015" s="1" t="s">
        <v>15</v>
      </c>
      <c r="I1015" t="b">
        <f>COUNTIF(Estadísticas!I:I,'Centraldecomunicacion.es'!H1015)&gt;0</f>
        <v>0</v>
      </c>
    </row>
    <row r="1016" spans="1:9">
      <c r="A1016" s="1" t="s">
        <v>3710</v>
      </c>
      <c r="B1016" s="1" t="s">
        <v>10</v>
      </c>
      <c r="C1016" s="1" t="s">
        <v>3711</v>
      </c>
      <c r="D1016" s="1" t="s">
        <v>2002</v>
      </c>
      <c r="E1016" s="1" t="s">
        <v>2002</v>
      </c>
      <c r="F1016" s="1" t="s">
        <v>23</v>
      </c>
      <c r="G1016" s="1" t="s">
        <v>3712</v>
      </c>
      <c r="H1016" s="1" t="s">
        <v>15</v>
      </c>
      <c r="I1016" t="b">
        <f>COUNTIF(Estadísticas!I:I,'Centraldecomunicacion.es'!H1016)&gt;0</f>
        <v>0</v>
      </c>
    </row>
    <row r="1017" spans="1:9">
      <c r="A1017" s="1" t="s">
        <v>3713</v>
      </c>
      <c r="B1017" s="1" t="s">
        <v>10</v>
      </c>
      <c r="C1017" s="1" t="s">
        <v>3714</v>
      </c>
      <c r="D1017" s="1" t="s">
        <v>2002</v>
      </c>
      <c r="E1017" s="1" t="s">
        <v>2002</v>
      </c>
      <c r="F1017" s="1" t="s">
        <v>23</v>
      </c>
      <c r="G1017" s="1" t="s">
        <v>3715</v>
      </c>
      <c r="H1017" s="1" t="s">
        <v>15</v>
      </c>
      <c r="I1017" t="b">
        <f>COUNTIF(Estadísticas!I:I,'Centraldecomunicacion.es'!H1017)&gt;0</f>
        <v>0</v>
      </c>
    </row>
    <row r="1018" spans="1:9">
      <c r="A1018" s="1" t="s">
        <v>3716</v>
      </c>
      <c r="B1018" s="1" t="s">
        <v>10</v>
      </c>
      <c r="C1018" s="1" t="s">
        <v>3717</v>
      </c>
      <c r="D1018" s="1" t="s">
        <v>2002</v>
      </c>
      <c r="E1018" s="1" t="s">
        <v>2002</v>
      </c>
      <c r="F1018" s="1" t="s">
        <v>23</v>
      </c>
      <c r="G1018" s="1" t="s">
        <v>3718</v>
      </c>
      <c r="H1018" s="1" t="s">
        <v>15</v>
      </c>
      <c r="I1018" t="b">
        <f>COUNTIF(Estadísticas!I:I,'Centraldecomunicacion.es'!H1018)&gt;0</f>
        <v>0</v>
      </c>
    </row>
    <row r="1019" spans="1:9">
      <c r="A1019" s="1" t="s">
        <v>2784</v>
      </c>
      <c r="B1019" s="1" t="s">
        <v>10</v>
      </c>
      <c r="C1019" s="1" t="s">
        <v>3719</v>
      </c>
      <c r="D1019" s="1" t="s">
        <v>2002</v>
      </c>
      <c r="E1019" s="1" t="s">
        <v>2002</v>
      </c>
      <c r="F1019" s="1" t="s">
        <v>23</v>
      </c>
      <c r="G1019" s="1" t="s">
        <v>3720</v>
      </c>
      <c r="H1019" s="1" t="s">
        <v>15</v>
      </c>
      <c r="I1019" t="b">
        <f>COUNTIF(Estadísticas!I:I,'Centraldecomunicacion.es'!H1019)&gt;0</f>
        <v>0</v>
      </c>
    </row>
    <row r="1020" spans="1:9">
      <c r="A1020" s="1" t="s">
        <v>3721</v>
      </c>
      <c r="B1020" s="1" t="s">
        <v>10</v>
      </c>
      <c r="C1020" s="1" t="s">
        <v>3722</v>
      </c>
      <c r="D1020" s="1" t="s">
        <v>2002</v>
      </c>
      <c r="E1020" s="1" t="s">
        <v>2002</v>
      </c>
      <c r="F1020" s="1" t="s">
        <v>23</v>
      </c>
      <c r="G1020" s="1" t="s">
        <v>3723</v>
      </c>
      <c r="H1020" s="1" t="s">
        <v>15</v>
      </c>
      <c r="I1020" t="b">
        <f>COUNTIF(Estadísticas!I:I,'Centraldecomunicacion.es'!H1020)&gt;0</f>
        <v>0</v>
      </c>
    </row>
    <row r="1021" spans="1:9">
      <c r="A1021" s="1" t="s">
        <v>3724</v>
      </c>
      <c r="B1021" s="1" t="s">
        <v>10</v>
      </c>
      <c r="C1021" s="1" t="s">
        <v>3725</v>
      </c>
      <c r="D1021" s="1" t="s">
        <v>3726</v>
      </c>
      <c r="E1021" s="1" t="s">
        <v>2002</v>
      </c>
      <c r="F1021" s="1" t="s">
        <v>23</v>
      </c>
      <c r="G1021" s="1" t="s">
        <v>3727</v>
      </c>
      <c r="H1021" s="1" t="s">
        <v>15</v>
      </c>
      <c r="I1021" t="b">
        <f>COUNTIF(Estadísticas!I:I,'Centraldecomunicacion.es'!H1021)&gt;0</f>
        <v>0</v>
      </c>
    </row>
    <row r="1022" spans="1:9">
      <c r="A1022" s="1" t="s">
        <v>3728</v>
      </c>
      <c r="B1022" s="1" t="s">
        <v>10</v>
      </c>
      <c r="C1022" s="1" t="s">
        <v>3729</v>
      </c>
      <c r="D1022" s="1" t="s">
        <v>3730</v>
      </c>
      <c r="E1022" s="1" t="s">
        <v>2002</v>
      </c>
      <c r="F1022" s="1" t="s">
        <v>23</v>
      </c>
      <c r="G1022" s="1" t="s">
        <v>3731</v>
      </c>
      <c r="H1022" s="1" t="s">
        <v>15</v>
      </c>
      <c r="I1022" t="b">
        <f>COUNTIF(Estadísticas!I:I,'Centraldecomunicacion.es'!H1022)&gt;0</f>
        <v>0</v>
      </c>
    </row>
    <row r="1023" spans="1:9">
      <c r="A1023" s="1" t="s">
        <v>3732</v>
      </c>
      <c r="B1023" s="1" t="s">
        <v>10</v>
      </c>
      <c r="C1023" s="1" t="s">
        <v>3733</v>
      </c>
      <c r="D1023" s="1" t="s">
        <v>3734</v>
      </c>
      <c r="E1023" s="1" t="s">
        <v>2002</v>
      </c>
      <c r="F1023" s="1" t="s">
        <v>23</v>
      </c>
      <c r="G1023" s="1" t="s">
        <v>3735</v>
      </c>
      <c r="H1023" s="1" t="s">
        <v>15</v>
      </c>
      <c r="I1023" t="b">
        <f>COUNTIF(Estadísticas!I:I,'Centraldecomunicacion.es'!H1023)&gt;0</f>
        <v>0</v>
      </c>
    </row>
    <row r="1024" spans="1:9">
      <c r="A1024" s="1" t="s">
        <v>3736</v>
      </c>
      <c r="B1024" s="1" t="s">
        <v>10</v>
      </c>
      <c r="C1024" s="1" t="s">
        <v>3737</v>
      </c>
      <c r="D1024" s="1" t="s">
        <v>3738</v>
      </c>
      <c r="E1024" s="1" t="s">
        <v>2002</v>
      </c>
      <c r="F1024" s="1" t="s">
        <v>23</v>
      </c>
      <c r="G1024" s="1" t="s">
        <v>3739</v>
      </c>
      <c r="H1024" s="1" t="s">
        <v>15</v>
      </c>
      <c r="I1024" t="b">
        <f>COUNTIF(Estadísticas!I:I,'Centraldecomunicacion.es'!H1024)&gt;0</f>
        <v>0</v>
      </c>
    </row>
    <row r="1025" spans="1:9">
      <c r="A1025" s="1" t="s">
        <v>3740</v>
      </c>
      <c r="B1025" s="1" t="s">
        <v>10</v>
      </c>
      <c r="C1025" s="1" t="s">
        <v>3741</v>
      </c>
      <c r="D1025" s="1" t="s">
        <v>3742</v>
      </c>
      <c r="E1025" s="1" t="s">
        <v>2002</v>
      </c>
      <c r="F1025" s="1" t="s">
        <v>23</v>
      </c>
      <c r="G1025" s="1" t="s">
        <v>3743</v>
      </c>
      <c r="H1025" s="1" t="s">
        <v>15</v>
      </c>
      <c r="I1025" t="b">
        <f>COUNTIF(Estadísticas!I:I,'Centraldecomunicacion.es'!H1025)&gt;0</f>
        <v>0</v>
      </c>
    </row>
    <row r="1026" spans="1:9">
      <c r="A1026" s="1" t="s">
        <v>1653</v>
      </c>
      <c r="B1026" s="1" t="s">
        <v>10</v>
      </c>
      <c r="C1026" s="1" t="s">
        <v>3744</v>
      </c>
      <c r="D1026" s="1" t="s">
        <v>3745</v>
      </c>
      <c r="E1026" s="1" t="s">
        <v>3745</v>
      </c>
      <c r="F1026" s="1" t="s">
        <v>1655</v>
      </c>
      <c r="G1026" s="1" t="s">
        <v>3746</v>
      </c>
      <c r="H1026" s="1" t="s">
        <v>1657</v>
      </c>
      <c r="I1026" t="b">
        <f>COUNTIF(Estadísticas!I:I,'Centraldecomunicacion.es'!H1026)&gt;0</f>
        <v>0</v>
      </c>
    </row>
    <row r="1027" spans="1:9">
      <c r="A1027" s="1" t="s">
        <v>3747</v>
      </c>
      <c r="B1027" s="1" t="s">
        <v>10</v>
      </c>
      <c r="C1027" s="1" t="s">
        <v>3748</v>
      </c>
      <c r="D1027" s="1" t="s">
        <v>3480</v>
      </c>
      <c r="E1027" s="1" t="s">
        <v>693</v>
      </c>
      <c r="F1027" s="1" t="s">
        <v>3749</v>
      </c>
      <c r="G1027" s="1" t="s">
        <v>3750</v>
      </c>
      <c r="H1027" s="1" t="s">
        <v>15</v>
      </c>
      <c r="I1027" t="b">
        <f>COUNTIF(Estadísticas!I:I,'Centraldecomunicacion.es'!H1027)&gt;0</f>
        <v>0</v>
      </c>
    </row>
    <row r="1028" spans="1:9">
      <c r="A1028" s="1" t="s">
        <v>3751</v>
      </c>
      <c r="B1028" s="1" t="s">
        <v>10</v>
      </c>
      <c r="C1028" s="1" t="s">
        <v>3752</v>
      </c>
      <c r="D1028" s="1" t="s">
        <v>693</v>
      </c>
      <c r="E1028" s="1" t="s">
        <v>693</v>
      </c>
      <c r="F1028" s="1" t="s">
        <v>23</v>
      </c>
      <c r="G1028" s="1" t="s">
        <v>3753</v>
      </c>
      <c r="H1028" s="1" t="s">
        <v>15</v>
      </c>
      <c r="I1028" t="b">
        <f>COUNTIF(Estadísticas!I:I,'Centraldecomunicacion.es'!H1028)&gt;0</f>
        <v>0</v>
      </c>
    </row>
    <row r="1029" spans="1:9">
      <c r="A1029" s="1" t="s">
        <v>3754</v>
      </c>
      <c r="B1029" s="1" t="s">
        <v>10</v>
      </c>
      <c r="C1029" s="1" t="s">
        <v>3755</v>
      </c>
      <c r="D1029" s="1" t="s">
        <v>3225</v>
      </c>
      <c r="E1029" s="1" t="s">
        <v>3225</v>
      </c>
      <c r="F1029" s="1" t="s">
        <v>3756</v>
      </c>
      <c r="G1029" s="1" t="s">
        <v>3757</v>
      </c>
      <c r="H1029" s="1" t="s">
        <v>15</v>
      </c>
      <c r="I1029" t="b">
        <f>COUNTIF(Estadísticas!I:I,'Centraldecomunicacion.es'!H1029)&gt;0</f>
        <v>0</v>
      </c>
    </row>
    <row r="1030" spans="1:9">
      <c r="A1030" s="1" t="s">
        <v>3758</v>
      </c>
      <c r="B1030" s="1" t="s">
        <v>10</v>
      </c>
      <c r="C1030" s="1" t="s">
        <v>3759</v>
      </c>
      <c r="D1030" s="1" t="s">
        <v>3225</v>
      </c>
      <c r="E1030" s="1" t="s">
        <v>3225</v>
      </c>
      <c r="F1030" s="1" t="s">
        <v>3760</v>
      </c>
      <c r="G1030" s="1" t="s">
        <v>3761</v>
      </c>
      <c r="H1030" s="1" t="s">
        <v>3762</v>
      </c>
      <c r="I1030" t="b">
        <f>COUNTIF(Estadísticas!I:I,'Centraldecomunicacion.es'!H1030)&gt;0</f>
        <v>1</v>
      </c>
    </row>
    <row r="1031" spans="1:9">
      <c r="A1031" s="1" t="s">
        <v>3763</v>
      </c>
      <c r="B1031" s="1" t="s">
        <v>10</v>
      </c>
      <c r="C1031" s="1" t="s">
        <v>3764</v>
      </c>
      <c r="D1031" s="1" t="s">
        <v>3225</v>
      </c>
      <c r="E1031" s="1" t="s">
        <v>3225</v>
      </c>
      <c r="F1031" s="1" t="s">
        <v>3765</v>
      </c>
      <c r="G1031" s="1" t="s">
        <v>3766</v>
      </c>
      <c r="H1031" s="1" t="s">
        <v>15</v>
      </c>
      <c r="I1031" t="b">
        <f>COUNTIF(Estadísticas!I:I,'Centraldecomunicacion.es'!H1031)&gt;0</f>
        <v>0</v>
      </c>
    </row>
    <row r="1032" spans="1:9">
      <c r="A1032" s="1" t="s">
        <v>3767</v>
      </c>
      <c r="B1032" s="1" t="s">
        <v>10</v>
      </c>
      <c r="C1032" s="1" t="s">
        <v>3768</v>
      </c>
      <c r="D1032" s="1" t="s">
        <v>3225</v>
      </c>
      <c r="E1032" s="1" t="s">
        <v>3225</v>
      </c>
      <c r="F1032" s="1" t="s">
        <v>3769</v>
      </c>
      <c r="G1032" s="1" t="s">
        <v>3770</v>
      </c>
      <c r="H1032" s="1" t="s">
        <v>3771</v>
      </c>
      <c r="I1032" t="b">
        <f>COUNTIF(Estadísticas!I:I,'Centraldecomunicacion.es'!H1032)&gt;0</f>
        <v>0</v>
      </c>
    </row>
    <row r="1033" spans="1:9">
      <c r="A1033" s="1" t="s">
        <v>3772</v>
      </c>
      <c r="B1033" s="1" t="s">
        <v>10</v>
      </c>
      <c r="C1033" s="1" t="s">
        <v>3773</v>
      </c>
      <c r="D1033" s="1" t="s">
        <v>3225</v>
      </c>
      <c r="E1033" s="1" t="s">
        <v>3225</v>
      </c>
      <c r="F1033" s="1" t="s">
        <v>23</v>
      </c>
      <c r="G1033" s="1" t="s">
        <v>3774</v>
      </c>
      <c r="H1033" s="1" t="s">
        <v>15</v>
      </c>
      <c r="I1033" t="b">
        <f>COUNTIF(Estadísticas!I:I,'Centraldecomunicacion.es'!H1033)&gt;0</f>
        <v>0</v>
      </c>
    </row>
    <row r="1034" spans="1:9">
      <c r="A1034" s="1" t="s">
        <v>3754</v>
      </c>
      <c r="B1034" s="1" t="s">
        <v>10</v>
      </c>
      <c r="C1034" s="1" t="s">
        <v>3775</v>
      </c>
      <c r="D1034" s="1" t="s">
        <v>3225</v>
      </c>
      <c r="E1034" s="1" t="s">
        <v>3225</v>
      </c>
      <c r="F1034" s="1" t="s">
        <v>23</v>
      </c>
      <c r="G1034" s="1" t="s">
        <v>3776</v>
      </c>
      <c r="H1034" s="1" t="s">
        <v>15</v>
      </c>
      <c r="I1034" t="b">
        <f>COUNTIF(Estadísticas!I:I,'Centraldecomunicacion.es'!H1034)&gt;0</f>
        <v>0</v>
      </c>
    </row>
    <row r="1035" spans="1:9">
      <c r="A1035" s="1" t="s">
        <v>3777</v>
      </c>
      <c r="B1035" s="1" t="s">
        <v>10</v>
      </c>
      <c r="C1035" s="1" t="s">
        <v>3778</v>
      </c>
      <c r="D1035" s="1" t="s">
        <v>3225</v>
      </c>
      <c r="E1035" s="1" t="s">
        <v>3225</v>
      </c>
      <c r="F1035" s="1" t="s">
        <v>23</v>
      </c>
      <c r="G1035" s="1" t="s">
        <v>3779</v>
      </c>
      <c r="H1035" s="1" t="s">
        <v>15</v>
      </c>
      <c r="I1035" t="b">
        <f>COUNTIF(Estadísticas!I:I,'Centraldecomunicacion.es'!H1035)&gt;0</f>
        <v>0</v>
      </c>
    </row>
    <row r="1036" spans="1:9">
      <c r="A1036" s="1" t="s">
        <v>3780</v>
      </c>
      <c r="B1036" s="1" t="s">
        <v>10</v>
      </c>
      <c r="C1036" s="1" t="s">
        <v>3781</v>
      </c>
      <c r="D1036" s="1" t="s">
        <v>3225</v>
      </c>
      <c r="E1036" s="1" t="s">
        <v>3225</v>
      </c>
      <c r="F1036" s="1" t="s">
        <v>3782</v>
      </c>
      <c r="G1036" s="1" t="s">
        <v>3783</v>
      </c>
      <c r="H1036" s="1" t="s">
        <v>3784</v>
      </c>
      <c r="I1036" t="b">
        <f>COUNTIF(Estadísticas!I:I,'Centraldecomunicacion.es'!H1036)&gt;0</f>
        <v>0</v>
      </c>
    </row>
    <row r="1037" spans="1:9">
      <c r="A1037" s="1" t="s">
        <v>3785</v>
      </c>
      <c r="B1037" s="1" t="s">
        <v>10</v>
      </c>
      <c r="C1037" s="1" t="s">
        <v>3786</v>
      </c>
      <c r="D1037" s="1" t="s">
        <v>3225</v>
      </c>
      <c r="E1037" s="1" t="s">
        <v>3225</v>
      </c>
      <c r="F1037" s="1" t="s">
        <v>23</v>
      </c>
      <c r="G1037" s="1" t="s">
        <v>3787</v>
      </c>
      <c r="H1037" s="1" t="s">
        <v>15</v>
      </c>
      <c r="I1037" t="b">
        <f>COUNTIF(Estadísticas!I:I,'Centraldecomunicacion.es'!H1037)&gt;0</f>
        <v>0</v>
      </c>
    </row>
    <row r="1038" spans="1:9">
      <c r="A1038" s="1" t="s">
        <v>3788</v>
      </c>
      <c r="B1038" s="1" t="s">
        <v>10</v>
      </c>
      <c r="C1038" s="1" t="s">
        <v>3789</v>
      </c>
      <c r="D1038" s="1" t="s">
        <v>3225</v>
      </c>
      <c r="E1038" s="1" t="s">
        <v>3225</v>
      </c>
      <c r="F1038" s="1" t="s">
        <v>23</v>
      </c>
      <c r="G1038" s="1" t="s">
        <v>3790</v>
      </c>
      <c r="H1038" s="1" t="s">
        <v>15</v>
      </c>
      <c r="I1038" t="b">
        <f>COUNTIF(Estadísticas!I:I,'Centraldecomunicacion.es'!H1038)&gt;0</f>
        <v>0</v>
      </c>
    </row>
    <row r="1039" spans="1:9">
      <c r="A1039" s="1" t="s">
        <v>321</v>
      </c>
      <c r="B1039" s="1" t="s">
        <v>10</v>
      </c>
      <c r="C1039" s="1" t="s">
        <v>3791</v>
      </c>
      <c r="D1039" s="1" t="s">
        <v>3225</v>
      </c>
      <c r="E1039" s="1" t="s">
        <v>3225</v>
      </c>
      <c r="F1039" s="1" t="s">
        <v>323</v>
      </c>
      <c r="G1039" s="1" t="s">
        <v>3792</v>
      </c>
      <c r="H1039" s="1" t="s">
        <v>325</v>
      </c>
      <c r="I1039" t="b">
        <f>COUNTIF(Estadísticas!I:I,'Centraldecomunicacion.es'!H1039)&gt;0</f>
        <v>0</v>
      </c>
    </row>
    <row r="1040" spans="1:9">
      <c r="A1040" s="1" t="s">
        <v>3788</v>
      </c>
      <c r="B1040" s="1" t="s">
        <v>10</v>
      </c>
      <c r="C1040" s="1" t="s">
        <v>3793</v>
      </c>
      <c r="D1040" s="1" t="s">
        <v>3225</v>
      </c>
      <c r="E1040" s="1" t="s">
        <v>3225</v>
      </c>
      <c r="F1040" s="1" t="s">
        <v>23</v>
      </c>
      <c r="G1040" s="1" t="s">
        <v>3794</v>
      </c>
      <c r="H1040" s="1" t="s">
        <v>15</v>
      </c>
      <c r="I1040" t="b">
        <f>COUNTIF(Estadísticas!I:I,'Centraldecomunicacion.es'!H1040)&gt;0</f>
        <v>0</v>
      </c>
    </row>
    <row r="1041" spans="1:9">
      <c r="A1041" s="1" t="s">
        <v>3795</v>
      </c>
      <c r="B1041" s="1" t="s">
        <v>10</v>
      </c>
      <c r="C1041" s="1" t="s">
        <v>3796</v>
      </c>
      <c r="D1041" s="1" t="s">
        <v>3225</v>
      </c>
      <c r="E1041" s="1" t="s">
        <v>3225</v>
      </c>
      <c r="F1041" s="1" t="s">
        <v>3797</v>
      </c>
      <c r="G1041" s="1" t="s">
        <v>3798</v>
      </c>
      <c r="H1041" s="1" t="s">
        <v>15</v>
      </c>
      <c r="I1041" t="b">
        <f>COUNTIF(Estadísticas!I:I,'Centraldecomunicacion.es'!H1041)&gt;0</f>
        <v>0</v>
      </c>
    </row>
    <row r="1042" spans="1:9">
      <c r="A1042" s="1" t="s">
        <v>3799</v>
      </c>
      <c r="B1042" s="1" t="s">
        <v>10</v>
      </c>
      <c r="C1042" s="1" t="s">
        <v>3800</v>
      </c>
      <c r="D1042" s="1" t="s">
        <v>3225</v>
      </c>
      <c r="E1042" s="1" t="s">
        <v>3225</v>
      </c>
      <c r="F1042" s="1" t="s">
        <v>23</v>
      </c>
      <c r="G1042" s="1" t="s">
        <v>3801</v>
      </c>
      <c r="H1042" s="1" t="s">
        <v>15</v>
      </c>
      <c r="I1042" t="b">
        <f>COUNTIF(Estadísticas!I:I,'Centraldecomunicacion.es'!H1042)&gt;0</f>
        <v>0</v>
      </c>
    </row>
    <row r="1043" spans="1:9">
      <c r="A1043" s="1" t="s">
        <v>3802</v>
      </c>
      <c r="B1043" s="1" t="s">
        <v>10</v>
      </c>
      <c r="C1043" s="1" t="s">
        <v>3800</v>
      </c>
      <c r="D1043" s="1" t="s">
        <v>3225</v>
      </c>
      <c r="E1043" s="1" t="s">
        <v>3225</v>
      </c>
      <c r="F1043" s="1" t="s">
        <v>811</v>
      </c>
      <c r="G1043" s="1" t="s">
        <v>3803</v>
      </c>
      <c r="H1043" s="1" t="s">
        <v>15</v>
      </c>
      <c r="I1043" t="b">
        <f>COUNTIF(Estadísticas!I:I,'Centraldecomunicacion.es'!H1043)&gt;0</f>
        <v>0</v>
      </c>
    </row>
    <row r="1044" spans="1:9">
      <c r="A1044" s="1" t="s">
        <v>3804</v>
      </c>
      <c r="B1044" s="1" t="s">
        <v>10</v>
      </c>
      <c r="C1044" s="1" t="s">
        <v>3805</v>
      </c>
      <c r="D1044" s="1" t="s">
        <v>3806</v>
      </c>
      <c r="E1044" s="1" t="s">
        <v>3225</v>
      </c>
      <c r="F1044" s="1" t="s">
        <v>23</v>
      </c>
      <c r="G1044" s="1" t="s">
        <v>3807</v>
      </c>
      <c r="H1044" s="1" t="s">
        <v>15</v>
      </c>
      <c r="I1044" t="b">
        <f>COUNTIF(Estadísticas!I:I,'Centraldecomunicacion.es'!H1044)&gt;0</f>
        <v>0</v>
      </c>
    </row>
    <row r="1045" spans="1:9">
      <c r="A1045" s="1" t="s">
        <v>3808</v>
      </c>
      <c r="B1045" s="1" t="s">
        <v>10</v>
      </c>
      <c r="C1045" s="1" t="s">
        <v>3809</v>
      </c>
      <c r="D1045" s="1" t="s">
        <v>3810</v>
      </c>
      <c r="E1045" s="1" t="s">
        <v>3225</v>
      </c>
      <c r="F1045" s="1" t="s">
        <v>23</v>
      </c>
      <c r="G1045" s="1" t="s">
        <v>3811</v>
      </c>
      <c r="H1045" s="1" t="s">
        <v>15</v>
      </c>
      <c r="I1045" t="b">
        <f>COUNTIF(Estadísticas!I:I,'Centraldecomunicacion.es'!H1045)&gt;0</f>
        <v>0</v>
      </c>
    </row>
    <row r="1046" spans="1:9">
      <c r="A1046" s="1" t="s">
        <v>3812</v>
      </c>
      <c r="B1046" s="1" t="s">
        <v>10</v>
      </c>
      <c r="C1046" s="1" t="s">
        <v>3813</v>
      </c>
      <c r="D1046" s="1" t="s">
        <v>3814</v>
      </c>
      <c r="E1046" s="1" t="s">
        <v>3225</v>
      </c>
      <c r="F1046" s="1" t="s">
        <v>23</v>
      </c>
      <c r="G1046" s="1" t="s">
        <v>3815</v>
      </c>
      <c r="H1046" s="1" t="s">
        <v>15</v>
      </c>
      <c r="I1046" t="b">
        <f>COUNTIF(Estadísticas!I:I,'Centraldecomunicacion.es'!H1046)&gt;0</f>
        <v>0</v>
      </c>
    </row>
    <row r="1047" spans="1:9">
      <c r="A1047" s="1" t="s">
        <v>3816</v>
      </c>
      <c r="B1047" s="1" t="s">
        <v>10</v>
      </c>
      <c r="C1047" s="1" t="s">
        <v>3817</v>
      </c>
      <c r="D1047" s="1" t="s">
        <v>3814</v>
      </c>
      <c r="E1047" s="1" t="s">
        <v>3225</v>
      </c>
      <c r="F1047" s="1" t="s">
        <v>23</v>
      </c>
      <c r="G1047" s="1" t="s">
        <v>3818</v>
      </c>
      <c r="H1047" s="1" t="s">
        <v>15</v>
      </c>
      <c r="I1047" t="b">
        <f>COUNTIF(Estadísticas!I:I,'Centraldecomunicacion.es'!H1047)&gt;0</f>
        <v>0</v>
      </c>
    </row>
    <row r="1048" spans="1:9">
      <c r="A1048" s="1" t="s">
        <v>3819</v>
      </c>
      <c r="B1048" s="1" t="s">
        <v>10</v>
      </c>
      <c r="C1048" s="1" t="s">
        <v>3820</v>
      </c>
      <c r="D1048" s="1" t="s">
        <v>3814</v>
      </c>
      <c r="E1048" s="1" t="s">
        <v>3225</v>
      </c>
      <c r="F1048" s="1" t="s">
        <v>23</v>
      </c>
      <c r="G1048" s="1" t="s">
        <v>3821</v>
      </c>
      <c r="H1048" s="1" t="s">
        <v>15</v>
      </c>
      <c r="I1048" t="b">
        <f>COUNTIF(Estadísticas!I:I,'Centraldecomunicacion.es'!H1048)&gt;0</f>
        <v>0</v>
      </c>
    </row>
    <row r="1049" spans="1:9">
      <c r="A1049" s="1" t="s">
        <v>3822</v>
      </c>
      <c r="B1049" s="1" t="s">
        <v>10</v>
      </c>
      <c r="C1049" s="1" t="s">
        <v>3823</v>
      </c>
      <c r="D1049" s="1" t="s">
        <v>3824</v>
      </c>
      <c r="E1049" s="1" t="s">
        <v>3225</v>
      </c>
      <c r="F1049" s="1" t="s">
        <v>964</v>
      </c>
      <c r="G1049" s="1" t="s">
        <v>3825</v>
      </c>
      <c r="H1049" s="1" t="s">
        <v>966</v>
      </c>
      <c r="I1049" t="b">
        <f>COUNTIF(Estadísticas!I:I,'Centraldecomunicacion.es'!H1049)&gt;0</f>
        <v>0</v>
      </c>
    </row>
    <row r="1050" spans="1:9">
      <c r="A1050" s="1" t="s">
        <v>3826</v>
      </c>
      <c r="B1050" s="1" t="s">
        <v>10</v>
      </c>
      <c r="C1050" s="1" t="s">
        <v>3827</v>
      </c>
      <c r="D1050" s="1" t="s">
        <v>3824</v>
      </c>
      <c r="E1050" s="1" t="s">
        <v>3225</v>
      </c>
      <c r="F1050" s="1" t="s">
        <v>964</v>
      </c>
      <c r="G1050" s="1" t="s">
        <v>3828</v>
      </c>
      <c r="H1050" s="1" t="s">
        <v>966</v>
      </c>
      <c r="I1050" t="b">
        <f>COUNTIF(Estadísticas!I:I,'Centraldecomunicacion.es'!H1050)&gt;0</f>
        <v>0</v>
      </c>
    </row>
    <row r="1051" spans="1:9">
      <c r="A1051" s="1" t="s">
        <v>3829</v>
      </c>
      <c r="B1051" s="1" t="s">
        <v>10</v>
      </c>
      <c r="C1051" s="1" t="s">
        <v>3830</v>
      </c>
      <c r="D1051" s="1" t="s">
        <v>3824</v>
      </c>
      <c r="E1051" s="1" t="s">
        <v>3225</v>
      </c>
      <c r="F1051" s="1" t="s">
        <v>23</v>
      </c>
      <c r="G1051" s="1" t="s">
        <v>3831</v>
      </c>
      <c r="H1051" s="1" t="s">
        <v>15</v>
      </c>
      <c r="I1051" t="b">
        <f>COUNTIF(Estadísticas!I:I,'Centraldecomunicacion.es'!H1051)&gt;0</f>
        <v>0</v>
      </c>
    </row>
    <row r="1052" spans="1:9">
      <c r="A1052" s="1" t="s">
        <v>3832</v>
      </c>
      <c r="B1052" s="1" t="s">
        <v>10</v>
      </c>
      <c r="C1052" s="1" t="s">
        <v>3833</v>
      </c>
      <c r="D1052" s="1" t="s">
        <v>3834</v>
      </c>
      <c r="E1052" s="1" t="s">
        <v>693</v>
      </c>
      <c r="F1052" s="1" t="s">
        <v>23</v>
      </c>
      <c r="G1052" s="1" t="s">
        <v>3835</v>
      </c>
      <c r="H1052" s="1" t="s">
        <v>15</v>
      </c>
      <c r="I1052" t="b">
        <f>COUNTIF(Estadísticas!I:I,'Centraldecomunicacion.es'!H1052)&gt;0</f>
        <v>0</v>
      </c>
    </row>
    <row r="1053" spans="1:9">
      <c r="A1053" s="1" t="s">
        <v>3836</v>
      </c>
      <c r="B1053" s="1" t="s">
        <v>10</v>
      </c>
      <c r="C1053" s="1" t="s">
        <v>3830</v>
      </c>
      <c r="D1053" s="1" t="s">
        <v>3824</v>
      </c>
      <c r="E1053" s="1" t="s">
        <v>3225</v>
      </c>
      <c r="F1053" s="1" t="s">
        <v>23</v>
      </c>
      <c r="G1053" s="1" t="s">
        <v>3831</v>
      </c>
      <c r="H1053" s="1" t="s">
        <v>15</v>
      </c>
      <c r="I1053" t="b">
        <f>COUNTIF(Estadísticas!I:I,'Centraldecomunicacion.es'!H1053)&gt;0</f>
        <v>0</v>
      </c>
    </row>
    <row r="1054" spans="1:9">
      <c r="A1054" s="1" t="s">
        <v>3837</v>
      </c>
      <c r="B1054" s="1" t="s">
        <v>10</v>
      </c>
      <c r="C1054" s="1" t="s">
        <v>3838</v>
      </c>
      <c r="D1054" s="1" t="s">
        <v>3824</v>
      </c>
      <c r="E1054" s="1" t="s">
        <v>3225</v>
      </c>
      <c r="F1054" s="1" t="s">
        <v>23</v>
      </c>
      <c r="G1054" s="1" t="s">
        <v>3839</v>
      </c>
      <c r="H1054" s="1" t="s">
        <v>15</v>
      </c>
      <c r="I1054" t="b">
        <f>COUNTIF(Estadísticas!I:I,'Centraldecomunicacion.es'!H1054)&gt;0</f>
        <v>0</v>
      </c>
    </row>
    <row r="1055" spans="1:9">
      <c r="A1055" s="1" t="s">
        <v>10</v>
      </c>
      <c r="B1055" s="1" t="s">
        <v>10</v>
      </c>
      <c r="C1055" s="1" t="s">
        <v>3840</v>
      </c>
      <c r="D1055" s="1" t="s">
        <v>3841</v>
      </c>
      <c r="E1055" s="1" t="s">
        <v>693</v>
      </c>
      <c r="F1055" s="1" t="s">
        <v>23</v>
      </c>
      <c r="G1055" s="1" t="s">
        <v>23</v>
      </c>
      <c r="H1055" s="1" t="s">
        <v>15</v>
      </c>
      <c r="I1055" t="b">
        <f>COUNTIF(Estadísticas!I:I,'Centraldecomunicacion.es'!H1055)&gt;0</f>
        <v>0</v>
      </c>
    </row>
    <row r="1056" spans="1:9">
      <c r="A1056" s="1" t="s">
        <v>3842</v>
      </c>
      <c r="B1056" s="1" t="s">
        <v>10</v>
      </c>
      <c r="C1056" s="1" t="s">
        <v>3843</v>
      </c>
      <c r="D1056" s="1" t="s">
        <v>3844</v>
      </c>
      <c r="E1056" s="1" t="s">
        <v>3845</v>
      </c>
      <c r="F1056" s="1" t="s">
        <v>3846</v>
      </c>
      <c r="G1056" s="1" t="s">
        <v>3847</v>
      </c>
      <c r="H1056" s="1" t="s">
        <v>3848</v>
      </c>
      <c r="I1056" t="b">
        <f>COUNTIF(Estadísticas!I:I,'Centraldecomunicacion.es'!H1056)&gt;0</f>
        <v>1</v>
      </c>
    </row>
    <row r="1057" spans="1:9">
      <c r="A1057" s="1" t="s">
        <v>3849</v>
      </c>
      <c r="B1057" s="1" t="s">
        <v>10</v>
      </c>
      <c r="C1057" s="1" t="s">
        <v>3850</v>
      </c>
      <c r="D1057" s="1" t="s">
        <v>3851</v>
      </c>
      <c r="E1057" s="1" t="s">
        <v>219</v>
      </c>
      <c r="F1057" s="1" t="s">
        <v>23</v>
      </c>
      <c r="G1057" s="1" t="s">
        <v>3852</v>
      </c>
      <c r="H1057" s="1" t="s">
        <v>15</v>
      </c>
      <c r="I1057" t="b">
        <f>COUNTIF(Estadísticas!I:I,'Centraldecomunicacion.es'!H1057)&gt;0</f>
        <v>0</v>
      </c>
    </row>
    <row r="1058" spans="1:9">
      <c r="A1058" s="1" t="s">
        <v>3853</v>
      </c>
      <c r="B1058" s="1" t="s">
        <v>10</v>
      </c>
      <c r="C1058" s="1" t="s">
        <v>3854</v>
      </c>
      <c r="D1058" s="1" t="s">
        <v>3215</v>
      </c>
      <c r="E1058" s="1" t="s">
        <v>3215</v>
      </c>
      <c r="F1058" s="1" t="s">
        <v>3855</v>
      </c>
      <c r="G1058" s="1" t="s">
        <v>3856</v>
      </c>
      <c r="H1058" s="1" t="s">
        <v>15</v>
      </c>
      <c r="I1058" t="b">
        <f>COUNTIF(Estadísticas!I:I,'Centraldecomunicacion.es'!H1058)&gt;0</f>
        <v>0</v>
      </c>
    </row>
    <row r="1059" spans="1:9">
      <c r="A1059" s="1" t="s">
        <v>3857</v>
      </c>
      <c r="B1059" s="1" t="s">
        <v>10</v>
      </c>
      <c r="C1059" s="1" t="s">
        <v>3858</v>
      </c>
      <c r="D1059" s="1" t="s">
        <v>2277</v>
      </c>
      <c r="E1059" s="1" t="s">
        <v>2277</v>
      </c>
      <c r="F1059" s="1" t="s">
        <v>23</v>
      </c>
      <c r="G1059" s="1" t="s">
        <v>3859</v>
      </c>
      <c r="H1059" s="1" t="s">
        <v>15</v>
      </c>
      <c r="I1059" t="b">
        <f>COUNTIF(Estadísticas!I:I,'Centraldecomunicacion.es'!H1059)&gt;0</f>
        <v>0</v>
      </c>
    </row>
    <row r="1060" spans="1:9">
      <c r="A1060" s="1" t="s">
        <v>321</v>
      </c>
      <c r="B1060" s="1" t="s">
        <v>10</v>
      </c>
      <c r="C1060" s="1" t="s">
        <v>3860</v>
      </c>
      <c r="D1060" s="1" t="s">
        <v>2277</v>
      </c>
      <c r="E1060" s="1" t="s">
        <v>2277</v>
      </c>
      <c r="F1060" s="1" t="s">
        <v>323</v>
      </c>
      <c r="G1060" s="1" t="s">
        <v>3861</v>
      </c>
      <c r="H1060" s="1" t="s">
        <v>325</v>
      </c>
      <c r="I1060" t="b">
        <f>COUNTIF(Estadísticas!I:I,'Centraldecomunicacion.es'!H1060)&gt;0</f>
        <v>0</v>
      </c>
    </row>
    <row r="1061" spans="1:9">
      <c r="A1061" s="1" t="s">
        <v>2287</v>
      </c>
      <c r="B1061" s="1" t="s">
        <v>10</v>
      </c>
      <c r="C1061" s="1" t="s">
        <v>3862</v>
      </c>
      <c r="D1061" s="1" t="s">
        <v>2277</v>
      </c>
      <c r="E1061" s="1" t="s">
        <v>2277</v>
      </c>
      <c r="F1061" s="1" t="s">
        <v>23</v>
      </c>
      <c r="G1061" s="1" t="s">
        <v>3863</v>
      </c>
      <c r="H1061" s="1" t="s">
        <v>15</v>
      </c>
      <c r="I1061" t="b">
        <f>COUNTIF(Estadísticas!I:I,'Centraldecomunicacion.es'!H1061)&gt;0</f>
        <v>0</v>
      </c>
    </row>
    <row r="1062" spans="1:9">
      <c r="A1062" s="1" t="s">
        <v>3864</v>
      </c>
      <c r="B1062" s="1" t="s">
        <v>10</v>
      </c>
      <c r="C1062" s="1" t="s">
        <v>3865</v>
      </c>
      <c r="D1062" s="1" t="s">
        <v>2277</v>
      </c>
      <c r="E1062" s="1" t="s">
        <v>2277</v>
      </c>
      <c r="F1062" s="1" t="s">
        <v>3866</v>
      </c>
      <c r="G1062" s="1" t="s">
        <v>3867</v>
      </c>
      <c r="H1062" s="1" t="s">
        <v>3868</v>
      </c>
      <c r="I1062" t="b">
        <f>COUNTIF(Estadísticas!I:I,'Centraldecomunicacion.es'!H1062)&gt;0</f>
        <v>0</v>
      </c>
    </row>
    <row r="1063" spans="1:9">
      <c r="A1063" s="1" t="s">
        <v>321</v>
      </c>
      <c r="B1063" s="1" t="s">
        <v>10</v>
      </c>
      <c r="C1063" s="1" t="s">
        <v>3869</v>
      </c>
      <c r="D1063" s="1" t="s">
        <v>2277</v>
      </c>
      <c r="E1063" s="1" t="s">
        <v>2277</v>
      </c>
      <c r="F1063" s="1" t="s">
        <v>323</v>
      </c>
      <c r="G1063" s="1" t="s">
        <v>3870</v>
      </c>
      <c r="H1063" s="1" t="s">
        <v>325</v>
      </c>
      <c r="I1063" t="b">
        <f>COUNTIF(Estadísticas!I:I,'Centraldecomunicacion.es'!H1063)&gt;0</f>
        <v>0</v>
      </c>
    </row>
    <row r="1064" spans="1:9">
      <c r="A1064" s="1" t="s">
        <v>2287</v>
      </c>
      <c r="B1064" s="1" t="s">
        <v>10</v>
      </c>
      <c r="C1064" s="1" t="s">
        <v>3871</v>
      </c>
      <c r="D1064" s="1" t="s">
        <v>2277</v>
      </c>
      <c r="E1064" s="1" t="s">
        <v>2277</v>
      </c>
      <c r="F1064" s="1" t="s">
        <v>23</v>
      </c>
      <c r="G1064" s="1" t="s">
        <v>3872</v>
      </c>
      <c r="H1064" s="1" t="s">
        <v>15</v>
      </c>
      <c r="I1064" t="b">
        <f>COUNTIF(Estadísticas!I:I,'Centraldecomunicacion.es'!H1064)&gt;0</f>
        <v>0</v>
      </c>
    </row>
    <row r="1065" spans="1:9">
      <c r="A1065" s="1" t="s">
        <v>321</v>
      </c>
      <c r="B1065" s="1" t="s">
        <v>10</v>
      </c>
      <c r="C1065" s="1" t="s">
        <v>3873</v>
      </c>
      <c r="D1065" s="1" t="s">
        <v>2277</v>
      </c>
      <c r="E1065" s="1" t="s">
        <v>2277</v>
      </c>
      <c r="F1065" s="1" t="s">
        <v>323</v>
      </c>
      <c r="G1065" s="1" t="s">
        <v>3874</v>
      </c>
      <c r="H1065" s="1" t="s">
        <v>325</v>
      </c>
      <c r="I1065" t="b">
        <f>COUNTIF(Estadísticas!I:I,'Centraldecomunicacion.es'!H1065)&gt;0</f>
        <v>0</v>
      </c>
    </row>
    <row r="1066" spans="1:9">
      <c r="A1066" s="1" t="s">
        <v>3875</v>
      </c>
      <c r="B1066" s="1" t="s">
        <v>10</v>
      </c>
      <c r="C1066" s="1" t="s">
        <v>3876</v>
      </c>
      <c r="D1066" s="1" t="s">
        <v>2277</v>
      </c>
      <c r="E1066" s="1" t="s">
        <v>2277</v>
      </c>
      <c r="F1066" s="1" t="s">
        <v>23</v>
      </c>
      <c r="G1066" s="1" t="s">
        <v>23</v>
      </c>
      <c r="H1066" s="1" t="s">
        <v>15</v>
      </c>
      <c r="I1066" t="b">
        <f>COUNTIF(Estadísticas!I:I,'Centraldecomunicacion.es'!H1066)&gt;0</f>
        <v>0</v>
      </c>
    </row>
    <row r="1067" spans="1:9">
      <c r="A1067" s="1" t="s">
        <v>321</v>
      </c>
      <c r="B1067" s="1" t="s">
        <v>10</v>
      </c>
      <c r="C1067" s="1" t="s">
        <v>3877</v>
      </c>
      <c r="D1067" s="1" t="s">
        <v>2277</v>
      </c>
      <c r="E1067" s="1" t="s">
        <v>2277</v>
      </c>
      <c r="F1067" s="1" t="s">
        <v>323</v>
      </c>
      <c r="G1067" s="1" t="s">
        <v>3878</v>
      </c>
      <c r="H1067" s="1" t="s">
        <v>325</v>
      </c>
      <c r="I1067" t="b">
        <f>COUNTIF(Estadísticas!I:I,'Centraldecomunicacion.es'!H1067)&gt;0</f>
        <v>0</v>
      </c>
    </row>
    <row r="1068" spans="1:9">
      <c r="A1068" s="1" t="s">
        <v>3879</v>
      </c>
      <c r="B1068" s="1" t="s">
        <v>10</v>
      </c>
      <c r="C1068" s="1" t="s">
        <v>3880</v>
      </c>
      <c r="D1068" s="1" t="s">
        <v>2277</v>
      </c>
      <c r="E1068" s="1" t="s">
        <v>2277</v>
      </c>
      <c r="F1068" s="1" t="s">
        <v>23</v>
      </c>
      <c r="G1068" s="1" t="s">
        <v>3881</v>
      </c>
      <c r="H1068" s="1" t="s">
        <v>15</v>
      </c>
      <c r="I1068" t="b">
        <f>COUNTIF(Estadísticas!I:I,'Centraldecomunicacion.es'!H1068)&gt;0</f>
        <v>0</v>
      </c>
    </row>
    <row r="1069" spans="1:9">
      <c r="A1069" s="1" t="s">
        <v>3882</v>
      </c>
      <c r="B1069" s="1" t="s">
        <v>10</v>
      </c>
      <c r="C1069" s="1" t="s">
        <v>3883</v>
      </c>
      <c r="D1069" s="1" t="s">
        <v>2277</v>
      </c>
      <c r="E1069" s="1" t="s">
        <v>2277</v>
      </c>
      <c r="F1069" s="1" t="s">
        <v>811</v>
      </c>
      <c r="G1069" s="1" t="s">
        <v>3884</v>
      </c>
      <c r="H1069" s="1" t="s">
        <v>15</v>
      </c>
      <c r="I1069" t="b">
        <f>COUNTIF(Estadísticas!I:I,'Centraldecomunicacion.es'!H1069)&gt;0</f>
        <v>0</v>
      </c>
    </row>
    <row r="1070" spans="1:9">
      <c r="A1070" s="1" t="s">
        <v>3885</v>
      </c>
      <c r="B1070" s="1" t="s">
        <v>10</v>
      </c>
      <c r="C1070" s="1" t="s">
        <v>3886</v>
      </c>
      <c r="D1070" s="1" t="s">
        <v>2277</v>
      </c>
      <c r="E1070" s="1" t="s">
        <v>2277</v>
      </c>
      <c r="F1070" s="1" t="s">
        <v>3887</v>
      </c>
      <c r="G1070" s="1" t="s">
        <v>3888</v>
      </c>
      <c r="H1070" s="1" t="s">
        <v>3889</v>
      </c>
      <c r="I1070" t="b">
        <f>COUNTIF(Estadísticas!I:I,'Centraldecomunicacion.es'!H1070)&gt;0</f>
        <v>0</v>
      </c>
    </row>
    <row r="1071" spans="1:9">
      <c r="A1071" s="1" t="s">
        <v>3890</v>
      </c>
      <c r="B1071" s="1" t="s">
        <v>10</v>
      </c>
      <c r="C1071" s="1" t="s">
        <v>3891</v>
      </c>
      <c r="D1071" s="1" t="s">
        <v>2277</v>
      </c>
      <c r="E1071" s="1" t="s">
        <v>2277</v>
      </c>
      <c r="F1071" s="1" t="s">
        <v>23</v>
      </c>
      <c r="G1071" s="1" t="s">
        <v>3892</v>
      </c>
      <c r="H1071" s="1" t="s">
        <v>15</v>
      </c>
      <c r="I1071" t="b">
        <f>COUNTIF(Estadísticas!I:I,'Centraldecomunicacion.es'!H1071)&gt;0</f>
        <v>0</v>
      </c>
    </row>
    <row r="1072" spans="1:9">
      <c r="A1072" s="1" t="s">
        <v>3893</v>
      </c>
      <c r="B1072" s="1" t="s">
        <v>10</v>
      </c>
      <c r="C1072" s="1" t="s">
        <v>3894</v>
      </c>
      <c r="D1072" s="1" t="s">
        <v>2277</v>
      </c>
      <c r="E1072" s="1" t="s">
        <v>2277</v>
      </c>
      <c r="F1072" s="1" t="s">
        <v>23</v>
      </c>
      <c r="G1072" s="1" t="s">
        <v>3895</v>
      </c>
      <c r="H1072" s="1" t="s">
        <v>15</v>
      </c>
      <c r="I1072" t="b">
        <f>COUNTIF(Estadísticas!I:I,'Centraldecomunicacion.es'!H1072)&gt;0</f>
        <v>0</v>
      </c>
    </row>
    <row r="1073" spans="1:9">
      <c r="A1073" s="1" t="s">
        <v>3896</v>
      </c>
      <c r="B1073" s="1" t="s">
        <v>10</v>
      </c>
      <c r="C1073" s="1" t="s">
        <v>3897</v>
      </c>
      <c r="D1073" s="1" t="s">
        <v>2277</v>
      </c>
      <c r="E1073" s="1" t="s">
        <v>2277</v>
      </c>
      <c r="F1073" s="1" t="s">
        <v>23</v>
      </c>
      <c r="G1073" s="1" t="s">
        <v>3898</v>
      </c>
      <c r="H1073" s="1" t="s">
        <v>15</v>
      </c>
      <c r="I1073" t="b">
        <f>COUNTIF(Estadísticas!I:I,'Centraldecomunicacion.es'!H1073)&gt;0</f>
        <v>0</v>
      </c>
    </row>
    <row r="1074" spans="1:9">
      <c r="A1074" s="1" t="s">
        <v>3899</v>
      </c>
      <c r="B1074" s="1" t="s">
        <v>10</v>
      </c>
      <c r="C1074" s="1" t="s">
        <v>3900</v>
      </c>
      <c r="D1074" s="1" t="s">
        <v>3901</v>
      </c>
      <c r="E1074" s="1" t="s">
        <v>2277</v>
      </c>
      <c r="F1074" s="1" t="s">
        <v>23</v>
      </c>
      <c r="G1074" s="1" t="s">
        <v>3902</v>
      </c>
      <c r="H1074" s="1" t="s">
        <v>15</v>
      </c>
      <c r="I1074" t="b">
        <f>COUNTIF(Estadísticas!I:I,'Centraldecomunicacion.es'!H1074)&gt;0</f>
        <v>0</v>
      </c>
    </row>
    <row r="1075" spans="1:9">
      <c r="A1075" s="1" t="s">
        <v>3903</v>
      </c>
      <c r="B1075" s="1" t="s">
        <v>10</v>
      </c>
      <c r="C1075" s="1" t="s">
        <v>3904</v>
      </c>
      <c r="D1075" s="1" t="s">
        <v>2277</v>
      </c>
      <c r="E1075" s="1" t="s">
        <v>2277</v>
      </c>
      <c r="F1075" s="1" t="s">
        <v>23</v>
      </c>
      <c r="G1075" s="1" t="s">
        <v>3905</v>
      </c>
      <c r="H1075" s="1" t="s">
        <v>15</v>
      </c>
      <c r="I1075" t="b">
        <f>COUNTIF(Estadísticas!I:I,'Centraldecomunicacion.es'!H1075)&gt;0</f>
        <v>0</v>
      </c>
    </row>
    <row r="1076" spans="1:9">
      <c r="A1076" s="1" t="s">
        <v>3906</v>
      </c>
      <c r="B1076" s="1" t="s">
        <v>10</v>
      </c>
      <c r="C1076" s="1" t="s">
        <v>3907</v>
      </c>
      <c r="D1076" s="1" t="s">
        <v>3908</v>
      </c>
      <c r="E1076" s="1" t="s">
        <v>2277</v>
      </c>
      <c r="F1076" s="1" t="s">
        <v>23</v>
      </c>
      <c r="G1076" s="1" t="s">
        <v>3909</v>
      </c>
      <c r="H1076" s="1" t="s">
        <v>15</v>
      </c>
      <c r="I1076" t="b">
        <f>COUNTIF(Estadísticas!I:I,'Centraldecomunicacion.es'!H1076)&gt;0</f>
        <v>0</v>
      </c>
    </row>
    <row r="1077" spans="1:9">
      <c r="A1077" s="1" t="s">
        <v>3910</v>
      </c>
      <c r="B1077" s="1" t="s">
        <v>10</v>
      </c>
      <c r="C1077" s="1" t="s">
        <v>3911</v>
      </c>
      <c r="D1077" s="1" t="s">
        <v>3912</v>
      </c>
      <c r="E1077" s="1" t="s">
        <v>2277</v>
      </c>
      <c r="F1077" s="1" t="s">
        <v>23</v>
      </c>
      <c r="G1077" s="1" t="s">
        <v>3913</v>
      </c>
      <c r="H1077" s="1" t="s">
        <v>15</v>
      </c>
      <c r="I1077" t="b">
        <f>COUNTIF(Estadísticas!I:I,'Centraldecomunicacion.es'!H1077)&gt;0</f>
        <v>0</v>
      </c>
    </row>
    <row r="1078" spans="1:9">
      <c r="A1078" s="1" t="s">
        <v>3914</v>
      </c>
      <c r="B1078" s="1" t="s">
        <v>10</v>
      </c>
      <c r="C1078" s="1" t="s">
        <v>3915</v>
      </c>
      <c r="D1078" s="1" t="s">
        <v>2277</v>
      </c>
      <c r="E1078" s="1" t="s">
        <v>2277</v>
      </c>
      <c r="F1078" s="1" t="s">
        <v>23</v>
      </c>
      <c r="G1078" s="1" t="s">
        <v>3916</v>
      </c>
      <c r="H1078" s="1" t="s">
        <v>15</v>
      </c>
      <c r="I1078" t="b">
        <f>COUNTIF(Estadísticas!I:I,'Centraldecomunicacion.es'!H1078)&gt;0</f>
        <v>0</v>
      </c>
    </row>
    <row r="1079" spans="1:9">
      <c r="A1079" s="1" t="s">
        <v>3917</v>
      </c>
      <c r="B1079" s="1" t="s">
        <v>10</v>
      </c>
      <c r="C1079" s="1" t="s">
        <v>3918</v>
      </c>
      <c r="D1079" s="1" t="s">
        <v>2277</v>
      </c>
      <c r="E1079" s="1" t="s">
        <v>2277</v>
      </c>
      <c r="F1079" s="1" t="s">
        <v>3919</v>
      </c>
      <c r="G1079" s="1" t="s">
        <v>3920</v>
      </c>
      <c r="H1079" s="1" t="s">
        <v>3921</v>
      </c>
      <c r="I1079" t="b">
        <f>COUNTIF(Estadísticas!I:I,'Centraldecomunicacion.es'!H1079)&gt;0</f>
        <v>0</v>
      </c>
    </row>
    <row r="1080" spans="1:9">
      <c r="A1080" s="1" t="s">
        <v>3922</v>
      </c>
      <c r="B1080" s="1" t="s">
        <v>10</v>
      </c>
      <c r="C1080" s="1" t="s">
        <v>3923</v>
      </c>
      <c r="D1080" s="1" t="s">
        <v>2277</v>
      </c>
      <c r="E1080" s="1" t="s">
        <v>2277</v>
      </c>
      <c r="F1080" s="1" t="s">
        <v>3924</v>
      </c>
      <c r="G1080" s="1" t="s">
        <v>3925</v>
      </c>
      <c r="H1080" s="1" t="s">
        <v>3926</v>
      </c>
      <c r="I1080" t="b">
        <f>COUNTIF(Estadísticas!I:I,'Centraldecomunicacion.es'!H1080)&gt;0</f>
        <v>0</v>
      </c>
    </row>
    <row r="1081" spans="1:9">
      <c r="A1081" s="1" t="s">
        <v>3927</v>
      </c>
      <c r="B1081" s="1" t="s">
        <v>10</v>
      </c>
      <c r="C1081" s="1" t="s">
        <v>3928</v>
      </c>
      <c r="D1081" s="1" t="s">
        <v>2277</v>
      </c>
      <c r="E1081" s="1" t="s">
        <v>2277</v>
      </c>
      <c r="F1081" s="1" t="s">
        <v>23</v>
      </c>
      <c r="G1081" s="1" t="s">
        <v>3929</v>
      </c>
      <c r="H1081" s="1" t="s">
        <v>15</v>
      </c>
      <c r="I1081" t="b">
        <f>COUNTIF(Estadísticas!I:I,'Centraldecomunicacion.es'!H1081)&gt;0</f>
        <v>0</v>
      </c>
    </row>
    <row r="1082" spans="1:9">
      <c r="A1082" s="1" t="s">
        <v>3930</v>
      </c>
      <c r="B1082" s="1" t="s">
        <v>10</v>
      </c>
      <c r="C1082" s="1" t="s">
        <v>3931</v>
      </c>
      <c r="D1082" s="1" t="s">
        <v>2277</v>
      </c>
      <c r="E1082" s="1" t="s">
        <v>2277</v>
      </c>
      <c r="F1082" s="1" t="s">
        <v>3919</v>
      </c>
      <c r="G1082" s="1" t="s">
        <v>3920</v>
      </c>
      <c r="H1082" s="1" t="s">
        <v>3921</v>
      </c>
      <c r="I1082" t="b">
        <f>COUNTIF(Estadísticas!I:I,'Centraldecomunicacion.es'!H1082)&gt;0</f>
        <v>0</v>
      </c>
    </row>
    <row r="1083" spans="1:9">
      <c r="A1083" s="1" t="s">
        <v>3932</v>
      </c>
      <c r="B1083" s="1" t="s">
        <v>10</v>
      </c>
      <c r="C1083" s="1" t="s">
        <v>3933</v>
      </c>
      <c r="D1083" s="1" t="s">
        <v>3934</v>
      </c>
      <c r="E1083" s="1" t="s">
        <v>2277</v>
      </c>
      <c r="F1083" s="1" t="s">
        <v>23</v>
      </c>
      <c r="G1083" s="1" t="s">
        <v>3935</v>
      </c>
      <c r="H1083" s="1" t="s">
        <v>15</v>
      </c>
      <c r="I1083" t="b">
        <f>COUNTIF(Estadísticas!I:I,'Centraldecomunicacion.es'!H1083)&gt;0</f>
        <v>0</v>
      </c>
    </row>
    <row r="1084" spans="1:9">
      <c r="A1084" s="1" t="s">
        <v>3936</v>
      </c>
      <c r="B1084" s="1" t="s">
        <v>10</v>
      </c>
      <c r="C1084" s="1" t="s">
        <v>3937</v>
      </c>
      <c r="D1084" s="1" t="s">
        <v>2277</v>
      </c>
      <c r="E1084" s="1" t="s">
        <v>2277</v>
      </c>
      <c r="F1084" s="1" t="s">
        <v>23</v>
      </c>
      <c r="G1084" s="1" t="s">
        <v>3938</v>
      </c>
      <c r="H1084" s="1" t="s">
        <v>15</v>
      </c>
      <c r="I1084" t="b">
        <f>COUNTIF(Estadísticas!I:I,'Centraldecomunicacion.es'!H1084)&gt;0</f>
        <v>0</v>
      </c>
    </row>
    <row r="1085" spans="1:9">
      <c r="A1085" s="1" t="s">
        <v>3939</v>
      </c>
      <c r="B1085" s="1" t="s">
        <v>10</v>
      </c>
      <c r="C1085" s="1" t="s">
        <v>23</v>
      </c>
      <c r="D1085" s="1" t="s">
        <v>3908</v>
      </c>
      <c r="E1085" s="1" t="s">
        <v>23</v>
      </c>
      <c r="F1085" s="1" t="s">
        <v>23</v>
      </c>
      <c r="G1085" s="1" t="s">
        <v>23</v>
      </c>
      <c r="H1085" s="1" t="s">
        <v>15</v>
      </c>
      <c r="I1085" t="b">
        <f>COUNTIF(Estadísticas!I:I,'Centraldecomunicacion.es'!H1085)&gt;0</f>
        <v>0</v>
      </c>
    </row>
    <row r="1086" spans="1:9">
      <c r="A1086" s="1" t="s">
        <v>3940</v>
      </c>
      <c r="B1086" s="1" t="s">
        <v>10</v>
      </c>
      <c r="C1086" s="1" t="s">
        <v>3941</v>
      </c>
      <c r="D1086" s="1" t="s">
        <v>2277</v>
      </c>
      <c r="E1086" s="1" t="s">
        <v>2277</v>
      </c>
      <c r="F1086" s="1" t="s">
        <v>23</v>
      </c>
      <c r="G1086" s="1" t="s">
        <v>23</v>
      </c>
      <c r="H1086" s="1" t="s">
        <v>15</v>
      </c>
      <c r="I1086" t="b">
        <f>COUNTIF(Estadísticas!I:I,'Centraldecomunicacion.es'!H1086)&gt;0</f>
        <v>0</v>
      </c>
    </row>
    <row r="1087" spans="1:9">
      <c r="A1087" s="1" t="s">
        <v>3942</v>
      </c>
      <c r="B1087" s="1" t="s">
        <v>10</v>
      </c>
      <c r="C1087" s="1" t="s">
        <v>3943</v>
      </c>
      <c r="D1087" s="1" t="s">
        <v>3944</v>
      </c>
      <c r="E1087" s="1" t="s">
        <v>2277</v>
      </c>
      <c r="F1087" s="1" t="s">
        <v>23</v>
      </c>
      <c r="G1087" s="1" t="s">
        <v>3945</v>
      </c>
      <c r="H1087" s="1" t="s">
        <v>15</v>
      </c>
      <c r="I1087" t="b">
        <f>COUNTIF(Estadísticas!I:I,'Centraldecomunicacion.es'!H1087)&gt;0</f>
        <v>0</v>
      </c>
    </row>
    <row r="1088" spans="1:9">
      <c r="A1088" s="1" t="s">
        <v>3946</v>
      </c>
      <c r="B1088" s="1" t="s">
        <v>10</v>
      </c>
      <c r="C1088" s="1" t="s">
        <v>3947</v>
      </c>
      <c r="D1088" s="1" t="s">
        <v>3948</v>
      </c>
      <c r="E1088" s="1" t="s">
        <v>2277</v>
      </c>
      <c r="F1088" s="1" t="s">
        <v>23</v>
      </c>
      <c r="G1088" s="1" t="s">
        <v>3949</v>
      </c>
      <c r="H1088" s="1" t="s">
        <v>15</v>
      </c>
      <c r="I1088" t="b">
        <f>COUNTIF(Estadísticas!I:I,'Centraldecomunicacion.es'!H1088)&gt;0</f>
        <v>0</v>
      </c>
    </row>
    <row r="1089" spans="1:9">
      <c r="A1089" s="1" t="s">
        <v>3950</v>
      </c>
      <c r="B1089" s="1" t="s">
        <v>10</v>
      </c>
      <c r="C1089" s="1" t="s">
        <v>3951</v>
      </c>
      <c r="D1089" s="1" t="s">
        <v>3952</v>
      </c>
      <c r="E1089" s="1" t="s">
        <v>2277</v>
      </c>
      <c r="F1089" s="1" t="s">
        <v>23</v>
      </c>
      <c r="G1089" s="1" t="s">
        <v>23</v>
      </c>
      <c r="H1089" s="1" t="s">
        <v>15</v>
      </c>
      <c r="I1089" t="b">
        <f>COUNTIF(Estadísticas!I:I,'Centraldecomunicacion.es'!H1089)&gt;0</f>
        <v>0</v>
      </c>
    </row>
    <row r="1090" spans="1:9">
      <c r="A1090" s="1" t="s">
        <v>3953</v>
      </c>
      <c r="B1090" s="1" t="s">
        <v>10</v>
      </c>
      <c r="C1090" s="1" t="s">
        <v>3954</v>
      </c>
      <c r="D1090" s="1" t="s">
        <v>3944</v>
      </c>
      <c r="E1090" s="1" t="s">
        <v>2277</v>
      </c>
      <c r="F1090" s="1" t="s">
        <v>23</v>
      </c>
      <c r="G1090" s="1" t="s">
        <v>3955</v>
      </c>
      <c r="H1090" s="1" t="s">
        <v>15</v>
      </c>
      <c r="I1090" t="b">
        <f>COUNTIF(Estadísticas!I:I,'Centraldecomunicacion.es'!H1090)&gt;0</f>
        <v>0</v>
      </c>
    </row>
    <row r="1091" spans="1:9">
      <c r="A1091" s="1" t="s">
        <v>321</v>
      </c>
      <c r="B1091" s="1" t="s">
        <v>10</v>
      </c>
      <c r="C1091" s="1" t="s">
        <v>3956</v>
      </c>
      <c r="D1091" s="1" t="s">
        <v>3952</v>
      </c>
      <c r="E1091" s="1" t="s">
        <v>2277</v>
      </c>
      <c r="F1091" s="1" t="s">
        <v>323</v>
      </c>
      <c r="G1091" s="1" t="s">
        <v>3957</v>
      </c>
      <c r="H1091" s="1" t="s">
        <v>325</v>
      </c>
      <c r="I1091" t="b">
        <f>COUNTIF(Estadísticas!I:I,'Centraldecomunicacion.es'!H1091)&gt;0</f>
        <v>0</v>
      </c>
    </row>
    <row r="1092" spans="1:9">
      <c r="A1092" s="1" t="s">
        <v>3958</v>
      </c>
      <c r="B1092" s="1" t="s">
        <v>10</v>
      </c>
      <c r="C1092" s="1" t="s">
        <v>3959</v>
      </c>
      <c r="D1092" s="1" t="s">
        <v>3960</v>
      </c>
      <c r="E1092" s="1" t="s">
        <v>2277</v>
      </c>
      <c r="F1092" s="1" t="s">
        <v>23</v>
      </c>
      <c r="G1092" s="1" t="s">
        <v>23</v>
      </c>
      <c r="H1092" s="1" t="s">
        <v>15</v>
      </c>
      <c r="I1092" t="b">
        <f>COUNTIF(Estadísticas!I:I,'Centraldecomunicacion.es'!H1092)&gt;0</f>
        <v>0</v>
      </c>
    </row>
    <row r="1093" spans="1:9">
      <c r="A1093" s="1" t="s">
        <v>3961</v>
      </c>
      <c r="B1093" s="1" t="s">
        <v>10</v>
      </c>
      <c r="C1093" s="1" t="s">
        <v>3962</v>
      </c>
      <c r="D1093" s="1" t="s">
        <v>3963</v>
      </c>
      <c r="E1093" s="1" t="s">
        <v>2277</v>
      </c>
      <c r="F1093" s="1" t="s">
        <v>23</v>
      </c>
      <c r="G1093" s="1" t="s">
        <v>3964</v>
      </c>
      <c r="H1093" s="1" t="s">
        <v>15</v>
      </c>
      <c r="I1093" t="b">
        <f>COUNTIF(Estadísticas!I:I,'Centraldecomunicacion.es'!H1093)&gt;0</f>
        <v>0</v>
      </c>
    </row>
    <row r="1094" spans="1:9">
      <c r="A1094" s="1" t="s">
        <v>3965</v>
      </c>
      <c r="B1094" s="1" t="s">
        <v>10</v>
      </c>
      <c r="C1094" s="1" t="s">
        <v>3966</v>
      </c>
      <c r="D1094" s="1" t="s">
        <v>3960</v>
      </c>
      <c r="E1094" s="1" t="s">
        <v>2277</v>
      </c>
      <c r="F1094" s="1" t="s">
        <v>3967</v>
      </c>
      <c r="G1094" s="1" t="s">
        <v>3968</v>
      </c>
      <c r="H1094" s="1" t="s">
        <v>3969</v>
      </c>
      <c r="I1094" t="b">
        <f>COUNTIF(Estadísticas!I:I,'Centraldecomunicacion.es'!H1094)&gt;0</f>
        <v>0</v>
      </c>
    </row>
    <row r="1095" spans="1:9">
      <c r="A1095" s="1" t="s">
        <v>3970</v>
      </c>
      <c r="B1095" s="1" t="s">
        <v>10</v>
      </c>
      <c r="C1095" s="1" t="s">
        <v>3971</v>
      </c>
      <c r="D1095" s="1" t="s">
        <v>3972</v>
      </c>
      <c r="E1095" s="1" t="s">
        <v>2277</v>
      </c>
      <c r="F1095" s="1" t="s">
        <v>23</v>
      </c>
      <c r="G1095" s="1" t="s">
        <v>3973</v>
      </c>
      <c r="H1095" s="1" t="s">
        <v>15</v>
      </c>
      <c r="I1095" t="b">
        <f>COUNTIF(Estadísticas!I:I,'Centraldecomunicacion.es'!H1095)&gt;0</f>
        <v>0</v>
      </c>
    </row>
    <row r="1096" spans="1:9">
      <c r="A1096" s="1" t="s">
        <v>3974</v>
      </c>
      <c r="B1096" s="1" t="s">
        <v>10</v>
      </c>
      <c r="C1096" s="1" t="s">
        <v>3975</v>
      </c>
      <c r="D1096" s="1" t="s">
        <v>3960</v>
      </c>
      <c r="E1096" s="1" t="s">
        <v>2277</v>
      </c>
      <c r="F1096" s="1" t="s">
        <v>23</v>
      </c>
      <c r="G1096" s="1" t="s">
        <v>3976</v>
      </c>
      <c r="H1096" s="1" t="s">
        <v>15</v>
      </c>
      <c r="I1096" t="b">
        <f>COUNTIF(Estadísticas!I:I,'Centraldecomunicacion.es'!H1096)&gt;0</f>
        <v>0</v>
      </c>
    </row>
    <row r="1097" spans="1:9">
      <c r="A1097" s="1" t="s">
        <v>3977</v>
      </c>
      <c r="B1097" s="1" t="s">
        <v>10</v>
      </c>
      <c r="C1097" s="1" t="s">
        <v>3978</v>
      </c>
      <c r="D1097" s="1" t="s">
        <v>3979</v>
      </c>
      <c r="E1097" s="1" t="s">
        <v>3979</v>
      </c>
      <c r="F1097" s="1" t="s">
        <v>23</v>
      </c>
      <c r="G1097" s="1" t="s">
        <v>3980</v>
      </c>
      <c r="H1097" s="1" t="s">
        <v>15</v>
      </c>
      <c r="I1097" t="b">
        <f>COUNTIF(Estadísticas!I:I,'Centraldecomunicacion.es'!H1097)&gt;0</f>
        <v>0</v>
      </c>
    </row>
    <row r="1098" spans="1:9">
      <c r="A1098" s="1" t="s">
        <v>3252</v>
      </c>
      <c r="B1098" s="1" t="s">
        <v>10</v>
      </c>
      <c r="C1098" s="1" t="s">
        <v>3981</v>
      </c>
      <c r="D1098" s="1" t="s">
        <v>3982</v>
      </c>
      <c r="E1098" s="1" t="s">
        <v>2277</v>
      </c>
      <c r="F1098" s="1" t="s">
        <v>23</v>
      </c>
      <c r="G1098" s="1" t="s">
        <v>23</v>
      </c>
      <c r="H1098" s="1" t="s">
        <v>15</v>
      </c>
      <c r="I1098" t="b">
        <f>COUNTIF(Estadísticas!I:I,'Centraldecomunicacion.es'!H1098)&gt;0</f>
        <v>0</v>
      </c>
    </row>
    <row r="1099" spans="1:9">
      <c r="A1099" s="1" t="s">
        <v>3983</v>
      </c>
      <c r="B1099" s="1" t="s">
        <v>10</v>
      </c>
      <c r="C1099" s="1" t="s">
        <v>3984</v>
      </c>
      <c r="D1099" s="1" t="s">
        <v>3985</v>
      </c>
      <c r="E1099" s="1" t="s">
        <v>3215</v>
      </c>
      <c r="F1099" s="1" t="s">
        <v>23</v>
      </c>
      <c r="G1099" s="1" t="s">
        <v>3986</v>
      </c>
      <c r="H1099" s="1" t="s">
        <v>15</v>
      </c>
      <c r="I1099" t="b">
        <f>COUNTIF(Estadísticas!I:I,'Centraldecomunicacion.es'!H1099)&gt;0</f>
        <v>0</v>
      </c>
    </row>
    <row r="1100" spans="1:9">
      <c r="A1100" s="1" t="s">
        <v>3987</v>
      </c>
      <c r="B1100" s="1" t="s">
        <v>10</v>
      </c>
      <c r="C1100" s="1" t="s">
        <v>3988</v>
      </c>
      <c r="D1100" s="1" t="s">
        <v>3989</v>
      </c>
      <c r="E1100" s="1" t="s">
        <v>3745</v>
      </c>
      <c r="F1100" s="1" t="s">
        <v>23</v>
      </c>
      <c r="G1100" s="1" t="s">
        <v>3990</v>
      </c>
      <c r="H1100" s="1" t="s">
        <v>15</v>
      </c>
      <c r="I1100" t="b">
        <f>COUNTIF(Estadísticas!I:I,'Centraldecomunicacion.es'!H1100)&gt;0</f>
        <v>0</v>
      </c>
    </row>
    <row r="1101" spans="1:9">
      <c r="A1101" s="1" t="s">
        <v>3991</v>
      </c>
      <c r="B1101" s="1" t="s">
        <v>10</v>
      </c>
      <c r="C1101" s="1" t="s">
        <v>3992</v>
      </c>
      <c r="D1101" s="1" t="s">
        <v>693</v>
      </c>
      <c r="E1101" s="1" t="s">
        <v>693</v>
      </c>
      <c r="F1101" s="1" t="s">
        <v>3993</v>
      </c>
      <c r="G1101" s="1" t="s">
        <v>3994</v>
      </c>
      <c r="H1101" s="1" t="s">
        <v>3995</v>
      </c>
      <c r="I1101" t="b">
        <f>COUNTIF(Estadísticas!I:I,'Centraldecomunicacion.es'!H1101)&gt;0</f>
        <v>0</v>
      </c>
    </row>
    <row r="1102" spans="1:9">
      <c r="A1102" s="1" t="s">
        <v>3996</v>
      </c>
      <c r="B1102" s="1" t="s">
        <v>10</v>
      </c>
      <c r="C1102" s="1" t="s">
        <v>3997</v>
      </c>
      <c r="D1102" s="1" t="s">
        <v>3745</v>
      </c>
      <c r="E1102" s="1" t="s">
        <v>3745</v>
      </c>
      <c r="F1102" s="1" t="s">
        <v>23</v>
      </c>
      <c r="G1102" s="1" t="s">
        <v>3998</v>
      </c>
      <c r="H1102" s="1" t="s">
        <v>15</v>
      </c>
      <c r="I1102" t="b">
        <f>COUNTIF(Estadísticas!I:I,'Centraldecomunicacion.es'!H1102)&gt;0</f>
        <v>0</v>
      </c>
    </row>
    <row r="1103" spans="1:9">
      <c r="A1103" s="1" t="s">
        <v>3999</v>
      </c>
      <c r="B1103" s="1" t="s">
        <v>10</v>
      </c>
      <c r="C1103" s="1" t="s">
        <v>4000</v>
      </c>
      <c r="D1103" s="1" t="s">
        <v>693</v>
      </c>
      <c r="E1103" s="1" t="s">
        <v>693</v>
      </c>
      <c r="F1103" s="1" t="s">
        <v>23</v>
      </c>
      <c r="G1103" s="1" t="s">
        <v>4001</v>
      </c>
      <c r="H1103" s="1" t="s">
        <v>15</v>
      </c>
      <c r="I1103" t="b">
        <f>COUNTIF(Estadísticas!I:I,'Centraldecomunicacion.es'!H1103)&gt;0</f>
        <v>0</v>
      </c>
    </row>
    <row r="1104" spans="1:9">
      <c r="A1104" s="1" t="s">
        <v>4002</v>
      </c>
      <c r="B1104" s="1" t="s">
        <v>10</v>
      </c>
      <c r="C1104" s="1" t="s">
        <v>4003</v>
      </c>
      <c r="D1104" s="1" t="s">
        <v>3215</v>
      </c>
      <c r="E1104" s="1" t="s">
        <v>3215</v>
      </c>
      <c r="F1104" s="1" t="s">
        <v>23</v>
      </c>
      <c r="G1104" s="1" t="s">
        <v>4004</v>
      </c>
      <c r="H1104" s="1" t="s">
        <v>15</v>
      </c>
      <c r="I1104" t="b">
        <f>COUNTIF(Estadísticas!I:I,'Centraldecomunicacion.es'!H1104)&gt;0</f>
        <v>0</v>
      </c>
    </row>
    <row r="1105" spans="1:9">
      <c r="A1105" s="1" t="s">
        <v>4005</v>
      </c>
      <c r="B1105" s="1" t="s">
        <v>10</v>
      </c>
      <c r="C1105" s="1" t="s">
        <v>4006</v>
      </c>
      <c r="D1105" s="1" t="s">
        <v>3215</v>
      </c>
      <c r="E1105" s="1" t="s">
        <v>3215</v>
      </c>
      <c r="F1105" s="1" t="s">
        <v>23</v>
      </c>
      <c r="G1105" s="1" t="s">
        <v>4007</v>
      </c>
      <c r="H1105" s="1" t="s">
        <v>15</v>
      </c>
      <c r="I1105" t="b">
        <f>COUNTIF(Estadísticas!I:I,'Centraldecomunicacion.es'!H1105)&gt;0</f>
        <v>0</v>
      </c>
    </row>
    <row r="1106" spans="1:9">
      <c r="A1106" s="1" t="s">
        <v>3453</v>
      </c>
      <c r="B1106" s="1" t="s">
        <v>10</v>
      </c>
      <c r="C1106" s="1" t="s">
        <v>4008</v>
      </c>
      <c r="D1106" s="1" t="s">
        <v>3215</v>
      </c>
      <c r="E1106" s="1" t="s">
        <v>3215</v>
      </c>
      <c r="F1106" s="1" t="s">
        <v>23</v>
      </c>
      <c r="G1106" s="1" t="s">
        <v>4009</v>
      </c>
      <c r="H1106" s="1" t="s">
        <v>15</v>
      </c>
      <c r="I1106" t="b">
        <f>COUNTIF(Estadísticas!I:I,'Centraldecomunicacion.es'!H1106)&gt;0</f>
        <v>0</v>
      </c>
    </row>
    <row r="1107" spans="1:9">
      <c r="A1107" s="1" t="s">
        <v>4010</v>
      </c>
      <c r="B1107" s="1" t="s">
        <v>10</v>
      </c>
      <c r="C1107" s="1" t="s">
        <v>4011</v>
      </c>
      <c r="D1107" s="1" t="s">
        <v>3979</v>
      </c>
      <c r="E1107" s="1" t="s">
        <v>3979</v>
      </c>
      <c r="F1107" s="1" t="s">
        <v>4012</v>
      </c>
      <c r="G1107" s="1" t="s">
        <v>4013</v>
      </c>
      <c r="H1107" s="1" t="s">
        <v>15</v>
      </c>
      <c r="I1107" t="b">
        <f>COUNTIF(Estadísticas!I:I,'Centraldecomunicacion.es'!H1107)&gt;0</f>
        <v>0</v>
      </c>
    </row>
    <row r="1108" spans="1:9">
      <c r="A1108" s="1" t="s">
        <v>4014</v>
      </c>
      <c r="B1108" s="1" t="s">
        <v>10</v>
      </c>
      <c r="C1108" s="1" t="s">
        <v>4015</v>
      </c>
      <c r="D1108" s="1" t="s">
        <v>3979</v>
      </c>
      <c r="E1108" s="1" t="s">
        <v>3979</v>
      </c>
      <c r="F1108" s="1" t="s">
        <v>4016</v>
      </c>
      <c r="G1108" s="1" t="s">
        <v>4017</v>
      </c>
      <c r="H1108" s="1" t="s">
        <v>15</v>
      </c>
      <c r="I1108" t="b">
        <f>COUNTIF(Estadísticas!I:I,'Centraldecomunicacion.es'!H1108)&gt;0</f>
        <v>0</v>
      </c>
    </row>
    <row r="1109" spans="1:9">
      <c r="A1109" s="1" t="s">
        <v>4018</v>
      </c>
      <c r="B1109" s="1" t="s">
        <v>10</v>
      </c>
      <c r="C1109" s="1" t="s">
        <v>4019</v>
      </c>
      <c r="D1109" s="1" t="s">
        <v>3979</v>
      </c>
      <c r="E1109" s="1" t="s">
        <v>3979</v>
      </c>
      <c r="F1109" s="1" t="s">
        <v>4020</v>
      </c>
      <c r="G1109" s="1" t="s">
        <v>4021</v>
      </c>
      <c r="H1109" s="1" t="s">
        <v>4022</v>
      </c>
      <c r="I1109" t="b">
        <f>COUNTIF(Estadísticas!I:I,'Centraldecomunicacion.es'!H1109)&gt;0</f>
        <v>0</v>
      </c>
    </row>
    <row r="1110" spans="1:9">
      <c r="A1110" s="1" t="s">
        <v>4023</v>
      </c>
      <c r="B1110" s="1" t="s">
        <v>10</v>
      </c>
      <c r="C1110" s="1" t="s">
        <v>4024</v>
      </c>
      <c r="D1110" s="1" t="s">
        <v>3979</v>
      </c>
      <c r="E1110" s="1" t="s">
        <v>3979</v>
      </c>
      <c r="F1110" s="1" t="s">
        <v>4025</v>
      </c>
      <c r="G1110" s="1" t="s">
        <v>4026</v>
      </c>
      <c r="H1110" s="1" t="s">
        <v>1091</v>
      </c>
      <c r="I1110" t="b">
        <f>COUNTIF(Estadísticas!I:I,'Centraldecomunicacion.es'!H1110)&gt;0</f>
        <v>0</v>
      </c>
    </row>
    <row r="1111" spans="1:9">
      <c r="A1111" s="1" t="s">
        <v>4027</v>
      </c>
      <c r="B1111" s="1" t="s">
        <v>10</v>
      </c>
      <c r="C1111" s="1" t="s">
        <v>4028</v>
      </c>
      <c r="D1111" s="1" t="s">
        <v>3979</v>
      </c>
      <c r="E1111" s="1" t="s">
        <v>3979</v>
      </c>
      <c r="F1111" s="1" t="s">
        <v>23</v>
      </c>
      <c r="G1111" s="1" t="s">
        <v>4029</v>
      </c>
      <c r="H1111" s="1" t="s">
        <v>15</v>
      </c>
      <c r="I1111" t="b">
        <f>COUNTIF(Estadísticas!I:I,'Centraldecomunicacion.es'!H1111)&gt;0</f>
        <v>0</v>
      </c>
    </row>
    <row r="1112" spans="1:9">
      <c r="A1112" s="1" t="s">
        <v>4030</v>
      </c>
      <c r="B1112" s="1" t="s">
        <v>10</v>
      </c>
      <c r="C1112" s="1" t="s">
        <v>4031</v>
      </c>
      <c r="D1112" s="1" t="s">
        <v>3979</v>
      </c>
      <c r="E1112" s="1" t="s">
        <v>3979</v>
      </c>
      <c r="F1112" s="1" t="s">
        <v>23</v>
      </c>
      <c r="G1112" s="1" t="s">
        <v>4032</v>
      </c>
      <c r="H1112" s="1" t="s">
        <v>15</v>
      </c>
      <c r="I1112" t="b">
        <f>COUNTIF(Estadísticas!I:I,'Centraldecomunicacion.es'!H1112)&gt;0</f>
        <v>0</v>
      </c>
    </row>
    <row r="1113" spans="1:9">
      <c r="A1113" s="1" t="s">
        <v>4033</v>
      </c>
      <c r="B1113" s="1" t="s">
        <v>10</v>
      </c>
      <c r="C1113" s="1" t="s">
        <v>4034</v>
      </c>
      <c r="D1113" s="1" t="s">
        <v>3979</v>
      </c>
      <c r="E1113" s="1" t="s">
        <v>3979</v>
      </c>
      <c r="F1113" s="1" t="s">
        <v>23</v>
      </c>
      <c r="G1113" s="1" t="s">
        <v>4035</v>
      </c>
      <c r="H1113" s="1" t="s">
        <v>15</v>
      </c>
      <c r="I1113" t="b">
        <f>COUNTIF(Estadísticas!I:I,'Centraldecomunicacion.es'!H1113)&gt;0</f>
        <v>0</v>
      </c>
    </row>
    <row r="1114" spans="1:9">
      <c r="A1114" s="1" t="s">
        <v>4036</v>
      </c>
      <c r="B1114" s="1" t="s">
        <v>10</v>
      </c>
      <c r="C1114" s="1" t="s">
        <v>4037</v>
      </c>
      <c r="D1114" s="1" t="s">
        <v>3979</v>
      </c>
      <c r="E1114" s="1" t="s">
        <v>3979</v>
      </c>
      <c r="F1114" s="1" t="s">
        <v>23</v>
      </c>
      <c r="G1114" s="1" t="s">
        <v>4038</v>
      </c>
      <c r="H1114" s="1" t="s">
        <v>15</v>
      </c>
      <c r="I1114" t="b">
        <f>COUNTIF(Estadísticas!I:I,'Centraldecomunicacion.es'!H1114)&gt;0</f>
        <v>0</v>
      </c>
    </row>
    <row r="1115" spans="1:9">
      <c r="A1115" s="1" t="s">
        <v>4039</v>
      </c>
      <c r="B1115" s="1" t="s">
        <v>10</v>
      </c>
      <c r="C1115" s="1" t="s">
        <v>4040</v>
      </c>
      <c r="D1115" s="1" t="s">
        <v>3979</v>
      </c>
      <c r="E1115" s="1" t="s">
        <v>3979</v>
      </c>
      <c r="F1115" s="1" t="s">
        <v>4041</v>
      </c>
      <c r="G1115" s="1" t="s">
        <v>4042</v>
      </c>
      <c r="H1115" s="1" t="s">
        <v>15</v>
      </c>
      <c r="I1115" t="b">
        <f>COUNTIF(Estadísticas!I:I,'Centraldecomunicacion.es'!H1115)&gt;0</f>
        <v>0</v>
      </c>
    </row>
    <row r="1116" spans="1:9">
      <c r="A1116" s="1" t="s">
        <v>4043</v>
      </c>
      <c r="B1116" s="1" t="s">
        <v>10</v>
      </c>
      <c r="C1116" s="1" t="s">
        <v>4044</v>
      </c>
      <c r="D1116" s="1" t="s">
        <v>3979</v>
      </c>
      <c r="E1116" s="1" t="s">
        <v>3979</v>
      </c>
      <c r="F1116" s="1" t="s">
        <v>4045</v>
      </c>
      <c r="G1116" s="1" t="s">
        <v>4046</v>
      </c>
      <c r="H1116" s="1" t="s">
        <v>4047</v>
      </c>
      <c r="I1116" t="b">
        <f>COUNTIF(Estadísticas!I:I,'Centraldecomunicacion.es'!H1116)&gt;0</f>
        <v>0</v>
      </c>
    </row>
    <row r="1117" spans="1:9">
      <c r="A1117" s="1" t="s">
        <v>4048</v>
      </c>
      <c r="B1117" s="1" t="s">
        <v>10</v>
      </c>
      <c r="C1117" s="1" t="s">
        <v>4049</v>
      </c>
      <c r="D1117" s="1" t="s">
        <v>3979</v>
      </c>
      <c r="E1117" s="1" t="s">
        <v>3979</v>
      </c>
      <c r="F1117" s="1" t="s">
        <v>23</v>
      </c>
      <c r="G1117" s="1" t="s">
        <v>23</v>
      </c>
      <c r="H1117" s="1" t="s">
        <v>15</v>
      </c>
      <c r="I1117" t="b">
        <f>COUNTIF(Estadísticas!I:I,'Centraldecomunicacion.es'!H1117)&gt;0</f>
        <v>0</v>
      </c>
    </row>
    <row r="1118" spans="1:9">
      <c r="A1118" s="1" t="s">
        <v>4050</v>
      </c>
      <c r="B1118" s="1" t="s">
        <v>10</v>
      </c>
      <c r="C1118" s="1" t="s">
        <v>4051</v>
      </c>
      <c r="D1118" s="1" t="s">
        <v>3979</v>
      </c>
      <c r="E1118" s="1" t="s">
        <v>3979</v>
      </c>
      <c r="F1118" s="1" t="s">
        <v>23</v>
      </c>
      <c r="G1118" s="1" t="s">
        <v>4035</v>
      </c>
      <c r="H1118" s="1" t="s">
        <v>15</v>
      </c>
      <c r="I1118" t="b">
        <f>COUNTIF(Estadísticas!I:I,'Centraldecomunicacion.es'!H1118)&gt;0</f>
        <v>0</v>
      </c>
    </row>
    <row r="1119" spans="1:9">
      <c r="A1119" s="1" t="s">
        <v>4052</v>
      </c>
      <c r="B1119" s="1" t="s">
        <v>10</v>
      </c>
      <c r="C1119" s="1" t="s">
        <v>4053</v>
      </c>
      <c r="D1119" s="1" t="s">
        <v>3979</v>
      </c>
      <c r="E1119" s="1" t="s">
        <v>3979</v>
      </c>
      <c r="F1119" s="1" t="s">
        <v>23</v>
      </c>
      <c r="G1119" s="1" t="s">
        <v>4054</v>
      </c>
      <c r="H1119" s="1" t="s">
        <v>15</v>
      </c>
      <c r="I1119" t="b">
        <f>COUNTIF(Estadísticas!I:I,'Centraldecomunicacion.es'!H1119)&gt;0</f>
        <v>0</v>
      </c>
    </row>
    <row r="1120" spans="1:9">
      <c r="A1120" s="1" t="s">
        <v>4055</v>
      </c>
      <c r="B1120" s="1" t="s">
        <v>10</v>
      </c>
      <c r="C1120" s="1" t="s">
        <v>4056</v>
      </c>
      <c r="D1120" s="1" t="s">
        <v>3979</v>
      </c>
      <c r="E1120" s="1" t="s">
        <v>3979</v>
      </c>
      <c r="F1120" s="1" t="s">
        <v>23</v>
      </c>
      <c r="G1120" s="1" t="s">
        <v>4057</v>
      </c>
      <c r="H1120" s="1" t="s">
        <v>15</v>
      </c>
      <c r="I1120" t="b">
        <f>COUNTIF(Estadísticas!I:I,'Centraldecomunicacion.es'!H1120)&gt;0</f>
        <v>0</v>
      </c>
    </row>
    <row r="1121" spans="1:9">
      <c r="A1121" s="1" t="s">
        <v>4058</v>
      </c>
      <c r="B1121" s="1" t="s">
        <v>10</v>
      </c>
      <c r="C1121" s="1" t="s">
        <v>4059</v>
      </c>
      <c r="D1121" s="1" t="s">
        <v>4060</v>
      </c>
      <c r="E1121" s="1" t="s">
        <v>3979</v>
      </c>
      <c r="F1121" s="1" t="s">
        <v>23</v>
      </c>
      <c r="G1121" s="1" t="s">
        <v>4061</v>
      </c>
      <c r="H1121" s="1" t="s">
        <v>15</v>
      </c>
      <c r="I1121" t="b">
        <f>COUNTIF(Estadísticas!I:I,'Centraldecomunicacion.es'!H1121)&gt;0</f>
        <v>0</v>
      </c>
    </row>
    <row r="1122" spans="1:9">
      <c r="A1122" s="1" t="s">
        <v>4062</v>
      </c>
      <c r="B1122" s="1" t="s">
        <v>10</v>
      </c>
      <c r="C1122" s="1" t="s">
        <v>4063</v>
      </c>
      <c r="D1122" s="1" t="s">
        <v>3979</v>
      </c>
      <c r="E1122" s="1" t="s">
        <v>3979</v>
      </c>
      <c r="F1122" s="1" t="s">
        <v>23</v>
      </c>
      <c r="G1122" s="1" t="s">
        <v>23</v>
      </c>
      <c r="H1122" s="1" t="s">
        <v>15</v>
      </c>
      <c r="I1122" t="b">
        <f>COUNTIF(Estadísticas!I:I,'Centraldecomunicacion.es'!H1122)&gt;0</f>
        <v>0</v>
      </c>
    </row>
    <row r="1123" spans="1:9">
      <c r="A1123" s="1" t="s">
        <v>4064</v>
      </c>
      <c r="B1123" s="1" t="s">
        <v>10</v>
      </c>
      <c r="C1123" s="1" t="s">
        <v>4065</v>
      </c>
      <c r="D1123" s="1" t="s">
        <v>3979</v>
      </c>
      <c r="E1123" s="1" t="s">
        <v>3979</v>
      </c>
      <c r="F1123" s="1" t="s">
        <v>23</v>
      </c>
      <c r="G1123" s="1" t="s">
        <v>23</v>
      </c>
      <c r="H1123" s="1" t="s">
        <v>15</v>
      </c>
      <c r="I1123" t="b">
        <f>COUNTIF(Estadísticas!I:I,'Centraldecomunicacion.es'!H1123)&gt;0</f>
        <v>0</v>
      </c>
    </row>
    <row r="1124" spans="1:9">
      <c r="A1124" s="1" t="s">
        <v>4066</v>
      </c>
      <c r="B1124" s="1" t="s">
        <v>10</v>
      </c>
      <c r="C1124" s="1" t="s">
        <v>4067</v>
      </c>
      <c r="D1124" s="1" t="s">
        <v>4068</v>
      </c>
      <c r="E1124" s="1" t="s">
        <v>3979</v>
      </c>
      <c r="F1124" s="1" t="s">
        <v>4020</v>
      </c>
      <c r="G1124" s="1" t="s">
        <v>4069</v>
      </c>
      <c r="H1124" s="1" t="s">
        <v>4022</v>
      </c>
      <c r="I1124" t="b">
        <f>COUNTIF(Estadísticas!I:I,'Centraldecomunicacion.es'!H1124)&gt;0</f>
        <v>0</v>
      </c>
    </row>
    <row r="1125" spans="1:9">
      <c r="A1125" s="1" t="s">
        <v>10</v>
      </c>
      <c r="B1125" s="1" t="s">
        <v>10</v>
      </c>
      <c r="C1125" s="1" t="s">
        <v>4070</v>
      </c>
      <c r="D1125" s="1" t="s">
        <v>3979</v>
      </c>
      <c r="E1125" s="1" t="s">
        <v>3979</v>
      </c>
      <c r="F1125" s="1" t="s">
        <v>23</v>
      </c>
      <c r="G1125" s="1" t="s">
        <v>23</v>
      </c>
      <c r="H1125" s="1" t="s">
        <v>15</v>
      </c>
      <c r="I1125" t="b">
        <f>COUNTIF(Estadísticas!I:I,'Centraldecomunicacion.es'!H1125)&gt;0</f>
        <v>0</v>
      </c>
    </row>
    <row r="1126" spans="1:9">
      <c r="A1126" s="1" t="s">
        <v>4071</v>
      </c>
      <c r="B1126" s="1" t="s">
        <v>10</v>
      </c>
      <c r="C1126" s="1" t="s">
        <v>4072</v>
      </c>
      <c r="D1126" s="1" t="s">
        <v>4073</v>
      </c>
      <c r="E1126" s="1" t="s">
        <v>3979</v>
      </c>
      <c r="F1126" s="1" t="s">
        <v>23</v>
      </c>
      <c r="G1126" s="1" t="s">
        <v>4074</v>
      </c>
      <c r="H1126" s="1" t="s">
        <v>15</v>
      </c>
      <c r="I1126" t="b">
        <f>COUNTIF(Estadísticas!I:I,'Centraldecomunicacion.es'!H1126)&gt;0</f>
        <v>0</v>
      </c>
    </row>
    <row r="1127" spans="1:9">
      <c r="A1127" s="1" t="s">
        <v>4075</v>
      </c>
      <c r="B1127" s="1" t="s">
        <v>10</v>
      </c>
      <c r="C1127" s="1" t="s">
        <v>4076</v>
      </c>
      <c r="D1127" s="1" t="s">
        <v>4077</v>
      </c>
      <c r="E1127" s="1" t="s">
        <v>3979</v>
      </c>
      <c r="F1127" s="1" t="s">
        <v>23</v>
      </c>
      <c r="G1127" s="1" t="s">
        <v>4078</v>
      </c>
      <c r="H1127" s="1" t="s">
        <v>15</v>
      </c>
      <c r="I1127" t="b">
        <f>COUNTIF(Estadísticas!I:I,'Centraldecomunicacion.es'!H1127)&gt;0</f>
        <v>0</v>
      </c>
    </row>
    <row r="1128" spans="1:9">
      <c r="A1128" s="1" t="s">
        <v>2044</v>
      </c>
      <c r="B1128" s="1" t="s">
        <v>10</v>
      </c>
      <c r="C1128" s="1" t="s">
        <v>4079</v>
      </c>
      <c r="D1128" s="1" t="s">
        <v>4077</v>
      </c>
      <c r="E1128" s="1" t="s">
        <v>3979</v>
      </c>
      <c r="F1128" s="1" t="s">
        <v>4080</v>
      </c>
      <c r="G1128" s="1" t="s">
        <v>4081</v>
      </c>
      <c r="H1128" s="1" t="s">
        <v>325</v>
      </c>
      <c r="I1128" t="b">
        <f>COUNTIF(Estadísticas!I:I,'Centraldecomunicacion.es'!H1128)&gt;0</f>
        <v>0</v>
      </c>
    </row>
    <row r="1129" spans="1:9">
      <c r="A1129" s="1" t="s">
        <v>4082</v>
      </c>
      <c r="B1129" s="1" t="s">
        <v>10</v>
      </c>
      <c r="C1129" s="1" t="s">
        <v>4083</v>
      </c>
      <c r="D1129" s="1" t="s">
        <v>693</v>
      </c>
      <c r="E1129" s="1" t="s">
        <v>693</v>
      </c>
      <c r="F1129" s="1" t="s">
        <v>23</v>
      </c>
      <c r="G1129" s="1" t="s">
        <v>4084</v>
      </c>
      <c r="H1129" s="1" t="s">
        <v>15</v>
      </c>
      <c r="I1129" t="b">
        <f>COUNTIF(Estadísticas!I:I,'Centraldecomunicacion.es'!H1129)&gt;0</f>
        <v>0</v>
      </c>
    </row>
    <row r="1130" spans="1:9">
      <c r="A1130" s="1" t="s">
        <v>4085</v>
      </c>
      <c r="B1130" s="1" t="s">
        <v>10</v>
      </c>
      <c r="C1130" s="1" t="s">
        <v>4086</v>
      </c>
      <c r="D1130" s="1" t="s">
        <v>4087</v>
      </c>
      <c r="E1130" s="1" t="s">
        <v>3979</v>
      </c>
      <c r="F1130" s="1" t="s">
        <v>4088</v>
      </c>
      <c r="G1130" s="1" t="s">
        <v>4089</v>
      </c>
      <c r="H1130" s="1" t="s">
        <v>4090</v>
      </c>
      <c r="I1130" t="b">
        <f>COUNTIF(Estadísticas!I:I,'Centraldecomunicacion.es'!H1130)&gt;0</f>
        <v>0</v>
      </c>
    </row>
    <row r="1131" spans="1:9">
      <c r="A1131" s="1" t="s">
        <v>4091</v>
      </c>
      <c r="B1131" s="1" t="s">
        <v>10</v>
      </c>
      <c r="C1131" s="1" t="s">
        <v>4092</v>
      </c>
      <c r="D1131" s="1" t="s">
        <v>4093</v>
      </c>
      <c r="E1131" s="1" t="s">
        <v>3979</v>
      </c>
      <c r="F1131" s="1" t="s">
        <v>23</v>
      </c>
      <c r="G1131" s="1" t="s">
        <v>4094</v>
      </c>
      <c r="H1131" s="1" t="s">
        <v>15</v>
      </c>
      <c r="I1131" t="b">
        <f>COUNTIF(Estadísticas!I:I,'Centraldecomunicacion.es'!H1131)&gt;0</f>
        <v>0</v>
      </c>
    </row>
    <row r="1132" spans="1:9">
      <c r="A1132" s="1" t="s">
        <v>4095</v>
      </c>
      <c r="B1132" s="1" t="s">
        <v>10</v>
      </c>
      <c r="C1132" s="1" t="s">
        <v>4096</v>
      </c>
      <c r="D1132" s="1" t="s">
        <v>693</v>
      </c>
      <c r="E1132" s="1" t="s">
        <v>693</v>
      </c>
      <c r="F1132" s="1" t="s">
        <v>23</v>
      </c>
      <c r="G1132" s="1" t="s">
        <v>4097</v>
      </c>
      <c r="H1132" s="1" t="s">
        <v>15</v>
      </c>
      <c r="I1132" t="b">
        <f>COUNTIF(Estadísticas!I:I,'Centraldecomunicacion.es'!H1132)&gt;0</f>
        <v>0</v>
      </c>
    </row>
    <row r="1133" spans="1:9">
      <c r="A1133" s="1" t="s">
        <v>2006</v>
      </c>
      <c r="B1133" s="1" t="s">
        <v>10</v>
      </c>
      <c r="C1133" s="1" t="s">
        <v>4098</v>
      </c>
      <c r="D1133" s="1" t="s">
        <v>693</v>
      </c>
      <c r="E1133" s="1" t="s">
        <v>693</v>
      </c>
      <c r="F1133" s="1" t="s">
        <v>2008</v>
      </c>
      <c r="G1133" s="1" t="s">
        <v>4099</v>
      </c>
      <c r="H1133" s="1" t="s">
        <v>2010</v>
      </c>
      <c r="I1133" t="b">
        <f>COUNTIF(Estadísticas!I:I,'Centraldecomunicacion.es'!H1133)&gt;0</f>
        <v>0</v>
      </c>
    </row>
    <row r="1134" spans="1:9">
      <c r="A1134" s="1" t="s">
        <v>4100</v>
      </c>
      <c r="B1134" s="1" t="s">
        <v>10</v>
      </c>
      <c r="C1134" s="1" t="s">
        <v>4101</v>
      </c>
      <c r="D1134" s="1" t="s">
        <v>693</v>
      </c>
      <c r="E1134" s="1" t="s">
        <v>693</v>
      </c>
      <c r="F1134" s="1" t="s">
        <v>23</v>
      </c>
      <c r="G1134" s="1" t="s">
        <v>4102</v>
      </c>
      <c r="H1134" s="1" t="s">
        <v>15</v>
      </c>
      <c r="I1134" t="b">
        <f>COUNTIF(Estadísticas!I:I,'Centraldecomunicacion.es'!H1134)&gt;0</f>
        <v>0</v>
      </c>
    </row>
    <row r="1135" spans="1:9">
      <c r="A1135" s="1" t="s">
        <v>4103</v>
      </c>
      <c r="B1135" s="1" t="s">
        <v>10</v>
      </c>
      <c r="C1135" s="1" t="s">
        <v>4083</v>
      </c>
      <c r="D1135" s="1" t="s">
        <v>693</v>
      </c>
      <c r="E1135" s="1" t="s">
        <v>693</v>
      </c>
      <c r="F1135" s="1" t="s">
        <v>23</v>
      </c>
      <c r="G1135" s="1" t="s">
        <v>4104</v>
      </c>
      <c r="H1135" s="1" t="s">
        <v>15</v>
      </c>
      <c r="I1135" t="b">
        <f>COUNTIF(Estadísticas!I:I,'Centraldecomunicacion.es'!H1135)&gt;0</f>
        <v>0</v>
      </c>
    </row>
    <row r="1136" spans="1:9">
      <c r="A1136" s="1" t="s">
        <v>4105</v>
      </c>
      <c r="B1136" s="1" t="s">
        <v>10</v>
      </c>
      <c r="C1136" s="1" t="s">
        <v>4106</v>
      </c>
      <c r="D1136" s="1" t="s">
        <v>693</v>
      </c>
      <c r="E1136" s="1" t="s">
        <v>693</v>
      </c>
      <c r="F1136" s="1" t="s">
        <v>4107</v>
      </c>
      <c r="G1136" s="1" t="s">
        <v>4108</v>
      </c>
      <c r="H1136" s="1" t="s">
        <v>4109</v>
      </c>
      <c r="I1136" t="b">
        <f>COUNTIF(Estadísticas!I:I,'Centraldecomunicacion.es'!H1136)&gt;0</f>
        <v>0</v>
      </c>
    </row>
    <row r="1137" spans="1:9">
      <c r="A1137" s="1" t="s">
        <v>257</v>
      </c>
      <c r="B1137" s="1" t="s">
        <v>10</v>
      </c>
      <c r="C1137" s="1" t="s">
        <v>4110</v>
      </c>
      <c r="D1137" s="1" t="s">
        <v>4111</v>
      </c>
      <c r="E1137" s="1" t="s">
        <v>4111</v>
      </c>
      <c r="F1137" s="1" t="s">
        <v>81</v>
      </c>
      <c r="G1137" s="1" t="s">
        <v>4112</v>
      </c>
      <c r="H1137" s="1" t="s">
        <v>83</v>
      </c>
      <c r="I1137" t="b">
        <f>COUNTIF(Estadísticas!I:I,'Centraldecomunicacion.es'!H1137)&gt;0</f>
        <v>0</v>
      </c>
    </row>
    <row r="1138" spans="1:9">
      <c r="A1138" s="1" t="s">
        <v>321</v>
      </c>
      <c r="B1138" s="1" t="s">
        <v>10</v>
      </c>
      <c r="C1138" s="1" t="s">
        <v>4113</v>
      </c>
      <c r="D1138" s="1" t="s">
        <v>4111</v>
      </c>
      <c r="E1138" s="1" t="s">
        <v>4111</v>
      </c>
      <c r="F1138" s="1" t="s">
        <v>4080</v>
      </c>
      <c r="G1138" s="1" t="s">
        <v>4114</v>
      </c>
      <c r="H1138" s="1" t="s">
        <v>325</v>
      </c>
      <c r="I1138" t="b">
        <f>COUNTIF(Estadísticas!I:I,'Centraldecomunicacion.es'!H1138)&gt;0</f>
        <v>0</v>
      </c>
    </row>
    <row r="1139" spans="1:9">
      <c r="A1139" s="1" t="s">
        <v>321</v>
      </c>
      <c r="B1139" s="1" t="s">
        <v>10</v>
      </c>
      <c r="C1139" s="1" t="s">
        <v>4115</v>
      </c>
      <c r="D1139" s="1" t="s">
        <v>4111</v>
      </c>
      <c r="E1139" s="1" t="s">
        <v>4111</v>
      </c>
      <c r="F1139" s="1" t="s">
        <v>4080</v>
      </c>
      <c r="G1139" s="1" t="s">
        <v>4116</v>
      </c>
      <c r="H1139" s="1" t="s">
        <v>325</v>
      </c>
      <c r="I1139" t="b">
        <f>COUNTIF(Estadísticas!I:I,'Centraldecomunicacion.es'!H1139)&gt;0</f>
        <v>0</v>
      </c>
    </row>
    <row r="1140" spans="1:9">
      <c r="A1140" s="1" t="s">
        <v>4117</v>
      </c>
      <c r="B1140" s="1" t="s">
        <v>10</v>
      </c>
      <c r="C1140" s="1" t="s">
        <v>4118</v>
      </c>
      <c r="D1140" s="1" t="s">
        <v>4111</v>
      </c>
      <c r="E1140" s="1" t="s">
        <v>4111</v>
      </c>
      <c r="F1140" s="1" t="s">
        <v>964</v>
      </c>
      <c r="G1140" s="1" t="s">
        <v>4119</v>
      </c>
      <c r="H1140" s="1" t="s">
        <v>966</v>
      </c>
      <c r="I1140" t="b">
        <f>COUNTIF(Estadísticas!I:I,'Centraldecomunicacion.es'!H1140)&gt;0</f>
        <v>0</v>
      </c>
    </row>
    <row r="1141" spans="1:9">
      <c r="A1141" s="1" t="s">
        <v>4120</v>
      </c>
      <c r="B1141" s="1" t="s">
        <v>10</v>
      </c>
      <c r="C1141" s="1" t="s">
        <v>4121</v>
      </c>
      <c r="D1141" s="1" t="s">
        <v>4122</v>
      </c>
      <c r="E1141" s="1" t="s">
        <v>4111</v>
      </c>
      <c r="F1141" s="1" t="s">
        <v>23</v>
      </c>
      <c r="G1141" s="1" t="s">
        <v>4123</v>
      </c>
      <c r="H1141" s="1" t="s">
        <v>15</v>
      </c>
      <c r="I1141" t="b">
        <f>COUNTIF(Estadísticas!I:I,'Centraldecomunicacion.es'!H1141)&gt;0</f>
        <v>0</v>
      </c>
    </row>
    <row r="1142" spans="1:9">
      <c r="A1142" s="1" t="s">
        <v>4124</v>
      </c>
      <c r="B1142" s="1" t="s">
        <v>10</v>
      </c>
      <c r="C1142" s="1" t="s">
        <v>4125</v>
      </c>
      <c r="D1142" s="1" t="s">
        <v>4126</v>
      </c>
      <c r="E1142" s="1" t="s">
        <v>4111</v>
      </c>
      <c r="F1142" s="1" t="s">
        <v>23</v>
      </c>
      <c r="G1142" s="1" t="s">
        <v>4127</v>
      </c>
      <c r="H1142" s="1" t="s">
        <v>15</v>
      </c>
      <c r="I1142" t="b">
        <f>COUNTIF(Estadísticas!I:I,'Centraldecomunicacion.es'!H1142)&gt;0</f>
        <v>0</v>
      </c>
    </row>
    <row r="1143" spans="1:9">
      <c r="A1143" s="1" t="s">
        <v>4128</v>
      </c>
      <c r="B1143" s="1" t="s">
        <v>10</v>
      </c>
      <c r="C1143" s="1" t="s">
        <v>4129</v>
      </c>
      <c r="D1143" s="1" t="s">
        <v>4130</v>
      </c>
      <c r="E1143" s="1" t="s">
        <v>4111</v>
      </c>
      <c r="F1143" s="1" t="s">
        <v>23</v>
      </c>
      <c r="G1143" s="1" t="s">
        <v>4131</v>
      </c>
      <c r="H1143" s="1" t="s">
        <v>15</v>
      </c>
      <c r="I1143" t="b">
        <f>COUNTIF(Estadísticas!I:I,'Centraldecomunicacion.es'!H1143)&gt;0</f>
        <v>0</v>
      </c>
    </row>
    <row r="1144" spans="1:9">
      <c r="A1144" s="1" t="s">
        <v>4132</v>
      </c>
      <c r="B1144" s="1" t="s">
        <v>10</v>
      </c>
      <c r="C1144" s="1" t="s">
        <v>4133</v>
      </c>
      <c r="D1144" s="1" t="s">
        <v>4134</v>
      </c>
      <c r="E1144" s="1" t="s">
        <v>4111</v>
      </c>
      <c r="F1144" s="1" t="s">
        <v>23</v>
      </c>
      <c r="G1144" s="1" t="s">
        <v>4135</v>
      </c>
      <c r="H1144" s="1" t="s">
        <v>15</v>
      </c>
      <c r="I1144" t="b">
        <f>COUNTIF(Estadísticas!I:I,'Centraldecomunicacion.es'!H1144)&gt;0</f>
        <v>0</v>
      </c>
    </row>
    <row r="1145" spans="1:9">
      <c r="A1145" s="1" t="s">
        <v>4136</v>
      </c>
      <c r="B1145" s="1" t="s">
        <v>10</v>
      </c>
      <c r="C1145" s="1" t="s">
        <v>4137</v>
      </c>
      <c r="D1145" s="1" t="s">
        <v>3745</v>
      </c>
      <c r="E1145" s="1" t="s">
        <v>3745</v>
      </c>
      <c r="F1145" s="1" t="s">
        <v>23</v>
      </c>
      <c r="G1145" s="1" t="s">
        <v>4138</v>
      </c>
      <c r="H1145" s="1" t="s">
        <v>15</v>
      </c>
      <c r="I1145" t="b">
        <f>COUNTIF(Estadísticas!I:I,'Centraldecomunicacion.es'!H1145)&gt;0</f>
        <v>0</v>
      </c>
    </row>
    <row r="1146" spans="1:9">
      <c r="A1146" s="1" t="s">
        <v>4139</v>
      </c>
      <c r="B1146" s="1" t="s">
        <v>10</v>
      </c>
      <c r="C1146" s="1" t="s">
        <v>4140</v>
      </c>
      <c r="D1146" s="1" t="s">
        <v>3745</v>
      </c>
      <c r="E1146" s="1" t="s">
        <v>3745</v>
      </c>
      <c r="F1146" s="1" t="s">
        <v>23</v>
      </c>
      <c r="G1146" s="1" t="s">
        <v>4141</v>
      </c>
      <c r="H1146" s="1" t="s">
        <v>15</v>
      </c>
      <c r="I1146" t="b">
        <f>COUNTIF(Estadísticas!I:I,'Centraldecomunicacion.es'!H1146)&gt;0</f>
        <v>0</v>
      </c>
    </row>
    <row r="1147" spans="1:9">
      <c r="A1147" s="1" t="s">
        <v>4142</v>
      </c>
      <c r="B1147" s="1" t="s">
        <v>10</v>
      </c>
      <c r="C1147" s="1" t="s">
        <v>4143</v>
      </c>
      <c r="D1147" s="1" t="s">
        <v>3745</v>
      </c>
      <c r="E1147" s="1" t="s">
        <v>3745</v>
      </c>
      <c r="F1147" s="1" t="s">
        <v>4144</v>
      </c>
      <c r="G1147" s="1" t="s">
        <v>4145</v>
      </c>
      <c r="H1147" s="1" t="s">
        <v>4146</v>
      </c>
      <c r="I1147" t="b">
        <f>COUNTIF(Estadísticas!I:I,'Centraldecomunicacion.es'!H1147)&gt;0</f>
        <v>1</v>
      </c>
    </row>
    <row r="1148" spans="1:9">
      <c r="A1148" s="1" t="s">
        <v>4147</v>
      </c>
      <c r="B1148" s="1" t="s">
        <v>10</v>
      </c>
      <c r="C1148" s="1" t="s">
        <v>4148</v>
      </c>
      <c r="D1148" s="1" t="s">
        <v>4149</v>
      </c>
      <c r="E1148" s="1" t="s">
        <v>4150</v>
      </c>
      <c r="F1148" s="1" t="s">
        <v>23</v>
      </c>
      <c r="G1148" s="1" t="s">
        <v>4151</v>
      </c>
      <c r="H1148" s="1" t="s">
        <v>15</v>
      </c>
      <c r="I1148" t="b">
        <f>COUNTIF(Estadísticas!I:I,'Centraldecomunicacion.es'!H1148)&gt;0</f>
        <v>0</v>
      </c>
    </row>
    <row r="1149" spans="1:9">
      <c r="A1149" s="1" t="s">
        <v>4152</v>
      </c>
      <c r="B1149" s="1" t="s">
        <v>10</v>
      </c>
      <c r="C1149" s="1" t="s">
        <v>4153</v>
      </c>
      <c r="D1149" s="1" t="s">
        <v>4154</v>
      </c>
      <c r="E1149" s="1" t="s">
        <v>3745</v>
      </c>
      <c r="F1149" s="1" t="s">
        <v>56</v>
      </c>
      <c r="G1149" s="1" t="s">
        <v>4155</v>
      </c>
      <c r="H1149" s="1" t="s">
        <v>15</v>
      </c>
      <c r="I1149" t="b">
        <f>COUNTIF(Estadísticas!I:I,'Centraldecomunicacion.es'!H1149)&gt;0</f>
        <v>0</v>
      </c>
    </row>
    <row r="1150" spans="1:9">
      <c r="A1150" s="1" t="s">
        <v>4156</v>
      </c>
      <c r="B1150" s="1" t="s">
        <v>10</v>
      </c>
      <c r="C1150" s="1" t="s">
        <v>4157</v>
      </c>
      <c r="D1150" s="1" t="s">
        <v>4150</v>
      </c>
      <c r="E1150" s="1" t="s">
        <v>4150</v>
      </c>
      <c r="F1150" s="1" t="s">
        <v>23</v>
      </c>
      <c r="G1150" s="1" t="s">
        <v>4158</v>
      </c>
      <c r="H1150" s="1" t="s">
        <v>15</v>
      </c>
      <c r="I1150" t="b">
        <f>COUNTIF(Estadísticas!I:I,'Centraldecomunicacion.es'!H1150)&gt;0</f>
        <v>0</v>
      </c>
    </row>
    <row r="1151" spans="1:9">
      <c r="A1151" s="1" t="s">
        <v>4159</v>
      </c>
      <c r="B1151" s="1" t="s">
        <v>10</v>
      </c>
      <c r="C1151" s="1" t="s">
        <v>4160</v>
      </c>
      <c r="D1151" s="1" t="s">
        <v>4150</v>
      </c>
      <c r="E1151" s="1" t="s">
        <v>4150</v>
      </c>
      <c r="F1151" s="1" t="s">
        <v>4161</v>
      </c>
      <c r="G1151" s="1" t="s">
        <v>4162</v>
      </c>
      <c r="H1151" s="1" t="s">
        <v>4163</v>
      </c>
      <c r="I1151" t="b">
        <f>COUNTIF(Estadísticas!I:I,'Centraldecomunicacion.es'!H1151)&gt;0</f>
        <v>0</v>
      </c>
    </row>
    <row r="1152" spans="1:9">
      <c r="A1152" s="1" t="s">
        <v>4164</v>
      </c>
      <c r="B1152" s="1" t="s">
        <v>10</v>
      </c>
      <c r="C1152" s="1" t="s">
        <v>4165</v>
      </c>
      <c r="D1152" s="1" t="s">
        <v>4166</v>
      </c>
      <c r="E1152" s="1" t="s">
        <v>4150</v>
      </c>
      <c r="F1152" s="1" t="s">
        <v>23</v>
      </c>
      <c r="G1152" s="1" t="s">
        <v>4167</v>
      </c>
      <c r="H1152" s="1" t="s">
        <v>15</v>
      </c>
      <c r="I1152" t="b">
        <f>COUNTIF(Estadísticas!I:I,'Centraldecomunicacion.es'!H1152)&gt;0</f>
        <v>0</v>
      </c>
    </row>
    <row r="1153" spans="1:9">
      <c r="A1153" s="1" t="s">
        <v>4168</v>
      </c>
      <c r="B1153" s="1" t="s">
        <v>10</v>
      </c>
      <c r="C1153" s="1" t="s">
        <v>4169</v>
      </c>
      <c r="D1153" s="1" t="s">
        <v>4170</v>
      </c>
      <c r="E1153" s="1" t="s">
        <v>4150</v>
      </c>
      <c r="F1153" s="1" t="s">
        <v>4171</v>
      </c>
      <c r="G1153" s="1" t="s">
        <v>4172</v>
      </c>
      <c r="H1153" s="1" t="s">
        <v>1091</v>
      </c>
      <c r="I1153" t="b">
        <f>COUNTIF(Estadísticas!I:I,'Centraldecomunicacion.es'!H1153)&gt;0</f>
        <v>0</v>
      </c>
    </row>
    <row r="1154" spans="1:9">
      <c r="A1154" s="1" t="s">
        <v>4173</v>
      </c>
      <c r="B1154" s="1" t="s">
        <v>10</v>
      </c>
      <c r="C1154" s="1" t="s">
        <v>4174</v>
      </c>
      <c r="D1154" s="1" t="s">
        <v>4175</v>
      </c>
      <c r="E1154" s="1" t="s">
        <v>1631</v>
      </c>
      <c r="F1154" s="1" t="s">
        <v>23</v>
      </c>
      <c r="G1154" s="1" t="s">
        <v>4176</v>
      </c>
      <c r="H1154" s="1" t="s">
        <v>15</v>
      </c>
      <c r="I1154" t="b">
        <f>COUNTIF(Estadísticas!I:I,'Centraldecomunicacion.es'!H1154)&gt;0</f>
        <v>0</v>
      </c>
    </row>
    <row r="1155" spans="1:9">
      <c r="A1155" s="1" t="s">
        <v>4177</v>
      </c>
      <c r="B1155" s="1" t="s">
        <v>10</v>
      </c>
      <c r="C1155" s="1" t="s">
        <v>4178</v>
      </c>
      <c r="D1155" s="1" t="s">
        <v>693</v>
      </c>
      <c r="E1155" s="1" t="s">
        <v>693</v>
      </c>
      <c r="F1155" s="1" t="s">
        <v>4179</v>
      </c>
      <c r="G1155" s="1" t="s">
        <v>4180</v>
      </c>
      <c r="H1155" s="1" t="s">
        <v>15</v>
      </c>
      <c r="I1155" t="b">
        <f>COUNTIF(Estadísticas!I:I,'Centraldecomunicacion.es'!H1155)&gt;0</f>
        <v>0</v>
      </c>
    </row>
    <row r="1156" spans="1:9">
      <c r="A1156" s="1" t="s">
        <v>4181</v>
      </c>
      <c r="B1156" s="1" t="s">
        <v>10</v>
      </c>
      <c r="C1156" s="1" t="s">
        <v>4182</v>
      </c>
      <c r="D1156" s="1" t="s">
        <v>693</v>
      </c>
      <c r="E1156" s="1" t="s">
        <v>693</v>
      </c>
      <c r="F1156" s="1" t="s">
        <v>23</v>
      </c>
      <c r="G1156" s="1" t="s">
        <v>4183</v>
      </c>
      <c r="H1156" s="1" t="s">
        <v>15</v>
      </c>
      <c r="I1156" t="b">
        <f>COUNTIF(Estadísticas!I:I,'Centraldecomunicacion.es'!H1156)&gt;0</f>
        <v>0</v>
      </c>
    </row>
    <row r="1157" spans="1:9">
      <c r="A1157" s="1" t="s">
        <v>4184</v>
      </c>
      <c r="B1157" s="1" t="s">
        <v>10</v>
      </c>
      <c r="C1157" s="1" t="s">
        <v>4185</v>
      </c>
      <c r="D1157" s="1" t="s">
        <v>3844</v>
      </c>
      <c r="E1157" s="1" t="s">
        <v>3845</v>
      </c>
      <c r="F1157" s="1" t="s">
        <v>23</v>
      </c>
      <c r="G1157" s="1" t="s">
        <v>4186</v>
      </c>
      <c r="H1157" s="1" t="s">
        <v>15</v>
      </c>
      <c r="I1157" t="b">
        <f>COUNTIF(Estadísticas!I:I,'Centraldecomunicacion.es'!H1157)&gt;0</f>
        <v>0</v>
      </c>
    </row>
    <row r="1158" spans="1:9">
      <c r="A1158" s="1" t="s">
        <v>257</v>
      </c>
      <c r="B1158" s="1" t="s">
        <v>10</v>
      </c>
      <c r="C1158" s="1" t="s">
        <v>4187</v>
      </c>
      <c r="D1158" s="1" t="s">
        <v>3745</v>
      </c>
      <c r="E1158" s="1" t="s">
        <v>3745</v>
      </c>
      <c r="F1158" s="1" t="s">
        <v>81</v>
      </c>
      <c r="G1158" s="1" t="s">
        <v>4188</v>
      </c>
      <c r="H1158" s="1" t="s">
        <v>83</v>
      </c>
      <c r="I1158" t="b">
        <f>COUNTIF(Estadísticas!I:I,'Centraldecomunicacion.es'!H1158)&gt;0</f>
        <v>0</v>
      </c>
    </row>
    <row r="1159" spans="1:9">
      <c r="A1159" s="1" t="s">
        <v>4189</v>
      </c>
      <c r="B1159" s="1" t="s">
        <v>10</v>
      </c>
      <c r="C1159" s="1" t="s">
        <v>4190</v>
      </c>
      <c r="D1159" s="1" t="s">
        <v>3745</v>
      </c>
      <c r="E1159" s="1" t="s">
        <v>3745</v>
      </c>
      <c r="F1159" s="1" t="s">
        <v>23</v>
      </c>
      <c r="G1159" s="1" t="s">
        <v>4191</v>
      </c>
      <c r="H1159" s="1" t="s">
        <v>15</v>
      </c>
      <c r="I1159" t="b">
        <f>COUNTIF(Estadísticas!I:I,'Centraldecomunicacion.es'!H1159)&gt;0</f>
        <v>0</v>
      </c>
    </row>
    <row r="1160" spans="1:9">
      <c r="A1160" s="1" t="s">
        <v>4192</v>
      </c>
      <c r="B1160" s="1" t="s">
        <v>10</v>
      </c>
      <c r="C1160" s="1" t="s">
        <v>4193</v>
      </c>
      <c r="D1160" s="1" t="s">
        <v>3745</v>
      </c>
      <c r="E1160" s="1" t="s">
        <v>3745</v>
      </c>
      <c r="F1160" s="1" t="s">
        <v>23</v>
      </c>
      <c r="G1160" s="1" t="s">
        <v>4194</v>
      </c>
      <c r="H1160" s="1" t="s">
        <v>15</v>
      </c>
      <c r="I1160" t="b">
        <f>COUNTIF(Estadísticas!I:I,'Centraldecomunicacion.es'!H1160)&gt;0</f>
        <v>0</v>
      </c>
    </row>
    <row r="1161" spans="1:9">
      <c r="A1161" s="1" t="s">
        <v>4195</v>
      </c>
      <c r="B1161" s="1" t="s">
        <v>10</v>
      </c>
      <c r="C1161" s="1" t="s">
        <v>4196</v>
      </c>
      <c r="D1161" s="1" t="s">
        <v>3745</v>
      </c>
      <c r="E1161" s="1" t="s">
        <v>3745</v>
      </c>
      <c r="F1161" s="1" t="s">
        <v>23</v>
      </c>
      <c r="G1161" s="1" t="s">
        <v>4197</v>
      </c>
      <c r="H1161" s="1" t="s">
        <v>15</v>
      </c>
      <c r="I1161" t="b">
        <f>COUNTIF(Estadísticas!I:I,'Centraldecomunicacion.es'!H1161)&gt;0</f>
        <v>0</v>
      </c>
    </row>
    <row r="1162" spans="1:9">
      <c r="A1162" s="1" t="s">
        <v>4198</v>
      </c>
      <c r="B1162" s="1" t="s">
        <v>10</v>
      </c>
      <c r="C1162" s="1" t="s">
        <v>4199</v>
      </c>
      <c r="D1162" s="1" t="s">
        <v>3745</v>
      </c>
      <c r="E1162" s="1" t="s">
        <v>3745</v>
      </c>
      <c r="F1162" s="1" t="s">
        <v>4200</v>
      </c>
      <c r="G1162" s="1" t="s">
        <v>4201</v>
      </c>
      <c r="H1162" s="1" t="s">
        <v>15</v>
      </c>
      <c r="I1162" t="b">
        <f>COUNTIF(Estadísticas!I:I,'Centraldecomunicacion.es'!H1162)&gt;0</f>
        <v>0</v>
      </c>
    </row>
    <row r="1163" spans="1:9">
      <c r="A1163" s="1" t="s">
        <v>4202</v>
      </c>
      <c r="B1163" s="1" t="s">
        <v>10</v>
      </c>
      <c r="C1163" s="1" t="s">
        <v>4203</v>
      </c>
      <c r="D1163" s="1" t="s">
        <v>3745</v>
      </c>
      <c r="E1163" s="1" t="s">
        <v>3745</v>
      </c>
      <c r="F1163" s="1" t="s">
        <v>4204</v>
      </c>
      <c r="G1163" s="1" t="s">
        <v>4205</v>
      </c>
      <c r="H1163" s="1" t="s">
        <v>4206</v>
      </c>
      <c r="I1163" t="b">
        <f>COUNTIF(Estadísticas!I:I,'Centraldecomunicacion.es'!H1163)&gt;0</f>
        <v>0</v>
      </c>
    </row>
    <row r="1164" spans="1:9">
      <c r="A1164" s="1" t="s">
        <v>4207</v>
      </c>
      <c r="B1164" s="1" t="s">
        <v>10</v>
      </c>
      <c r="C1164" s="1" t="s">
        <v>4208</v>
      </c>
      <c r="D1164" s="1" t="s">
        <v>3745</v>
      </c>
      <c r="E1164" s="1" t="s">
        <v>3745</v>
      </c>
      <c r="F1164" s="1" t="s">
        <v>23</v>
      </c>
      <c r="G1164" s="1" t="s">
        <v>4209</v>
      </c>
      <c r="H1164" s="1" t="s">
        <v>15</v>
      </c>
      <c r="I1164" t="b">
        <f>COUNTIF(Estadísticas!I:I,'Centraldecomunicacion.es'!H1164)&gt;0</f>
        <v>0</v>
      </c>
    </row>
    <row r="1165" spans="1:9">
      <c r="A1165" s="1" t="s">
        <v>4210</v>
      </c>
      <c r="B1165" s="1" t="s">
        <v>10</v>
      </c>
      <c r="C1165" s="1" t="s">
        <v>4211</v>
      </c>
      <c r="D1165" s="1" t="s">
        <v>3745</v>
      </c>
      <c r="E1165" s="1" t="s">
        <v>3745</v>
      </c>
      <c r="F1165" s="1" t="s">
        <v>23</v>
      </c>
      <c r="G1165" s="1" t="s">
        <v>4212</v>
      </c>
      <c r="H1165" s="1" t="s">
        <v>15</v>
      </c>
      <c r="I1165" t="b">
        <f>COUNTIF(Estadísticas!I:I,'Centraldecomunicacion.es'!H1165)&gt;0</f>
        <v>0</v>
      </c>
    </row>
    <row r="1166" spans="1:9">
      <c r="A1166" s="1" t="s">
        <v>4213</v>
      </c>
      <c r="B1166" s="1" t="s">
        <v>10</v>
      </c>
      <c r="C1166" s="1" t="s">
        <v>4214</v>
      </c>
      <c r="D1166" s="1" t="s">
        <v>3745</v>
      </c>
      <c r="E1166" s="1" t="s">
        <v>3745</v>
      </c>
      <c r="F1166" s="1" t="s">
        <v>4215</v>
      </c>
      <c r="G1166" s="1" t="s">
        <v>4216</v>
      </c>
      <c r="H1166" s="1" t="s">
        <v>4217</v>
      </c>
      <c r="I1166" t="b">
        <f>COUNTIF(Estadísticas!I:I,'Centraldecomunicacion.es'!H1166)&gt;0</f>
        <v>0</v>
      </c>
    </row>
    <row r="1167" spans="1:9">
      <c r="A1167" s="1" t="s">
        <v>4218</v>
      </c>
      <c r="B1167" s="1" t="s">
        <v>10</v>
      </c>
      <c r="C1167" s="1" t="s">
        <v>4219</v>
      </c>
      <c r="D1167" s="1" t="s">
        <v>3745</v>
      </c>
      <c r="E1167" s="1" t="s">
        <v>3745</v>
      </c>
      <c r="F1167" s="1" t="s">
        <v>4200</v>
      </c>
      <c r="G1167" s="1" t="s">
        <v>4220</v>
      </c>
      <c r="H1167" s="1" t="s">
        <v>1091</v>
      </c>
      <c r="I1167" t="b">
        <f>COUNTIF(Estadísticas!I:I,'Centraldecomunicacion.es'!H1167)&gt;0</f>
        <v>0</v>
      </c>
    </row>
    <row r="1168" spans="1:9">
      <c r="A1168" s="1" t="s">
        <v>257</v>
      </c>
      <c r="B1168" s="1" t="s">
        <v>10</v>
      </c>
      <c r="C1168" s="1" t="s">
        <v>4221</v>
      </c>
      <c r="D1168" s="1" t="s">
        <v>3745</v>
      </c>
      <c r="E1168" s="1" t="s">
        <v>3745</v>
      </c>
      <c r="F1168" s="1" t="s">
        <v>81</v>
      </c>
      <c r="G1168" s="1" t="s">
        <v>4222</v>
      </c>
      <c r="H1168" s="1" t="s">
        <v>83</v>
      </c>
      <c r="I1168" t="b">
        <f>COUNTIF(Estadísticas!I:I,'Centraldecomunicacion.es'!H1168)&gt;0</f>
        <v>0</v>
      </c>
    </row>
    <row r="1169" spans="1:9">
      <c r="A1169" s="1" t="s">
        <v>4223</v>
      </c>
      <c r="B1169" s="1" t="s">
        <v>10</v>
      </c>
      <c r="C1169" s="1" t="s">
        <v>4224</v>
      </c>
      <c r="D1169" s="1" t="s">
        <v>3745</v>
      </c>
      <c r="E1169" s="1" t="s">
        <v>3745</v>
      </c>
      <c r="F1169" s="1" t="s">
        <v>23</v>
      </c>
      <c r="G1169" s="1" t="s">
        <v>4225</v>
      </c>
      <c r="H1169" s="1" t="s">
        <v>15</v>
      </c>
      <c r="I1169" t="b">
        <f>COUNTIF(Estadísticas!I:I,'Centraldecomunicacion.es'!H1169)&gt;0</f>
        <v>0</v>
      </c>
    </row>
    <row r="1170" spans="1:9">
      <c r="A1170" s="1" t="s">
        <v>4226</v>
      </c>
      <c r="B1170" s="1" t="s">
        <v>10</v>
      </c>
      <c r="C1170" s="1" t="s">
        <v>4227</v>
      </c>
      <c r="D1170" s="1" t="s">
        <v>3745</v>
      </c>
      <c r="E1170" s="1" t="s">
        <v>3745</v>
      </c>
      <c r="F1170" s="1" t="s">
        <v>23</v>
      </c>
      <c r="G1170" s="1" t="s">
        <v>4228</v>
      </c>
      <c r="H1170" s="1" t="s">
        <v>15</v>
      </c>
      <c r="I1170" t="b">
        <f>COUNTIF(Estadísticas!I:I,'Centraldecomunicacion.es'!H1170)&gt;0</f>
        <v>0</v>
      </c>
    </row>
    <row r="1171" spans="1:9">
      <c r="A1171" s="1" t="s">
        <v>4229</v>
      </c>
      <c r="B1171" s="1" t="s">
        <v>10</v>
      </c>
      <c r="C1171" s="1" t="s">
        <v>4230</v>
      </c>
      <c r="D1171" s="1" t="s">
        <v>3745</v>
      </c>
      <c r="E1171" s="1" t="s">
        <v>3745</v>
      </c>
      <c r="F1171" s="1" t="s">
        <v>23</v>
      </c>
      <c r="G1171" s="1" t="s">
        <v>4231</v>
      </c>
      <c r="H1171" s="1" t="s">
        <v>15</v>
      </c>
      <c r="I1171" t="b">
        <f>COUNTIF(Estadísticas!I:I,'Centraldecomunicacion.es'!H1171)&gt;0</f>
        <v>0</v>
      </c>
    </row>
    <row r="1172" spans="1:9">
      <c r="A1172" s="1" t="s">
        <v>2044</v>
      </c>
      <c r="B1172" s="1" t="s">
        <v>10</v>
      </c>
      <c r="C1172" s="1" t="s">
        <v>4232</v>
      </c>
      <c r="D1172" s="1" t="s">
        <v>3745</v>
      </c>
      <c r="E1172" s="1" t="s">
        <v>3745</v>
      </c>
      <c r="F1172" s="1" t="s">
        <v>23</v>
      </c>
      <c r="G1172" s="1" t="s">
        <v>4233</v>
      </c>
      <c r="H1172" s="1" t="s">
        <v>15</v>
      </c>
      <c r="I1172" t="b">
        <f>COUNTIF(Estadísticas!I:I,'Centraldecomunicacion.es'!H1172)&gt;0</f>
        <v>0</v>
      </c>
    </row>
    <row r="1173" spans="1:9">
      <c r="A1173" s="1" t="s">
        <v>1845</v>
      </c>
      <c r="B1173" s="1" t="s">
        <v>10</v>
      </c>
      <c r="C1173" s="1" t="s">
        <v>4234</v>
      </c>
      <c r="D1173" s="1" t="s">
        <v>3745</v>
      </c>
      <c r="E1173" s="1" t="s">
        <v>3745</v>
      </c>
      <c r="F1173" s="1" t="s">
        <v>23</v>
      </c>
      <c r="G1173" s="1" t="s">
        <v>4235</v>
      </c>
      <c r="H1173" s="1" t="s">
        <v>15</v>
      </c>
      <c r="I1173" t="b">
        <f>COUNTIF(Estadísticas!I:I,'Centraldecomunicacion.es'!H1173)&gt;0</f>
        <v>0</v>
      </c>
    </row>
    <row r="1174" spans="1:9">
      <c r="A1174" s="1" t="s">
        <v>321</v>
      </c>
      <c r="B1174" s="1" t="s">
        <v>10</v>
      </c>
      <c r="C1174" s="1" t="s">
        <v>4236</v>
      </c>
      <c r="D1174" s="1" t="s">
        <v>3745</v>
      </c>
      <c r="E1174" s="1" t="s">
        <v>3745</v>
      </c>
      <c r="F1174" s="1" t="s">
        <v>323</v>
      </c>
      <c r="G1174" s="1" t="s">
        <v>4237</v>
      </c>
      <c r="H1174" s="1" t="s">
        <v>325</v>
      </c>
      <c r="I1174" t="b">
        <f>COUNTIF(Estadísticas!I:I,'Centraldecomunicacion.es'!H1174)&gt;0</f>
        <v>0</v>
      </c>
    </row>
    <row r="1175" spans="1:9">
      <c r="A1175" s="1" t="s">
        <v>4238</v>
      </c>
      <c r="B1175" s="1" t="s">
        <v>10</v>
      </c>
      <c r="C1175" s="1" t="s">
        <v>4221</v>
      </c>
      <c r="D1175" s="1" t="s">
        <v>3745</v>
      </c>
      <c r="E1175" s="1" t="s">
        <v>3745</v>
      </c>
      <c r="F1175" s="1" t="s">
        <v>23</v>
      </c>
      <c r="G1175" s="1" t="s">
        <v>23</v>
      </c>
      <c r="H1175" s="1" t="s">
        <v>15</v>
      </c>
      <c r="I1175" t="b">
        <f>COUNTIF(Estadísticas!I:I,'Centraldecomunicacion.es'!H1175)&gt;0</f>
        <v>0</v>
      </c>
    </row>
    <row r="1176" spans="1:9">
      <c r="A1176" s="1" t="s">
        <v>4239</v>
      </c>
      <c r="B1176" s="1" t="s">
        <v>10</v>
      </c>
      <c r="C1176" s="1" t="s">
        <v>4240</v>
      </c>
      <c r="D1176" s="1" t="s">
        <v>4241</v>
      </c>
      <c r="E1176" s="1" t="s">
        <v>3745</v>
      </c>
      <c r="F1176" s="1" t="s">
        <v>4242</v>
      </c>
      <c r="G1176" s="1" t="s">
        <v>4243</v>
      </c>
      <c r="H1176" s="1" t="s">
        <v>4244</v>
      </c>
      <c r="I1176" t="b">
        <f>COUNTIF(Estadísticas!I:I,'Centraldecomunicacion.es'!H1176)&gt;0</f>
        <v>0</v>
      </c>
    </row>
    <row r="1177" spans="1:9">
      <c r="A1177" s="1" t="s">
        <v>4245</v>
      </c>
      <c r="B1177" s="1" t="s">
        <v>10</v>
      </c>
      <c r="C1177" s="1" t="s">
        <v>4246</v>
      </c>
      <c r="D1177" s="1" t="s">
        <v>3745</v>
      </c>
      <c r="E1177" s="1" t="s">
        <v>3745</v>
      </c>
      <c r="F1177" s="1" t="s">
        <v>23</v>
      </c>
      <c r="G1177" s="1" t="s">
        <v>4247</v>
      </c>
      <c r="H1177" s="1" t="s">
        <v>15</v>
      </c>
      <c r="I1177" t="b">
        <f>COUNTIF(Estadísticas!I:I,'Centraldecomunicacion.es'!H1177)&gt;0</f>
        <v>0</v>
      </c>
    </row>
    <row r="1178" spans="1:9">
      <c r="A1178" s="1" t="s">
        <v>4248</v>
      </c>
      <c r="B1178" s="1" t="s">
        <v>10</v>
      </c>
      <c r="C1178" s="1" t="s">
        <v>4249</v>
      </c>
      <c r="D1178" s="1" t="s">
        <v>3745</v>
      </c>
      <c r="E1178" s="1" t="s">
        <v>3745</v>
      </c>
      <c r="F1178" s="1" t="s">
        <v>4250</v>
      </c>
      <c r="G1178" s="1" t="s">
        <v>4251</v>
      </c>
      <c r="H1178" s="1" t="s">
        <v>4252</v>
      </c>
      <c r="I1178" t="b">
        <f>COUNTIF(Estadísticas!I:I,'Centraldecomunicacion.es'!H1178)&gt;0</f>
        <v>1</v>
      </c>
    </row>
    <row r="1179" spans="1:9">
      <c r="A1179" s="1" t="s">
        <v>10</v>
      </c>
      <c r="B1179" s="1" t="s">
        <v>10</v>
      </c>
      <c r="C1179" s="1" t="s">
        <v>4253</v>
      </c>
      <c r="D1179" s="1" t="s">
        <v>4254</v>
      </c>
      <c r="E1179" s="1" t="s">
        <v>3745</v>
      </c>
      <c r="F1179" s="1" t="s">
        <v>23</v>
      </c>
      <c r="G1179" s="1" t="s">
        <v>23</v>
      </c>
      <c r="H1179" s="1" t="s">
        <v>15</v>
      </c>
      <c r="I1179" t="b">
        <f>COUNTIF(Estadísticas!I:I,'Centraldecomunicacion.es'!H1179)&gt;0</f>
        <v>0</v>
      </c>
    </row>
    <row r="1180" spans="1:9">
      <c r="A1180" s="1" t="s">
        <v>4255</v>
      </c>
      <c r="B1180" s="1" t="s">
        <v>10</v>
      </c>
      <c r="C1180" s="1" t="s">
        <v>4256</v>
      </c>
      <c r="D1180" s="1" t="s">
        <v>3745</v>
      </c>
      <c r="E1180" s="1" t="s">
        <v>3745</v>
      </c>
      <c r="F1180" s="1" t="s">
        <v>4257</v>
      </c>
      <c r="G1180" s="1" t="s">
        <v>4258</v>
      </c>
      <c r="H1180" s="1" t="s">
        <v>15</v>
      </c>
      <c r="I1180" t="b">
        <f>COUNTIF(Estadísticas!I:I,'Centraldecomunicacion.es'!H1180)&gt;0</f>
        <v>0</v>
      </c>
    </row>
    <row r="1181" spans="1:9">
      <c r="A1181" s="1" t="s">
        <v>4259</v>
      </c>
      <c r="B1181" s="1" t="s">
        <v>10</v>
      </c>
      <c r="C1181" s="1" t="s">
        <v>4260</v>
      </c>
      <c r="D1181" s="1" t="s">
        <v>4254</v>
      </c>
      <c r="E1181" s="1" t="s">
        <v>3745</v>
      </c>
      <c r="F1181" s="1" t="s">
        <v>23</v>
      </c>
      <c r="G1181" s="1" t="s">
        <v>4261</v>
      </c>
      <c r="H1181" s="1" t="s">
        <v>15</v>
      </c>
      <c r="I1181" t="b">
        <f>COUNTIF(Estadísticas!I:I,'Centraldecomunicacion.es'!H1181)&gt;0</f>
        <v>0</v>
      </c>
    </row>
    <row r="1182" spans="1:9">
      <c r="A1182" s="1" t="s">
        <v>4262</v>
      </c>
      <c r="B1182" s="1" t="s">
        <v>10</v>
      </c>
      <c r="C1182" s="1" t="s">
        <v>4263</v>
      </c>
      <c r="D1182" s="1" t="s">
        <v>3745</v>
      </c>
      <c r="E1182" s="1" t="s">
        <v>3745</v>
      </c>
      <c r="F1182" s="1" t="s">
        <v>1286</v>
      </c>
      <c r="G1182" s="1" t="s">
        <v>4264</v>
      </c>
      <c r="H1182" s="1" t="s">
        <v>1288</v>
      </c>
      <c r="I1182" t="b">
        <f>COUNTIF(Estadísticas!I:I,'Centraldecomunicacion.es'!H1182)&gt;0</f>
        <v>0</v>
      </c>
    </row>
    <row r="1183" spans="1:9">
      <c r="A1183" s="1" t="s">
        <v>4265</v>
      </c>
      <c r="B1183" s="1" t="s">
        <v>10</v>
      </c>
      <c r="C1183" s="1" t="s">
        <v>4266</v>
      </c>
      <c r="D1183" s="1" t="s">
        <v>3745</v>
      </c>
      <c r="E1183" s="1" t="s">
        <v>3745</v>
      </c>
      <c r="F1183" s="1" t="s">
        <v>23</v>
      </c>
      <c r="G1183" s="1" t="s">
        <v>4267</v>
      </c>
      <c r="H1183" s="1" t="s">
        <v>15</v>
      </c>
      <c r="I1183" t="b">
        <f>COUNTIF(Estadísticas!I:I,'Centraldecomunicacion.es'!H1183)&gt;0</f>
        <v>0</v>
      </c>
    </row>
    <row r="1184" spans="1:9">
      <c r="A1184" s="1" t="s">
        <v>4268</v>
      </c>
      <c r="B1184" s="1" t="s">
        <v>10</v>
      </c>
      <c r="C1184" s="1" t="s">
        <v>4269</v>
      </c>
      <c r="D1184" s="1" t="s">
        <v>4154</v>
      </c>
      <c r="E1184" s="1" t="s">
        <v>3745</v>
      </c>
      <c r="F1184" s="1" t="s">
        <v>23</v>
      </c>
      <c r="G1184" s="1" t="s">
        <v>4270</v>
      </c>
      <c r="H1184" s="1" t="s">
        <v>15</v>
      </c>
      <c r="I1184" t="b">
        <f>COUNTIF(Estadísticas!I:I,'Centraldecomunicacion.es'!H1184)&gt;0</f>
        <v>0</v>
      </c>
    </row>
    <row r="1185" spans="1:9">
      <c r="A1185" s="1" t="s">
        <v>4271</v>
      </c>
      <c r="B1185" s="1" t="s">
        <v>10</v>
      </c>
      <c r="C1185" s="1" t="s">
        <v>4272</v>
      </c>
      <c r="D1185" s="1" t="s">
        <v>4154</v>
      </c>
      <c r="E1185" s="1" t="s">
        <v>3745</v>
      </c>
      <c r="F1185" s="1" t="s">
        <v>23</v>
      </c>
      <c r="G1185" s="1" t="s">
        <v>4273</v>
      </c>
      <c r="H1185" s="1" t="s">
        <v>15</v>
      </c>
      <c r="I1185" t="b">
        <f>COUNTIF(Estadísticas!I:I,'Centraldecomunicacion.es'!H1185)&gt;0</f>
        <v>0</v>
      </c>
    </row>
    <row r="1186" spans="1:9">
      <c r="A1186" s="1" t="s">
        <v>4274</v>
      </c>
      <c r="B1186" s="1" t="s">
        <v>10</v>
      </c>
      <c r="C1186" s="1" t="s">
        <v>4272</v>
      </c>
      <c r="D1186" s="1" t="s">
        <v>4154</v>
      </c>
      <c r="E1186" s="1" t="s">
        <v>3745</v>
      </c>
      <c r="F1186" s="1" t="s">
        <v>4275</v>
      </c>
      <c r="G1186" s="1" t="s">
        <v>4276</v>
      </c>
      <c r="H1186" s="1" t="s">
        <v>4277</v>
      </c>
      <c r="I1186" t="b">
        <f>COUNTIF(Estadísticas!I:I,'Centraldecomunicacion.es'!H1186)&gt;0</f>
        <v>0</v>
      </c>
    </row>
    <row r="1187" spans="1:9">
      <c r="A1187" s="1" t="s">
        <v>4278</v>
      </c>
      <c r="B1187" s="1" t="s">
        <v>10</v>
      </c>
      <c r="C1187" s="1" t="s">
        <v>4279</v>
      </c>
      <c r="D1187" s="1" t="s">
        <v>4154</v>
      </c>
      <c r="E1187" s="1" t="s">
        <v>3745</v>
      </c>
      <c r="F1187" s="1" t="s">
        <v>390</v>
      </c>
      <c r="G1187" s="1" t="s">
        <v>4280</v>
      </c>
      <c r="H1187" s="1" t="s">
        <v>15</v>
      </c>
      <c r="I1187" t="b">
        <f>COUNTIF(Estadísticas!I:I,'Centraldecomunicacion.es'!H1187)&gt;0</f>
        <v>0</v>
      </c>
    </row>
    <row r="1188" spans="1:9">
      <c r="A1188" s="1" t="s">
        <v>4281</v>
      </c>
      <c r="B1188" s="1" t="s">
        <v>10</v>
      </c>
      <c r="C1188" s="1" t="s">
        <v>4282</v>
      </c>
      <c r="D1188" s="1" t="s">
        <v>4283</v>
      </c>
      <c r="E1188" s="1" t="s">
        <v>3745</v>
      </c>
      <c r="F1188" s="1" t="s">
        <v>23</v>
      </c>
      <c r="G1188" s="1" t="s">
        <v>4284</v>
      </c>
      <c r="H1188" s="1" t="s">
        <v>15</v>
      </c>
      <c r="I1188" t="b">
        <f>COUNTIF(Estadísticas!I:I,'Centraldecomunicacion.es'!H1188)&gt;0</f>
        <v>0</v>
      </c>
    </row>
    <row r="1189" spans="1:9">
      <c r="A1189" s="1" t="s">
        <v>4285</v>
      </c>
      <c r="B1189" s="1" t="s">
        <v>10</v>
      </c>
      <c r="C1189" s="1" t="s">
        <v>4286</v>
      </c>
      <c r="D1189" s="1" t="s">
        <v>4287</v>
      </c>
      <c r="E1189" s="1" t="s">
        <v>3745</v>
      </c>
      <c r="F1189" s="1" t="s">
        <v>23</v>
      </c>
      <c r="G1189" s="1" t="s">
        <v>23</v>
      </c>
      <c r="H1189" s="1" t="s">
        <v>15</v>
      </c>
      <c r="I1189" t="b">
        <f>COUNTIF(Estadísticas!I:I,'Centraldecomunicacion.es'!H1189)&gt;0</f>
        <v>0</v>
      </c>
    </row>
    <row r="1190" spans="1:9">
      <c r="A1190" s="1" t="s">
        <v>4288</v>
      </c>
      <c r="B1190" s="1" t="s">
        <v>10</v>
      </c>
      <c r="C1190" s="1" t="s">
        <v>4289</v>
      </c>
      <c r="D1190" s="1" t="s">
        <v>4290</v>
      </c>
      <c r="E1190" s="1" t="s">
        <v>3745</v>
      </c>
      <c r="F1190" s="1" t="s">
        <v>23</v>
      </c>
      <c r="G1190" s="1" t="s">
        <v>4291</v>
      </c>
      <c r="H1190" s="1" t="s">
        <v>15</v>
      </c>
      <c r="I1190" t="b">
        <f>COUNTIF(Estadísticas!I:I,'Centraldecomunicacion.es'!H1190)&gt;0</f>
        <v>0</v>
      </c>
    </row>
    <row r="1191" spans="1:9">
      <c r="A1191" s="1" t="s">
        <v>4292</v>
      </c>
      <c r="B1191" s="1" t="s">
        <v>10</v>
      </c>
      <c r="C1191" s="1" t="s">
        <v>4293</v>
      </c>
      <c r="D1191" s="1" t="s">
        <v>4294</v>
      </c>
      <c r="E1191" s="1" t="s">
        <v>2002</v>
      </c>
      <c r="F1191" s="1" t="s">
        <v>23</v>
      </c>
      <c r="G1191" s="1" t="s">
        <v>4295</v>
      </c>
      <c r="H1191" s="1" t="s">
        <v>15</v>
      </c>
      <c r="I1191" t="b">
        <f>COUNTIF(Estadísticas!I:I,'Centraldecomunicacion.es'!H1191)&gt;0</f>
        <v>0</v>
      </c>
    </row>
    <row r="1192" spans="1:9">
      <c r="A1192" s="1" t="s">
        <v>4296</v>
      </c>
      <c r="B1192" s="1" t="s">
        <v>10</v>
      </c>
      <c r="C1192" s="1" t="s">
        <v>4297</v>
      </c>
      <c r="D1192" s="1" t="s">
        <v>1546</v>
      </c>
      <c r="E1192" s="1" t="s">
        <v>1546</v>
      </c>
      <c r="F1192" s="1" t="s">
        <v>1655</v>
      </c>
      <c r="G1192" s="1" t="s">
        <v>4298</v>
      </c>
      <c r="H1192" s="1" t="s">
        <v>1657</v>
      </c>
      <c r="I1192" t="b">
        <f>COUNTIF(Estadísticas!I:I,'Centraldecomunicacion.es'!H1192)&gt;0</f>
        <v>0</v>
      </c>
    </row>
    <row r="1193" spans="1:9">
      <c r="A1193" s="1" t="s">
        <v>4299</v>
      </c>
      <c r="B1193" s="1" t="s">
        <v>10</v>
      </c>
      <c r="C1193" s="1" t="s">
        <v>4300</v>
      </c>
      <c r="D1193" s="1" t="s">
        <v>4301</v>
      </c>
      <c r="E1193" s="1" t="s">
        <v>4301</v>
      </c>
      <c r="F1193" s="1" t="s">
        <v>4016</v>
      </c>
      <c r="G1193" s="1" t="s">
        <v>4302</v>
      </c>
      <c r="H1193" s="1" t="s">
        <v>15</v>
      </c>
      <c r="I1193" t="b">
        <f>COUNTIF(Estadísticas!I:I,'Centraldecomunicacion.es'!H1193)&gt;0</f>
        <v>0</v>
      </c>
    </row>
    <row r="1194" spans="1:9">
      <c r="A1194" s="1" t="s">
        <v>4303</v>
      </c>
      <c r="B1194" s="1" t="s">
        <v>10</v>
      </c>
      <c r="C1194" s="1" t="s">
        <v>4304</v>
      </c>
      <c r="D1194" s="1" t="s">
        <v>693</v>
      </c>
      <c r="E1194" s="1" t="s">
        <v>693</v>
      </c>
      <c r="F1194" s="1" t="s">
        <v>23</v>
      </c>
      <c r="G1194" s="1" t="s">
        <v>4305</v>
      </c>
      <c r="H1194" s="1" t="s">
        <v>15</v>
      </c>
      <c r="I1194" t="b">
        <f>COUNTIF(Estadísticas!I:I,'Centraldecomunicacion.es'!H1194)&gt;0</f>
        <v>0</v>
      </c>
    </row>
    <row r="1195" spans="1:9">
      <c r="A1195" s="1" t="s">
        <v>4306</v>
      </c>
      <c r="B1195" s="1" t="s">
        <v>10</v>
      </c>
      <c r="C1195" s="1" t="s">
        <v>4307</v>
      </c>
      <c r="D1195" s="1" t="s">
        <v>4308</v>
      </c>
      <c r="E1195" s="1" t="s">
        <v>693</v>
      </c>
      <c r="F1195" s="1" t="s">
        <v>23</v>
      </c>
      <c r="G1195" s="1" t="s">
        <v>4309</v>
      </c>
      <c r="H1195" s="1" t="s">
        <v>15</v>
      </c>
      <c r="I1195" t="b">
        <f>COUNTIF(Estadísticas!I:I,'Centraldecomunicacion.es'!H1195)&gt;0</f>
        <v>0</v>
      </c>
    </row>
    <row r="1196" spans="1:9">
      <c r="A1196" s="1" t="s">
        <v>4310</v>
      </c>
      <c r="B1196" s="1" t="s">
        <v>10</v>
      </c>
      <c r="C1196" s="1" t="s">
        <v>4311</v>
      </c>
      <c r="D1196" s="1" t="s">
        <v>4301</v>
      </c>
      <c r="E1196" s="1" t="s">
        <v>4301</v>
      </c>
      <c r="F1196" s="1" t="s">
        <v>4016</v>
      </c>
      <c r="G1196" s="1" t="s">
        <v>4312</v>
      </c>
      <c r="H1196" s="1" t="s">
        <v>15</v>
      </c>
      <c r="I1196" t="b">
        <f>COUNTIF(Estadísticas!I:I,'Centraldecomunicacion.es'!H1196)&gt;0</f>
        <v>0</v>
      </c>
    </row>
    <row r="1197" spans="1:9">
      <c r="A1197" s="1" t="s">
        <v>4313</v>
      </c>
      <c r="B1197" s="1" t="s">
        <v>10</v>
      </c>
      <c r="C1197" s="1" t="s">
        <v>4314</v>
      </c>
      <c r="D1197" s="1" t="s">
        <v>4301</v>
      </c>
      <c r="E1197" s="1" t="s">
        <v>4301</v>
      </c>
      <c r="F1197" s="1" t="s">
        <v>4315</v>
      </c>
      <c r="G1197" s="1" t="s">
        <v>4316</v>
      </c>
      <c r="H1197" s="1" t="s">
        <v>15</v>
      </c>
      <c r="I1197" t="b">
        <f>COUNTIF(Estadísticas!I:I,'Centraldecomunicacion.es'!H1197)&gt;0</f>
        <v>0</v>
      </c>
    </row>
    <row r="1198" spans="1:9">
      <c r="A1198" s="1" t="s">
        <v>4317</v>
      </c>
      <c r="B1198" s="1" t="s">
        <v>10</v>
      </c>
      <c r="C1198" s="1" t="s">
        <v>4318</v>
      </c>
      <c r="D1198" s="1" t="s">
        <v>4301</v>
      </c>
      <c r="E1198" s="1" t="s">
        <v>4301</v>
      </c>
      <c r="F1198" s="1" t="s">
        <v>4319</v>
      </c>
      <c r="G1198" s="1" t="s">
        <v>4320</v>
      </c>
      <c r="H1198" s="1" t="s">
        <v>15</v>
      </c>
      <c r="I1198" t="b">
        <f>COUNTIF(Estadísticas!I:I,'Centraldecomunicacion.es'!H1198)&gt;0</f>
        <v>0</v>
      </c>
    </row>
    <row r="1199" spans="1:9">
      <c r="A1199" s="1" t="s">
        <v>4313</v>
      </c>
      <c r="B1199" s="1" t="s">
        <v>10</v>
      </c>
      <c r="C1199" s="1" t="s">
        <v>4321</v>
      </c>
      <c r="D1199" s="1" t="s">
        <v>4301</v>
      </c>
      <c r="E1199" s="1" t="s">
        <v>4301</v>
      </c>
      <c r="F1199" s="1" t="s">
        <v>4315</v>
      </c>
      <c r="G1199" s="1" t="s">
        <v>4322</v>
      </c>
      <c r="H1199" s="1" t="s">
        <v>15</v>
      </c>
      <c r="I1199" t="b">
        <f>COUNTIF(Estadísticas!I:I,'Centraldecomunicacion.es'!H1199)&gt;0</f>
        <v>0</v>
      </c>
    </row>
    <row r="1200" spans="1:9">
      <c r="A1200" s="1" t="s">
        <v>4323</v>
      </c>
      <c r="B1200" s="1" t="s">
        <v>10</v>
      </c>
      <c r="C1200" s="1" t="s">
        <v>4324</v>
      </c>
      <c r="D1200" s="1" t="s">
        <v>4301</v>
      </c>
      <c r="E1200" s="1" t="s">
        <v>4301</v>
      </c>
      <c r="F1200" s="1" t="s">
        <v>23</v>
      </c>
      <c r="G1200" s="1" t="s">
        <v>4325</v>
      </c>
      <c r="H1200" s="1" t="s">
        <v>15</v>
      </c>
      <c r="I1200" t="b">
        <f>COUNTIF(Estadísticas!I:I,'Centraldecomunicacion.es'!H1200)&gt;0</f>
        <v>0</v>
      </c>
    </row>
    <row r="1201" spans="1:9">
      <c r="A1201" s="1" t="s">
        <v>4326</v>
      </c>
      <c r="B1201" s="1" t="s">
        <v>10</v>
      </c>
      <c r="C1201" s="1" t="s">
        <v>4327</v>
      </c>
      <c r="D1201" s="1" t="s">
        <v>4301</v>
      </c>
      <c r="E1201" s="1" t="s">
        <v>4301</v>
      </c>
      <c r="F1201" s="1" t="s">
        <v>23</v>
      </c>
      <c r="G1201" s="1" t="s">
        <v>4328</v>
      </c>
      <c r="H1201" s="1" t="s">
        <v>15</v>
      </c>
      <c r="I1201" t="b">
        <f>COUNTIF(Estadísticas!I:I,'Centraldecomunicacion.es'!H1201)&gt;0</f>
        <v>0</v>
      </c>
    </row>
    <row r="1202" spans="1:9">
      <c r="A1202" s="1" t="s">
        <v>4329</v>
      </c>
      <c r="B1202" s="1" t="s">
        <v>10</v>
      </c>
      <c r="C1202" s="1" t="s">
        <v>4330</v>
      </c>
      <c r="D1202" s="1" t="s">
        <v>4331</v>
      </c>
      <c r="E1202" s="1" t="s">
        <v>4301</v>
      </c>
      <c r="F1202" s="1" t="s">
        <v>4332</v>
      </c>
      <c r="G1202" s="1" t="s">
        <v>4333</v>
      </c>
      <c r="H1202" s="1" t="s">
        <v>15</v>
      </c>
      <c r="I1202" t="b">
        <f>COUNTIF(Estadísticas!I:I,'Centraldecomunicacion.es'!H1202)&gt;0</f>
        <v>0</v>
      </c>
    </row>
    <row r="1203" spans="1:9">
      <c r="A1203" s="1" t="s">
        <v>4334</v>
      </c>
      <c r="B1203" s="1" t="s">
        <v>10</v>
      </c>
      <c r="C1203" s="1" t="s">
        <v>4335</v>
      </c>
      <c r="D1203" s="1" t="s">
        <v>4336</v>
      </c>
      <c r="E1203" s="1" t="s">
        <v>4301</v>
      </c>
      <c r="F1203" s="1" t="s">
        <v>23</v>
      </c>
      <c r="G1203" s="1" t="s">
        <v>4337</v>
      </c>
      <c r="H1203" s="1" t="s">
        <v>15</v>
      </c>
      <c r="I1203" t="b">
        <f>COUNTIF(Estadísticas!I:I,'Centraldecomunicacion.es'!H1203)&gt;0</f>
        <v>0</v>
      </c>
    </row>
    <row r="1204" spans="1:9">
      <c r="A1204" s="1" t="s">
        <v>4338</v>
      </c>
      <c r="B1204" s="1" t="s">
        <v>10</v>
      </c>
      <c r="C1204" s="1" t="s">
        <v>4339</v>
      </c>
      <c r="D1204" s="1" t="s">
        <v>4340</v>
      </c>
      <c r="E1204" s="1" t="s">
        <v>1995</v>
      </c>
      <c r="F1204" s="1" t="s">
        <v>23</v>
      </c>
      <c r="G1204" s="1" t="s">
        <v>4341</v>
      </c>
      <c r="H1204" s="1" t="s">
        <v>15</v>
      </c>
      <c r="I1204" t="b">
        <f>COUNTIF(Estadísticas!I:I,'Centraldecomunicacion.es'!H1204)&gt;0</f>
        <v>0</v>
      </c>
    </row>
    <row r="1205" spans="1:9">
      <c r="A1205" s="1" t="s">
        <v>4342</v>
      </c>
      <c r="B1205" s="1" t="s">
        <v>10</v>
      </c>
      <c r="C1205" s="1" t="s">
        <v>4343</v>
      </c>
      <c r="D1205" s="1" t="s">
        <v>3664</v>
      </c>
      <c r="E1205" s="1" t="s">
        <v>693</v>
      </c>
      <c r="F1205" s="1" t="s">
        <v>23</v>
      </c>
      <c r="G1205" s="1" t="s">
        <v>4344</v>
      </c>
      <c r="H1205" s="1" t="s">
        <v>15</v>
      </c>
      <c r="I1205" t="b">
        <f>COUNTIF(Estadísticas!I:I,'Centraldecomunicacion.es'!H1205)&gt;0</f>
        <v>0</v>
      </c>
    </row>
    <row r="1206" spans="1:9">
      <c r="A1206" s="1" t="s">
        <v>4345</v>
      </c>
      <c r="B1206" s="1" t="s">
        <v>10</v>
      </c>
      <c r="C1206" s="1" t="s">
        <v>4346</v>
      </c>
      <c r="D1206" s="1" t="s">
        <v>1651</v>
      </c>
      <c r="E1206" s="1" t="s">
        <v>1651</v>
      </c>
      <c r="F1206" s="1" t="s">
        <v>23</v>
      </c>
      <c r="G1206" s="1" t="s">
        <v>4347</v>
      </c>
      <c r="H1206" s="1" t="s">
        <v>15</v>
      </c>
      <c r="I1206" t="b">
        <f>COUNTIF(Estadísticas!I:I,'Centraldecomunicacion.es'!H1206)&gt;0</f>
        <v>0</v>
      </c>
    </row>
    <row r="1207" spans="1:9">
      <c r="A1207" s="1" t="s">
        <v>4348</v>
      </c>
      <c r="B1207" s="1" t="s">
        <v>10</v>
      </c>
      <c r="C1207" s="1" t="s">
        <v>4349</v>
      </c>
      <c r="D1207" s="1" t="s">
        <v>4350</v>
      </c>
      <c r="E1207" s="1" t="s">
        <v>1651</v>
      </c>
      <c r="F1207" s="1" t="s">
        <v>4351</v>
      </c>
      <c r="G1207" s="1" t="s">
        <v>4352</v>
      </c>
      <c r="H1207" s="1" t="s">
        <v>4353</v>
      </c>
      <c r="I1207" t="b">
        <f>COUNTIF(Estadísticas!I:I,'Centraldecomunicacion.es'!H1207)&gt;0</f>
        <v>1</v>
      </c>
    </row>
    <row r="1208" spans="1:9">
      <c r="A1208" s="1" t="s">
        <v>4354</v>
      </c>
      <c r="B1208" s="1" t="s">
        <v>10</v>
      </c>
      <c r="C1208" s="1" t="s">
        <v>4355</v>
      </c>
      <c r="D1208" s="1" t="s">
        <v>1651</v>
      </c>
      <c r="E1208" s="1" t="s">
        <v>1651</v>
      </c>
      <c r="F1208" s="1" t="s">
        <v>1655</v>
      </c>
      <c r="G1208" s="1" t="s">
        <v>4356</v>
      </c>
      <c r="H1208" s="1" t="s">
        <v>1657</v>
      </c>
      <c r="I1208" t="b">
        <f>COUNTIF(Estadísticas!I:I,'Centraldecomunicacion.es'!H1208)&gt;0</f>
        <v>0</v>
      </c>
    </row>
    <row r="1209" spans="1:9">
      <c r="A1209" s="1" t="s">
        <v>4357</v>
      </c>
      <c r="B1209" s="1" t="s">
        <v>10</v>
      </c>
      <c r="C1209" s="1" t="s">
        <v>4358</v>
      </c>
      <c r="D1209" s="1" t="s">
        <v>1651</v>
      </c>
      <c r="E1209" s="1" t="s">
        <v>1651</v>
      </c>
      <c r="F1209" s="1" t="s">
        <v>4359</v>
      </c>
      <c r="G1209" s="1" t="s">
        <v>4360</v>
      </c>
      <c r="H1209" s="1" t="s">
        <v>4361</v>
      </c>
      <c r="I1209" t="b">
        <f>COUNTIF(Estadísticas!I:I,'Centraldecomunicacion.es'!H1209)&gt;0</f>
        <v>0</v>
      </c>
    </row>
    <row r="1210" spans="1:9">
      <c r="A1210" s="1" t="s">
        <v>4362</v>
      </c>
      <c r="B1210" s="1" t="s">
        <v>10</v>
      </c>
      <c r="C1210" s="1" t="s">
        <v>4363</v>
      </c>
      <c r="D1210" s="1" t="s">
        <v>1651</v>
      </c>
      <c r="E1210" s="1" t="s">
        <v>1651</v>
      </c>
      <c r="F1210" s="1" t="s">
        <v>4364</v>
      </c>
      <c r="G1210" s="1" t="s">
        <v>4365</v>
      </c>
      <c r="H1210" s="1" t="s">
        <v>15</v>
      </c>
      <c r="I1210" t="b">
        <f>COUNTIF(Estadísticas!I:I,'Centraldecomunicacion.es'!H1210)&gt;0</f>
        <v>0</v>
      </c>
    </row>
    <row r="1211" spans="1:9">
      <c r="A1211" s="1" t="s">
        <v>4366</v>
      </c>
      <c r="B1211" s="1" t="s">
        <v>10</v>
      </c>
      <c r="C1211" s="1" t="s">
        <v>4367</v>
      </c>
      <c r="D1211" s="1" t="s">
        <v>1651</v>
      </c>
      <c r="E1211" s="1" t="s">
        <v>1651</v>
      </c>
      <c r="F1211" s="1" t="s">
        <v>4368</v>
      </c>
      <c r="G1211" s="1" t="s">
        <v>4369</v>
      </c>
      <c r="H1211" s="1" t="s">
        <v>4370</v>
      </c>
      <c r="I1211" t="b">
        <f>COUNTIF(Estadísticas!I:I,'Centraldecomunicacion.es'!H1211)&gt;0</f>
        <v>0</v>
      </c>
    </row>
    <row r="1212" spans="1:9">
      <c r="A1212" s="1" t="s">
        <v>4371</v>
      </c>
      <c r="B1212" s="1" t="s">
        <v>10</v>
      </c>
      <c r="C1212" s="1" t="s">
        <v>4372</v>
      </c>
      <c r="D1212" s="1" t="s">
        <v>1651</v>
      </c>
      <c r="E1212" s="1" t="s">
        <v>1651</v>
      </c>
      <c r="F1212" s="1" t="s">
        <v>23</v>
      </c>
      <c r="G1212" s="1" t="s">
        <v>4373</v>
      </c>
      <c r="H1212" s="1" t="s">
        <v>15</v>
      </c>
      <c r="I1212" t="b">
        <f>COUNTIF(Estadísticas!I:I,'Centraldecomunicacion.es'!H1212)&gt;0</f>
        <v>0</v>
      </c>
    </row>
    <row r="1213" spans="1:9">
      <c r="A1213" s="1" t="s">
        <v>4374</v>
      </c>
      <c r="B1213" s="1" t="s">
        <v>10</v>
      </c>
      <c r="C1213" s="1" t="s">
        <v>4375</v>
      </c>
      <c r="D1213" s="1" t="s">
        <v>1651</v>
      </c>
      <c r="E1213" s="1" t="s">
        <v>1651</v>
      </c>
      <c r="F1213" s="1" t="s">
        <v>4376</v>
      </c>
      <c r="G1213" s="1" t="s">
        <v>4377</v>
      </c>
      <c r="H1213" s="1" t="s">
        <v>15</v>
      </c>
      <c r="I1213" t="b">
        <f>COUNTIF(Estadísticas!I:I,'Centraldecomunicacion.es'!H1213)&gt;0</f>
        <v>0</v>
      </c>
    </row>
    <row r="1214" spans="1:9">
      <c r="A1214" s="1" t="s">
        <v>4378</v>
      </c>
      <c r="B1214" s="1" t="s">
        <v>10</v>
      </c>
      <c r="C1214" s="1" t="s">
        <v>4379</v>
      </c>
      <c r="D1214" s="1" t="s">
        <v>1651</v>
      </c>
      <c r="E1214" s="1" t="s">
        <v>1651</v>
      </c>
      <c r="F1214" s="1" t="s">
        <v>23</v>
      </c>
      <c r="G1214" s="1" t="s">
        <v>4380</v>
      </c>
      <c r="H1214" s="1" t="s">
        <v>15</v>
      </c>
      <c r="I1214" t="b">
        <f>COUNTIF(Estadísticas!I:I,'Centraldecomunicacion.es'!H1214)&gt;0</f>
        <v>0</v>
      </c>
    </row>
    <row r="1215" spans="1:9">
      <c r="A1215" s="1" t="s">
        <v>4381</v>
      </c>
      <c r="B1215" s="1" t="s">
        <v>10</v>
      </c>
      <c r="C1215" s="1" t="s">
        <v>4382</v>
      </c>
      <c r="D1215" s="1" t="s">
        <v>1651</v>
      </c>
      <c r="E1215" s="1" t="s">
        <v>1651</v>
      </c>
      <c r="F1215" s="1" t="s">
        <v>23</v>
      </c>
      <c r="G1215" s="1" t="s">
        <v>4383</v>
      </c>
      <c r="H1215" s="1" t="s">
        <v>15</v>
      </c>
      <c r="I1215" t="b">
        <f>COUNTIF(Estadísticas!I:I,'Centraldecomunicacion.es'!H1215)&gt;0</f>
        <v>0</v>
      </c>
    </row>
    <row r="1216" spans="1:9">
      <c r="A1216" s="1" t="s">
        <v>4384</v>
      </c>
      <c r="B1216" s="1" t="s">
        <v>10</v>
      </c>
      <c r="C1216" s="1" t="s">
        <v>4385</v>
      </c>
      <c r="D1216" s="1" t="s">
        <v>1651</v>
      </c>
      <c r="E1216" s="1" t="s">
        <v>1651</v>
      </c>
      <c r="F1216" s="1" t="s">
        <v>23</v>
      </c>
      <c r="G1216" s="1" t="s">
        <v>4386</v>
      </c>
      <c r="H1216" s="1" t="s">
        <v>15</v>
      </c>
      <c r="I1216" t="b">
        <f>COUNTIF(Estadísticas!I:I,'Centraldecomunicacion.es'!H1216)&gt;0</f>
        <v>0</v>
      </c>
    </row>
    <row r="1217" spans="1:9">
      <c r="A1217" s="1" t="s">
        <v>4387</v>
      </c>
      <c r="B1217" s="1" t="s">
        <v>10</v>
      </c>
      <c r="C1217" s="1" t="s">
        <v>4388</v>
      </c>
      <c r="D1217" s="1" t="s">
        <v>1651</v>
      </c>
      <c r="E1217" s="1" t="s">
        <v>1651</v>
      </c>
      <c r="F1217" s="1" t="s">
        <v>4389</v>
      </c>
      <c r="G1217" s="1" t="s">
        <v>4390</v>
      </c>
      <c r="H1217" s="1" t="s">
        <v>4391</v>
      </c>
      <c r="I1217" t="b">
        <f>COUNTIF(Estadísticas!I:I,'Centraldecomunicacion.es'!H1217)&gt;0</f>
        <v>0</v>
      </c>
    </row>
    <row r="1218" spans="1:9">
      <c r="A1218" s="1" t="s">
        <v>4392</v>
      </c>
      <c r="B1218" s="1" t="s">
        <v>10</v>
      </c>
      <c r="C1218" s="1" t="s">
        <v>4393</v>
      </c>
      <c r="D1218" s="1" t="s">
        <v>1651</v>
      </c>
      <c r="E1218" s="1" t="s">
        <v>1651</v>
      </c>
      <c r="F1218" s="1" t="s">
        <v>23</v>
      </c>
      <c r="G1218" s="1" t="s">
        <v>4394</v>
      </c>
      <c r="H1218" s="1" t="s">
        <v>15</v>
      </c>
      <c r="I1218" t="b">
        <f>COUNTIF(Estadísticas!I:I,'Centraldecomunicacion.es'!H1218)&gt;0</f>
        <v>0</v>
      </c>
    </row>
    <row r="1219" spans="1:9">
      <c r="A1219" s="1" t="s">
        <v>4395</v>
      </c>
      <c r="B1219" s="1" t="s">
        <v>10</v>
      </c>
      <c r="C1219" s="1" t="s">
        <v>4396</v>
      </c>
      <c r="D1219" s="1" t="s">
        <v>1651</v>
      </c>
      <c r="E1219" s="1" t="s">
        <v>1651</v>
      </c>
      <c r="F1219" s="1" t="s">
        <v>4397</v>
      </c>
      <c r="G1219" s="1" t="s">
        <v>4398</v>
      </c>
      <c r="H1219" s="1" t="s">
        <v>4399</v>
      </c>
      <c r="I1219" t="b">
        <f>COUNTIF(Estadísticas!I:I,'Centraldecomunicacion.es'!H1219)&gt;0</f>
        <v>0</v>
      </c>
    </row>
    <row r="1220" spans="1:9">
      <c r="A1220" s="1" t="s">
        <v>4400</v>
      </c>
      <c r="B1220" s="1" t="s">
        <v>10</v>
      </c>
      <c r="C1220" s="1" t="s">
        <v>4401</v>
      </c>
      <c r="D1220" s="1" t="s">
        <v>1651</v>
      </c>
      <c r="E1220" s="1" t="s">
        <v>1651</v>
      </c>
      <c r="F1220" s="1" t="s">
        <v>4402</v>
      </c>
      <c r="G1220" s="1" t="s">
        <v>4403</v>
      </c>
      <c r="H1220" s="1" t="s">
        <v>4404</v>
      </c>
      <c r="I1220" t="b">
        <f>COUNTIF(Estadísticas!I:I,'Centraldecomunicacion.es'!H1220)&gt;0</f>
        <v>0</v>
      </c>
    </row>
    <row r="1221" spans="1:9">
      <c r="A1221" s="1" t="s">
        <v>4405</v>
      </c>
      <c r="B1221" s="1" t="s">
        <v>10</v>
      </c>
      <c r="C1221" s="1" t="s">
        <v>4406</v>
      </c>
      <c r="D1221" s="1" t="s">
        <v>1651</v>
      </c>
      <c r="E1221" s="1" t="s">
        <v>1651</v>
      </c>
      <c r="F1221" s="1" t="s">
        <v>4407</v>
      </c>
      <c r="G1221" s="1" t="s">
        <v>4408</v>
      </c>
      <c r="H1221" s="1" t="s">
        <v>4409</v>
      </c>
      <c r="I1221" t="b">
        <f>COUNTIF(Estadísticas!I:I,'Centraldecomunicacion.es'!H1221)&gt;0</f>
        <v>0</v>
      </c>
    </row>
    <row r="1222" spans="1:9">
      <c r="A1222" s="1" t="s">
        <v>4410</v>
      </c>
      <c r="B1222" s="1" t="s">
        <v>10</v>
      </c>
      <c r="C1222" s="1" t="s">
        <v>4411</v>
      </c>
      <c r="D1222" s="1" t="s">
        <v>1651</v>
      </c>
      <c r="E1222" s="1" t="s">
        <v>1651</v>
      </c>
      <c r="F1222" s="1" t="s">
        <v>4412</v>
      </c>
      <c r="G1222" s="1" t="s">
        <v>4413</v>
      </c>
      <c r="H1222" s="1" t="s">
        <v>4414</v>
      </c>
      <c r="I1222" t="b">
        <f>COUNTIF(Estadísticas!I:I,'Centraldecomunicacion.es'!H1222)&gt;0</f>
        <v>0</v>
      </c>
    </row>
    <row r="1223" spans="1:9">
      <c r="A1223" s="1" t="s">
        <v>4415</v>
      </c>
      <c r="B1223" s="1" t="s">
        <v>10</v>
      </c>
      <c r="C1223" s="1" t="s">
        <v>4416</v>
      </c>
      <c r="D1223" s="1" t="s">
        <v>1651</v>
      </c>
      <c r="E1223" s="1" t="s">
        <v>1651</v>
      </c>
      <c r="F1223" s="1" t="s">
        <v>4417</v>
      </c>
      <c r="G1223" s="1" t="s">
        <v>4418</v>
      </c>
      <c r="H1223" s="1" t="s">
        <v>15</v>
      </c>
      <c r="I1223" t="b">
        <f>COUNTIF(Estadísticas!I:I,'Centraldecomunicacion.es'!H1223)&gt;0</f>
        <v>0</v>
      </c>
    </row>
    <row r="1224" spans="1:9">
      <c r="A1224" s="1" t="s">
        <v>4419</v>
      </c>
      <c r="B1224" s="1" t="s">
        <v>10</v>
      </c>
      <c r="C1224" s="1" t="s">
        <v>4420</v>
      </c>
      <c r="D1224" s="1" t="s">
        <v>1651</v>
      </c>
      <c r="E1224" s="1" t="s">
        <v>1651</v>
      </c>
      <c r="F1224" s="1" t="s">
        <v>4421</v>
      </c>
      <c r="G1224" s="1" t="s">
        <v>4422</v>
      </c>
      <c r="H1224" s="1" t="s">
        <v>4423</v>
      </c>
      <c r="I1224" t="b">
        <f>COUNTIF(Estadísticas!I:I,'Centraldecomunicacion.es'!H1224)&gt;0</f>
        <v>0</v>
      </c>
    </row>
    <row r="1225" spans="1:9">
      <c r="A1225" s="1" t="s">
        <v>4424</v>
      </c>
      <c r="B1225" s="1" t="s">
        <v>10</v>
      </c>
      <c r="C1225" s="1" t="s">
        <v>4425</v>
      </c>
      <c r="D1225" s="1" t="s">
        <v>1651</v>
      </c>
      <c r="E1225" s="1" t="s">
        <v>1651</v>
      </c>
      <c r="F1225" s="1" t="s">
        <v>23</v>
      </c>
      <c r="G1225" s="1" t="s">
        <v>4426</v>
      </c>
      <c r="H1225" s="1" t="s">
        <v>15</v>
      </c>
      <c r="I1225" t="b">
        <f>COUNTIF(Estadísticas!I:I,'Centraldecomunicacion.es'!H1225)&gt;0</f>
        <v>0</v>
      </c>
    </row>
    <row r="1226" spans="1:9">
      <c r="A1226" s="1" t="s">
        <v>4427</v>
      </c>
      <c r="B1226" s="1" t="s">
        <v>10</v>
      </c>
      <c r="C1226" s="1" t="s">
        <v>4428</v>
      </c>
      <c r="D1226" s="1" t="s">
        <v>1651</v>
      </c>
      <c r="E1226" s="1" t="s">
        <v>1651</v>
      </c>
      <c r="F1226" s="1" t="s">
        <v>23</v>
      </c>
      <c r="G1226" s="1" t="s">
        <v>4429</v>
      </c>
      <c r="H1226" s="1" t="s">
        <v>15</v>
      </c>
      <c r="I1226" t="b">
        <f>COUNTIF(Estadísticas!I:I,'Centraldecomunicacion.es'!H1226)&gt;0</f>
        <v>0</v>
      </c>
    </row>
    <row r="1227" spans="1:9">
      <c r="A1227" s="1" t="s">
        <v>4430</v>
      </c>
      <c r="B1227" s="1" t="s">
        <v>10</v>
      </c>
      <c r="C1227" s="1" t="s">
        <v>4431</v>
      </c>
      <c r="D1227" s="1" t="s">
        <v>1651</v>
      </c>
      <c r="E1227" s="1" t="s">
        <v>1651</v>
      </c>
      <c r="F1227" s="1" t="s">
        <v>4432</v>
      </c>
      <c r="G1227" s="1" t="s">
        <v>4433</v>
      </c>
      <c r="H1227" s="1" t="s">
        <v>15</v>
      </c>
      <c r="I1227" t="b">
        <f>COUNTIF(Estadísticas!I:I,'Centraldecomunicacion.es'!H1227)&gt;0</f>
        <v>0</v>
      </c>
    </row>
    <row r="1228" spans="1:9">
      <c r="A1228" s="1" t="s">
        <v>4434</v>
      </c>
      <c r="B1228" s="1" t="s">
        <v>10</v>
      </c>
      <c r="C1228" s="1" t="s">
        <v>4435</v>
      </c>
      <c r="D1228" s="1" t="s">
        <v>1651</v>
      </c>
      <c r="E1228" s="1" t="s">
        <v>1651</v>
      </c>
      <c r="F1228" s="1" t="s">
        <v>4436</v>
      </c>
      <c r="G1228" s="1" t="s">
        <v>4437</v>
      </c>
      <c r="H1228" s="1" t="s">
        <v>15</v>
      </c>
      <c r="I1228" t="b">
        <f>COUNTIF(Estadísticas!I:I,'Centraldecomunicacion.es'!H1228)&gt;0</f>
        <v>0</v>
      </c>
    </row>
    <row r="1229" spans="1:9">
      <c r="A1229" s="1" t="s">
        <v>4438</v>
      </c>
      <c r="B1229" s="1" t="s">
        <v>10</v>
      </c>
      <c r="C1229" s="1" t="s">
        <v>4439</v>
      </c>
      <c r="D1229" s="1" t="s">
        <v>1651</v>
      </c>
      <c r="E1229" s="1" t="s">
        <v>1651</v>
      </c>
      <c r="F1229" s="1" t="s">
        <v>4368</v>
      </c>
      <c r="G1229" s="1" t="s">
        <v>4440</v>
      </c>
      <c r="H1229" s="1" t="s">
        <v>4370</v>
      </c>
      <c r="I1229" t="b">
        <f>COUNTIF(Estadísticas!I:I,'Centraldecomunicacion.es'!H1229)&gt;0</f>
        <v>0</v>
      </c>
    </row>
    <row r="1230" spans="1:9">
      <c r="A1230" s="1" t="s">
        <v>4441</v>
      </c>
      <c r="B1230" s="1" t="s">
        <v>10</v>
      </c>
      <c r="C1230" s="1" t="s">
        <v>4442</v>
      </c>
      <c r="D1230" s="1" t="s">
        <v>1651</v>
      </c>
      <c r="E1230" s="1" t="s">
        <v>1651</v>
      </c>
      <c r="F1230" s="1" t="s">
        <v>23</v>
      </c>
      <c r="G1230" s="1" t="s">
        <v>4443</v>
      </c>
      <c r="H1230" s="1" t="s">
        <v>15</v>
      </c>
      <c r="I1230" t="b">
        <f>COUNTIF(Estadísticas!I:I,'Centraldecomunicacion.es'!H1230)&gt;0</f>
        <v>0</v>
      </c>
    </row>
    <row r="1231" spans="1:9">
      <c r="A1231" s="1" t="s">
        <v>4444</v>
      </c>
      <c r="B1231" s="1" t="s">
        <v>10</v>
      </c>
      <c r="C1231" s="1" t="s">
        <v>4445</v>
      </c>
      <c r="D1231" s="1" t="s">
        <v>1651</v>
      </c>
      <c r="E1231" s="1" t="s">
        <v>1651</v>
      </c>
      <c r="F1231" s="1" t="s">
        <v>23</v>
      </c>
      <c r="G1231" s="1" t="s">
        <v>4446</v>
      </c>
      <c r="H1231" s="1" t="s">
        <v>15</v>
      </c>
      <c r="I1231" t="b">
        <f>COUNTIF(Estadísticas!I:I,'Centraldecomunicacion.es'!H1231)&gt;0</f>
        <v>0</v>
      </c>
    </row>
    <row r="1232" spans="1:9">
      <c r="A1232" s="1" t="s">
        <v>4447</v>
      </c>
      <c r="B1232" s="1" t="s">
        <v>10</v>
      </c>
      <c r="C1232" s="1" t="s">
        <v>4448</v>
      </c>
      <c r="D1232" s="1" t="s">
        <v>1651</v>
      </c>
      <c r="E1232" s="1" t="s">
        <v>1651</v>
      </c>
      <c r="F1232" s="1" t="s">
        <v>4449</v>
      </c>
      <c r="G1232" s="1" t="s">
        <v>4450</v>
      </c>
      <c r="H1232" s="1" t="s">
        <v>4451</v>
      </c>
      <c r="I1232" t="b">
        <f>COUNTIF(Estadísticas!I:I,'Centraldecomunicacion.es'!H1232)&gt;0</f>
        <v>0</v>
      </c>
    </row>
    <row r="1233" spans="1:9">
      <c r="A1233" s="1" t="s">
        <v>4452</v>
      </c>
      <c r="B1233" s="1" t="s">
        <v>10</v>
      </c>
      <c r="C1233" s="1" t="s">
        <v>4453</v>
      </c>
      <c r="D1233" s="1" t="s">
        <v>1651</v>
      </c>
      <c r="E1233" s="1" t="s">
        <v>1651</v>
      </c>
      <c r="F1233" s="1" t="s">
        <v>23</v>
      </c>
      <c r="G1233" s="1" t="s">
        <v>4454</v>
      </c>
      <c r="H1233" s="1" t="s">
        <v>15</v>
      </c>
      <c r="I1233" t="b">
        <f>COUNTIF(Estadísticas!I:I,'Centraldecomunicacion.es'!H1233)&gt;0</f>
        <v>0</v>
      </c>
    </row>
    <row r="1234" spans="1:9">
      <c r="A1234" s="1" t="s">
        <v>4455</v>
      </c>
      <c r="B1234" s="1" t="s">
        <v>10</v>
      </c>
      <c r="C1234" s="1" t="s">
        <v>4456</v>
      </c>
      <c r="D1234" s="1" t="s">
        <v>1651</v>
      </c>
      <c r="E1234" s="1" t="s">
        <v>1651</v>
      </c>
      <c r="F1234" s="1" t="s">
        <v>23</v>
      </c>
      <c r="G1234" s="1" t="s">
        <v>23</v>
      </c>
      <c r="H1234" s="1" t="s">
        <v>15</v>
      </c>
      <c r="I1234" t="b">
        <f>COUNTIF(Estadísticas!I:I,'Centraldecomunicacion.es'!H1234)&gt;0</f>
        <v>0</v>
      </c>
    </row>
    <row r="1235" spans="1:9">
      <c r="A1235" s="1" t="s">
        <v>4457</v>
      </c>
      <c r="B1235" s="1" t="s">
        <v>10</v>
      </c>
      <c r="C1235" s="1" t="s">
        <v>4458</v>
      </c>
      <c r="D1235" s="1" t="s">
        <v>1651</v>
      </c>
      <c r="E1235" s="1" t="s">
        <v>1651</v>
      </c>
      <c r="F1235" s="1" t="s">
        <v>23</v>
      </c>
      <c r="G1235" s="1" t="s">
        <v>4459</v>
      </c>
      <c r="H1235" s="1" t="s">
        <v>15</v>
      </c>
      <c r="I1235" t="b">
        <f>COUNTIF(Estadísticas!I:I,'Centraldecomunicacion.es'!H1235)&gt;0</f>
        <v>0</v>
      </c>
    </row>
    <row r="1236" spans="1:9">
      <c r="A1236" s="1" t="s">
        <v>4460</v>
      </c>
      <c r="B1236" s="1" t="s">
        <v>10</v>
      </c>
      <c r="C1236" s="1" t="s">
        <v>4461</v>
      </c>
      <c r="D1236" s="1" t="s">
        <v>1651</v>
      </c>
      <c r="E1236" s="1" t="s">
        <v>1651</v>
      </c>
      <c r="F1236" s="1" t="s">
        <v>23</v>
      </c>
      <c r="G1236" s="1" t="s">
        <v>4462</v>
      </c>
      <c r="H1236" s="1" t="s">
        <v>15</v>
      </c>
      <c r="I1236" t="b">
        <f>COUNTIF(Estadísticas!I:I,'Centraldecomunicacion.es'!H1236)&gt;0</f>
        <v>0</v>
      </c>
    </row>
    <row r="1237" spans="1:9">
      <c r="A1237" s="1" t="s">
        <v>4463</v>
      </c>
      <c r="B1237" s="1" t="s">
        <v>10</v>
      </c>
      <c r="C1237" s="1" t="s">
        <v>4464</v>
      </c>
      <c r="D1237" s="1" t="s">
        <v>1651</v>
      </c>
      <c r="E1237" s="1" t="s">
        <v>1651</v>
      </c>
      <c r="F1237" s="1" t="s">
        <v>4080</v>
      </c>
      <c r="G1237" s="1" t="s">
        <v>4465</v>
      </c>
      <c r="H1237" s="1" t="s">
        <v>325</v>
      </c>
      <c r="I1237" t="b">
        <f>COUNTIF(Estadísticas!I:I,'Centraldecomunicacion.es'!H1237)&gt;0</f>
        <v>0</v>
      </c>
    </row>
    <row r="1238" spans="1:9">
      <c r="A1238" s="1" t="s">
        <v>4466</v>
      </c>
      <c r="B1238" s="1" t="s">
        <v>10</v>
      </c>
      <c r="C1238" s="1" t="s">
        <v>4467</v>
      </c>
      <c r="D1238" s="1" t="s">
        <v>1651</v>
      </c>
      <c r="E1238" s="1" t="s">
        <v>1651</v>
      </c>
      <c r="F1238" s="1" t="s">
        <v>4468</v>
      </c>
      <c r="G1238" s="1" t="s">
        <v>4469</v>
      </c>
      <c r="H1238" s="1" t="s">
        <v>15</v>
      </c>
      <c r="I1238" t="b">
        <f>COUNTIF(Estadísticas!I:I,'Centraldecomunicacion.es'!H1238)&gt;0</f>
        <v>0</v>
      </c>
    </row>
    <row r="1239" spans="1:9">
      <c r="A1239" s="1" t="s">
        <v>4470</v>
      </c>
      <c r="B1239" s="1" t="s">
        <v>10</v>
      </c>
      <c r="C1239" s="1" t="s">
        <v>4471</v>
      </c>
      <c r="D1239" s="1" t="s">
        <v>1651</v>
      </c>
      <c r="E1239" s="1" t="s">
        <v>1651</v>
      </c>
      <c r="F1239" s="1" t="s">
        <v>23</v>
      </c>
      <c r="G1239" s="1" t="s">
        <v>4472</v>
      </c>
      <c r="H1239" s="1" t="s">
        <v>15</v>
      </c>
      <c r="I1239" t="b">
        <f>COUNTIF(Estadísticas!I:I,'Centraldecomunicacion.es'!H1239)&gt;0</f>
        <v>0</v>
      </c>
    </row>
    <row r="1240" spans="1:9">
      <c r="A1240" s="1" t="s">
        <v>4473</v>
      </c>
      <c r="B1240" s="1" t="s">
        <v>10</v>
      </c>
      <c r="C1240" s="1" t="s">
        <v>4474</v>
      </c>
      <c r="D1240" s="1" t="s">
        <v>1651</v>
      </c>
      <c r="E1240" s="1" t="s">
        <v>1651</v>
      </c>
      <c r="F1240" s="1" t="s">
        <v>23</v>
      </c>
      <c r="G1240" s="1" t="s">
        <v>4475</v>
      </c>
      <c r="H1240" s="1" t="s">
        <v>15</v>
      </c>
      <c r="I1240" t="b">
        <f>COUNTIF(Estadísticas!I:I,'Centraldecomunicacion.es'!H1240)&gt;0</f>
        <v>0</v>
      </c>
    </row>
    <row r="1241" spans="1:9">
      <c r="A1241" s="1" t="s">
        <v>4476</v>
      </c>
      <c r="B1241" s="1" t="s">
        <v>10</v>
      </c>
      <c r="C1241" s="1" t="s">
        <v>4477</v>
      </c>
      <c r="D1241" s="1" t="s">
        <v>1651</v>
      </c>
      <c r="E1241" s="1" t="s">
        <v>1651</v>
      </c>
      <c r="F1241" s="1" t="s">
        <v>23</v>
      </c>
      <c r="G1241" s="1" t="s">
        <v>4478</v>
      </c>
      <c r="H1241" s="1" t="s">
        <v>15</v>
      </c>
      <c r="I1241" t="b">
        <f>COUNTIF(Estadísticas!I:I,'Centraldecomunicacion.es'!H1241)&gt;0</f>
        <v>0</v>
      </c>
    </row>
    <row r="1242" spans="1:9">
      <c r="A1242" s="1" t="s">
        <v>4479</v>
      </c>
      <c r="B1242" s="1" t="s">
        <v>10</v>
      </c>
      <c r="C1242" s="1" t="s">
        <v>4480</v>
      </c>
      <c r="D1242" s="1" t="s">
        <v>1651</v>
      </c>
      <c r="E1242" s="1" t="s">
        <v>1651</v>
      </c>
      <c r="F1242" s="1" t="s">
        <v>23</v>
      </c>
      <c r="G1242" s="1" t="s">
        <v>4481</v>
      </c>
      <c r="H1242" s="1" t="s">
        <v>15</v>
      </c>
      <c r="I1242" t="b">
        <f>COUNTIF(Estadísticas!I:I,'Centraldecomunicacion.es'!H1242)&gt;0</f>
        <v>0</v>
      </c>
    </row>
    <row r="1243" spans="1:9">
      <c r="A1243" s="1" t="s">
        <v>4482</v>
      </c>
      <c r="B1243" s="1" t="s">
        <v>10</v>
      </c>
      <c r="C1243" s="1" t="s">
        <v>4483</v>
      </c>
      <c r="D1243" s="1" t="s">
        <v>1651</v>
      </c>
      <c r="E1243" s="1" t="s">
        <v>1651</v>
      </c>
      <c r="F1243" s="1" t="s">
        <v>23</v>
      </c>
      <c r="G1243" s="1" t="s">
        <v>4484</v>
      </c>
      <c r="H1243" s="1" t="s">
        <v>15</v>
      </c>
      <c r="I1243" t="b">
        <f>COUNTIF(Estadísticas!I:I,'Centraldecomunicacion.es'!H1243)&gt;0</f>
        <v>0</v>
      </c>
    </row>
    <row r="1244" spans="1:9">
      <c r="A1244" s="1" t="s">
        <v>4485</v>
      </c>
      <c r="B1244" s="1" t="s">
        <v>10</v>
      </c>
      <c r="C1244" s="1" t="s">
        <v>4486</v>
      </c>
      <c r="D1244" s="1" t="s">
        <v>1651</v>
      </c>
      <c r="E1244" s="1" t="s">
        <v>1651</v>
      </c>
      <c r="F1244" s="1" t="s">
        <v>1655</v>
      </c>
      <c r="G1244" s="1" t="s">
        <v>4487</v>
      </c>
      <c r="H1244" s="1" t="s">
        <v>1657</v>
      </c>
      <c r="I1244" t="b">
        <f>COUNTIF(Estadísticas!I:I,'Centraldecomunicacion.es'!H1244)&gt;0</f>
        <v>0</v>
      </c>
    </row>
    <row r="1245" spans="1:9">
      <c r="A1245" s="1" t="s">
        <v>4488</v>
      </c>
      <c r="B1245" s="1" t="s">
        <v>10</v>
      </c>
      <c r="C1245" s="1" t="s">
        <v>4489</v>
      </c>
      <c r="D1245" s="1" t="s">
        <v>1651</v>
      </c>
      <c r="E1245" s="1" t="s">
        <v>1651</v>
      </c>
      <c r="F1245" s="1" t="s">
        <v>23</v>
      </c>
      <c r="G1245" s="1" t="s">
        <v>4490</v>
      </c>
      <c r="H1245" s="1" t="s">
        <v>15</v>
      </c>
      <c r="I1245" t="b">
        <f>COUNTIF(Estadísticas!I:I,'Centraldecomunicacion.es'!H1245)&gt;0</f>
        <v>0</v>
      </c>
    </row>
    <row r="1246" spans="1:9">
      <c r="A1246" s="1" t="s">
        <v>4491</v>
      </c>
      <c r="B1246" s="1" t="s">
        <v>10</v>
      </c>
      <c r="C1246" s="1" t="s">
        <v>4492</v>
      </c>
      <c r="D1246" s="1" t="s">
        <v>1651</v>
      </c>
      <c r="E1246" s="1" t="s">
        <v>1651</v>
      </c>
      <c r="F1246" s="1" t="s">
        <v>4493</v>
      </c>
      <c r="G1246" s="1" t="s">
        <v>4494</v>
      </c>
      <c r="H1246" s="1" t="s">
        <v>4495</v>
      </c>
      <c r="I1246" t="b">
        <f>COUNTIF(Estadísticas!I:I,'Centraldecomunicacion.es'!H1246)&gt;0</f>
        <v>1</v>
      </c>
    </row>
    <row r="1247" spans="1:9">
      <c r="A1247" s="1" t="s">
        <v>4496</v>
      </c>
      <c r="B1247" s="1" t="s">
        <v>10</v>
      </c>
      <c r="C1247" s="1" t="s">
        <v>4497</v>
      </c>
      <c r="D1247" s="1" t="s">
        <v>1651</v>
      </c>
      <c r="E1247" s="1" t="s">
        <v>1651</v>
      </c>
      <c r="F1247" s="1" t="s">
        <v>23</v>
      </c>
      <c r="G1247" s="1" t="s">
        <v>4498</v>
      </c>
      <c r="H1247" s="1" t="s">
        <v>15</v>
      </c>
      <c r="I1247" t="b">
        <f>COUNTIF(Estadísticas!I:I,'Centraldecomunicacion.es'!H1247)&gt;0</f>
        <v>0</v>
      </c>
    </row>
    <row r="1248" spans="1:9">
      <c r="A1248" s="1" t="s">
        <v>4499</v>
      </c>
      <c r="B1248" s="1" t="s">
        <v>10</v>
      </c>
      <c r="C1248" s="1" t="s">
        <v>4500</v>
      </c>
      <c r="D1248" s="1" t="s">
        <v>1651</v>
      </c>
      <c r="E1248" s="1" t="s">
        <v>1651</v>
      </c>
      <c r="F1248" s="1" t="s">
        <v>4501</v>
      </c>
      <c r="G1248" s="1" t="s">
        <v>4502</v>
      </c>
      <c r="H1248" s="1" t="s">
        <v>4503</v>
      </c>
      <c r="I1248" t="b">
        <f>COUNTIF(Estadísticas!I:I,'Centraldecomunicacion.es'!H1248)&gt;0</f>
        <v>0</v>
      </c>
    </row>
    <row r="1249" spans="1:9">
      <c r="A1249" s="1" t="s">
        <v>4504</v>
      </c>
      <c r="B1249" s="1" t="s">
        <v>10</v>
      </c>
      <c r="C1249" s="1" t="s">
        <v>4505</v>
      </c>
      <c r="D1249" s="1" t="s">
        <v>1651</v>
      </c>
      <c r="E1249" s="1" t="s">
        <v>1651</v>
      </c>
      <c r="F1249" s="1" t="s">
        <v>2194</v>
      </c>
      <c r="G1249" s="1" t="s">
        <v>4506</v>
      </c>
      <c r="H1249" s="1" t="s">
        <v>2196</v>
      </c>
      <c r="I1249" t="b">
        <f>COUNTIF(Estadísticas!I:I,'Centraldecomunicacion.es'!H1249)&gt;0</f>
        <v>0</v>
      </c>
    </row>
    <row r="1250" spans="1:9">
      <c r="A1250" s="1" t="s">
        <v>4507</v>
      </c>
      <c r="B1250" s="1" t="s">
        <v>10</v>
      </c>
      <c r="C1250" s="1" t="s">
        <v>4508</v>
      </c>
      <c r="D1250" s="1" t="s">
        <v>4509</v>
      </c>
      <c r="E1250" s="1" t="s">
        <v>1651</v>
      </c>
      <c r="F1250" s="1" t="s">
        <v>23</v>
      </c>
      <c r="G1250" s="1" t="s">
        <v>4510</v>
      </c>
      <c r="H1250" s="1" t="s">
        <v>15</v>
      </c>
      <c r="I1250" t="b">
        <f>COUNTIF(Estadísticas!I:I,'Centraldecomunicacion.es'!H1250)&gt;0</f>
        <v>0</v>
      </c>
    </row>
    <row r="1251" spans="1:9">
      <c r="A1251" s="1" t="s">
        <v>4511</v>
      </c>
      <c r="B1251" s="1" t="s">
        <v>10</v>
      </c>
      <c r="C1251" s="1" t="s">
        <v>4512</v>
      </c>
      <c r="D1251" s="1" t="s">
        <v>1651</v>
      </c>
      <c r="E1251" s="1" t="s">
        <v>1651</v>
      </c>
      <c r="F1251" s="1" t="s">
        <v>23</v>
      </c>
      <c r="G1251" s="1" t="s">
        <v>4513</v>
      </c>
      <c r="H1251" s="1" t="s">
        <v>15</v>
      </c>
      <c r="I1251" t="b">
        <f>COUNTIF(Estadísticas!I:I,'Centraldecomunicacion.es'!H1251)&gt;0</f>
        <v>0</v>
      </c>
    </row>
    <row r="1252" spans="1:9">
      <c r="A1252" s="1" t="s">
        <v>4514</v>
      </c>
      <c r="B1252" s="1" t="s">
        <v>10</v>
      </c>
      <c r="C1252" s="1" t="s">
        <v>4515</v>
      </c>
      <c r="D1252" s="1" t="s">
        <v>1651</v>
      </c>
      <c r="E1252" s="1" t="s">
        <v>1651</v>
      </c>
      <c r="F1252" s="1" t="s">
        <v>4516</v>
      </c>
      <c r="G1252" s="1" t="s">
        <v>4517</v>
      </c>
      <c r="H1252" s="1" t="s">
        <v>4518</v>
      </c>
      <c r="I1252" t="b">
        <f>COUNTIF(Estadísticas!I:I,'Centraldecomunicacion.es'!H1252)&gt;0</f>
        <v>1</v>
      </c>
    </row>
    <row r="1253" spans="1:9">
      <c r="A1253" s="1" t="s">
        <v>4519</v>
      </c>
      <c r="B1253" s="1" t="s">
        <v>10</v>
      </c>
      <c r="C1253" s="1" t="s">
        <v>4520</v>
      </c>
      <c r="D1253" s="1" t="s">
        <v>1651</v>
      </c>
      <c r="E1253" s="1" t="s">
        <v>1651</v>
      </c>
      <c r="F1253" s="1" t="s">
        <v>23</v>
      </c>
      <c r="G1253" s="1" t="s">
        <v>4521</v>
      </c>
      <c r="H1253" s="1" t="s">
        <v>15</v>
      </c>
      <c r="I1253" t="b">
        <f>COUNTIF(Estadísticas!I:I,'Centraldecomunicacion.es'!H1253)&gt;0</f>
        <v>0</v>
      </c>
    </row>
    <row r="1254" spans="1:9">
      <c r="A1254" s="1" t="s">
        <v>4522</v>
      </c>
      <c r="B1254" s="1" t="s">
        <v>10</v>
      </c>
      <c r="C1254" s="1" t="s">
        <v>4523</v>
      </c>
      <c r="D1254" s="1" t="s">
        <v>1651</v>
      </c>
      <c r="E1254" s="1" t="s">
        <v>1651</v>
      </c>
      <c r="F1254" s="1" t="s">
        <v>4524</v>
      </c>
      <c r="G1254" s="1" t="s">
        <v>4525</v>
      </c>
      <c r="H1254" s="1" t="s">
        <v>15</v>
      </c>
      <c r="I1254" t="b">
        <f>COUNTIF(Estadísticas!I:I,'Centraldecomunicacion.es'!H1254)&gt;0</f>
        <v>0</v>
      </c>
    </row>
    <row r="1255" spans="1:9">
      <c r="A1255" s="1" t="s">
        <v>4526</v>
      </c>
      <c r="B1255" s="1" t="s">
        <v>10</v>
      </c>
      <c r="C1255" s="1" t="s">
        <v>4500</v>
      </c>
      <c r="D1255" s="1" t="s">
        <v>1651</v>
      </c>
      <c r="E1255" s="1" t="s">
        <v>1651</v>
      </c>
      <c r="F1255" s="1" t="s">
        <v>23</v>
      </c>
      <c r="G1255" s="1" t="s">
        <v>4527</v>
      </c>
      <c r="H1255" s="1" t="s">
        <v>15</v>
      </c>
      <c r="I1255" t="b">
        <f>COUNTIF(Estadísticas!I:I,'Centraldecomunicacion.es'!H1255)&gt;0</f>
        <v>0</v>
      </c>
    </row>
    <row r="1256" spans="1:9">
      <c r="A1256" s="1" t="s">
        <v>4528</v>
      </c>
      <c r="B1256" s="1" t="s">
        <v>10</v>
      </c>
      <c r="C1256" s="1" t="s">
        <v>4529</v>
      </c>
      <c r="D1256" s="1" t="s">
        <v>1651</v>
      </c>
      <c r="E1256" s="1" t="s">
        <v>1651</v>
      </c>
      <c r="F1256" s="1" t="s">
        <v>23</v>
      </c>
      <c r="G1256" s="1" t="s">
        <v>4530</v>
      </c>
      <c r="H1256" s="1" t="s">
        <v>15</v>
      </c>
      <c r="I1256" t="b">
        <f>COUNTIF(Estadísticas!I:I,'Centraldecomunicacion.es'!H1256)&gt;0</f>
        <v>0</v>
      </c>
    </row>
    <row r="1257" spans="1:9">
      <c r="A1257" s="1" t="s">
        <v>4531</v>
      </c>
      <c r="B1257" s="1" t="s">
        <v>10</v>
      </c>
      <c r="C1257" s="1" t="s">
        <v>4532</v>
      </c>
      <c r="D1257" s="1" t="s">
        <v>1651</v>
      </c>
      <c r="E1257" s="1" t="s">
        <v>1651</v>
      </c>
      <c r="F1257" s="1" t="s">
        <v>4533</v>
      </c>
      <c r="G1257" s="1" t="s">
        <v>4534</v>
      </c>
      <c r="H1257" s="1" t="s">
        <v>15</v>
      </c>
      <c r="I1257" t="b">
        <f>COUNTIF(Estadísticas!I:I,'Centraldecomunicacion.es'!H1257)&gt;0</f>
        <v>0</v>
      </c>
    </row>
    <row r="1258" spans="1:9">
      <c r="A1258" s="1" t="s">
        <v>4535</v>
      </c>
      <c r="B1258" s="1" t="s">
        <v>10</v>
      </c>
      <c r="C1258" s="1" t="s">
        <v>4536</v>
      </c>
      <c r="D1258" s="1" t="s">
        <v>1651</v>
      </c>
      <c r="E1258" s="1" t="s">
        <v>1651</v>
      </c>
      <c r="F1258" s="1" t="s">
        <v>23</v>
      </c>
      <c r="G1258" s="1" t="s">
        <v>4537</v>
      </c>
      <c r="H1258" s="1" t="s">
        <v>15</v>
      </c>
      <c r="I1258" t="b">
        <f>COUNTIF(Estadísticas!I:I,'Centraldecomunicacion.es'!H1258)&gt;0</f>
        <v>0</v>
      </c>
    </row>
    <row r="1259" spans="1:9">
      <c r="A1259" s="1" t="s">
        <v>4538</v>
      </c>
      <c r="B1259" s="1" t="s">
        <v>10</v>
      </c>
      <c r="C1259" s="1" t="s">
        <v>4539</v>
      </c>
      <c r="D1259" s="1" t="s">
        <v>1651</v>
      </c>
      <c r="E1259" s="1" t="s">
        <v>1651</v>
      </c>
      <c r="F1259" s="1" t="s">
        <v>4540</v>
      </c>
      <c r="G1259" s="1" t="s">
        <v>4541</v>
      </c>
      <c r="H1259" s="1" t="s">
        <v>4542</v>
      </c>
      <c r="I1259" t="b">
        <f>COUNTIF(Estadísticas!I:I,'Centraldecomunicacion.es'!H1259)&gt;0</f>
        <v>0</v>
      </c>
    </row>
    <row r="1260" spans="1:9">
      <c r="A1260" s="1" t="s">
        <v>4543</v>
      </c>
      <c r="B1260" s="1" t="s">
        <v>10</v>
      </c>
      <c r="C1260" s="1" t="s">
        <v>4544</v>
      </c>
      <c r="D1260" s="1" t="s">
        <v>1651</v>
      </c>
      <c r="E1260" s="1" t="s">
        <v>1651</v>
      </c>
      <c r="F1260" s="1" t="s">
        <v>23</v>
      </c>
      <c r="G1260" s="1" t="s">
        <v>4545</v>
      </c>
      <c r="H1260" s="1" t="s">
        <v>15</v>
      </c>
      <c r="I1260" t="b">
        <f>COUNTIF(Estadísticas!I:I,'Centraldecomunicacion.es'!H1260)&gt;0</f>
        <v>0</v>
      </c>
    </row>
    <row r="1261" spans="1:9">
      <c r="A1261" s="1" t="s">
        <v>4546</v>
      </c>
      <c r="B1261" s="1" t="s">
        <v>10</v>
      </c>
      <c r="C1261" s="1" t="s">
        <v>4547</v>
      </c>
      <c r="D1261" s="1" t="s">
        <v>1651</v>
      </c>
      <c r="E1261" s="1" t="s">
        <v>1651</v>
      </c>
      <c r="F1261" s="1" t="s">
        <v>23</v>
      </c>
      <c r="G1261" s="1" t="s">
        <v>4548</v>
      </c>
      <c r="H1261" s="1" t="s">
        <v>15</v>
      </c>
      <c r="I1261" t="b">
        <f>COUNTIF(Estadísticas!I:I,'Centraldecomunicacion.es'!H1261)&gt;0</f>
        <v>0</v>
      </c>
    </row>
    <row r="1262" spans="1:9">
      <c r="A1262" s="1" t="s">
        <v>4549</v>
      </c>
      <c r="B1262" s="1" t="s">
        <v>10</v>
      </c>
      <c r="C1262" s="1" t="s">
        <v>4550</v>
      </c>
      <c r="D1262" s="1" t="s">
        <v>1651</v>
      </c>
      <c r="E1262" s="1" t="s">
        <v>1651</v>
      </c>
      <c r="F1262" s="1" t="s">
        <v>23</v>
      </c>
      <c r="G1262" s="1" t="s">
        <v>4551</v>
      </c>
      <c r="H1262" s="1" t="s">
        <v>15</v>
      </c>
      <c r="I1262" t="b">
        <f>COUNTIF(Estadísticas!I:I,'Centraldecomunicacion.es'!H1262)&gt;0</f>
        <v>0</v>
      </c>
    </row>
    <row r="1263" spans="1:9">
      <c r="A1263" s="1" t="s">
        <v>4552</v>
      </c>
      <c r="B1263" s="1" t="s">
        <v>10</v>
      </c>
      <c r="C1263" s="1" t="s">
        <v>4553</v>
      </c>
      <c r="D1263" s="1" t="s">
        <v>1651</v>
      </c>
      <c r="E1263" s="1" t="s">
        <v>1651</v>
      </c>
      <c r="F1263" s="1" t="s">
        <v>23</v>
      </c>
      <c r="G1263" s="1" t="s">
        <v>4554</v>
      </c>
      <c r="H1263" s="1" t="s">
        <v>15</v>
      </c>
      <c r="I1263" t="b">
        <f>COUNTIF(Estadísticas!I:I,'Centraldecomunicacion.es'!H1263)&gt;0</f>
        <v>0</v>
      </c>
    </row>
    <row r="1264" spans="1:9">
      <c r="A1264" s="1" t="s">
        <v>4555</v>
      </c>
      <c r="B1264" s="1" t="s">
        <v>10</v>
      </c>
      <c r="C1264" s="1" t="s">
        <v>4556</v>
      </c>
      <c r="D1264" s="1" t="s">
        <v>1651</v>
      </c>
      <c r="E1264" s="1" t="s">
        <v>1651</v>
      </c>
      <c r="F1264" s="1" t="s">
        <v>23</v>
      </c>
      <c r="G1264" s="1" t="s">
        <v>4557</v>
      </c>
      <c r="H1264" s="1" t="s">
        <v>15</v>
      </c>
      <c r="I1264" t="b">
        <f>COUNTIF(Estadísticas!I:I,'Centraldecomunicacion.es'!H1264)&gt;0</f>
        <v>0</v>
      </c>
    </row>
    <row r="1265" spans="1:9">
      <c r="A1265" s="1" t="s">
        <v>4558</v>
      </c>
      <c r="B1265" s="1" t="s">
        <v>10</v>
      </c>
      <c r="C1265" s="1" t="s">
        <v>4559</v>
      </c>
      <c r="D1265" s="1" t="s">
        <v>1651</v>
      </c>
      <c r="E1265" s="1" t="s">
        <v>1651</v>
      </c>
      <c r="F1265" s="1" t="s">
        <v>23</v>
      </c>
      <c r="G1265" s="1" t="s">
        <v>23</v>
      </c>
      <c r="H1265" s="1" t="s">
        <v>15</v>
      </c>
      <c r="I1265" t="b">
        <f>COUNTIF(Estadísticas!I:I,'Centraldecomunicacion.es'!H1265)&gt;0</f>
        <v>0</v>
      </c>
    </row>
    <row r="1266" spans="1:9">
      <c r="A1266" s="1" t="s">
        <v>4560</v>
      </c>
      <c r="B1266" s="1" t="s">
        <v>10</v>
      </c>
      <c r="C1266" s="1" t="s">
        <v>4346</v>
      </c>
      <c r="D1266" s="1" t="s">
        <v>1651</v>
      </c>
      <c r="E1266" s="1" t="s">
        <v>1651</v>
      </c>
      <c r="F1266" s="1" t="s">
        <v>4561</v>
      </c>
      <c r="G1266" s="1" t="s">
        <v>4347</v>
      </c>
      <c r="H1266" s="1" t="s">
        <v>4562</v>
      </c>
      <c r="I1266" t="b">
        <f>COUNTIF(Estadísticas!I:I,'Centraldecomunicacion.es'!H1266)&gt;0</f>
        <v>1</v>
      </c>
    </row>
    <row r="1267" spans="1:9">
      <c r="A1267" s="1" t="s">
        <v>4563</v>
      </c>
      <c r="B1267" s="1" t="s">
        <v>10</v>
      </c>
      <c r="C1267" s="1" t="s">
        <v>4564</v>
      </c>
      <c r="D1267" s="1" t="s">
        <v>1651</v>
      </c>
      <c r="E1267" s="1" t="s">
        <v>1651</v>
      </c>
      <c r="F1267" s="1" t="s">
        <v>23</v>
      </c>
      <c r="G1267" s="1" t="s">
        <v>4565</v>
      </c>
      <c r="H1267" s="1" t="s">
        <v>15</v>
      </c>
      <c r="I1267" t="b">
        <f>COUNTIF(Estadísticas!I:I,'Centraldecomunicacion.es'!H1267)&gt;0</f>
        <v>0</v>
      </c>
    </row>
    <row r="1268" spans="1:9">
      <c r="A1268" s="1" t="s">
        <v>4566</v>
      </c>
      <c r="B1268" s="1" t="s">
        <v>10</v>
      </c>
      <c r="C1268" s="1" t="s">
        <v>4567</v>
      </c>
      <c r="D1268" s="1" t="s">
        <v>1651</v>
      </c>
      <c r="E1268" s="1" t="s">
        <v>1651</v>
      </c>
      <c r="F1268" s="1" t="s">
        <v>4568</v>
      </c>
      <c r="G1268" s="1" t="s">
        <v>4569</v>
      </c>
      <c r="H1268" s="1" t="s">
        <v>4570</v>
      </c>
      <c r="I1268" t="b">
        <f>COUNTIF(Estadísticas!I:I,'Centraldecomunicacion.es'!H1268)&gt;0</f>
        <v>0</v>
      </c>
    </row>
    <row r="1269" spans="1:9">
      <c r="A1269" s="1" t="s">
        <v>4571</v>
      </c>
      <c r="B1269" s="1" t="s">
        <v>10</v>
      </c>
      <c r="C1269" s="1" t="s">
        <v>4379</v>
      </c>
      <c r="D1269" s="1" t="s">
        <v>1651</v>
      </c>
      <c r="E1269" s="1" t="s">
        <v>1651</v>
      </c>
      <c r="F1269" s="1" t="s">
        <v>23</v>
      </c>
      <c r="G1269" s="1" t="s">
        <v>4380</v>
      </c>
      <c r="H1269" s="1" t="s">
        <v>15</v>
      </c>
      <c r="I1269" t="b">
        <f>COUNTIF(Estadísticas!I:I,'Centraldecomunicacion.es'!H1269)&gt;0</f>
        <v>0</v>
      </c>
    </row>
    <row r="1270" spans="1:9">
      <c r="A1270" s="1" t="s">
        <v>4572</v>
      </c>
      <c r="B1270" s="1" t="s">
        <v>10</v>
      </c>
      <c r="C1270" s="1" t="s">
        <v>4573</v>
      </c>
      <c r="D1270" s="1" t="s">
        <v>1651</v>
      </c>
      <c r="E1270" s="1" t="s">
        <v>1651</v>
      </c>
      <c r="F1270" s="1" t="s">
        <v>4574</v>
      </c>
      <c r="G1270" s="1" t="s">
        <v>4575</v>
      </c>
      <c r="H1270" s="1" t="s">
        <v>15</v>
      </c>
      <c r="I1270" t="b">
        <f>COUNTIF(Estadísticas!I:I,'Centraldecomunicacion.es'!H1270)&gt;0</f>
        <v>0</v>
      </c>
    </row>
    <row r="1271" spans="1:9">
      <c r="A1271" s="1" t="s">
        <v>4576</v>
      </c>
      <c r="B1271" s="1" t="s">
        <v>10</v>
      </c>
      <c r="C1271" s="1" t="s">
        <v>4577</v>
      </c>
      <c r="D1271" s="1" t="s">
        <v>1651</v>
      </c>
      <c r="E1271" s="1" t="s">
        <v>1651</v>
      </c>
      <c r="F1271" s="1" t="s">
        <v>23</v>
      </c>
      <c r="G1271" s="1" t="s">
        <v>4578</v>
      </c>
      <c r="H1271" s="1" t="s">
        <v>15</v>
      </c>
      <c r="I1271" t="b">
        <f>COUNTIF(Estadísticas!I:I,'Centraldecomunicacion.es'!H1271)&gt;0</f>
        <v>0</v>
      </c>
    </row>
    <row r="1272" spans="1:9">
      <c r="A1272" s="1" t="s">
        <v>4579</v>
      </c>
      <c r="B1272" s="1" t="s">
        <v>10</v>
      </c>
      <c r="C1272" s="1" t="s">
        <v>4580</v>
      </c>
      <c r="D1272" s="1" t="s">
        <v>1651</v>
      </c>
      <c r="E1272" s="1" t="s">
        <v>1651</v>
      </c>
      <c r="F1272" s="1" t="s">
        <v>23</v>
      </c>
      <c r="G1272" s="1" t="s">
        <v>4581</v>
      </c>
      <c r="H1272" s="1" t="s">
        <v>15</v>
      </c>
      <c r="I1272" t="b">
        <f>COUNTIF(Estadísticas!I:I,'Centraldecomunicacion.es'!H1272)&gt;0</f>
        <v>0</v>
      </c>
    </row>
    <row r="1273" spans="1:9">
      <c r="A1273" s="1" t="s">
        <v>4582</v>
      </c>
      <c r="B1273" s="1" t="s">
        <v>10</v>
      </c>
      <c r="C1273" s="1" t="s">
        <v>4583</v>
      </c>
      <c r="D1273" s="1" t="s">
        <v>1651</v>
      </c>
      <c r="E1273" s="1" t="s">
        <v>1651</v>
      </c>
      <c r="F1273" s="1" t="s">
        <v>23</v>
      </c>
      <c r="G1273" s="1" t="s">
        <v>4584</v>
      </c>
      <c r="H1273" s="1" t="s">
        <v>15</v>
      </c>
      <c r="I1273" t="b">
        <f>COUNTIF(Estadísticas!I:I,'Centraldecomunicacion.es'!H1273)&gt;0</f>
        <v>0</v>
      </c>
    </row>
    <row r="1274" spans="1:9">
      <c r="A1274" s="1" t="s">
        <v>4585</v>
      </c>
      <c r="B1274" s="1" t="s">
        <v>10</v>
      </c>
      <c r="C1274" s="1" t="s">
        <v>4586</v>
      </c>
      <c r="D1274" s="1" t="s">
        <v>1651</v>
      </c>
      <c r="E1274" s="1" t="s">
        <v>1651</v>
      </c>
      <c r="F1274" s="1" t="s">
        <v>23</v>
      </c>
      <c r="G1274" s="1" t="s">
        <v>4587</v>
      </c>
      <c r="H1274" s="1" t="s">
        <v>15</v>
      </c>
      <c r="I1274" t="b">
        <f>COUNTIF(Estadísticas!I:I,'Centraldecomunicacion.es'!H1274)&gt;0</f>
        <v>0</v>
      </c>
    </row>
    <row r="1275" spans="1:9">
      <c r="A1275" s="1" t="s">
        <v>4588</v>
      </c>
      <c r="B1275" s="1" t="s">
        <v>10</v>
      </c>
      <c r="C1275" s="1" t="s">
        <v>4589</v>
      </c>
      <c r="D1275" s="1" t="s">
        <v>4509</v>
      </c>
      <c r="E1275" s="1" t="s">
        <v>1651</v>
      </c>
      <c r="F1275" s="1" t="s">
        <v>23</v>
      </c>
      <c r="G1275" s="1" t="s">
        <v>4590</v>
      </c>
      <c r="H1275" s="1" t="s">
        <v>15</v>
      </c>
      <c r="I1275" t="b">
        <f>COUNTIF(Estadísticas!I:I,'Centraldecomunicacion.es'!H1275)&gt;0</f>
        <v>0</v>
      </c>
    </row>
    <row r="1276" spans="1:9">
      <c r="A1276" s="1" t="s">
        <v>4591</v>
      </c>
      <c r="B1276" s="1" t="s">
        <v>10</v>
      </c>
      <c r="C1276" s="1" t="s">
        <v>4592</v>
      </c>
      <c r="D1276" s="1" t="s">
        <v>1651</v>
      </c>
      <c r="E1276" s="1" t="s">
        <v>1651</v>
      </c>
      <c r="F1276" s="1" t="s">
        <v>23</v>
      </c>
      <c r="G1276" s="1" t="s">
        <v>4593</v>
      </c>
      <c r="H1276" s="1" t="s">
        <v>15</v>
      </c>
      <c r="I1276" t="b">
        <f>COUNTIF(Estadísticas!I:I,'Centraldecomunicacion.es'!H1276)&gt;0</f>
        <v>0</v>
      </c>
    </row>
    <row r="1277" spans="1:9">
      <c r="A1277" s="1" t="s">
        <v>4594</v>
      </c>
      <c r="B1277" s="1" t="s">
        <v>10</v>
      </c>
      <c r="C1277" s="1" t="s">
        <v>4595</v>
      </c>
      <c r="D1277" s="1" t="s">
        <v>1651</v>
      </c>
      <c r="E1277" s="1" t="s">
        <v>1651</v>
      </c>
      <c r="F1277" s="1" t="s">
        <v>4596</v>
      </c>
      <c r="G1277" s="1" t="s">
        <v>4597</v>
      </c>
      <c r="H1277" s="1" t="s">
        <v>4598</v>
      </c>
      <c r="I1277" t="b">
        <f>COUNTIF(Estadísticas!I:I,'Centraldecomunicacion.es'!H1277)&gt;0</f>
        <v>0</v>
      </c>
    </row>
    <row r="1278" spans="1:9">
      <c r="A1278" s="1" t="s">
        <v>4599</v>
      </c>
      <c r="B1278" s="1" t="s">
        <v>10</v>
      </c>
      <c r="C1278" s="1" t="s">
        <v>4600</v>
      </c>
      <c r="D1278" s="1" t="s">
        <v>1651</v>
      </c>
      <c r="E1278" s="1" t="s">
        <v>1651</v>
      </c>
      <c r="F1278" s="1" t="s">
        <v>4601</v>
      </c>
      <c r="G1278" s="1" t="s">
        <v>4602</v>
      </c>
      <c r="H1278" s="1" t="s">
        <v>4603</v>
      </c>
      <c r="I1278" t="b">
        <f>COUNTIF(Estadísticas!I:I,'Centraldecomunicacion.es'!H1278)&gt;0</f>
        <v>1</v>
      </c>
    </row>
    <row r="1279" spans="1:9">
      <c r="A1279" s="1" t="s">
        <v>4604</v>
      </c>
      <c r="B1279" s="1" t="s">
        <v>10</v>
      </c>
      <c r="C1279" s="1" t="s">
        <v>4605</v>
      </c>
      <c r="D1279" s="1" t="s">
        <v>1651</v>
      </c>
      <c r="E1279" s="1" t="s">
        <v>1651</v>
      </c>
      <c r="F1279" s="1" t="s">
        <v>811</v>
      </c>
      <c r="G1279" s="1" t="s">
        <v>4606</v>
      </c>
      <c r="H1279" s="1" t="s">
        <v>15</v>
      </c>
      <c r="I1279" t="b">
        <f>COUNTIF(Estadísticas!I:I,'Centraldecomunicacion.es'!H1279)&gt;0</f>
        <v>0</v>
      </c>
    </row>
    <row r="1280" spans="1:9">
      <c r="A1280" s="1" t="s">
        <v>4607</v>
      </c>
      <c r="B1280" s="1" t="s">
        <v>10</v>
      </c>
      <c r="C1280" s="1" t="s">
        <v>4608</v>
      </c>
      <c r="D1280" s="1" t="s">
        <v>1651</v>
      </c>
      <c r="E1280" s="1" t="s">
        <v>1651</v>
      </c>
      <c r="F1280" s="1" t="s">
        <v>23</v>
      </c>
      <c r="G1280" s="1" t="s">
        <v>4609</v>
      </c>
      <c r="H1280" s="1" t="s">
        <v>15</v>
      </c>
      <c r="I1280" t="b">
        <f>COUNTIF(Estadísticas!I:I,'Centraldecomunicacion.es'!H1280)&gt;0</f>
        <v>0</v>
      </c>
    </row>
    <row r="1281" spans="1:9">
      <c r="A1281" s="1" t="s">
        <v>4610</v>
      </c>
      <c r="B1281" s="1" t="s">
        <v>10</v>
      </c>
      <c r="C1281" s="1" t="s">
        <v>4611</v>
      </c>
      <c r="D1281" s="1" t="s">
        <v>1651</v>
      </c>
      <c r="E1281" s="1" t="s">
        <v>1651</v>
      </c>
      <c r="F1281" s="1" t="s">
        <v>23</v>
      </c>
      <c r="G1281" s="1" t="s">
        <v>23</v>
      </c>
      <c r="H1281" s="1" t="s">
        <v>15</v>
      </c>
      <c r="I1281" t="b">
        <f>COUNTIF(Estadísticas!I:I,'Centraldecomunicacion.es'!H1281)&gt;0</f>
        <v>0</v>
      </c>
    </row>
    <row r="1282" spans="1:9">
      <c r="A1282" s="1" t="s">
        <v>4612</v>
      </c>
      <c r="B1282" s="1" t="s">
        <v>10</v>
      </c>
      <c r="C1282" s="1" t="s">
        <v>23</v>
      </c>
      <c r="D1282" s="1" t="s">
        <v>4613</v>
      </c>
      <c r="E1282" s="1" t="s">
        <v>23</v>
      </c>
      <c r="F1282" s="1" t="s">
        <v>4614</v>
      </c>
      <c r="G1282" s="1" t="s">
        <v>4615</v>
      </c>
      <c r="H1282" s="1" t="s">
        <v>4616</v>
      </c>
      <c r="I1282" t="b">
        <f>COUNTIF(Estadísticas!I:I,'Centraldecomunicacion.es'!H1282)&gt;0</f>
        <v>0</v>
      </c>
    </row>
    <row r="1283" spans="1:9">
      <c r="A1283" s="1" t="s">
        <v>4617</v>
      </c>
      <c r="B1283" s="1" t="s">
        <v>10</v>
      </c>
      <c r="C1283" s="1" t="s">
        <v>4618</v>
      </c>
      <c r="D1283" s="1" t="s">
        <v>1651</v>
      </c>
      <c r="E1283" s="1" t="s">
        <v>1651</v>
      </c>
      <c r="F1283" s="1" t="s">
        <v>4619</v>
      </c>
      <c r="G1283" s="1" t="s">
        <v>4620</v>
      </c>
      <c r="H1283" s="1" t="s">
        <v>4621</v>
      </c>
      <c r="I1283" t="b">
        <f>COUNTIF(Estadísticas!I:I,'Centraldecomunicacion.es'!H1283)&gt;0</f>
        <v>0</v>
      </c>
    </row>
    <row r="1284" spans="1:9">
      <c r="A1284" s="1" t="s">
        <v>4622</v>
      </c>
      <c r="B1284" s="1" t="s">
        <v>10</v>
      </c>
      <c r="C1284" s="1" t="s">
        <v>4623</v>
      </c>
      <c r="D1284" s="1" t="s">
        <v>1651</v>
      </c>
      <c r="E1284" s="1" t="s">
        <v>1651</v>
      </c>
      <c r="F1284" s="1" t="s">
        <v>23</v>
      </c>
      <c r="G1284" s="1" t="s">
        <v>4624</v>
      </c>
      <c r="H1284" s="1" t="s">
        <v>15</v>
      </c>
      <c r="I1284" t="b">
        <f>COUNTIF(Estadísticas!I:I,'Centraldecomunicacion.es'!H1284)&gt;0</f>
        <v>0</v>
      </c>
    </row>
    <row r="1285" spans="1:9">
      <c r="A1285" s="1" t="s">
        <v>4625</v>
      </c>
      <c r="B1285" s="1" t="s">
        <v>10</v>
      </c>
      <c r="C1285" s="1" t="s">
        <v>4626</v>
      </c>
      <c r="D1285" s="1" t="s">
        <v>4627</v>
      </c>
      <c r="E1285" s="1" t="s">
        <v>1651</v>
      </c>
      <c r="F1285" s="1" t="s">
        <v>23</v>
      </c>
      <c r="G1285" s="1" t="s">
        <v>4628</v>
      </c>
      <c r="H1285" s="1" t="s">
        <v>15</v>
      </c>
      <c r="I1285" t="b">
        <f>COUNTIF(Estadísticas!I:I,'Centraldecomunicacion.es'!H1285)&gt;0</f>
        <v>0</v>
      </c>
    </row>
    <row r="1286" spans="1:9">
      <c r="A1286" s="1" t="s">
        <v>4629</v>
      </c>
      <c r="B1286" s="1" t="s">
        <v>10</v>
      </c>
      <c r="C1286" s="1" t="s">
        <v>4630</v>
      </c>
      <c r="D1286" s="1" t="s">
        <v>1651</v>
      </c>
      <c r="E1286" s="1" t="s">
        <v>1651</v>
      </c>
      <c r="F1286" s="1" t="s">
        <v>4631</v>
      </c>
      <c r="G1286" s="1" t="s">
        <v>4632</v>
      </c>
      <c r="H1286" s="1" t="s">
        <v>15</v>
      </c>
      <c r="I1286" t="b">
        <f>COUNTIF(Estadísticas!I:I,'Centraldecomunicacion.es'!H1286)&gt;0</f>
        <v>0</v>
      </c>
    </row>
    <row r="1287" spans="1:9">
      <c r="A1287" s="1" t="s">
        <v>4633</v>
      </c>
      <c r="B1287" s="1" t="s">
        <v>10</v>
      </c>
      <c r="C1287" s="1" t="s">
        <v>4634</v>
      </c>
      <c r="D1287" s="1" t="s">
        <v>1651</v>
      </c>
      <c r="E1287" s="1" t="s">
        <v>1651</v>
      </c>
      <c r="F1287" s="1" t="s">
        <v>23</v>
      </c>
      <c r="G1287" s="1" t="s">
        <v>23</v>
      </c>
      <c r="H1287" s="1" t="s">
        <v>15</v>
      </c>
      <c r="I1287" t="b">
        <f>COUNTIF(Estadísticas!I:I,'Centraldecomunicacion.es'!H1287)&gt;0</f>
        <v>0</v>
      </c>
    </row>
    <row r="1288" spans="1:9">
      <c r="A1288" s="1" t="s">
        <v>4635</v>
      </c>
      <c r="B1288" s="1" t="s">
        <v>10</v>
      </c>
      <c r="C1288" s="1" t="s">
        <v>4636</v>
      </c>
      <c r="D1288" s="1" t="s">
        <v>1651</v>
      </c>
      <c r="E1288" s="1" t="s">
        <v>1651</v>
      </c>
      <c r="F1288" s="1" t="s">
        <v>23</v>
      </c>
      <c r="G1288" s="1" t="s">
        <v>23</v>
      </c>
      <c r="H1288" s="1" t="s">
        <v>15</v>
      </c>
      <c r="I1288" t="b">
        <f>COUNTIF(Estadísticas!I:I,'Centraldecomunicacion.es'!H1288)&gt;0</f>
        <v>0</v>
      </c>
    </row>
    <row r="1289" spans="1:9">
      <c r="A1289" s="1" t="s">
        <v>4637</v>
      </c>
      <c r="B1289" s="1" t="s">
        <v>10</v>
      </c>
      <c r="C1289" s="1" t="s">
        <v>4638</v>
      </c>
      <c r="D1289" s="1" t="s">
        <v>1651</v>
      </c>
      <c r="E1289" s="1" t="s">
        <v>1651</v>
      </c>
      <c r="F1289" s="1" t="s">
        <v>4619</v>
      </c>
      <c r="G1289" s="1" t="s">
        <v>4639</v>
      </c>
      <c r="H1289" s="1" t="s">
        <v>4621</v>
      </c>
      <c r="I1289" t="b">
        <f>COUNTIF(Estadísticas!I:I,'Centraldecomunicacion.es'!H1289)&gt;0</f>
        <v>0</v>
      </c>
    </row>
    <row r="1290" spans="1:9">
      <c r="A1290" s="1" t="s">
        <v>4640</v>
      </c>
      <c r="B1290" s="1" t="s">
        <v>10</v>
      </c>
      <c r="C1290" s="1" t="s">
        <v>4641</v>
      </c>
      <c r="D1290" s="1" t="s">
        <v>1651</v>
      </c>
      <c r="E1290" s="1" t="s">
        <v>1651</v>
      </c>
      <c r="F1290" s="1" t="s">
        <v>4642</v>
      </c>
      <c r="G1290" s="1" t="s">
        <v>4643</v>
      </c>
      <c r="H1290" s="1" t="s">
        <v>4644</v>
      </c>
      <c r="I1290" t="b">
        <f>COUNTIF(Estadísticas!I:I,'Centraldecomunicacion.es'!H1290)&gt;0</f>
        <v>1</v>
      </c>
    </row>
    <row r="1291" spans="1:9">
      <c r="A1291" s="1" t="s">
        <v>4645</v>
      </c>
      <c r="B1291" s="1" t="s">
        <v>10</v>
      </c>
      <c r="C1291" s="1" t="s">
        <v>4646</v>
      </c>
      <c r="D1291" s="1" t="s">
        <v>4509</v>
      </c>
      <c r="E1291" s="1" t="s">
        <v>1651</v>
      </c>
      <c r="F1291" s="1" t="s">
        <v>23</v>
      </c>
      <c r="G1291" s="1" t="s">
        <v>4647</v>
      </c>
      <c r="H1291" s="1" t="s">
        <v>15</v>
      </c>
      <c r="I1291" t="b">
        <f>COUNTIF(Estadísticas!I:I,'Centraldecomunicacion.es'!H1291)&gt;0</f>
        <v>0</v>
      </c>
    </row>
    <row r="1292" spans="1:9">
      <c r="A1292" s="1" t="s">
        <v>4648</v>
      </c>
      <c r="B1292" s="1" t="s">
        <v>10</v>
      </c>
      <c r="C1292" s="1" t="s">
        <v>4649</v>
      </c>
      <c r="D1292" s="1" t="s">
        <v>1651</v>
      </c>
      <c r="E1292" s="1" t="s">
        <v>1651</v>
      </c>
      <c r="F1292" s="1" t="s">
        <v>4650</v>
      </c>
      <c r="G1292" s="1" t="s">
        <v>4651</v>
      </c>
      <c r="H1292" s="1" t="s">
        <v>15</v>
      </c>
      <c r="I1292" t="b">
        <f>COUNTIF(Estadísticas!I:I,'Centraldecomunicacion.es'!H1292)&gt;0</f>
        <v>0</v>
      </c>
    </row>
    <row r="1293" spans="1:9">
      <c r="A1293" s="1" t="s">
        <v>4652</v>
      </c>
      <c r="B1293" s="1" t="s">
        <v>10</v>
      </c>
      <c r="C1293" s="1" t="s">
        <v>4653</v>
      </c>
      <c r="D1293" s="1" t="s">
        <v>1651</v>
      </c>
      <c r="E1293" s="1" t="s">
        <v>1651</v>
      </c>
      <c r="F1293" s="1" t="s">
        <v>23</v>
      </c>
      <c r="G1293" s="1" t="s">
        <v>4654</v>
      </c>
      <c r="H1293" s="1" t="s">
        <v>15</v>
      </c>
      <c r="I1293" t="b">
        <f>COUNTIF(Estadísticas!I:I,'Centraldecomunicacion.es'!H1293)&gt;0</f>
        <v>0</v>
      </c>
    </row>
    <row r="1294" spans="1:9">
      <c r="A1294" s="1" t="s">
        <v>4655</v>
      </c>
      <c r="B1294" s="1" t="s">
        <v>10</v>
      </c>
      <c r="C1294" s="1" t="s">
        <v>4656</v>
      </c>
      <c r="D1294" s="1" t="s">
        <v>4350</v>
      </c>
      <c r="E1294" s="1" t="s">
        <v>1651</v>
      </c>
      <c r="F1294" s="1" t="s">
        <v>23</v>
      </c>
      <c r="G1294" s="1" t="s">
        <v>4657</v>
      </c>
      <c r="H1294" s="1" t="s">
        <v>15</v>
      </c>
      <c r="I1294" t="b">
        <f>COUNTIF(Estadísticas!I:I,'Centraldecomunicacion.es'!H1294)&gt;0</f>
        <v>0</v>
      </c>
    </row>
    <row r="1295" spans="1:9">
      <c r="A1295" s="1" t="s">
        <v>4658</v>
      </c>
      <c r="B1295" s="1" t="s">
        <v>10</v>
      </c>
      <c r="C1295" s="1" t="s">
        <v>4659</v>
      </c>
      <c r="D1295" s="1" t="s">
        <v>4509</v>
      </c>
      <c r="E1295" s="1" t="s">
        <v>1651</v>
      </c>
      <c r="F1295" s="1" t="s">
        <v>4660</v>
      </c>
      <c r="G1295" s="1" t="s">
        <v>4661</v>
      </c>
      <c r="H1295" s="1" t="s">
        <v>4662</v>
      </c>
      <c r="I1295" t="b">
        <f>COUNTIF(Estadísticas!I:I,'Centraldecomunicacion.es'!H1295)&gt;0</f>
        <v>0</v>
      </c>
    </row>
    <row r="1296" spans="1:9">
      <c r="A1296" s="1" t="s">
        <v>4663</v>
      </c>
      <c r="B1296" s="1" t="s">
        <v>10</v>
      </c>
      <c r="C1296" s="1" t="s">
        <v>4664</v>
      </c>
      <c r="D1296" s="1" t="s">
        <v>1651</v>
      </c>
      <c r="E1296" s="1" t="s">
        <v>1651</v>
      </c>
      <c r="F1296" s="1" t="s">
        <v>23</v>
      </c>
      <c r="G1296" s="1" t="s">
        <v>23</v>
      </c>
      <c r="H1296" s="1" t="s">
        <v>15</v>
      </c>
      <c r="I1296" t="b">
        <f>COUNTIF(Estadísticas!I:I,'Centraldecomunicacion.es'!H1296)&gt;0</f>
        <v>0</v>
      </c>
    </row>
    <row r="1297" spans="1:9">
      <c r="A1297" s="1" t="s">
        <v>4665</v>
      </c>
      <c r="B1297" s="1" t="s">
        <v>10</v>
      </c>
      <c r="C1297" s="1" t="s">
        <v>4666</v>
      </c>
      <c r="D1297" s="1" t="s">
        <v>4350</v>
      </c>
      <c r="E1297" s="1" t="s">
        <v>1651</v>
      </c>
      <c r="F1297" s="1" t="s">
        <v>23</v>
      </c>
      <c r="G1297" s="1" t="s">
        <v>4667</v>
      </c>
      <c r="H1297" s="1" t="s">
        <v>15</v>
      </c>
      <c r="I1297" t="b">
        <f>COUNTIF(Estadísticas!I:I,'Centraldecomunicacion.es'!H1297)&gt;0</f>
        <v>0</v>
      </c>
    </row>
    <row r="1298" spans="1:9">
      <c r="A1298" s="1" t="s">
        <v>4668</v>
      </c>
      <c r="B1298" s="1" t="s">
        <v>10</v>
      </c>
      <c r="C1298" s="1" t="s">
        <v>4669</v>
      </c>
      <c r="D1298" s="1" t="s">
        <v>4509</v>
      </c>
      <c r="E1298" s="1" t="s">
        <v>1651</v>
      </c>
      <c r="F1298" s="1" t="s">
        <v>4670</v>
      </c>
      <c r="G1298" s="1" t="s">
        <v>4671</v>
      </c>
      <c r="H1298" s="1" t="s">
        <v>15</v>
      </c>
      <c r="I1298" t="b">
        <f>COUNTIF(Estadísticas!I:I,'Centraldecomunicacion.es'!H1298)&gt;0</f>
        <v>0</v>
      </c>
    </row>
    <row r="1299" spans="1:9">
      <c r="A1299" s="1" t="s">
        <v>4672</v>
      </c>
      <c r="B1299" s="1" t="s">
        <v>10</v>
      </c>
      <c r="C1299" s="1" t="s">
        <v>4673</v>
      </c>
      <c r="D1299" s="1" t="s">
        <v>4509</v>
      </c>
      <c r="E1299" s="1" t="s">
        <v>1651</v>
      </c>
      <c r="F1299" s="1" t="s">
        <v>4674</v>
      </c>
      <c r="G1299" s="1" t="s">
        <v>4675</v>
      </c>
      <c r="H1299" s="1" t="s">
        <v>4676</v>
      </c>
      <c r="I1299" t="b">
        <f>COUNTIF(Estadísticas!I:I,'Centraldecomunicacion.es'!H1299)&gt;0</f>
        <v>1</v>
      </c>
    </row>
    <row r="1300" spans="1:9">
      <c r="A1300" s="1" t="s">
        <v>4677</v>
      </c>
      <c r="B1300" s="1" t="s">
        <v>10</v>
      </c>
      <c r="C1300" s="1" t="s">
        <v>4678</v>
      </c>
      <c r="D1300" s="1" t="s">
        <v>1651</v>
      </c>
      <c r="E1300" s="1" t="s">
        <v>1651</v>
      </c>
      <c r="F1300" s="1" t="s">
        <v>4679</v>
      </c>
      <c r="G1300" s="1" t="s">
        <v>4680</v>
      </c>
      <c r="H1300" s="1" t="s">
        <v>4681</v>
      </c>
      <c r="I1300" t="b">
        <f>COUNTIF(Estadísticas!I:I,'Centraldecomunicacion.es'!H1300)&gt;0</f>
        <v>0</v>
      </c>
    </row>
    <row r="1301" spans="1:9">
      <c r="A1301" s="1" t="s">
        <v>4682</v>
      </c>
      <c r="B1301" s="1" t="s">
        <v>10</v>
      </c>
      <c r="C1301" s="1" t="s">
        <v>4683</v>
      </c>
      <c r="D1301" s="1" t="s">
        <v>4509</v>
      </c>
      <c r="E1301" s="1" t="s">
        <v>1651</v>
      </c>
      <c r="F1301" s="1" t="s">
        <v>23</v>
      </c>
      <c r="G1301" s="1" t="s">
        <v>23</v>
      </c>
      <c r="H1301" s="1" t="s">
        <v>15</v>
      </c>
      <c r="I1301" t="b">
        <f>COUNTIF(Estadísticas!I:I,'Centraldecomunicacion.es'!H1301)&gt;0</f>
        <v>0</v>
      </c>
    </row>
    <row r="1302" spans="1:9">
      <c r="A1302" s="1" t="s">
        <v>4684</v>
      </c>
      <c r="B1302" s="1" t="s">
        <v>10</v>
      </c>
      <c r="C1302" s="1" t="s">
        <v>4685</v>
      </c>
      <c r="D1302" s="1" t="s">
        <v>4686</v>
      </c>
      <c r="E1302" s="1" t="s">
        <v>1651</v>
      </c>
      <c r="F1302" s="1" t="s">
        <v>4687</v>
      </c>
      <c r="G1302" s="1" t="s">
        <v>4688</v>
      </c>
      <c r="H1302" s="1" t="s">
        <v>4689</v>
      </c>
      <c r="I1302" t="b">
        <f>COUNTIF(Estadísticas!I:I,'Centraldecomunicacion.es'!H1302)&gt;0</f>
        <v>0</v>
      </c>
    </row>
    <row r="1303" spans="1:9">
      <c r="A1303" s="1" t="s">
        <v>4690</v>
      </c>
      <c r="B1303" s="1" t="s">
        <v>10</v>
      </c>
      <c r="C1303" s="1" t="s">
        <v>4691</v>
      </c>
      <c r="D1303" s="1" t="s">
        <v>1651</v>
      </c>
      <c r="E1303" s="1" t="s">
        <v>1651</v>
      </c>
      <c r="F1303" s="1" t="s">
        <v>23</v>
      </c>
      <c r="G1303" s="1" t="s">
        <v>4692</v>
      </c>
      <c r="H1303" s="1" t="s">
        <v>15</v>
      </c>
      <c r="I1303" t="b">
        <f>COUNTIF(Estadísticas!I:I,'Centraldecomunicacion.es'!H1303)&gt;0</f>
        <v>0</v>
      </c>
    </row>
    <row r="1304" spans="1:9">
      <c r="A1304" s="1" t="s">
        <v>4693</v>
      </c>
      <c r="B1304" s="1" t="s">
        <v>10</v>
      </c>
      <c r="C1304" s="1" t="s">
        <v>4694</v>
      </c>
      <c r="D1304" s="1" t="s">
        <v>4350</v>
      </c>
      <c r="E1304" s="1" t="s">
        <v>1651</v>
      </c>
      <c r="F1304" s="1" t="s">
        <v>23</v>
      </c>
      <c r="G1304" s="1" t="s">
        <v>4695</v>
      </c>
      <c r="H1304" s="1" t="s">
        <v>15</v>
      </c>
      <c r="I1304" t="b">
        <f>COUNTIF(Estadísticas!I:I,'Centraldecomunicacion.es'!H1304)&gt;0</f>
        <v>0</v>
      </c>
    </row>
    <row r="1305" spans="1:9">
      <c r="A1305" s="1" t="s">
        <v>4696</v>
      </c>
      <c r="B1305" s="1" t="s">
        <v>10</v>
      </c>
      <c r="C1305" s="1" t="s">
        <v>4697</v>
      </c>
      <c r="D1305" s="1" t="s">
        <v>4509</v>
      </c>
      <c r="E1305" s="1" t="s">
        <v>1651</v>
      </c>
      <c r="F1305" s="1" t="s">
        <v>23</v>
      </c>
      <c r="G1305" s="1" t="s">
        <v>23</v>
      </c>
      <c r="H1305" s="1" t="s">
        <v>15</v>
      </c>
      <c r="I1305" t="b">
        <f>COUNTIF(Estadísticas!I:I,'Centraldecomunicacion.es'!H1305)&gt;0</f>
        <v>0</v>
      </c>
    </row>
    <row r="1306" spans="1:9">
      <c r="A1306" s="1" t="s">
        <v>4698</v>
      </c>
      <c r="B1306" s="1" t="s">
        <v>10</v>
      </c>
      <c r="C1306" s="1" t="s">
        <v>4699</v>
      </c>
      <c r="D1306" s="1" t="s">
        <v>1651</v>
      </c>
      <c r="E1306" s="1" t="s">
        <v>1651</v>
      </c>
      <c r="F1306" s="1" t="s">
        <v>23</v>
      </c>
      <c r="G1306" s="1" t="s">
        <v>4700</v>
      </c>
      <c r="H1306" s="1" t="s">
        <v>15</v>
      </c>
      <c r="I1306" t="b">
        <f>COUNTIF(Estadísticas!I:I,'Centraldecomunicacion.es'!H1306)&gt;0</f>
        <v>0</v>
      </c>
    </row>
    <row r="1307" spans="1:9">
      <c r="A1307" s="1" t="s">
        <v>4701</v>
      </c>
      <c r="B1307" s="1" t="s">
        <v>10</v>
      </c>
      <c r="C1307" s="1" t="s">
        <v>4702</v>
      </c>
      <c r="D1307" s="1" t="s">
        <v>4703</v>
      </c>
      <c r="E1307" s="1" t="s">
        <v>1651</v>
      </c>
      <c r="F1307" s="1" t="s">
        <v>81</v>
      </c>
      <c r="G1307" s="1" t="s">
        <v>4704</v>
      </c>
      <c r="H1307" s="1" t="s">
        <v>83</v>
      </c>
      <c r="I1307" t="b">
        <f>COUNTIF(Estadísticas!I:I,'Centraldecomunicacion.es'!H1307)&gt;0</f>
        <v>0</v>
      </c>
    </row>
    <row r="1308" spans="1:9">
      <c r="A1308" s="1" t="s">
        <v>4705</v>
      </c>
      <c r="B1308" s="1" t="s">
        <v>10</v>
      </c>
      <c r="C1308" s="1" t="s">
        <v>4706</v>
      </c>
      <c r="D1308" s="1" t="s">
        <v>4627</v>
      </c>
      <c r="E1308" s="1" t="s">
        <v>1651</v>
      </c>
      <c r="F1308" s="1" t="s">
        <v>23</v>
      </c>
      <c r="G1308" s="1" t="s">
        <v>4707</v>
      </c>
      <c r="H1308" s="1" t="s">
        <v>15</v>
      </c>
      <c r="I1308" t="b">
        <f>COUNTIF(Estadísticas!I:I,'Centraldecomunicacion.es'!H1308)&gt;0</f>
        <v>0</v>
      </c>
    </row>
    <row r="1309" spans="1:9">
      <c r="A1309" s="1" t="s">
        <v>4708</v>
      </c>
      <c r="B1309" s="1" t="s">
        <v>10</v>
      </c>
      <c r="C1309" s="1" t="s">
        <v>4709</v>
      </c>
      <c r="D1309" s="1" t="s">
        <v>4627</v>
      </c>
      <c r="E1309" s="1" t="s">
        <v>1651</v>
      </c>
      <c r="F1309" s="1" t="s">
        <v>23</v>
      </c>
      <c r="G1309" s="1" t="s">
        <v>4710</v>
      </c>
      <c r="H1309" s="1" t="s">
        <v>15</v>
      </c>
      <c r="I1309" t="b">
        <f>COUNTIF(Estadísticas!I:I,'Centraldecomunicacion.es'!H1309)&gt;0</f>
        <v>0</v>
      </c>
    </row>
    <row r="1310" spans="1:9">
      <c r="A1310" s="1" t="s">
        <v>4538</v>
      </c>
      <c r="B1310" s="1" t="s">
        <v>10</v>
      </c>
      <c r="C1310" s="1" t="s">
        <v>4711</v>
      </c>
      <c r="D1310" s="1" t="s">
        <v>4712</v>
      </c>
      <c r="E1310" s="1" t="s">
        <v>1651</v>
      </c>
      <c r="F1310" s="1" t="s">
        <v>4713</v>
      </c>
      <c r="G1310" s="1" t="s">
        <v>4714</v>
      </c>
      <c r="H1310" s="1" t="s">
        <v>15</v>
      </c>
      <c r="I1310" t="b">
        <f>COUNTIF(Estadísticas!I:I,'Centraldecomunicacion.es'!H1310)&gt;0</f>
        <v>0</v>
      </c>
    </row>
    <row r="1311" spans="1:9">
      <c r="A1311" s="1" t="s">
        <v>4715</v>
      </c>
      <c r="B1311" s="1" t="s">
        <v>10</v>
      </c>
      <c r="C1311" s="1" t="s">
        <v>4716</v>
      </c>
      <c r="D1311" s="1" t="s">
        <v>4350</v>
      </c>
      <c r="E1311" s="1" t="s">
        <v>1651</v>
      </c>
      <c r="F1311" s="1" t="s">
        <v>4717</v>
      </c>
      <c r="G1311" s="1" t="s">
        <v>4718</v>
      </c>
      <c r="H1311" s="1" t="s">
        <v>4719</v>
      </c>
      <c r="I1311" t="b">
        <f>COUNTIF(Estadísticas!I:I,'Centraldecomunicacion.es'!H1311)&gt;0</f>
        <v>0</v>
      </c>
    </row>
    <row r="1312" spans="1:9">
      <c r="A1312" s="1" t="s">
        <v>4720</v>
      </c>
      <c r="B1312" s="1" t="s">
        <v>10</v>
      </c>
      <c r="C1312" s="1" t="s">
        <v>4721</v>
      </c>
      <c r="D1312" s="1" t="s">
        <v>4509</v>
      </c>
      <c r="E1312" s="1" t="s">
        <v>1651</v>
      </c>
      <c r="F1312" s="1" t="s">
        <v>4722</v>
      </c>
      <c r="G1312" s="1" t="s">
        <v>4723</v>
      </c>
      <c r="H1312" s="1" t="s">
        <v>1600</v>
      </c>
      <c r="I1312" t="b">
        <f>COUNTIF(Estadísticas!I:I,'Centraldecomunicacion.es'!H1312)&gt;0</f>
        <v>0</v>
      </c>
    </row>
    <row r="1313" spans="1:9">
      <c r="A1313" s="1" t="s">
        <v>4724</v>
      </c>
      <c r="B1313" s="1" t="s">
        <v>10</v>
      </c>
      <c r="C1313" s="1" t="s">
        <v>4725</v>
      </c>
      <c r="D1313" s="1" t="s">
        <v>4726</v>
      </c>
      <c r="E1313" s="1" t="s">
        <v>1651</v>
      </c>
      <c r="F1313" s="1" t="s">
        <v>23</v>
      </c>
      <c r="G1313" s="1" t="s">
        <v>4727</v>
      </c>
      <c r="H1313" s="1" t="s">
        <v>15</v>
      </c>
      <c r="I1313" t="b">
        <f>COUNTIF(Estadísticas!I:I,'Centraldecomunicacion.es'!H1313)&gt;0</f>
        <v>0</v>
      </c>
    </row>
    <row r="1314" spans="1:9">
      <c r="A1314" s="1" t="s">
        <v>4728</v>
      </c>
      <c r="B1314" s="1" t="s">
        <v>10</v>
      </c>
      <c r="C1314" s="1" t="s">
        <v>4729</v>
      </c>
      <c r="D1314" s="1" t="s">
        <v>4730</v>
      </c>
      <c r="E1314" s="1" t="s">
        <v>1651</v>
      </c>
      <c r="F1314" s="1" t="s">
        <v>4731</v>
      </c>
      <c r="G1314" s="1" t="s">
        <v>4732</v>
      </c>
      <c r="H1314" s="1" t="s">
        <v>4733</v>
      </c>
      <c r="I1314" t="b">
        <f>COUNTIF(Estadísticas!I:I,'Centraldecomunicacion.es'!H1314)&gt;0</f>
        <v>0</v>
      </c>
    </row>
    <row r="1315" spans="1:9">
      <c r="A1315" s="1" t="s">
        <v>4734</v>
      </c>
      <c r="B1315" s="1" t="s">
        <v>10</v>
      </c>
      <c r="C1315" s="1" t="s">
        <v>4735</v>
      </c>
      <c r="D1315" s="1" t="s">
        <v>4736</v>
      </c>
      <c r="E1315" s="1" t="s">
        <v>1651</v>
      </c>
      <c r="F1315" s="1" t="s">
        <v>23</v>
      </c>
      <c r="G1315" s="1" t="s">
        <v>4737</v>
      </c>
      <c r="H1315" s="1" t="s">
        <v>15</v>
      </c>
      <c r="I1315" t="b">
        <f>COUNTIF(Estadísticas!I:I,'Centraldecomunicacion.es'!H1315)&gt;0</f>
        <v>0</v>
      </c>
    </row>
    <row r="1316" spans="1:9">
      <c r="A1316" s="1" t="s">
        <v>4738</v>
      </c>
      <c r="B1316" s="1" t="s">
        <v>10</v>
      </c>
      <c r="C1316" s="1" t="s">
        <v>4739</v>
      </c>
      <c r="D1316" s="1" t="s">
        <v>4703</v>
      </c>
      <c r="E1316" s="1" t="s">
        <v>1651</v>
      </c>
      <c r="F1316" s="1" t="s">
        <v>4740</v>
      </c>
      <c r="G1316" s="1" t="s">
        <v>4741</v>
      </c>
      <c r="H1316" s="1" t="s">
        <v>15</v>
      </c>
      <c r="I1316" t="b">
        <f>COUNTIF(Estadísticas!I:I,'Centraldecomunicacion.es'!H1316)&gt;0</f>
        <v>0</v>
      </c>
    </row>
    <row r="1317" spans="1:9">
      <c r="A1317" s="1" t="s">
        <v>4742</v>
      </c>
      <c r="B1317" s="1" t="s">
        <v>10</v>
      </c>
      <c r="C1317" s="1" t="s">
        <v>4743</v>
      </c>
      <c r="D1317" s="1" t="s">
        <v>4726</v>
      </c>
      <c r="E1317" s="1" t="s">
        <v>1651</v>
      </c>
      <c r="F1317" s="1" t="s">
        <v>23</v>
      </c>
      <c r="G1317" s="1" t="s">
        <v>23</v>
      </c>
      <c r="H1317" s="1" t="s">
        <v>15</v>
      </c>
      <c r="I1317" t="b">
        <f>COUNTIF(Estadísticas!I:I,'Centraldecomunicacion.es'!H1317)&gt;0</f>
        <v>0</v>
      </c>
    </row>
    <row r="1318" spans="1:9">
      <c r="A1318" s="1" t="s">
        <v>4744</v>
      </c>
      <c r="B1318" s="1" t="s">
        <v>10</v>
      </c>
      <c r="C1318" s="1" t="s">
        <v>4745</v>
      </c>
      <c r="D1318" s="1" t="s">
        <v>4746</v>
      </c>
      <c r="E1318" s="1" t="s">
        <v>1651</v>
      </c>
      <c r="F1318" s="1" t="s">
        <v>4747</v>
      </c>
      <c r="G1318" s="1" t="s">
        <v>4748</v>
      </c>
      <c r="H1318" s="1" t="s">
        <v>4749</v>
      </c>
      <c r="I1318" t="b">
        <f>COUNTIF(Estadísticas!I:I,'Centraldecomunicacion.es'!H1318)&gt;0</f>
        <v>0</v>
      </c>
    </row>
    <row r="1319" spans="1:9">
      <c r="A1319" s="1" t="s">
        <v>4750</v>
      </c>
      <c r="B1319" s="1" t="s">
        <v>10</v>
      </c>
      <c r="C1319" s="1" t="s">
        <v>4751</v>
      </c>
      <c r="D1319" s="1" t="s">
        <v>4509</v>
      </c>
      <c r="E1319" s="1" t="s">
        <v>1651</v>
      </c>
      <c r="F1319" s="1" t="s">
        <v>4752</v>
      </c>
      <c r="G1319" s="1" t="s">
        <v>4753</v>
      </c>
      <c r="H1319" s="1" t="s">
        <v>4754</v>
      </c>
      <c r="I1319" t="b">
        <f>COUNTIF(Estadísticas!I:I,'Centraldecomunicacion.es'!H1319)&gt;0</f>
        <v>1</v>
      </c>
    </row>
    <row r="1320" spans="1:9">
      <c r="A1320" s="1" t="s">
        <v>4755</v>
      </c>
      <c r="B1320" s="1" t="s">
        <v>10</v>
      </c>
      <c r="C1320" s="1" t="s">
        <v>4756</v>
      </c>
      <c r="D1320" s="1" t="s">
        <v>4350</v>
      </c>
      <c r="E1320" s="1" t="s">
        <v>1651</v>
      </c>
      <c r="F1320" s="1" t="s">
        <v>23</v>
      </c>
      <c r="G1320" s="1" t="s">
        <v>4757</v>
      </c>
      <c r="H1320" s="1" t="s">
        <v>15</v>
      </c>
      <c r="I1320" t="b">
        <f>COUNTIF(Estadísticas!I:I,'Centraldecomunicacion.es'!H1320)&gt;0</f>
        <v>0</v>
      </c>
    </row>
    <row r="1321" spans="1:9">
      <c r="A1321" s="1" t="s">
        <v>4758</v>
      </c>
      <c r="B1321" s="1" t="s">
        <v>10</v>
      </c>
      <c r="C1321" s="1" t="s">
        <v>4759</v>
      </c>
      <c r="D1321" s="1" t="s">
        <v>4509</v>
      </c>
      <c r="E1321" s="1" t="s">
        <v>1651</v>
      </c>
      <c r="F1321" s="1" t="s">
        <v>4760</v>
      </c>
      <c r="G1321" s="1" t="s">
        <v>4761</v>
      </c>
      <c r="H1321" s="1" t="s">
        <v>4762</v>
      </c>
      <c r="I1321" t="b">
        <f>COUNTIF(Estadísticas!I:I,'Centraldecomunicacion.es'!H1321)&gt;0</f>
        <v>1</v>
      </c>
    </row>
    <row r="1322" spans="1:9">
      <c r="A1322" s="1" t="s">
        <v>4763</v>
      </c>
      <c r="B1322" s="1" t="s">
        <v>10</v>
      </c>
      <c r="C1322" s="1" t="s">
        <v>4764</v>
      </c>
      <c r="D1322" s="1" t="s">
        <v>4627</v>
      </c>
      <c r="E1322" s="1" t="s">
        <v>1651</v>
      </c>
      <c r="F1322" s="1" t="s">
        <v>23</v>
      </c>
      <c r="G1322" s="1" t="s">
        <v>23</v>
      </c>
      <c r="H1322" s="1" t="s">
        <v>15</v>
      </c>
      <c r="I1322" t="b">
        <f>COUNTIF(Estadísticas!I:I,'Centraldecomunicacion.es'!H1322)&gt;0</f>
        <v>0</v>
      </c>
    </row>
    <row r="1323" spans="1:9">
      <c r="A1323" s="1" t="s">
        <v>4765</v>
      </c>
      <c r="B1323" s="1" t="s">
        <v>10</v>
      </c>
      <c r="C1323" s="1" t="s">
        <v>4766</v>
      </c>
      <c r="D1323" s="1" t="s">
        <v>4746</v>
      </c>
      <c r="E1323" s="1" t="s">
        <v>1651</v>
      </c>
      <c r="F1323" s="1" t="s">
        <v>4767</v>
      </c>
      <c r="G1323" s="1" t="s">
        <v>4768</v>
      </c>
      <c r="H1323" s="1" t="s">
        <v>4769</v>
      </c>
      <c r="I1323" t="b">
        <f>COUNTIF(Estadísticas!I:I,'Centraldecomunicacion.es'!H1323)&gt;0</f>
        <v>0</v>
      </c>
    </row>
    <row r="1324" spans="1:9">
      <c r="A1324" s="1" t="s">
        <v>4770</v>
      </c>
      <c r="B1324" s="1" t="s">
        <v>10</v>
      </c>
      <c r="C1324" s="1" t="s">
        <v>4771</v>
      </c>
      <c r="D1324" s="1" t="s">
        <v>4772</v>
      </c>
      <c r="E1324" s="1" t="s">
        <v>1651</v>
      </c>
      <c r="F1324" s="1" t="s">
        <v>4773</v>
      </c>
      <c r="G1324" s="1" t="s">
        <v>4774</v>
      </c>
      <c r="H1324" s="1" t="s">
        <v>4775</v>
      </c>
      <c r="I1324" t="b">
        <f>COUNTIF(Estadísticas!I:I,'Centraldecomunicacion.es'!H1324)&gt;0</f>
        <v>0</v>
      </c>
    </row>
    <row r="1325" spans="1:9">
      <c r="A1325" s="1" t="s">
        <v>4776</v>
      </c>
      <c r="B1325" s="1" t="s">
        <v>10</v>
      </c>
      <c r="C1325" s="1" t="s">
        <v>4777</v>
      </c>
      <c r="D1325" s="1" t="s">
        <v>4627</v>
      </c>
      <c r="E1325" s="1" t="s">
        <v>1651</v>
      </c>
      <c r="F1325" s="1" t="s">
        <v>23</v>
      </c>
      <c r="G1325" s="1" t="s">
        <v>23</v>
      </c>
      <c r="H1325" s="1" t="s">
        <v>15</v>
      </c>
      <c r="I1325" t="b">
        <f>COUNTIF(Estadísticas!I:I,'Centraldecomunicacion.es'!H1325)&gt;0</f>
        <v>0</v>
      </c>
    </row>
    <row r="1326" spans="1:9">
      <c r="A1326" s="1" t="s">
        <v>321</v>
      </c>
      <c r="B1326" s="1" t="s">
        <v>10</v>
      </c>
      <c r="C1326" s="1" t="s">
        <v>4778</v>
      </c>
      <c r="D1326" s="1" t="s">
        <v>4779</v>
      </c>
      <c r="E1326" s="1" t="s">
        <v>1651</v>
      </c>
      <c r="F1326" s="1" t="s">
        <v>23</v>
      </c>
      <c r="G1326" s="1" t="s">
        <v>4780</v>
      </c>
      <c r="H1326" s="1" t="s">
        <v>15</v>
      </c>
      <c r="I1326" t="b">
        <f>COUNTIF(Estadísticas!I:I,'Centraldecomunicacion.es'!H1326)&gt;0</f>
        <v>0</v>
      </c>
    </row>
    <row r="1327" spans="1:9">
      <c r="A1327" s="1" t="s">
        <v>4781</v>
      </c>
      <c r="B1327" s="1" t="s">
        <v>10</v>
      </c>
      <c r="C1327" s="1" t="s">
        <v>4782</v>
      </c>
      <c r="D1327" s="1" t="s">
        <v>1651</v>
      </c>
      <c r="E1327" s="1" t="s">
        <v>1651</v>
      </c>
      <c r="F1327" s="1" t="s">
        <v>4783</v>
      </c>
      <c r="G1327" s="1" t="s">
        <v>23</v>
      </c>
      <c r="H1327" s="1" t="s">
        <v>15</v>
      </c>
      <c r="I1327" t="b">
        <f>COUNTIF(Estadísticas!I:I,'Centraldecomunicacion.es'!H1327)&gt;0</f>
        <v>0</v>
      </c>
    </row>
    <row r="1328" spans="1:9">
      <c r="A1328" s="1" t="s">
        <v>4784</v>
      </c>
      <c r="B1328" s="1" t="s">
        <v>10</v>
      </c>
      <c r="C1328" s="1" t="s">
        <v>4785</v>
      </c>
      <c r="D1328" s="1" t="s">
        <v>4786</v>
      </c>
      <c r="E1328" s="1" t="s">
        <v>1651</v>
      </c>
      <c r="F1328" s="1" t="s">
        <v>4787</v>
      </c>
      <c r="G1328" s="1" t="s">
        <v>4788</v>
      </c>
      <c r="H1328" s="1" t="s">
        <v>4789</v>
      </c>
      <c r="I1328" t="b">
        <f>COUNTIF(Estadísticas!I:I,'Centraldecomunicacion.es'!H1328)&gt;0</f>
        <v>0</v>
      </c>
    </row>
    <row r="1329" spans="1:9">
      <c r="A1329" s="1" t="s">
        <v>4790</v>
      </c>
      <c r="B1329" s="1" t="s">
        <v>10</v>
      </c>
      <c r="C1329" s="1" t="s">
        <v>4791</v>
      </c>
      <c r="D1329" s="1" t="s">
        <v>4509</v>
      </c>
      <c r="E1329" s="1" t="s">
        <v>1651</v>
      </c>
      <c r="F1329" s="1" t="s">
        <v>4792</v>
      </c>
      <c r="G1329" s="1" t="s">
        <v>4793</v>
      </c>
      <c r="H1329" s="1" t="s">
        <v>15</v>
      </c>
      <c r="I1329" t="b">
        <f>COUNTIF(Estadísticas!I:I,'Centraldecomunicacion.es'!H1329)&gt;0</f>
        <v>0</v>
      </c>
    </row>
    <row r="1330" spans="1:9">
      <c r="A1330" s="1" t="s">
        <v>2287</v>
      </c>
      <c r="B1330" s="1" t="s">
        <v>10</v>
      </c>
      <c r="C1330" s="1" t="s">
        <v>4794</v>
      </c>
      <c r="D1330" s="1" t="s">
        <v>4772</v>
      </c>
      <c r="E1330" s="1" t="s">
        <v>1651</v>
      </c>
      <c r="F1330" s="1" t="s">
        <v>4679</v>
      </c>
      <c r="G1330" s="1" t="s">
        <v>4795</v>
      </c>
      <c r="H1330" s="1" t="s">
        <v>4681</v>
      </c>
      <c r="I1330" t="b">
        <f>COUNTIF(Estadísticas!I:I,'Centraldecomunicacion.es'!H1330)&gt;0</f>
        <v>0</v>
      </c>
    </row>
    <row r="1331" spans="1:9">
      <c r="A1331" s="1" t="s">
        <v>4796</v>
      </c>
      <c r="B1331" s="1" t="s">
        <v>10</v>
      </c>
      <c r="C1331" s="1" t="s">
        <v>4797</v>
      </c>
      <c r="D1331" s="1" t="s">
        <v>4746</v>
      </c>
      <c r="E1331" s="1" t="s">
        <v>1651</v>
      </c>
      <c r="F1331" s="1" t="s">
        <v>23</v>
      </c>
      <c r="G1331" s="1" t="s">
        <v>4798</v>
      </c>
      <c r="H1331" s="1" t="s">
        <v>15</v>
      </c>
      <c r="I1331" t="b">
        <f>COUNTIF(Estadísticas!I:I,'Centraldecomunicacion.es'!H1331)&gt;0</f>
        <v>0</v>
      </c>
    </row>
    <row r="1332" spans="1:9">
      <c r="A1332" s="1" t="s">
        <v>4799</v>
      </c>
      <c r="B1332" s="1" t="s">
        <v>10</v>
      </c>
      <c r="C1332" s="1" t="s">
        <v>4800</v>
      </c>
      <c r="D1332" s="1" t="s">
        <v>1651</v>
      </c>
      <c r="E1332" s="1" t="s">
        <v>1651</v>
      </c>
      <c r="F1332" s="1" t="s">
        <v>4801</v>
      </c>
      <c r="G1332" s="1" t="s">
        <v>4802</v>
      </c>
      <c r="H1332" s="1" t="s">
        <v>4803</v>
      </c>
      <c r="I1332" t="b">
        <f>COUNTIF(Estadísticas!I:I,'Centraldecomunicacion.es'!H1332)&gt;0</f>
        <v>0</v>
      </c>
    </row>
    <row r="1333" spans="1:9">
      <c r="A1333" s="1" t="s">
        <v>4804</v>
      </c>
      <c r="B1333" s="1" t="s">
        <v>10</v>
      </c>
      <c r="C1333" s="1" t="s">
        <v>4805</v>
      </c>
      <c r="D1333" s="1" t="s">
        <v>4736</v>
      </c>
      <c r="E1333" s="1" t="s">
        <v>1651</v>
      </c>
      <c r="F1333" s="1" t="s">
        <v>4806</v>
      </c>
      <c r="G1333" s="1" t="s">
        <v>4807</v>
      </c>
      <c r="H1333" s="1" t="s">
        <v>15</v>
      </c>
      <c r="I1333" t="b">
        <f>COUNTIF(Estadísticas!I:I,'Centraldecomunicacion.es'!H1333)&gt;0</f>
        <v>0</v>
      </c>
    </row>
    <row r="1334" spans="1:9">
      <c r="A1334" s="1" t="s">
        <v>4808</v>
      </c>
      <c r="B1334" s="1" t="s">
        <v>10</v>
      </c>
      <c r="C1334" s="1" t="s">
        <v>4809</v>
      </c>
      <c r="D1334" s="1" t="s">
        <v>4810</v>
      </c>
      <c r="E1334" s="1" t="s">
        <v>1651</v>
      </c>
      <c r="F1334" s="1" t="s">
        <v>23</v>
      </c>
      <c r="G1334" s="1" t="s">
        <v>23</v>
      </c>
      <c r="H1334" s="1" t="s">
        <v>15</v>
      </c>
      <c r="I1334" t="b">
        <f>COUNTIF(Estadísticas!I:I,'Centraldecomunicacion.es'!H1334)&gt;0</f>
        <v>0</v>
      </c>
    </row>
    <row r="1335" spans="1:9">
      <c r="A1335" s="1" t="s">
        <v>4811</v>
      </c>
      <c r="B1335" s="1" t="s">
        <v>10</v>
      </c>
      <c r="C1335" s="1" t="s">
        <v>4812</v>
      </c>
      <c r="D1335" s="1" t="s">
        <v>4813</v>
      </c>
      <c r="E1335" s="1" t="s">
        <v>1651</v>
      </c>
      <c r="F1335" s="1" t="s">
        <v>4814</v>
      </c>
      <c r="G1335" s="1" t="s">
        <v>4815</v>
      </c>
      <c r="H1335" s="1" t="s">
        <v>4816</v>
      </c>
      <c r="I1335" t="b">
        <f>COUNTIF(Estadísticas!I:I,'Centraldecomunicacion.es'!H1335)&gt;0</f>
        <v>1</v>
      </c>
    </row>
    <row r="1336" spans="1:9">
      <c r="A1336" s="1" t="s">
        <v>4817</v>
      </c>
      <c r="B1336" s="1" t="s">
        <v>10</v>
      </c>
      <c r="C1336" s="1" t="s">
        <v>4818</v>
      </c>
      <c r="D1336" s="1" t="s">
        <v>4703</v>
      </c>
      <c r="E1336" s="1" t="s">
        <v>1651</v>
      </c>
      <c r="F1336" s="1" t="s">
        <v>23</v>
      </c>
      <c r="G1336" s="1" t="s">
        <v>23</v>
      </c>
      <c r="H1336" s="1" t="s">
        <v>15</v>
      </c>
      <c r="I1336" t="b">
        <f>COUNTIF(Estadísticas!I:I,'Centraldecomunicacion.es'!H1336)&gt;0</f>
        <v>0</v>
      </c>
    </row>
    <row r="1337" spans="1:9">
      <c r="A1337" s="1" t="s">
        <v>4819</v>
      </c>
      <c r="B1337" s="1" t="s">
        <v>10</v>
      </c>
      <c r="C1337" s="1" t="s">
        <v>4820</v>
      </c>
      <c r="D1337" s="1" t="s">
        <v>4703</v>
      </c>
      <c r="E1337" s="1" t="s">
        <v>1651</v>
      </c>
      <c r="F1337" s="1" t="s">
        <v>23</v>
      </c>
      <c r="G1337" s="1" t="s">
        <v>4821</v>
      </c>
      <c r="H1337" s="1" t="s">
        <v>15</v>
      </c>
      <c r="I1337" t="b">
        <f>COUNTIF(Estadísticas!I:I,'Centraldecomunicacion.es'!H1337)&gt;0</f>
        <v>0</v>
      </c>
    </row>
    <row r="1338" spans="1:9">
      <c r="A1338" s="1" t="s">
        <v>4822</v>
      </c>
      <c r="B1338" s="1" t="s">
        <v>10</v>
      </c>
      <c r="C1338" s="1" t="s">
        <v>4823</v>
      </c>
      <c r="D1338" s="1" t="s">
        <v>4824</v>
      </c>
      <c r="E1338" s="1" t="s">
        <v>1651</v>
      </c>
      <c r="F1338" s="1" t="s">
        <v>23</v>
      </c>
      <c r="G1338" s="1" t="s">
        <v>23</v>
      </c>
      <c r="H1338" s="1" t="s">
        <v>15</v>
      </c>
      <c r="I1338" t="b">
        <f>COUNTIF(Estadísticas!I:I,'Centraldecomunicacion.es'!H1338)&gt;0</f>
        <v>0</v>
      </c>
    </row>
    <row r="1339" spans="1:9">
      <c r="A1339" s="1" t="s">
        <v>4825</v>
      </c>
      <c r="B1339" s="1" t="s">
        <v>10</v>
      </c>
      <c r="C1339" s="1" t="s">
        <v>4826</v>
      </c>
      <c r="D1339" s="1" t="s">
        <v>4509</v>
      </c>
      <c r="E1339" s="1" t="s">
        <v>1651</v>
      </c>
      <c r="F1339" s="1" t="s">
        <v>23</v>
      </c>
      <c r="G1339" s="1" t="s">
        <v>4827</v>
      </c>
      <c r="H1339" s="1" t="s">
        <v>15</v>
      </c>
      <c r="I1339" t="b">
        <f>COUNTIF(Estadísticas!I:I,'Centraldecomunicacion.es'!H1339)&gt;0</f>
        <v>0</v>
      </c>
    </row>
    <row r="1340" spans="1:9">
      <c r="A1340" s="1" t="s">
        <v>4828</v>
      </c>
      <c r="B1340" s="1" t="s">
        <v>10</v>
      </c>
      <c r="C1340" s="1" t="s">
        <v>4829</v>
      </c>
      <c r="D1340" s="1" t="s">
        <v>4726</v>
      </c>
      <c r="E1340" s="1" t="s">
        <v>1651</v>
      </c>
      <c r="F1340" s="1" t="s">
        <v>23</v>
      </c>
      <c r="G1340" s="1" t="s">
        <v>4830</v>
      </c>
      <c r="H1340" s="1" t="s">
        <v>15</v>
      </c>
      <c r="I1340" t="b">
        <f>COUNTIF(Estadísticas!I:I,'Centraldecomunicacion.es'!H1340)&gt;0</f>
        <v>0</v>
      </c>
    </row>
    <row r="1341" spans="1:9">
      <c r="A1341" s="1" t="s">
        <v>4781</v>
      </c>
      <c r="B1341" s="1" t="s">
        <v>10</v>
      </c>
      <c r="C1341" s="1" t="s">
        <v>4831</v>
      </c>
      <c r="D1341" s="1" t="s">
        <v>4509</v>
      </c>
      <c r="E1341" s="1" t="s">
        <v>1651</v>
      </c>
      <c r="F1341" s="1" t="s">
        <v>23</v>
      </c>
      <c r="G1341" s="1" t="s">
        <v>4832</v>
      </c>
      <c r="H1341" s="1" t="s">
        <v>15</v>
      </c>
      <c r="I1341" t="b">
        <f>COUNTIF(Estadísticas!I:I,'Centraldecomunicacion.es'!H1341)&gt;0</f>
        <v>0</v>
      </c>
    </row>
    <row r="1342" spans="1:9">
      <c r="A1342" s="1" t="s">
        <v>4833</v>
      </c>
      <c r="B1342" s="1" t="s">
        <v>10</v>
      </c>
      <c r="C1342" s="1" t="s">
        <v>4834</v>
      </c>
      <c r="D1342" s="1" t="s">
        <v>4627</v>
      </c>
      <c r="E1342" s="1" t="s">
        <v>1651</v>
      </c>
      <c r="F1342" s="1" t="s">
        <v>23</v>
      </c>
      <c r="G1342" s="1" t="s">
        <v>4835</v>
      </c>
      <c r="H1342" s="1" t="s">
        <v>15</v>
      </c>
      <c r="I1342" t="b">
        <f>COUNTIF(Estadísticas!I:I,'Centraldecomunicacion.es'!H1342)&gt;0</f>
        <v>0</v>
      </c>
    </row>
    <row r="1343" spans="1:9">
      <c r="A1343" s="1" t="s">
        <v>4836</v>
      </c>
      <c r="B1343" s="1" t="s">
        <v>10</v>
      </c>
      <c r="C1343" s="1" t="s">
        <v>4837</v>
      </c>
      <c r="D1343" s="1" t="s">
        <v>4703</v>
      </c>
      <c r="E1343" s="1" t="s">
        <v>1651</v>
      </c>
      <c r="F1343" s="1" t="s">
        <v>23</v>
      </c>
      <c r="G1343" s="1" t="s">
        <v>4838</v>
      </c>
      <c r="H1343" s="1" t="s">
        <v>15</v>
      </c>
      <c r="I1343" t="b">
        <f>COUNTIF(Estadísticas!I:I,'Centraldecomunicacion.es'!H1343)&gt;0</f>
        <v>0</v>
      </c>
    </row>
    <row r="1344" spans="1:9">
      <c r="A1344" s="1" t="s">
        <v>4839</v>
      </c>
      <c r="B1344" s="1" t="s">
        <v>10</v>
      </c>
      <c r="C1344" s="1" t="s">
        <v>4840</v>
      </c>
      <c r="D1344" s="1" t="s">
        <v>4841</v>
      </c>
      <c r="E1344" s="1" t="s">
        <v>1651</v>
      </c>
      <c r="F1344" s="1" t="s">
        <v>23</v>
      </c>
      <c r="G1344" s="1" t="s">
        <v>4842</v>
      </c>
      <c r="H1344" s="1" t="s">
        <v>15</v>
      </c>
      <c r="I1344" t="b">
        <f>COUNTIF(Estadísticas!I:I,'Centraldecomunicacion.es'!H1344)&gt;0</f>
        <v>0</v>
      </c>
    </row>
    <row r="1345" spans="1:9">
      <c r="A1345" s="1" t="s">
        <v>4843</v>
      </c>
      <c r="B1345" s="1" t="s">
        <v>10</v>
      </c>
      <c r="C1345" s="1" t="s">
        <v>4844</v>
      </c>
      <c r="D1345" s="1" t="s">
        <v>4350</v>
      </c>
      <c r="E1345" s="1" t="s">
        <v>1651</v>
      </c>
      <c r="F1345" s="1" t="s">
        <v>23</v>
      </c>
      <c r="G1345" s="1" t="s">
        <v>4845</v>
      </c>
      <c r="H1345" s="1" t="s">
        <v>15</v>
      </c>
      <c r="I1345" t="b">
        <f>COUNTIF(Estadísticas!I:I,'Centraldecomunicacion.es'!H1345)&gt;0</f>
        <v>0</v>
      </c>
    </row>
    <row r="1346" spans="1:9">
      <c r="A1346" s="1" t="s">
        <v>4846</v>
      </c>
      <c r="B1346" s="1" t="s">
        <v>10</v>
      </c>
      <c r="C1346" s="1" t="s">
        <v>4847</v>
      </c>
      <c r="D1346" s="1" t="s">
        <v>4686</v>
      </c>
      <c r="E1346" s="1" t="s">
        <v>1651</v>
      </c>
      <c r="F1346" s="1" t="s">
        <v>23</v>
      </c>
      <c r="G1346" s="1" t="s">
        <v>4848</v>
      </c>
      <c r="H1346" s="1" t="s">
        <v>15</v>
      </c>
      <c r="I1346" t="b">
        <f>COUNTIF(Estadísticas!I:I,'Centraldecomunicacion.es'!H1346)&gt;0</f>
        <v>0</v>
      </c>
    </row>
    <row r="1347" spans="1:9">
      <c r="A1347" s="1" t="s">
        <v>4849</v>
      </c>
      <c r="B1347" s="1" t="s">
        <v>10</v>
      </c>
      <c r="C1347" s="1" t="s">
        <v>4850</v>
      </c>
      <c r="D1347" s="1" t="s">
        <v>4813</v>
      </c>
      <c r="E1347" s="1" t="s">
        <v>1651</v>
      </c>
      <c r="F1347" s="1" t="s">
        <v>23</v>
      </c>
      <c r="G1347" s="1" t="s">
        <v>4851</v>
      </c>
      <c r="H1347" s="1" t="s">
        <v>15</v>
      </c>
      <c r="I1347" t="b">
        <f>COUNTIF(Estadísticas!I:I,'Centraldecomunicacion.es'!H1347)&gt;0</f>
        <v>0</v>
      </c>
    </row>
    <row r="1348" spans="1:9">
      <c r="A1348" s="1" t="s">
        <v>4852</v>
      </c>
      <c r="B1348" s="1" t="s">
        <v>10</v>
      </c>
      <c r="C1348" s="1" t="s">
        <v>4853</v>
      </c>
      <c r="D1348" s="1" t="s">
        <v>4736</v>
      </c>
      <c r="E1348" s="1" t="s">
        <v>1651</v>
      </c>
      <c r="F1348" s="1" t="s">
        <v>23</v>
      </c>
      <c r="G1348" s="1" t="s">
        <v>4854</v>
      </c>
      <c r="H1348" s="1" t="s">
        <v>15</v>
      </c>
      <c r="I1348" t="b">
        <f>COUNTIF(Estadísticas!I:I,'Centraldecomunicacion.es'!H1348)&gt;0</f>
        <v>0</v>
      </c>
    </row>
    <row r="1349" spans="1:9">
      <c r="A1349" s="1" t="s">
        <v>4781</v>
      </c>
      <c r="B1349" s="1" t="s">
        <v>10</v>
      </c>
      <c r="C1349" s="1" t="s">
        <v>4855</v>
      </c>
      <c r="D1349" s="1" t="s">
        <v>4509</v>
      </c>
      <c r="E1349" s="1" t="s">
        <v>1651</v>
      </c>
      <c r="F1349" s="1" t="s">
        <v>4856</v>
      </c>
      <c r="G1349" s="1" t="s">
        <v>4832</v>
      </c>
      <c r="H1349" s="1" t="s">
        <v>15</v>
      </c>
      <c r="I1349" t="b">
        <f>COUNTIF(Estadísticas!I:I,'Centraldecomunicacion.es'!H1349)&gt;0</f>
        <v>0</v>
      </c>
    </row>
    <row r="1350" spans="1:9">
      <c r="A1350" s="1" t="s">
        <v>4857</v>
      </c>
      <c r="B1350" s="1" t="s">
        <v>10</v>
      </c>
      <c r="C1350" s="1" t="s">
        <v>4858</v>
      </c>
      <c r="D1350" s="1" t="s">
        <v>4746</v>
      </c>
      <c r="E1350" s="1" t="s">
        <v>1651</v>
      </c>
      <c r="F1350" s="1" t="s">
        <v>4859</v>
      </c>
      <c r="G1350" s="1" t="s">
        <v>4860</v>
      </c>
      <c r="H1350" s="1" t="s">
        <v>15</v>
      </c>
      <c r="I1350" t="b">
        <f>COUNTIF(Estadísticas!I:I,'Centraldecomunicacion.es'!H1350)&gt;0</f>
        <v>0</v>
      </c>
    </row>
    <row r="1351" spans="1:9">
      <c r="A1351" s="1" t="s">
        <v>4861</v>
      </c>
      <c r="B1351" s="1" t="s">
        <v>10</v>
      </c>
      <c r="C1351" s="1" t="s">
        <v>4862</v>
      </c>
      <c r="D1351" s="1" t="s">
        <v>4863</v>
      </c>
      <c r="E1351" s="1" t="s">
        <v>1651</v>
      </c>
      <c r="F1351" s="1" t="s">
        <v>323</v>
      </c>
      <c r="G1351" s="1" t="s">
        <v>4864</v>
      </c>
      <c r="H1351" s="1" t="s">
        <v>325</v>
      </c>
      <c r="I1351" t="b">
        <f>COUNTIF(Estadísticas!I:I,'Centraldecomunicacion.es'!H1351)&gt;0</f>
        <v>0</v>
      </c>
    </row>
    <row r="1352" spans="1:9">
      <c r="A1352" s="1" t="s">
        <v>4865</v>
      </c>
      <c r="B1352" s="1" t="s">
        <v>10</v>
      </c>
      <c r="C1352" s="1" t="s">
        <v>4866</v>
      </c>
      <c r="D1352" s="1" t="s">
        <v>4779</v>
      </c>
      <c r="E1352" s="1" t="s">
        <v>1651</v>
      </c>
      <c r="F1352" s="1" t="s">
        <v>4867</v>
      </c>
      <c r="G1352" s="1" t="s">
        <v>4868</v>
      </c>
      <c r="H1352" s="1" t="s">
        <v>15</v>
      </c>
      <c r="I1352" t="b">
        <f>COUNTIF(Estadísticas!I:I,'Centraldecomunicacion.es'!H1352)&gt;0</f>
        <v>0</v>
      </c>
    </row>
    <row r="1353" spans="1:9">
      <c r="A1353" s="1" t="s">
        <v>4869</v>
      </c>
      <c r="B1353" s="1" t="s">
        <v>10</v>
      </c>
      <c r="C1353" s="1" t="s">
        <v>4870</v>
      </c>
      <c r="D1353" s="1" t="s">
        <v>4772</v>
      </c>
      <c r="E1353" s="1" t="s">
        <v>1651</v>
      </c>
      <c r="F1353" s="1" t="s">
        <v>4871</v>
      </c>
      <c r="G1353" s="1" t="s">
        <v>4872</v>
      </c>
      <c r="H1353" s="1" t="s">
        <v>1091</v>
      </c>
      <c r="I1353" t="b">
        <f>COUNTIF(Estadísticas!I:I,'Centraldecomunicacion.es'!H1353)&gt;0</f>
        <v>0</v>
      </c>
    </row>
    <row r="1354" spans="1:9">
      <c r="A1354" s="1" t="s">
        <v>4873</v>
      </c>
      <c r="B1354" s="1" t="s">
        <v>10</v>
      </c>
      <c r="C1354" s="1" t="s">
        <v>4874</v>
      </c>
      <c r="D1354" s="1" t="s">
        <v>4350</v>
      </c>
      <c r="E1354" s="1" t="s">
        <v>1651</v>
      </c>
      <c r="F1354" s="1" t="s">
        <v>4875</v>
      </c>
      <c r="G1354" s="1" t="s">
        <v>4876</v>
      </c>
      <c r="H1354" s="1" t="s">
        <v>4877</v>
      </c>
      <c r="I1354" t="b">
        <f>COUNTIF(Estadísticas!I:I,'Centraldecomunicacion.es'!H1354)&gt;0</f>
        <v>0</v>
      </c>
    </row>
    <row r="1355" spans="1:9">
      <c r="A1355" s="1" t="s">
        <v>4878</v>
      </c>
      <c r="B1355" s="1" t="s">
        <v>10</v>
      </c>
      <c r="C1355" s="1" t="s">
        <v>4879</v>
      </c>
      <c r="D1355" s="1" t="s">
        <v>1651</v>
      </c>
      <c r="E1355" s="1" t="s">
        <v>1651</v>
      </c>
      <c r="F1355" s="1" t="s">
        <v>23</v>
      </c>
      <c r="G1355" s="1" t="s">
        <v>4880</v>
      </c>
      <c r="H1355" s="1" t="s">
        <v>15</v>
      </c>
      <c r="I1355" t="b">
        <f>COUNTIF(Estadísticas!I:I,'Centraldecomunicacion.es'!H1355)&gt;0</f>
        <v>0</v>
      </c>
    </row>
    <row r="1356" spans="1:9">
      <c r="A1356" s="1" t="s">
        <v>4881</v>
      </c>
      <c r="B1356" s="1" t="s">
        <v>10</v>
      </c>
      <c r="C1356" s="1" t="s">
        <v>4882</v>
      </c>
      <c r="D1356" s="1" t="s">
        <v>4686</v>
      </c>
      <c r="E1356" s="1" t="s">
        <v>1651</v>
      </c>
      <c r="F1356" s="1" t="s">
        <v>23</v>
      </c>
      <c r="G1356" s="1" t="s">
        <v>4883</v>
      </c>
      <c r="H1356" s="1" t="s">
        <v>15</v>
      </c>
      <c r="I1356" t="b">
        <f>COUNTIF(Estadísticas!I:I,'Centraldecomunicacion.es'!H1356)&gt;0</f>
        <v>0</v>
      </c>
    </row>
    <row r="1357" spans="1:9">
      <c r="A1357" s="1" t="s">
        <v>4884</v>
      </c>
      <c r="B1357" s="1" t="s">
        <v>10</v>
      </c>
      <c r="C1357" s="1" t="s">
        <v>4885</v>
      </c>
      <c r="D1357" s="1" t="s">
        <v>4627</v>
      </c>
      <c r="E1357" s="1" t="s">
        <v>1651</v>
      </c>
      <c r="F1357" s="1" t="s">
        <v>4886</v>
      </c>
      <c r="G1357" s="1" t="s">
        <v>4887</v>
      </c>
      <c r="H1357" s="1" t="s">
        <v>15</v>
      </c>
      <c r="I1357" t="b">
        <f>COUNTIF(Estadísticas!I:I,'Centraldecomunicacion.es'!H1357)&gt;0</f>
        <v>0</v>
      </c>
    </row>
    <row r="1358" spans="1:9">
      <c r="A1358" s="1" t="s">
        <v>4888</v>
      </c>
      <c r="B1358" s="1" t="s">
        <v>10</v>
      </c>
      <c r="C1358" s="1" t="s">
        <v>4889</v>
      </c>
      <c r="D1358" s="1" t="s">
        <v>4746</v>
      </c>
      <c r="E1358" s="1" t="s">
        <v>1651</v>
      </c>
      <c r="F1358" s="1" t="s">
        <v>23</v>
      </c>
      <c r="G1358" s="1" t="s">
        <v>4890</v>
      </c>
      <c r="H1358" s="1" t="s">
        <v>15</v>
      </c>
      <c r="I1358" t="b">
        <f>COUNTIF(Estadísticas!I:I,'Centraldecomunicacion.es'!H1358)&gt;0</f>
        <v>0</v>
      </c>
    </row>
    <row r="1359" spans="1:9">
      <c r="A1359" s="1" t="s">
        <v>4891</v>
      </c>
      <c r="B1359" s="1" t="s">
        <v>10</v>
      </c>
      <c r="C1359" s="1" t="s">
        <v>4892</v>
      </c>
      <c r="D1359" s="1" t="s">
        <v>4893</v>
      </c>
      <c r="E1359" s="1" t="s">
        <v>1651</v>
      </c>
      <c r="F1359" s="1" t="s">
        <v>23</v>
      </c>
      <c r="G1359" s="1" t="s">
        <v>4894</v>
      </c>
      <c r="H1359" s="1" t="s">
        <v>15</v>
      </c>
      <c r="I1359" t="b">
        <f>COUNTIF(Estadísticas!I:I,'Centraldecomunicacion.es'!H1359)&gt;0</f>
        <v>0</v>
      </c>
    </row>
    <row r="1360" spans="1:9">
      <c r="A1360" s="1" t="s">
        <v>4895</v>
      </c>
      <c r="B1360" s="1" t="s">
        <v>10</v>
      </c>
      <c r="C1360" s="1" t="s">
        <v>4896</v>
      </c>
      <c r="D1360" s="1" t="s">
        <v>4810</v>
      </c>
      <c r="E1360" s="1" t="s">
        <v>1651</v>
      </c>
      <c r="F1360" s="1" t="s">
        <v>23</v>
      </c>
      <c r="G1360" s="1" t="s">
        <v>4897</v>
      </c>
      <c r="H1360" s="1" t="s">
        <v>15</v>
      </c>
      <c r="I1360" t="b">
        <f>COUNTIF(Estadísticas!I:I,'Centraldecomunicacion.es'!H1360)&gt;0</f>
        <v>0</v>
      </c>
    </row>
    <row r="1361" spans="1:9">
      <c r="A1361" s="1" t="s">
        <v>4898</v>
      </c>
      <c r="B1361" s="1" t="s">
        <v>10</v>
      </c>
      <c r="C1361" s="1" t="s">
        <v>4899</v>
      </c>
      <c r="D1361" s="1" t="s">
        <v>4813</v>
      </c>
      <c r="E1361" s="1" t="s">
        <v>1651</v>
      </c>
      <c r="F1361" s="1" t="s">
        <v>390</v>
      </c>
      <c r="G1361" s="1" t="s">
        <v>4900</v>
      </c>
      <c r="H1361" s="1" t="s">
        <v>15</v>
      </c>
      <c r="I1361" t="b">
        <f>COUNTIF(Estadísticas!I:I,'Centraldecomunicacion.es'!H1361)&gt;0</f>
        <v>0</v>
      </c>
    </row>
    <row r="1362" spans="1:9">
      <c r="A1362" s="1" t="s">
        <v>4901</v>
      </c>
      <c r="B1362" s="1" t="s">
        <v>10</v>
      </c>
      <c r="C1362" s="1" t="s">
        <v>4902</v>
      </c>
      <c r="D1362" s="1" t="s">
        <v>4903</v>
      </c>
      <c r="E1362" s="1" t="s">
        <v>1651</v>
      </c>
      <c r="F1362" s="1" t="s">
        <v>23</v>
      </c>
      <c r="G1362" s="1" t="s">
        <v>4904</v>
      </c>
      <c r="H1362" s="1" t="s">
        <v>15</v>
      </c>
      <c r="I1362" t="b">
        <f>COUNTIF(Estadísticas!I:I,'Centraldecomunicacion.es'!H1362)&gt;0</f>
        <v>0</v>
      </c>
    </row>
    <row r="1363" spans="1:9">
      <c r="A1363" s="1" t="s">
        <v>455</v>
      </c>
      <c r="B1363" s="1" t="s">
        <v>10</v>
      </c>
      <c r="C1363" s="1" t="s">
        <v>4905</v>
      </c>
      <c r="D1363" s="1" t="s">
        <v>4906</v>
      </c>
      <c r="E1363" s="1" t="s">
        <v>1651</v>
      </c>
      <c r="F1363" s="1" t="s">
        <v>23</v>
      </c>
      <c r="G1363" s="1" t="s">
        <v>23</v>
      </c>
      <c r="H1363" s="1" t="s">
        <v>15</v>
      </c>
      <c r="I1363" t="b">
        <f>COUNTIF(Estadísticas!I:I,'Centraldecomunicacion.es'!H1363)&gt;0</f>
        <v>0</v>
      </c>
    </row>
    <row r="1364" spans="1:9">
      <c r="A1364" s="1" t="s">
        <v>4907</v>
      </c>
      <c r="B1364" s="1" t="s">
        <v>10</v>
      </c>
      <c r="C1364" s="1" t="s">
        <v>4908</v>
      </c>
      <c r="D1364" s="1" t="s">
        <v>4909</v>
      </c>
      <c r="E1364" s="1" t="s">
        <v>1651</v>
      </c>
      <c r="F1364" s="1" t="s">
        <v>4910</v>
      </c>
      <c r="G1364" s="1" t="s">
        <v>4911</v>
      </c>
      <c r="H1364" s="1" t="s">
        <v>15</v>
      </c>
      <c r="I1364" t="b">
        <f>COUNTIF(Estadísticas!I:I,'Centraldecomunicacion.es'!H1364)&gt;0</f>
        <v>0</v>
      </c>
    </row>
    <row r="1365" spans="1:9">
      <c r="A1365" s="1" t="s">
        <v>4912</v>
      </c>
      <c r="B1365" s="1" t="s">
        <v>10</v>
      </c>
      <c r="C1365" s="1" t="s">
        <v>4913</v>
      </c>
      <c r="D1365" s="1" t="s">
        <v>4914</v>
      </c>
      <c r="E1365" s="1" t="s">
        <v>1651</v>
      </c>
      <c r="F1365" s="1" t="s">
        <v>23</v>
      </c>
      <c r="G1365" s="1" t="s">
        <v>4915</v>
      </c>
      <c r="H1365" s="1" t="s">
        <v>15</v>
      </c>
      <c r="I1365" t="b">
        <f>COUNTIF(Estadísticas!I:I,'Centraldecomunicacion.es'!H1365)&gt;0</f>
        <v>0</v>
      </c>
    </row>
    <row r="1366" spans="1:9">
      <c r="A1366" s="1" t="s">
        <v>4916</v>
      </c>
      <c r="B1366" s="1" t="s">
        <v>10</v>
      </c>
      <c r="C1366" s="1" t="s">
        <v>4917</v>
      </c>
      <c r="D1366" s="1" t="s">
        <v>4918</v>
      </c>
      <c r="E1366" s="1" t="s">
        <v>1651</v>
      </c>
      <c r="F1366" s="1" t="s">
        <v>23</v>
      </c>
      <c r="G1366" s="1" t="s">
        <v>4919</v>
      </c>
      <c r="H1366" s="1" t="s">
        <v>15</v>
      </c>
      <c r="I1366" t="b">
        <f>COUNTIF(Estadísticas!I:I,'Centraldecomunicacion.es'!H1366)&gt;0</f>
        <v>0</v>
      </c>
    </row>
    <row r="1367" spans="1:9">
      <c r="A1367" s="1" t="s">
        <v>4920</v>
      </c>
      <c r="B1367" s="1" t="s">
        <v>10</v>
      </c>
      <c r="C1367" s="1" t="s">
        <v>4921</v>
      </c>
      <c r="D1367" s="1" t="s">
        <v>4922</v>
      </c>
      <c r="E1367" s="1" t="s">
        <v>1651</v>
      </c>
      <c r="F1367" s="1" t="s">
        <v>23</v>
      </c>
      <c r="G1367" s="1" t="s">
        <v>4923</v>
      </c>
      <c r="H1367" s="1" t="s">
        <v>15</v>
      </c>
      <c r="I1367" t="b">
        <f>COUNTIF(Estadísticas!I:I,'Centraldecomunicacion.es'!H1367)&gt;0</f>
        <v>0</v>
      </c>
    </row>
    <row r="1368" spans="1:9">
      <c r="A1368" s="1" t="s">
        <v>4924</v>
      </c>
      <c r="B1368" s="1" t="s">
        <v>10</v>
      </c>
      <c r="C1368" s="1" t="s">
        <v>4925</v>
      </c>
      <c r="D1368" s="1" t="s">
        <v>4926</v>
      </c>
      <c r="E1368" s="1" t="s">
        <v>4927</v>
      </c>
      <c r="F1368" s="1" t="s">
        <v>23</v>
      </c>
      <c r="G1368" s="1" t="s">
        <v>4928</v>
      </c>
      <c r="H1368" s="1" t="s">
        <v>15</v>
      </c>
      <c r="I1368" t="b">
        <f>COUNTIF(Estadísticas!I:I,'Centraldecomunicacion.es'!H1368)&gt;0</f>
        <v>0</v>
      </c>
    </row>
    <row r="1369" spans="1:9">
      <c r="A1369" s="1" t="s">
        <v>4929</v>
      </c>
      <c r="B1369" s="1" t="s">
        <v>10</v>
      </c>
      <c r="C1369" s="1" t="s">
        <v>4930</v>
      </c>
      <c r="D1369" s="1" t="s">
        <v>4926</v>
      </c>
      <c r="E1369" s="1" t="s">
        <v>4927</v>
      </c>
      <c r="F1369" s="1" t="s">
        <v>4931</v>
      </c>
      <c r="G1369" s="1" t="s">
        <v>23</v>
      </c>
      <c r="H1369" s="1" t="s">
        <v>15</v>
      </c>
      <c r="I1369" t="b">
        <f>COUNTIF(Estadísticas!I:I,'Centraldecomunicacion.es'!H1369)&gt;0</f>
        <v>0</v>
      </c>
    </row>
    <row r="1370" spans="1:9">
      <c r="A1370" s="1" t="s">
        <v>4932</v>
      </c>
      <c r="B1370" s="1" t="s">
        <v>10</v>
      </c>
      <c r="C1370" s="1" t="s">
        <v>4933</v>
      </c>
      <c r="D1370" s="1" t="s">
        <v>4926</v>
      </c>
      <c r="E1370" s="1" t="s">
        <v>4927</v>
      </c>
      <c r="F1370" s="1" t="s">
        <v>23</v>
      </c>
      <c r="G1370" s="1" t="s">
        <v>4934</v>
      </c>
      <c r="H1370" s="1" t="s">
        <v>15</v>
      </c>
      <c r="I1370" t="b">
        <f>COUNTIF(Estadísticas!I:I,'Centraldecomunicacion.es'!H1370)&gt;0</f>
        <v>0</v>
      </c>
    </row>
    <row r="1371" spans="1:9">
      <c r="A1371" s="1" t="s">
        <v>4935</v>
      </c>
      <c r="B1371" s="1" t="s">
        <v>10</v>
      </c>
      <c r="C1371" s="1" t="s">
        <v>4936</v>
      </c>
      <c r="D1371" s="1" t="s">
        <v>4926</v>
      </c>
      <c r="E1371" s="1" t="s">
        <v>4927</v>
      </c>
      <c r="F1371" s="1" t="s">
        <v>4937</v>
      </c>
      <c r="G1371" s="1" t="s">
        <v>4938</v>
      </c>
      <c r="H1371" s="1" t="s">
        <v>4939</v>
      </c>
      <c r="I1371" t="b">
        <f>COUNTIF(Estadísticas!I:I,'Centraldecomunicacion.es'!H1371)&gt;0</f>
        <v>0</v>
      </c>
    </row>
    <row r="1372" spans="1:9">
      <c r="A1372" s="1" t="s">
        <v>4940</v>
      </c>
      <c r="B1372" s="1" t="s">
        <v>10</v>
      </c>
      <c r="C1372" s="1" t="s">
        <v>4941</v>
      </c>
      <c r="D1372" s="1" t="s">
        <v>4942</v>
      </c>
      <c r="E1372" s="1" t="s">
        <v>4927</v>
      </c>
      <c r="F1372" s="1" t="s">
        <v>23</v>
      </c>
      <c r="G1372" s="1" t="s">
        <v>4943</v>
      </c>
      <c r="H1372" s="1" t="s">
        <v>15</v>
      </c>
      <c r="I1372" t="b">
        <f>COUNTIF(Estadísticas!I:I,'Centraldecomunicacion.es'!H1372)&gt;0</f>
        <v>0</v>
      </c>
    </row>
    <row r="1373" spans="1:9">
      <c r="A1373" s="1" t="s">
        <v>4944</v>
      </c>
      <c r="B1373" s="1" t="s">
        <v>10</v>
      </c>
      <c r="C1373" s="1" t="s">
        <v>4945</v>
      </c>
      <c r="D1373" s="1" t="s">
        <v>4942</v>
      </c>
      <c r="E1373" s="1" t="s">
        <v>4927</v>
      </c>
      <c r="F1373" s="1" t="s">
        <v>23</v>
      </c>
      <c r="G1373" s="1" t="s">
        <v>4946</v>
      </c>
      <c r="H1373" s="1" t="s">
        <v>15</v>
      </c>
      <c r="I1373" t="b">
        <f>COUNTIF(Estadísticas!I:I,'Centraldecomunicacion.es'!H1373)&gt;0</f>
        <v>0</v>
      </c>
    </row>
    <row r="1374" spans="1:9">
      <c r="A1374" s="1" t="s">
        <v>4947</v>
      </c>
      <c r="B1374" s="1" t="s">
        <v>10</v>
      </c>
      <c r="C1374" s="1" t="s">
        <v>4948</v>
      </c>
      <c r="D1374" s="1" t="s">
        <v>4949</v>
      </c>
      <c r="E1374" s="1" t="s">
        <v>4927</v>
      </c>
      <c r="F1374" s="1" t="s">
        <v>23</v>
      </c>
      <c r="G1374" s="1" t="s">
        <v>4950</v>
      </c>
      <c r="H1374" s="1" t="s">
        <v>15</v>
      </c>
      <c r="I1374" t="b">
        <f>COUNTIF(Estadísticas!I:I,'Centraldecomunicacion.es'!H1374)&gt;0</f>
        <v>0</v>
      </c>
    </row>
    <row r="1375" spans="1:9">
      <c r="A1375" s="1" t="s">
        <v>4951</v>
      </c>
      <c r="B1375" s="1" t="s">
        <v>10</v>
      </c>
      <c r="C1375" s="1" t="s">
        <v>4952</v>
      </c>
      <c r="D1375" s="1" t="s">
        <v>4953</v>
      </c>
      <c r="E1375" s="1" t="s">
        <v>4927</v>
      </c>
      <c r="F1375" s="1" t="s">
        <v>56</v>
      </c>
      <c r="G1375" s="1" t="s">
        <v>4954</v>
      </c>
      <c r="H1375" s="1" t="s">
        <v>15</v>
      </c>
      <c r="I1375" t="b">
        <f>COUNTIF(Estadísticas!I:I,'Centraldecomunicacion.es'!H1375)&gt;0</f>
        <v>0</v>
      </c>
    </row>
    <row r="1376" spans="1:9">
      <c r="A1376" s="1" t="s">
        <v>4955</v>
      </c>
      <c r="B1376" s="1" t="s">
        <v>10</v>
      </c>
      <c r="C1376" s="1" t="s">
        <v>4956</v>
      </c>
      <c r="D1376" s="1" t="s">
        <v>4957</v>
      </c>
      <c r="E1376" s="1" t="s">
        <v>4927</v>
      </c>
      <c r="F1376" s="1" t="s">
        <v>4958</v>
      </c>
      <c r="G1376" s="1" t="s">
        <v>4959</v>
      </c>
      <c r="H1376" s="1" t="s">
        <v>15</v>
      </c>
      <c r="I1376" t="b">
        <f>COUNTIF(Estadísticas!I:I,'Centraldecomunicacion.es'!H1376)&gt;0</f>
        <v>0</v>
      </c>
    </row>
    <row r="1377" spans="1:9">
      <c r="A1377" s="1" t="s">
        <v>4960</v>
      </c>
      <c r="B1377" s="1" t="s">
        <v>10</v>
      </c>
      <c r="C1377" s="1" t="s">
        <v>4961</v>
      </c>
      <c r="D1377" s="1" t="s">
        <v>4962</v>
      </c>
      <c r="E1377" s="1" t="s">
        <v>4927</v>
      </c>
      <c r="F1377" s="1" t="s">
        <v>23</v>
      </c>
      <c r="G1377" s="1" t="s">
        <v>4963</v>
      </c>
      <c r="H1377" s="1" t="s">
        <v>15</v>
      </c>
      <c r="I1377" t="b">
        <f>COUNTIF(Estadísticas!I:I,'Centraldecomunicacion.es'!H1377)&gt;0</f>
        <v>0</v>
      </c>
    </row>
    <row r="1378" spans="1:9">
      <c r="A1378" s="1" t="s">
        <v>4964</v>
      </c>
      <c r="B1378" s="1" t="s">
        <v>10</v>
      </c>
      <c r="C1378" s="1" t="s">
        <v>4965</v>
      </c>
      <c r="D1378" s="1" t="s">
        <v>4966</v>
      </c>
      <c r="E1378" s="1" t="s">
        <v>4927</v>
      </c>
      <c r="F1378" s="1" t="s">
        <v>23</v>
      </c>
      <c r="G1378" s="1" t="s">
        <v>4967</v>
      </c>
      <c r="H1378" s="1" t="s">
        <v>15</v>
      </c>
      <c r="I1378" t="b">
        <f>COUNTIF(Estadísticas!I:I,'Centraldecomunicacion.es'!H1378)&gt;0</f>
        <v>0</v>
      </c>
    </row>
    <row r="1379" spans="1:9">
      <c r="A1379" s="1" t="s">
        <v>4968</v>
      </c>
      <c r="B1379" s="1" t="s">
        <v>10</v>
      </c>
      <c r="C1379" s="1" t="s">
        <v>4969</v>
      </c>
      <c r="D1379" s="1" t="s">
        <v>4970</v>
      </c>
      <c r="E1379" s="1" t="s">
        <v>4927</v>
      </c>
      <c r="F1379" s="1" t="s">
        <v>23</v>
      </c>
      <c r="G1379" s="1" t="s">
        <v>23</v>
      </c>
      <c r="H1379" s="1" t="s">
        <v>15</v>
      </c>
      <c r="I1379" t="b">
        <f>COUNTIF(Estadísticas!I:I,'Centraldecomunicacion.es'!H1379)&gt;0</f>
        <v>0</v>
      </c>
    </row>
    <row r="1380" spans="1:9">
      <c r="A1380" s="1" t="s">
        <v>4971</v>
      </c>
      <c r="B1380" s="1" t="s">
        <v>10</v>
      </c>
      <c r="C1380" s="1" t="s">
        <v>4972</v>
      </c>
      <c r="D1380" s="1" t="s">
        <v>4973</v>
      </c>
      <c r="E1380" s="1" t="s">
        <v>4927</v>
      </c>
      <c r="F1380" s="1" t="s">
        <v>23</v>
      </c>
      <c r="G1380" s="1" t="s">
        <v>4974</v>
      </c>
      <c r="H1380" s="1" t="s">
        <v>15</v>
      </c>
      <c r="I1380" t="b">
        <f>COUNTIF(Estadísticas!I:I,'Centraldecomunicacion.es'!H1380)&gt;0</f>
        <v>0</v>
      </c>
    </row>
    <row r="1381" spans="1:9">
      <c r="A1381" s="1" t="s">
        <v>4975</v>
      </c>
      <c r="B1381" s="1" t="s">
        <v>10</v>
      </c>
      <c r="C1381" s="1" t="s">
        <v>4976</v>
      </c>
      <c r="D1381" s="1" t="s">
        <v>4966</v>
      </c>
      <c r="E1381" s="1" t="s">
        <v>4927</v>
      </c>
      <c r="F1381" s="1" t="s">
        <v>4977</v>
      </c>
      <c r="G1381" s="1" t="s">
        <v>4978</v>
      </c>
      <c r="H1381" s="1" t="s">
        <v>15</v>
      </c>
      <c r="I1381" t="b">
        <f>COUNTIF(Estadísticas!I:I,'Centraldecomunicacion.es'!H1381)&gt;0</f>
        <v>0</v>
      </c>
    </row>
    <row r="1382" spans="1:9">
      <c r="A1382" s="1" t="s">
        <v>4979</v>
      </c>
      <c r="B1382" s="1" t="s">
        <v>10</v>
      </c>
      <c r="C1382" s="1" t="s">
        <v>4980</v>
      </c>
      <c r="D1382" s="1" t="s">
        <v>4981</v>
      </c>
      <c r="E1382" s="1" t="s">
        <v>4927</v>
      </c>
      <c r="F1382" s="1" t="s">
        <v>4982</v>
      </c>
      <c r="G1382" s="1" t="s">
        <v>4983</v>
      </c>
      <c r="H1382" s="1" t="s">
        <v>15</v>
      </c>
      <c r="I1382" t="b">
        <f>COUNTIF(Estadísticas!I:I,'Centraldecomunicacion.es'!H1382)&gt;0</f>
        <v>0</v>
      </c>
    </row>
    <row r="1383" spans="1:9">
      <c r="A1383" s="1" t="s">
        <v>4984</v>
      </c>
      <c r="B1383" s="1" t="s">
        <v>10</v>
      </c>
      <c r="C1383" s="1" t="s">
        <v>4985</v>
      </c>
      <c r="D1383" s="1" t="s">
        <v>4986</v>
      </c>
      <c r="E1383" s="1" t="s">
        <v>4927</v>
      </c>
      <c r="F1383" s="1" t="s">
        <v>4987</v>
      </c>
      <c r="G1383" s="1" t="s">
        <v>4988</v>
      </c>
      <c r="H1383" s="1" t="s">
        <v>4989</v>
      </c>
      <c r="I1383" t="b">
        <f>COUNTIF(Estadísticas!I:I,'Centraldecomunicacion.es'!H1383)&gt;0</f>
        <v>0</v>
      </c>
    </row>
    <row r="1384" spans="1:9">
      <c r="A1384" s="1" t="s">
        <v>4990</v>
      </c>
      <c r="B1384" s="1" t="s">
        <v>10</v>
      </c>
      <c r="C1384" s="1" t="s">
        <v>4991</v>
      </c>
      <c r="D1384" s="1" t="s">
        <v>4992</v>
      </c>
      <c r="E1384" s="1" t="s">
        <v>4927</v>
      </c>
      <c r="F1384" s="1" t="s">
        <v>23</v>
      </c>
      <c r="G1384" s="1" t="s">
        <v>4993</v>
      </c>
      <c r="H1384" s="1" t="s">
        <v>15</v>
      </c>
      <c r="I1384" t="b">
        <f>COUNTIF(Estadísticas!I:I,'Centraldecomunicacion.es'!H1384)&gt;0</f>
        <v>0</v>
      </c>
    </row>
    <row r="1385" spans="1:9">
      <c r="A1385" s="1" t="s">
        <v>4994</v>
      </c>
      <c r="B1385" s="1" t="s">
        <v>10</v>
      </c>
      <c r="C1385" s="1" t="s">
        <v>4995</v>
      </c>
      <c r="D1385" s="1" t="s">
        <v>4953</v>
      </c>
      <c r="E1385" s="1" t="s">
        <v>4927</v>
      </c>
      <c r="F1385" s="1" t="s">
        <v>23</v>
      </c>
      <c r="G1385" s="1" t="s">
        <v>4996</v>
      </c>
      <c r="H1385" s="1" t="s">
        <v>15</v>
      </c>
      <c r="I1385" t="b">
        <f>COUNTIF(Estadísticas!I:I,'Centraldecomunicacion.es'!H1385)&gt;0</f>
        <v>0</v>
      </c>
    </row>
    <row r="1386" spans="1:9">
      <c r="A1386" s="1" t="s">
        <v>4997</v>
      </c>
      <c r="B1386" s="1" t="s">
        <v>10</v>
      </c>
      <c r="C1386" s="1" t="s">
        <v>4998</v>
      </c>
      <c r="D1386" s="1" t="s">
        <v>4966</v>
      </c>
      <c r="E1386" s="1" t="s">
        <v>4927</v>
      </c>
      <c r="F1386" s="1" t="s">
        <v>23</v>
      </c>
      <c r="G1386" s="1" t="s">
        <v>4999</v>
      </c>
      <c r="H1386" s="1" t="s">
        <v>15</v>
      </c>
      <c r="I1386" t="b">
        <f>COUNTIF(Estadísticas!I:I,'Centraldecomunicacion.es'!H1386)&gt;0</f>
        <v>0</v>
      </c>
    </row>
    <row r="1387" spans="1:9">
      <c r="A1387" s="1" t="s">
        <v>5000</v>
      </c>
      <c r="B1387" s="1" t="s">
        <v>10</v>
      </c>
      <c r="C1387" s="1" t="s">
        <v>5001</v>
      </c>
      <c r="D1387" s="1" t="s">
        <v>4981</v>
      </c>
      <c r="E1387" s="1" t="s">
        <v>4927</v>
      </c>
      <c r="F1387" s="1" t="s">
        <v>5002</v>
      </c>
      <c r="G1387" s="1" t="s">
        <v>5003</v>
      </c>
      <c r="H1387" s="1" t="s">
        <v>15</v>
      </c>
      <c r="I1387" t="b">
        <f>COUNTIF(Estadísticas!I:I,'Centraldecomunicacion.es'!H1387)&gt;0</f>
        <v>0</v>
      </c>
    </row>
    <row r="1388" spans="1:9">
      <c r="A1388" s="1" t="s">
        <v>5004</v>
      </c>
      <c r="B1388" s="1" t="s">
        <v>10</v>
      </c>
      <c r="C1388" s="1" t="s">
        <v>5005</v>
      </c>
      <c r="D1388" s="1" t="s">
        <v>5006</v>
      </c>
      <c r="E1388" s="1" t="s">
        <v>1651</v>
      </c>
      <c r="F1388" s="1" t="s">
        <v>811</v>
      </c>
      <c r="G1388" s="1" t="s">
        <v>5007</v>
      </c>
      <c r="H1388" s="1" t="s">
        <v>15</v>
      </c>
      <c r="I1388" t="b">
        <f>COUNTIF(Estadísticas!I:I,'Centraldecomunicacion.es'!H1388)&gt;0</f>
        <v>0</v>
      </c>
    </row>
    <row r="1389" spans="1:9">
      <c r="A1389" s="1" t="s">
        <v>5008</v>
      </c>
      <c r="B1389" s="1" t="s">
        <v>10</v>
      </c>
      <c r="C1389" s="1" t="s">
        <v>5009</v>
      </c>
      <c r="D1389" s="1" t="s">
        <v>4966</v>
      </c>
      <c r="E1389" s="1" t="s">
        <v>4927</v>
      </c>
      <c r="F1389" s="1" t="s">
        <v>23</v>
      </c>
      <c r="G1389" s="1" t="s">
        <v>4999</v>
      </c>
      <c r="H1389" s="1" t="s">
        <v>15</v>
      </c>
      <c r="I1389" t="b">
        <f>COUNTIF(Estadísticas!I:I,'Centraldecomunicacion.es'!H1389)&gt;0</f>
        <v>0</v>
      </c>
    </row>
    <row r="1390" spans="1:9">
      <c r="A1390" s="1" t="s">
        <v>5010</v>
      </c>
      <c r="B1390" s="1" t="s">
        <v>10</v>
      </c>
      <c r="C1390" s="1" t="s">
        <v>5011</v>
      </c>
      <c r="D1390" s="1" t="s">
        <v>5012</v>
      </c>
      <c r="E1390" s="1" t="s">
        <v>4927</v>
      </c>
      <c r="F1390" s="1" t="s">
        <v>5013</v>
      </c>
      <c r="G1390" s="1" t="s">
        <v>5014</v>
      </c>
      <c r="H1390" s="1" t="s">
        <v>15</v>
      </c>
      <c r="I1390" t="b">
        <f>COUNTIF(Estadísticas!I:I,'Centraldecomunicacion.es'!H1390)&gt;0</f>
        <v>0</v>
      </c>
    </row>
    <row r="1391" spans="1:9">
      <c r="A1391" s="1" t="s">
        <v>5015</v>
      </c>
      <c r="B1391" s="1" t="s">
        <v>10</v>
      </c>
      <c r="C1391" s="1" t="s">
        <v>4991</v>
      </c>
      <c r="D1391" s="1" t="s">
        <v>4992</v>
      </c>
      <c r="E1391" s="1" t="s">
        <v>4927</v>
      </c>
      <c r="F1391" s="1" t="s">
        <v>23</v>
      </c>
      <c r="G1391" s="1" t="s">
        <v>4993</v>
      </c>
      <c r="H1391" s="1" t="s">
        <v>15</v>
      </c>
      <c r="I1391" t="b">
        <f>COUNTIF(Estadísticas!I:I,'Centraldecomunicacion.es'!H1391)&gt;0</f>
        <v>0</v>
      </c>
    </row>
    <row r="1392" spans="1:9">
      <c r="A1392" s="1" t="s">
        <v>5016</v>
      </c>
      <c r="B1392" s="1" t="s">
        <v>10</v>
      </c>
      <c r="C1392" s="1" t="s">
        <v>5017</v>
      </c>
      <c r="D1392" s="1" t="s">
        <v>5018</v>
      </c>
      <c r="E1392" s="1" t="s">
        <v>4927</v>
      </c>
      <c r="F1392" s="1" t="s">
        <v>56</v>
      </c>
      <c r="G1392" s="1" t="s">
        <v>5019</v>
      </c>
      <c r="H1392" s="1" t="s">
        <v>15</v>
      </c>
      <c r="I1392" t="b">
        <f>COUNTIF(Estadísticas!I:I,'Centraldecomunicacion.es'!H1392)&gt;0</f>
        <v>0</v>
      </c>
    </row>
    <row r="1393" spans="1:9">
      <c r="A1393" s="1" t="s">
        <v>5020</v>
      </c>
      <c r="B1393" s="1" t="s">
        <v>10</v>
      </c>
      <c r="C1393" s="1" t="s">
        <v>5021</v>
      </c>
      <c r="D1393" s="1" t="s">
        <v>5022</v>
      </c>
      <c r="E1393" s="1" t="s">
        <v>4927</v>
      </c>
      <c r="F1393" s="1" t="s">
        <v>23</v>
      </c>
      <c r="G1393" s="1" t="s">
        <v>5023</v>
      </c>
      <c r="H1393" s="1" t="s">
        <v>15</v>
      </c>
      <c r="I1393" t="b">
        <f>COUNTIF(Estadísticas!I:I,'Centraldecomunicacion.es'!H1393)&gt;0</f>
        <v>0</v>
      </c>
    </row>
    <row r="1394" spans="1:9">
      <c r="A1394" s="1" t="s">
        <v>5024</v>
      </c>
      <c r="B1394" s="1" t="s">
        <v>10</v>
      </c>
      <c r="C1394" s="1" t="s">
        <v>5025</v>
      </c>
      <c r="D1394" s="1" t="s">
        <v>4986</v>
      </c>
      <c r="E1394" s="1" t="s">
        <v>4927</v>
      </c>
      <c r="F1394" s="1" t="s">
        <v>526</v>
      </c>
      <c r="G1394" s="1" t="s">
        <v>5026</v>
      </c>
      <c r="H1394" s="1" t="s">
        <v>528</v>
      </c>
      <c r="I1394" t="b">
        <f>COUNTIF(Estadísticas!I:I,'Centraldecomunicacion.es'!H1394)&gt;0</f>
        <v>0</v>
      </c>
    </row>
    <row r="1395" spans="1:9">
      <c r="A1395" s="1" t="s">
        <v>5027</v>
      </c>
      <c r="B1395" s="1" t="s">
        <v>10</v>
      </c>
      <c r="C1395" s="1" t="s">
        <v>5028</v>
      </c>
      <c r="D1395" s="1" t="s">
        <v>5012</v>
      </c>
      <c r="E1395" s="1" t="s">
        <v>4927</v>
      </c>
      <c r="F1395" s="1" t="s">
        <v>23</v>
      </c>
      <c r="G1395" s="1" t="s">
        <v>5029</v>
      </c>
      <c r="H1395" s="1" t="s">
        <v>15</v>
      </c>
      <c r="I1395" t="b">
        <f>COUNTIF(Estadísticas!I:I,'Centraldecomunicacion.es'!H1395)&gt;0</f>
        <v>0</v>
      </c>
    </row>
    <row r="1396" spans="1:9">
      <c r="A1396" s="1" t="s">
        <v>5030</v>
      </c>
      <c r="B1396" s="1" t="s">
        <v>10</v>
      </c>
      <c r="C1396" s="1" t="s">
        <v>5031</v>
      </c>
      <c r="D1396" s="1" t="s">
        <v>4981</v>
      </c>
      <c r="E1396" s="1" t="s">
        <v>4927</v>
      </c>
      <c r="F1396" s="1" t="s">
        <v>23</v>
      </c>
      <c r="G1396" s="1" t="s">
        <v>5032</v>
      </c>
      <c r="H1396" s="1" t="s">
        <v>15</v>
      </c>
      <c r="I1396" t="b">
        <f>COUNTIF(Estadísticas!I:I,'Centraldecomunicacion.es'!H1396)&gt;0</f>
        <v>0</v>
      </c>
    </row>
    <row r="1397" spans="1:9">
      <c r="A1397" s="1" t="s">
        <v>4796</v>
      </c>
      <c r="B1397" s="1" t="s">
        <v>10</v>
      </c>
      <c r="C1397" s="1" t="s">
        <v>5033</v>
      </c>
      <c r="D1397" s="1" t="s">
        <v>4966</v>
      </c>
      <c r="E1397" s="1" t="s">
        <v>4927</v>
      </c>
      <c r="F1397" s="1" t="s">
        <v>5034</v>
      </c>
      <c r="G1397" s="1" t="s">
        <v>5035</v>
      </c>
      <c r="H1397" s="1" t="s">
        <v>15</v>
      </c>
      <c r="I1397" t="b">
        <f>COUNTIF(Estadísticas!I:I,'Centraldecomunicacion.es'!H1397)&gt;0</f>
        <v>0</v>
      </c>
    </row>
    <row r="1398" spans="1:9">
      <c r="A1398" s="1" t="s">
        <v>5036</v>
      </c>
      <c r="B1398" s="1" t="s">
        <v>10</v>
      </c>
      <c r="C1398" s="1" t="s">
        <v>5037</v>
      </c>
      <c r="D1398" s="1" t="s">
        <v>5038</v>
      </c>
      <c r="E1398" s="1" t="s">
        <v>4927</v>
      </c>
      <c r="F1398" s="1" t="s">
        <v>23</v>
      </c>
      <c r="G1398" s="1" t="s">
        <v>5039</v>
      </c>
      <c r="H1398" s="1" t="s">
        <v>15</v>
      </c>
      <c r="I1398" t="b">
        <f>COUNTIF(Estadísticas!I:I,'Centraldecomunicacion.es'!H1398)&gt;0</f>
        <v>0</v>
      </c>
    </row>
    <row r="1399" spans="1:9">
      <c r="A1399" s="1" t="s">
        <v>5040</v>
      </c>
      <c r="B1399" s="1" t="s">
        <v>10</v>
      </c>
      <c r="C1399" s="1" t="s">
        <v>5041</v>
      </c>
      <c r="D1399" s="1" t="s">
        <v>4981</v>
      </c>
      <c r="E1399" s="1" t="s">
        <v>4927</v>
      </c>
      <c r="F1399" s="1" t="s">
        <v>23</v>
      </c>
      <c r="G1399" s="1" t="s">
        <v>5042</v>
      </c>
      <c r="H1399" s="1" t="s">
        <v>15</v>
      </c>
      <c r="I1399" t="b">
        <f>COUNTIF(Estadísticas!I:I,'Centraldecomunicacion.es'!H1399)&gt;0</f>
        <v>0</v>
      </c>
    </row>
    <row r="1400" spans="1:9">
      <c r="A1400" s="1" t="s">
        <v>5043</v>
      </c>
      <c r="B1400" s="1" t="s">
        <v>10</v>
      </c>
      <c r="C1400" s="1" t="s">
        <v>5044</v>
      </c>
      <c r="D1400" s="1" t="s">
        <v>4962</v>
      </c>
      <c r="E1400" s="1" t="s">
        <v>4927</v>
      </c>
      <c r="F1400" s="1" t="s">
        <v>23</v>
      </c>
      <c r="G1400" s="1" t="s">
        <v>5045</v>
      </c>
      <c r="H1400" s="1" t="s">
        <v>15</v>
      </c>
      <c r="I1400" t="b">
        <f>COUNTIF(Estadísticas!I:I,'Centraldecomunicacion.es'!H1400)&gt;0</f>
        <v>0</v>
      </c>
    </row>
    <row r="1401" spans="1:9">
      <c r="A1401" s="1" t="s">
        <v>5046</v>
      </c>
      <c r="B1401" s="1" t="s">
        <v>10</v>
      </c>
      <c r="C1401" s="1" t="s">
        <v>5047</v>
      </c>
      <c r="D1401" s="1" t="s">
        <v>5048</v>
      </c>
      <c r="E1401" s="1" t="s">
        <v>4927</v>
      </c>
      <c r="F1401" s="1" t="s">
        <v>23</v>
      </c>
      <c r="G1401" s="1" t="s">
        <v>5049</v>
      </c>
      <c r="H1401" s="1" t="s">
        <v>15</v>
      </c>
      <c r="I1401" t="b">
        <f>COUNTIF(Estadísticas!I:I,'Centraldecomunicacion.es'!H1401)&gt;0</f>
        <v>0</v>
      </c>
    </row>
    <row r="1402" spans="1:9">
      <c r="A1402" s="1" t="s">
        <v>5050</v>
      </c>
      <c r="B1402" s="1" t="s">
        <v>10</v>
      </c>
      <c r="C1402" s="1" t="s">
        <v>5051</v>
      </c>
      <c r="D1402" s="1" t="s">
        <v>5052</v>
      </c>
      <c r="E1402" s="1" t="s">
        <v>4927</v>
      </c>
      <c r="F1402" s="1" t="s">
        <v>5053</v>
      </c>
      <c r="G1402" s="1" t="s">
        <v>5054</v>
      </c>
      <c r="H1402" s="1" t="s">
        <v>5055</v>
      </c>
      <c r="I1402" t="b">
        <f>COUNTIF(Estadísticas!I:I,'Centraldecomunicacion.es'!H1402)&gt;0</f>
        <v>0</v>
      </c>
    </row>
    <row r="1403" spans="1:9">
      <c r="A1403" s="1" t="s">
        <v>5056</v>
      </c>
      <c r="B1403" s="1" t="s">
        <v>10</v>
      </c>
      <c r="C1403" s="1" t="s">
        <v>5057</v>
      </c>
      <c r="D1403" s="1" t="s">
        <v>5058</v>
      </c>
      <c r="E1403" s="1" t="s">
        <v>4927</v>
      </c>
      <c r="F1403" s="1" t="s">
        <v>23</v>
      </c>
      <c r="G1403" s="1" t="s">
        <v>5059</v>
      </c>
      <c r="H1403" s="1" t="s">
        <v>15</v>
      </c>
      <c r="I1403" t="b">
        <f>COUNTIF(Estadísticas!I:I,'Centraldecomunicacion.es'!H1403)&gt;0</f>
        <v>0</v>
      </c>
    </row>
    <row r="1404" spans="1:9">
      <c r="A1404" s="1" t="s">
        <v>986</v>
      </c>
      <c r="B1404" s="1" t="s">
        <v>10</v>
      </c>
      <c r="C1404" s="1" t="s">
        <v>5060</v>
      </c>
      <c r="D1404" s="1" t="s">
        <v>4926</v>
      </c>
      <c r="E1404" s="1" t="s">
        <v>4927</v>
      </c>
      <c r="F1404" s="1" t="s">
        <v>23</v>
      </c>
      <c r="G1404" s="1" t="s">
        <v>5061</v>
      </c>
      <c r="H1404" s="1" t="s">
        <v>15</v>
      </c>
      <c r="I1404" t="b">
        <f>COUNTIF(Estadísticas!I:I,'Centraldecomunicacion.es'!H1404)&gt;0</f>
        <v>0</v>
      </c>
    </row>
    <row r="1405" spans="1:9">
      <c r="A1405" s="1" t="s">
        <v>5062</v>
      </c>
      <c r="B1405" s="1" t="s">
        <v>10</v>
      </c>
      <c r="C1405" s="1" t="s">
        <v>5063</v>
      </c>
      <c r="D1405" s="1" t="s">
        <v>5064</v>
      </c>
      <c r="E1405" s="1" t="s">
        <v>4927</v>
      </c>
      <c r="F1405" s="1" t="s">
        <v>23</v>
      </c>
      <c r="G1405" s="1" t="s">
        <v>5065</v>
      </c>
      <c r="H1405" s="1" t="s">
        <v>15</v>
      </c>
      <c r="I1405" t="b">
        <f>COUNTIF(Estadísticas!I:I,'Centraldecomunicacion.es'!H1405)&gt;0</f>
        <v>0</v>
      </c>
    </row>
    <row r="1406" spans="1:9">
      <c r="A1406" s="1" t="s">
        <v>5066</v>
      </c>
      <c r="B1406" s="1" t="s">
        <v>10</v>
      </c>
      <c r="C1406" s="1" t="s">
        <v>5067</v>
      </c>
      <c r="D1406" s="1" t="s">
        <v>4509</v>
      </c>
      <c r="E1406" s="1" t="s">
        <v>1651</v>
      </c>
      <c r="F1406" s="1" t="s">
        <v>23</v>
      </c>
      <c r="G1406" s="1" t="s">
        <v>5068</v>
      </c>
      <c r="H1406" s="1" t="s">
        <v>15</v>
      </c>
      <c r="I1406" t="b">
        <f>COUNTIF(Estadísticas!I:I,'Centraldecomunicacion.es'!H1406)&gt;0</f>
        <v>0</v>
      </c>
    </row>
    <row r="1407" spans="1:9">
      <c r="A1407" s="1" t="s">
        <v>5069</v>
      </c>
      <c r="B1407" s="1" t="s">
        <v>10</v>
      </c>
      <c r="C1407" s="1" t="s">
        <v>5070</v>
      </c>
      <c r="D1407" s="1" t="s">
        <v>5064</v>
      </c>
      <c r="E1407" s="1" t="s">
        <v>4927</v>
      </c>
      <c r="F1407" s="1" t="s">
        <v>23</v>
      </c>
      <c r="G1407" s="1" t="s">
        <v>5071</v>
      </c>
      <c r="H1407" s="1" t="s">
        <v>15</v>
      </c>
      <c r="I1407" t="b">
        <f>COUNTIF(Estadísticas!I:I,'Centraldecomunicacion.es'!H1407)&gt;0</f>
        <v>0</v>
      </c>
    </row>
    <row r="1408" spans="1:9">
      <c r="A1408" s="1" t="s">
        <v>5072</v>
      </c>
      <c r="B1408" s="1" t="s">
        <v>10</v>
      </c>
      <c r="C1408" s="1" t="s">
        <v>5073</v>
      </c>
      <c r="D1408" s="1" t="s">
        <v>4962</v>
      </c>
      <c r="E1408" s="1" t="s">
        <v>4927</v>
      </c>
      <c r="F1408" s="1" t="s">
        <v>5074</v>
      </c>
      <c r="G1408" s="1" t="s">
        <v>5075</v>
      </c>
      <c r="H1408" s="1" t="s">
        <v>5076</v>
      </c>
      <c r="I1408" t="b">
        <f>COUNTIF(Estadísticas!I:I,'Centraldecomunicacion.es'!H1408)&gt;0</f>
        <v>1</v>
      </c>
    </row>
    <row r="1409" spans="1:9">
      <c r="A1409" s="1" t="s">
        <v>5077</v>
      </c>
      <c r="B1409" s="1" t="s">
        <v>10</v>
      </c>
      <c r="C1409" s="1" t="s">
        <v>5078</v>
      </c>
      <c r="D1409" s="1" t="s">
        <v>5079</v>
      </c>
      <c r="E1409" s="1" t="s">
        <v>1651</v>
      </c>
      <c r="F1409" s="1" t="s">
        <v>23</v>
      </c>
      <c r="G1409" s="1" t="s">
        <v>5080</v>
      </c>
      <c r="H1409" s="1" t="s">
        <v>15</v>
      </c>
      <c r="I1409" t="b">
        <f>COUNTIF(Estadísticas!I:I,'Centraldecomunicacion.es'!H1409)&gt;0</f>
        <v>0</v>
      </c>
    </row>
    <row r="1410" spans="1:9">
      <c r="A1410" s="1" t="s">
        <v>5081</v>
      </c>
      <c r="B1410" s="1" t="s">
        <v>10</v>
      </c>
      <c r="C1410" s="1" t="s">
        <v>5082</v>
      </c>
      <c r="D1410" s="1" t="s">
        <v>5083</v>
      </c>
      <c r="E1410" s="1" t="s">
        <v>4927</v>
      </c>
      <c r="F1410" s="1" t="s">
        <v>56</v>
      </c>
      <c r="G1410" s="1" t="s">
        <v>5084</v>
      </c>
      <c r="H1410" s="1" t="s">
        <v>15</v>
      </c>
      <c r="I1410" t="b">
        <f>COUNTIF(Estadísticas!I:I,'Centraldecomunicacion.es'!H1410)&gt;0</f>
        <v>0</v>
      </c>
    </row>
    <row r="1411" spans="1:9">
      <c r="A1411" s="1" t="s">
        <v>5085</v>
      </c>
      <c r="B1411" s="1" t="s">
        <v>10</v>
      </c>
      <c r="C1411" s="1" t="s">
        <v>5086</v>
      </c>
      <c r="D1411" s="1" t="s">
        <v>5087</v>
      </c>
      <c r="E1411" s="1" t="s">
        <v>1651</v>
      </c>
      <c r="F1411" s="1" t="s">
        <v>23</v>
      </c>
      <c r="G1411" s="1" t="s">
        <v>5088</v>
      </c>
      <c r="H1411" s="1" t="s">
        <v>15</v>
      </c>
      <c r="I1411" t="b">
        <f>COUNTIF(Estadísticas!I:I,'Centraldecomunicacion.es'!H1411)&gt;0</f>
        <v>0</v>
      </c>
    </row>
    <row r="1412" spans="1:9">
      <c r="A1412" s="1" t="s">
        <v>5089</v>
      </c>
      <c r="B1412" s="1" t="s">
        <v>10</v>
      </c>
      <c r="C1412" s="1" t="s">
        <v>5090</v>
      </c>
      <c r="D1412" s="1" t="s">
        <v>4966</v>
      </c>
      <c r="E1412" s="1" t="s">
        <v>4927</v>
      </c>
      <c r="F1412" s="1" t="s">
        <v>4937</v>
      </c>
      <c r="G1412" s="1" t="s">
        <v>5091</v>
      </c>
      <c r="H1412" s="1" t="s">
        <v>4939</v>
      </c>
      <c r="I1412" t="b">
        <f>COUNTIF(Estadísticas!I:I,'Centraldecomunicacion.es'!H1412)&gt;0</f>
        <v>0</v>
      </c>
    </row>
    <row r="1413" spans="1:9">
      <c r="A1413" s="1" t="s">
        <v>5092</v>
      </c>
      <c r="B1413" s="1" t="s">
        <v>10</v>
      </c>
      <c r="C1413" s="1" t="s">
        <v>5093</v>
      </c>
      <c r="D1413" s="1" t="s">
        <v>5094</v>
      </c>
      <c r="E1413" s="1" t="s">
        <v>5095</v>
      </c>
      <c r="F1413" s="1" t="s">
        <v>5096</v>
      </c>
      <c r="G1413" s="1" t="s">
        <v>5097</v>
      </c>
      <c r="H1413" s="1" t="s">
        <v>5098</v>
      </c>
      <c r="I1413" t="b">
        <f>COUNTIF(Estadísticas!I:I,'Centraldecomunicacion.es'!H1413)&gt;0</f>
        <v>0</v>
      </c>
    </row>
    <row r="1414" spans="1:9">
      <c r="A1414" s="1" t="s">
        <v>5099</v>
      </c>
      <c r="B1414" s="1" t="s">
        <v>10</v>
      </c>
      <c r="C1414" s="1" t="s">
        <v>5100</v>
      </c>
      <c r="D1414" s="1" t="s">
        <v>1994</v>
      </c>
      <c r="E1414" s="1" t="s">
        <v>1995</v>
      </c>
      <c r="F1414" s="1" t="s">
        <v>1655</v>
      </c>
      <c r="G1414" s="1" t="s">
        <v>5101</v>
      </c>
      <c r="H1414" s="1" t="s">
        <v>1657</v>
      </c>
      <c r="I1414" t="b">
        <f>COUNTIF(Estadísticas!I:I,'Centraldecomunicacion.es'!H1414)&gt;0</f>
        <v>0</v>
      </c>
    </row>
    <row r="1415" spans="1:9">
      <c r="A1415" s="1" t="s">
        <v>5102</v>
      </c>
      <c r="B1415" s="1" t="s">
        <v>10</v>
      </c>
      <c r="C1415" s="1" t="s">
        <v>5103</v>
      </c>
      <c r="D1415" s="1" t="s">
        <v>5094</v>
      </c>
      <c r="E1415" s="1" t="s">
        <v>5095</v>
      </c>
      <c r="F1415" s="1" t="s">
        <v>5096</v>
      </c>
      <c r="G1415" s="1" t="s">
        <v>5104</v>
      </c>
      <c r="H1415" s="1" t="s">
        <v>5098</v>
      </c>
      <c r="I1415" t="b">
        <f>COUNTIF(Estadísticas!I:I,'Centraldecomunicacion.es'!H1415)&gt;0</f>
        <v>0</v>
      </c>
    </row>
    <row r="1416" spans="1:9">
      <c r="A1416" s="1" t="s">
        <v>5105</v>
      </c>
      <c r="B1416" s="1" t="s">
        <v>10</v>
      </c>
      <c r="C1416" s="1" t="s">
        <v>5106</v>
      </c>
      <c r="D1416" s="1" t="s">
        <v>5107</v>
      </c>
      <c r="E1416" s="1" t="s">
        <v>5107</v>
      </c>
      <c r="F1416" s="1" t="s">
        <v>5108</v>
      </c>
      <c r="G1416" s="1" t="s">
        <v>5109</v>
      </c>
      <c r="H1416" s="1" t="s">
        <v>5110</v>
      </c>
      <c r="I1416" t="b">
        <f>COUNTIF(Estadísticas!I:I,'Centraldecomunicacion.es'!H1416)&gt;0</f>
        <v>0</v>
      </c>
    </row>
    <row r="1417" spans="1:9">
      <c r="A1417" s="1" t="s">
        <v>5111</v>
      </c>
      <c r="B1417" s="1" t="s">
        <v>10</v>
      </c>
      <c r="C1417" s="1" t="s">
        <v>5112</v>
      </c>
      <c r="D1417" s="1" t="s">
        <v>2264</v>
      </c>
      <c r="E1417" s="1" t="s">
        <v>2264</v>
      </c>
      <c r="F1417" s="1" t="s">
        <v>23</v>
      </c>
      <c r="G1417" s="1" t="s">
        <v>5113</v>
      </c>
      <c r="H1417" s="1" t="s">
        <v>15</v>
      </c>
      <c r="I1417" t="b">
        <f>COUNTIF(Estadísticas!I:I,'Centraldecomunicacion.es'!H1417)&gt;0</f>
        <v>0</v>
      </c>
    </row>
    <row r="1418" spans="1:9">
      <c r="A1418" s="1" t="s">
        <v>321</v>
      </c>
      <c r="B1418" s="1" t="s">
        <v>10</v>
      </c>
      <c r="C1418" s="1" t="s">
        <v>5114</v>
      </c>
      <c r="D1418" s="1" t="s">
        <v>5107</v>
      </c>
      <c r="E1418" s="1" t="s">
        <v>5107</v>
      </c>
      <c r="F1418" s="1" t="s">
        <v>323</v>
      </c>
      <c r="G1418" s="1" t="s">
        <v>5115</v>
      </c>
      <c r="H1418" s="1" t="s">
        <v>325</v>
      </c>
      <c r="I1418" t="b">
        <f>COUNTIF(Estadísticas!I:I,'Centraldecomunicacion.es'!H1418)&gt;0</f>
        <v>0</v>
      </c>
    </row>
    <row r="1419" spans="1:9">
      <c r="A1419" s="1" t="s">
        <v>5116</v>
      </c>
      <c r="B1419" s="1" t="s">
        <v>10</v>
      </c>
      <c r="C1419" s="1" t="s">
        <v>5117</v>
      </c>
      <c r="D1419" s="1" t="s">
        <v>5118</v>
      </c>
      <c r="E1419" s="1" t="s">
        <v>5118</v>
      </c>
      <c r="F1419" s="1" t="s">
        <v>5119</v>
      </c>
      <c r="G1419" s="1" t="s">
        <v>5120</v>
      </c>
      <c r="H1419" s="1" t="s">
        <v>5121</v>
      </c>
      <c r="I1419" t="b">
        <f>COUNTIF(Estadísticas!I:I,'Centraldecomunicacion.es'!H1419)&gt;0</f>
        <v>1</v>
      </c>
    </row>
    <row r="1420" spans="1:9">
      <c r="A1420" s="1" t="s">
        <v>5122</v>
      </c>
      <c r="B1420" s="1" t="s">
        <v>10</v>
      </c>
      <c r="C1420" s="1" t="s">
        <v>5123</v>
      </c>
      <c r="D1420" s="1" t="s">
        <v>5124</v>
      </c>
      <c r="E1420" s="1" t="s">
        <v>5125</v>
      </c>
      <c r="F1420" s="1" t="s">
        <v>23</v>
      </c>
      <c r="G1420" s="1" t="s">
        <v>5126</v>
      </c>
      <c r="H1420" s="1" t="s">
        <v>15</v>
      </c>
      <c r="I1420" t="b">
        <f>COUNTIF(Estadísticas!I:I,'Centraldecomunicacion.es'!H1420)&gt;0</f>
        <v>0</v>
      </c>
    </row>
    <row r="1421" spans="1:9">
      <c r="A1421" s="1" t="s">
        <v>5127</v>
      </c>
      <c r="B1421" s="1" t="s">
        <v>10</v>
      </c>
      <c r="C1421" s="1" t="s">
        <v>5128</v>
      </c>
      <c r="D1421" s="1" t="s">
        <v>5124</v>
      </c>
      <c r="E1421" s="1" t="s">
        <v>5125</v>
      </c>
      <c r="F1421" s="1" t="s">
        <v>23</v>
      </c>
      <c r="G1421" s="1" t="s">
        <v>5129</v>
      </c>
      <c r="H1421" s="1" t="s">
        <v>15</v>
      </c>
      <c r="I1421" t="b">
        <f>COUNTIF(Estadísticas!I:I,'Centraldecomunicacion.es'!H1421)&gt;0</f>
        <v>0</v>
      </c>
    </row>
    <row r="1422" spans="1:9">
      <c r="A1422" s="1" t="s">
        <v>5130</v>
      </c>
      <c r="B1422" s="1" t="s">
        <v>10</v>
      </c>
      <c r="C1422" s="1" t="s">
        <v>5131</v>
      </c>
      <c r="D1422" s="1" t="s">
        <v>5124</v>
      </c>
      <c r="E1422" s="1" t="s">
        <v>5125</v>
      </c>
      <c r="F1422" s="1" t="s">
        <v>23</v>
      </c>
      <c r="G1422" s="1" t="s">
        <v>5132</v>
      </c>
      <c r="H1422" s="1" t="s">
        <v>15</v>
      </c>
      <c r="I1422" t="b">
        <f>COUNTIF(Estadísticas!I:I,'Centraldecomunicacion.es'!H1422)&gt;0</f>
        <v>0</v>
      </c>
    </row>
    <row r="1423" spans="1:9">
      <c r="A1423" s="1" t="s">
        <v>5133</v>
      </c>
      <c r="B1423" s="1" t="s">
        <v>10</v>
      </c>
      <c r="C1423" s="1" t="s">
        <v>5134</v>
      </c>
      <c r="D1423" s="1" t="s">
        <v>5124</v>
      </c>
      <c r="E1423" s="1" t="s">
        <v>5125</v>
      </c>
      <c r="F1423" s="1" t="s">
        <v>23</v>
      </c>
      <c r="G1423" s="1" t="s">
        <v>5135</v>
      </c>
      <c r="H1423" s="1" t="s">
        <v>15</v>
      </c>
      <c r="I1423" t="b">
        <f>COUNTIF(Estadísticas!I:I,'Centraldecomunicacion.es'!H1423)&gt;0</f>
        <v>0</v>
      </c>
    </row>
    <row r="1424" spans="1:9">
      <c r="A1424" s="1" t="s">
        <v>5136</v>
      </c>
      <c r="B1424" s="1" t="s">
        <v>10</v>
      </c>
      <c r="C1424" s="1" t="s">
        <v>5137</v>
      </c>
      <c r="D1424" s="1" t="s">
        <v>5124</v>
      </c>
      <c r="E1424" s="1" t="s">
        <v>5125</v>
      </c>
      <c r="F1424" s="1" t="s">
        <v>5138</v>
      </c>
      <c r="G1424" s="1" t="s">
        <v>5139</v>
      </c>
      <c r="H1424" s="1" t="s">
        <v>5140</v>
      </c>
      <c r="I1424" t="b">
        <f>COUNTIF(Estadísticas!I:I,'Centraldecomunicacion.es'!H1424)&gt;0</f>
        <v>1</v>
      </c>
    </row>
    <row r="1425" spans="1:9">
      <c r="A1425" s="1" t="s">
        <v>5141</v>
      </c>
      <c r="B1425" s="1" t="s">
        <v>10</v>
      </c>
      <c r="C1425" s="1" t="s">
        <v>5142</v>
      </c>
      <c r="D1425" s="1" t="s">
        <v>5124</v>
      </c>
      <c r="E1425" s="1" t="s">
        <v>5125</v>
      </c>
      <c r="F1425" s="1" t="s">
        <v>23</v>
      </c>
      <c r="G1425" s="1" t="s">
        <v>5143</v>
      </c>
      <c r="H1425" s="1" t="s">
        <v>15</v>
      </c>
      <c r="I1425" t="b">
        <f>COUNTIF(Estadísticas!I:I,'Centraldecomunicacion.es'!H1425)&gt;0</f>
        <v>0</v>
      </c>
    </row>
    <row r="1426" spans="1:9">
      <c r="A1426" s="1" t="s">
        <v>5144</v>
      </c>
      <c r="B1426" s="1" t="s">
        <v>10</v>
      </c>
      <c r="C1426" s="1" t="s">
        <v>5145</v>
      </c>
      <c r="D1426" s="1" t="s">
        <v>5124</v>
      </c>
      <c r="E1426" s="1" t="s">
        <v>5125</v>
      </c>
      <c r="F1426" s="1" t="s">
        <v>323</v>
      </c>
      <c r="G1426" s="1" t="s">
        <v>5146</v>
      </c>
      <c r="H1426" s="1" t="s">
        <v>325</v>
      </c>
      <c r="I1426" t="b">
        <f>COUNTIF(Estadísticas!I:I,'Centraldecomunicacion.es'!H1426)&gt;0</f>
        <v>0</v>
      </c>
    </row>
    <row r="1427" spans="1:9">
      <c r="A1427" s="1" t="s">
        <v>5147</v>
      </c>
      <c r="B1427" s="1" t="s">
        <v>10</v>
      </c>
      <c r="C1427" s="1" t="s">
        <v>5148</v>
      </c>
      <c r="D1427" s="1" t="s">
        <v>5124</v>
      </c>
      <c r="E1427" s="1" t="s">
        <v>5125</v>
      </c>
      <c r="F1427" s="1" t="s">
        <v>23</v>
      </c>
      <c r="G1427" s="1" t="s">
        <v>5149</v>
      </c>
      <c r="H1427" s="1" t="s">
        <v>15</v>
      </c>
      <c r="I1427" t="b">
        <f>COUNTIF(Estadísticas!I:I,'Centraldecomunicacion.es'!H1427)&gt;0</f>
        <v>0</v>
      </c>
    </row>
    <row r="1428" spans="1:9">
      <c r="A1428" s="1" t="s">
        <v>5150</v>
      </c>
      <c r="B1428" s="1" t="s">
        <v>10</v>
      </c>
      <c r="C1428" s="1" t="s">
        <v>5151</v>
      </c>
      <c r="D1428" s="1" t="s">
        <v>5124</v>
      </c>
      <c r="E1428" s="1" t="s">
        <v>5125</v>
      </c>
      <c r="F1428" s="1" t="s">
        <v>5152</v>
      </c>
      <c r="G1428" s="1" t="s">
        <v>5153</v>
      </c>
      <c r="H1428" s="1" t="s">
        <v>15</v>
      </c>
      <c r="I1428" t="b">
        <f>COUNTIF(Estadísticas!I:I,'Centraldecomunicacion.es'!H1428)&gt;0</f>
        <v>0</v>
      </c>
    </row>
    <row r="1429" spans="1:9">
      <c r="A1429" s="1" t="s">
        <v>5154</v>
      </c>
      <c r="B1429" s="1" t="s">
        <v>10</v>
      </c>
      <c r="C1429" s="1" t="s">
        <v>5155</v>
      </c>
      <c r="D1429" s="1" t="s">
        <v>5156</v>
      </c>
      <c r="E1429" s="1" t="s">
        <v>5125</v>
      </c>
      <c r="F1429" s="1" t="s">
        <v>23</v>
      </c>
      <c r="G1429" s="1" t="s">
        <v>5157</v>
      </c>
      <c r="H1429" s="1" t="s">
        <v>15</v>
      </c>
      <c r="I1429" t="b">
        <f>COUNTIF(Estadísticas!I:I,'Centraldecomunicacion.es'!H1429)&gt;0</f>
        <v>0</v>
      </c>
    </row>
    <row r="1430" spans="1:9">
      <c r="A1430" s="1" t="s">
        <v>5158</v>
      </c>
      <c r="B1430" s="1" t="s">
        <v>10</v>
      </c>
      <c r="C1430" s="1" t="s">
        <v>5159</v>
      </c>
      <c r="D1430" s="1" t="s">
        <v>5160</v>
      </c>
      <c r="E1430" s="1" t="s">
        <v>5125</v>
      </c>
      <c r="F1430" s="1" t="s">
        <v>23</v>
      </c>
      <c r="G1430" s="1" t="s">
        <v>5161</v>
      </c>
      <c r="H1430" s="1" t="s">
        <v>15</v>
      </c>
      <c r="I1430" t="b">
        <f>COUNTIF(Estadísticas!I:I,'Centraldecomunicacion.es'!H1430)&gt;0</f>
        <v>0</v>
      </c>
    </row>
    <row r="1431" spans="1:9">
      <c r="A1431" s="1" t="s">
        <v>5162</v>
      </c>
      <c r="B1431" s="1" t="s">
        <v>10</v>
      </c>
      <c r="C1431" s="1" t="s">
        <v>5163</v>
      </c>
      <c r="D1431" s="1" t="s">
        <v>5164</v>
      </c>
      <c r="E1431" s="1" t="s">
        <v>5125</v>
      </c>
      <c r="F1431" s="1" t="s">
        <v>23</v>
      </c>
      <c r="G1431" s="1" t="s">
        <v>5165</v>
      </c>
      <c r="H1431" s="1" t="s">
        <v>15</v>
      </c>
      <c r="I1431" t="b">
        <f>COUNTIF(Estadísticas!I:I,'Centraldecomunicacion.es'!H1431)&gt;0</f>
        <v>0</v>
      </c>
    </row>
    <row r="1432" spans="1:9">
      <c r="A1432" s="1" t="s">
        <v>5166</v>
      </c>
      <c r="B1432" s="1" t="s">
        <v>10</v>
      </c>
      <c r="C1432" s="1" t="s">
        <v>5167</v>
      </c>
      <c r="D1432" s="1" t="s">
        <v>5168</v>
      </c>
      <c r="E1432" s="1" t="s">
        <v>5125</v>
      </c>
      <c r="F1432" s="1" t="s">
        <v>811</v>
      </c>
      <c r="G1432" s="1" t="s">
        <v>5169</v>
      </c>
      <c r="H1432" s="1" t="s">
        <v>15</v>
      </c>
      <c r="I1432" t="b">
        <f>COUNTIF(Estadísticas!I:I,'Centraldecomunicacion.es'!H1432)&gt;0</f>
        <v>0</v>
      </c>
    </row>
    <row r="1433" spans="1:9">
      <c r="A1433" s="1" t="s">
        <v>5170</v>
      </c>
      <c r="B1433" s="1" t="s">
        <v>10</v>
      </c>
      <c r="C1433" s="1" t="s">
        <v>5171</v>
      </c>
      <c r="D1433" s="1" t="s">
        <v>5172</v>
      </c>
      <c r="E1433" s="1" t="s">
        <v>5125</v>
      </c>
      <c r="F1433" s="1" t="s">
        <v>23</v>
      </c>
      <c r="G1433" s="1" t="s">
        <v>5173</v>
      </c>
      <c r="H1433" s="1" t="s">
        <v>15</v>
      </c>
      <c r="I1433" t="b">
        <f>COUNTIF(Estadísticas!I:I,'Centraldecomunicacion.es'!H1433)&gt;0</f>
        <v>0</v>
      </c>
    </row>
    <row r="1434" spans="1:9">
      <c r="A1434" s="1" t="s">
        <v>5174</v>
      </c>
      <c r="B1434" s="1" t="s">
        <v>10</v>
      </c>
      <c r="C1434" s="1" t="s">
        <v>5175</v>
      </c>
      <c r="D1434" s="1" t="s">
        <v>5164</v>
      </c>
      <c r="E1434" s="1" t="s">
        <v>5125</v>
      </c>
      <c r="F1434" s="1" t="s">
        <v>23</v>
      </c>
      <c r="G1434" s="1" t="s">
        <v>5149</v>
      </c>
      <c r="H1434" s="1" t="s">
        <v>15</v>
      </c>
      <c r="I1434" t="b">
        <f>COUNTIF(Estadísticas!I:I,'Centraldecomunicacion.es'!H1434)&gt;0</f>
        <v>0</v>
      </c>
    </row>
    <row r="1435" spans="1:9">
      <c r="A1435" s="1" t="s">
        <v>5176</v>
      </c>
      <c r="B1435" s="1" t="s">
        <v>10</v>
      </c>
      <c r="C1435" s="1" t="s">
        <v>5177</v>
      </c>
      <c r="D1435" s="1" t="s">
        <v>5178</v>
      </c>
      <c r="E1435" s="1" t="s">
        <v>5125</v>
      </c>
      <c r="F1435" s="1" t="s">
        <v>23</v>
      </c>
      <c r="G1435" s="1" t="s">
        <v>5179</v>
      </c>
      <c r="H1435" s="1" t="s">
        <v>15</v>
      </c>
      <c r="I1435" t="b">
        <f>COUNTIF(Estadísticas!I:I,'Centraldecomunicacion.es'!H1435)&gt;0</f>
        <v>0</v>
      </c>
    </row>
    <row r="1436" spans="1:9">
      <c r="A1436" s="1" t="s">
        <v>5180</v>
      </c>
      <c r="B1436" s="1" t="s">
        <v>10</v>
      </c>
      <c r="C1436" s="1" t="s">
        <v>5181</v>
      </c>
      <c r="D1436" s="1" t="s">
        <v>5182</v>
      </c>
      <c r="E1436" s="1" t="s">
        <v>5125</v>
      </c>
      <c r="F1436" s="1" t="s">
        <v>2014</v>
      </c>
      <c r="G1436" s="1" t="s">
        <v>5183</v>
      </c>
      <c r="H1436" s="1" t="s">
        <v>15</v>
      </c>
      <c r="I1436" t="b">
        <f>COUNTIF(Estadísticas!I:I,'Centraldecomunicacion.es'!H1436)&gt;0</f>
        <v>0</v>
      </c>
    </row>
    <row r="1437" spans="1:9">
      <c r="A1437" s="1" t="s">
        <v>5184</v>
      </c>
      <c r="B1437" s="1" t="s">
        <v>10</v>
      </c>
      <c r="C1437" s="1" t="s">
        <v>5185</v>
      </c>
      <c r="D1437" s="1" t="s">
        <v>5186</v>
      </c>
      <c r="E1437" s="1" t="s">
        <v>5125</v>
      </c>
      <c r="F1437" s="1" t="s">
        <v>23</v>
      </c>
      <c r="G1437" s="1" t="s">
        <v>5187</v>
      </c>
      <c r="H1437" s="1" t="s">
        <v>15</v>
      </c>
      <c r="I1437" t="b">
        <f>COUNTIF(Estadísticas!I:I,'Centraldecomunicacion.es'!H1437)&gt;0</f>
        <v>0</v>
      </c>
    </row>
    <row r="1438" spans="1:9">
      <c r="A1438" s="1" t="s">
        <v>5188</v>
      </c>
      <c r="B1438" s="1" t="s">
        <v>10</v>
      </c>
      <c r="C1438" s="1" t="s">
        <v>5189</v>
      </c>
      <c r="D1438" s="1" t="s">
        <v>5172</v>
      </c>
      <c r="E1438" s="1" t="s">
        <v>5125</v>
      </c>
      <c r="F1438" s="1" t="s">
        <v>5190</v>
      </c>
      <c r="G1438" s="1" t="s">
        <v>5191</v>
      </c>
      <c r="H1438" s="1" t="s">
        <v>15</v>
      </c>
      <c r="I1438" t="b">
        <f>COUNTIF(Estadísticas!I:I,'Centraldecomunicacion.es'!H1438)&gt;0</f>
        <v>0</v>
      </c>
    </row>
    <row r="1439" spans="1:9">
      <c r="A1439" s="1" t="s">
        <v>5192</v>
      </c>
      <c r="B1439" s="1" t="s">
        <v>10</v>
      </c>
      <c r="C1439" s="1" t="s">
        <v>5193</v>
      </c>
      <c r="D1439" s="1" t="s">
        <v>5194</v>
      </c>
      <c r="E1439" s="1" t="s">
        <v>5125</v>
      </c>
      <c r="F1439" s="1" t="s">
        <v>5195</v>
      </c>
      <c r="G1439" s="1" t="s">
        <v>5196</v>
      </c>
      <c r="H1439" s="1" t="s">
        <v>1091</v>
      </c>
      <c r="I1439" t="b">
        <f>COUNTIF(Estadísticas!I:I,'Centraldecomunicacion.es'!H1439)&gt;0</f>
        <v>0</v>
      </c>
    </row>
    <row r="1440" spans="1:9">
      <c r="A1440" s="1" t="s">
        <v>5197</v>
      </c>
      <c r="B1440" s="1" t="s">
        <v>10</v>
      </c>
      <c r="C1440" s="1" t="s">
        <v>5198</v>
      </c>
      <c r="D1440" s="1" t="s">
        <v>5199</v>
      </c>
      <c r="E1440" s="1" t="s">
        <v>5125</v>
      </c>
      <c r="F1440" s="1" t="s">
        <v>23</v>
      </c>
      <c r="G1440" s="1" t="s">
        <v>5200</v>
      </c>
      <c r="H1440" s="1" t="s">
        <v>15</v>
      </c>
      <c r="I1440" t="b">
        <f>COUNTIF(Estadísticas!I:I,'Centraldecomunicacion.es'!H1440)&gt;0</f>
        <v>0</v>
      </c>
    </row>
    <row r="1441" spans="1:9">
      <c r="A1441" s="1" t="s">
        <v>5201</v>
      </c>
      <c r="B1441" s="1" t="s">
        <v>10</v>
      </c>
      <c r="C1441" s="1" t="s">
        <v>5202</v>
      </c>
      <c r="D1441" s="1" t="s">
        <v>5203</v>
      </c>
      <c r="E1441" s="1" t="s">
        <v>5125</v>
      </c>
      <c r="F1441" s="1" t="s">
        <v>23</v>
      </c>
      <c r="G1441" s="1" t="s">
        <v>5204</v>
      </c>
      <c r="H1441" s="1" t="s">
        <v>15</v>
      </c>
      <c r="I1441" t="b">
        <f>COUNTIF(Estadísticas!I:I,'Centraldecomunicacion.es'!H1441)&gt;0</f>
        <v>0</v>
      </c>
    </row>
    <row r="1442" spans="1:9">
      <c r="A1442" s="1" t="s">
        <v>5205</v>
      </c>
      <c r="B1442" s="1" t="s">
        <v>10</v>
      </c>
      <c r="C1442" s="1" t="s">
        <v>5206</v>
      </c>
      <c r="D1442" s="1" t="s">
        <v>5207</v>
      </c>
      <c r="E1442" s="1" t="s">
        <v>5125</v>
      </c>
      <c r="F1442" s="1" t="s">
        <v>23</v>
      </c>
      <c r="G1442" s="1" t="s">
        <v>5208</v>
      </c>
      <c r="H1442" s="1" t="s">
        <v>15</v>
      </c>
      <c r="I1442" t="b">
        <f>COUNTIF(Estadísticas!I:I,'Centraldecomunicacion.es'!H1442)&gt;0</f>
        <v>0</v>
      </c>
    </row>
    <row r="1443" spans="1:9">
      <c r="A1443" s="1" t="s">
        <v>5209</v>
      </c>
      <c r="B1443" s="1" t="s">
        <v>10</v>
      </c>
      <c r="C1443" s="1" t="s">
        <v>5210</v>
      </c>
      <c r="D1443" s="1" t="s">
        <v>5211</v>
      </c>
      <c r="E1443" s="1" t="s">
        <v>5125</v>
      </c>
      <c r="F1443" s="1" t="s">
        <v>56</v>
      </c>
      <c r="G1443" s="1" t="s">
        <v>5212</v>
      </c>
      <c r="H1443" s="1" t="s">
        <v>15</v>
      </c>
      <c r="I1443" t="b">
        <f>COUNTIF(Estadísticas!I:I,'Centraldecomunicacion.es'!H1443)&gt;0</f>
        <v>0</v>
      </c>
    </row>
    <row r="1444" spans="1:9">
      <c r="A1444" s="1" t="s">
        <v>5213</v>
      </c>
      <c r="B1444" s="1" t="s">
        <v>10</v>
      </c>
      <c r="C1444" s="1" t="s">
        <v>5214</v>
      </c>
      <c r="D1444" s="1" t="s">
        <v>5199</v>
      </c>
      <c r="E1444" s="1" t="s">
        <v>5125</v>
      </c>
      <c r="F1444" s="1" t="s">
        <v>5215</v>
      </c>
      <c r="G1444" s="1" t="s">
        <v>5216</v>
      </c>
      <c r="H1444" s="1" t="s">
        <v>4816</v>
      </c>
      <c r="I1444" t="b">
        <f>COUNTIF(Estadísticas!I:I,'Centraldecomunicacion.es'!H1444)&gt;0</f>
        <v>1</v>
      </c>
    </row>
    <row r="1445" spans="1:9">
      <c r="A1445" s="1" t="s">
        <v>5217</v>
      </c>
      <c r="B1445" s="1" t="s">
        <v>10</v>
      </c>
      <c r="C1445" s="1" t="s">
        <v>5218</v>
      </c>
      <c r="D1445" s="1" t="s">
        <v>5186</v>
      </c>
      <c r="E1445" s="1" t="s">
        <v>5125</v>
      </c>
      <c r="F1445" s="1" t="s">
        <v>23</v>
      </c>
      <c r="G1445" s="1" t="s">
        <v>5219</v>
      </c>
      <c r="H1445" s="1" t="s">
        <v>15</v>
      </c>
      <c r="I1445" t="b">
        <f>COUNTIF(Estadísticas!I:I,'Centraldecomunicacion.es'!H1445)&gt;0</f>
        <v>0</v>
      </c>
    </row>
    <row r="1446" spans="1:9">
      <c r="A1446" s="1" t="s">
        <v>5220</v>
      </c>
      <c r="B1446" s="1" t="s">
        <v>10</v>
      </c>
      <c r="C1446" s="1" t="s">
        <v>5221</v>
      </c>
      <c r="D1446" s="1" t="s">
        <v>5222</v>
      </c>
      <c r="E1446" s="1" t="s">
        <v>5125</v>
      </c>
      <c r="F1446" s="1" t="s">
        <v>5223</v>
      </c>
      <c r="G1446" s="1" t="s">
        <v>5224</v>
      </c>
      <c r="H1446" s="1" t="s">
        <v>5225</v>
      </c>
      <c r="I1446" t="b">
        <f>COUNTIF(Estadísticas!I:I,'Centraldecomunicacion.es'!H1446)&gt;0</f>
        <v>0</v>
      </c>
    </row>
    <row r="1447" spans="1:9">
      <c r="A1447" s="1" t="s">
        <v>5226</v>
      </c>
      <c r="B1447" s="1" t="s">
        <v>10</v>
      </c>
      <c r="C1447" s="1" t="s">
        <v>5227</v>
      </c>
      <c r="D1447" s="1" t="s">
        <v>5228</v>
      </c>
      <c r="E1447" s="1" t="s">
        <v>1651</v>
      </c>
      <c r="F1447" s="1" t="s">
        <v>23</v>
      </c>
      <c r="G1447" s="1" t="s">
        <v>5229</v>
      </c>
      <c r="H1447" s="1" t="s">
        <v>15</v>
      </c>
      <c r="I1447" t="b">
        <f>COUNTIF(Estadísticas!I:I,'Centraldecomunicacion.es'!H1447)&gt;0</f>
        <v>0</v>
      </c>
    </row>
    <row r="1448" spans="1:9">
      <c r="A1448" s="1" t="s">
        <v>5230</v>
      </c>
      <c r="B1448" s="1" t="s">
        <v>10</v>
      </c>
      <c r="C1448" s="1" t="s">
        <v>5231</v>
      </c>
      <c r="D1448" s="1" t="s">
        <v>5199</v>
      </c>
      <c r="E1448" s="1" t="s">
        <v>5125</v>
      </c>
      <c r="F1448" s="1" t="s">
        <v>23</v>
      </c>
      <c r="G1448" s="1" t="s">
        <v>5232</v>
      </c>
      <c r="H1448" s="1" t="s">
        <v>15</v>
      </c>
      <c r="I1448" t="b">
        <f>COUNTIF(Estadísticas!I:I,'Centraldecomunicacion.es'!H1448)&gt;0</f>
        <v>0</v>
      </c>
    </row>
    <row r="1449" spans="1:9">
      <c r="A1449" s="1" t="s">
        <v>5233</v>
      </c>
      <c r="B1449" s="1" t="s">
        <v>10</v>
      </c>
      <c r="C1449" s="1" t="s">
        <v>5234</v>
      </c>
      <c r="D1449" s="1" t="s">
        <v>5235</v>
      </c>
      <c r="E1449" s="1" t="s">
        <v>5125</v>
      </c>
      <c r="F1449" s="1" t="s">
        <v>23</v>
      </c>
      <c r="G1449" s="1" t="s">
        <v>5236</v>
      </c>
      <c r="H1449" s="1" t="s">
        <v>15</v>
      </c>
      <c r="I1449" t="b">
        <f>COUNTIF(Estadísticas!I:I,'Centraldecomunicacion.es'!H1449)&gt;0</f>
        <v>0</v>
      </c>
    </row>
    <row r="1450" spans="1:9">
      <c r="A1450" s="1" t="s">
        <v>5237</v>
      </c>
      <c r="B1450" s="1" t="s">
        <v>10</v>
      </c>
      <c r="C1450" s="1" t="s">
        <v>5238</v>
      </c>
      <c r="D1450" s="1" t="s">
        <v>5239</v>
      </c>
      <c r="E1450" s="1" t="s">
        <v>1651</v>
      </c>
      <c r="F1450" s="1" t="s">
        <v>23</v>
      </c>
      <c r="G1450" s="1" t="s">
        <v>5240</v>
      </c>
      <c r="H1450" s="1" t="s">
        <v>15</v>
      </c>
      <c r="I1450" t="b">
        <f>COUNTIF(Estadísticas!I:I,'Centraldecomunicacion.es'!H1450)&gt;0</f>
        <v>0</v>
      </c>
    </row>
    <row r="1451" spans="1:9">
      <c r="A1451" s="1" t="s">
        <v>5241</v>
      </c>
      <c r="B1451" s="1" t="s">
        <v>10</v>
      </c>
      <c r="C1451" s="1" t="s">
        <v>5242</v>
      </c>
      <c r="D1451" s="1" t="s">
        <v>5243</v>
      </c>
      <c r="E1451" s="1" t="s">
        <v>5125</v>
      </c>
      <c r="F1451" s="1" t="s">
        <v>23</v>
      </c>
      <c r="G1451" s="1" t="s">
        <v>5244</v>
      </c>
      <c r="H1451" s="1" t="s">
        <v>15</v>
      </c>
      <c r="I1451" t="b">
        <f>COUNTIF(Estadísticas!I:I,'Centraldecomunicacion.es'!H1451)&gt;0</f>
        <v>0</v>
      </c>
    </row>
    <row r="1452" spans="1:9">
      <c r="A1452" s="1" t="s">
        <v>5245</v>
      </c>
      <c r="B1452" s="1" t="s">
        <v>10</v>
      </c>
      <c r="C1452" s="1" t="s">
        <v>5246</v>
      </c>
      <c r="D1452" s="1" t="s">
        <v>5095</v>
      </c>
      <c r="E1452" s="1" t="s">
        <v>5095</v>
      </c>
      <c r="F1452" s="1" t="s">
        <v>5247</v>
      </c>
      <c r="G1452" s="1" t="s">
        <v>5248</v>
      </c>
      <c r="H1452" s="1" t="s">
        <v>5249</v>
      </c>
      <c r="I1452" t="b">
        <f>COUNTIF(Estadísticas!I:I,'Centraldecomunicacion.es'!H1452)&gt;0</f>
        <v>0</v>
      </c>
    </row>
    <row r="1453" spans="1:9">
      <c r="A1453" s="1" t="s">
        <v>5250</v>
      </c>
      <c r="B1453" s="1" t="s">
        <v>10</v>
      </c>
      <c r="C1453" s="1" t="s">
        <v>5251</v>
      </c>
      <c r="D1453" s="1" t="s">
        <v>1546</v>
      </c>
      <c r="E1453" s="1" t="s">
        <v>1546</v>
      </c>
      <c r="F1453" s="1" t="s">
        <v>1655</v>
      </c>
      <c r="G1453" s="1" t="s">
        <v>5252</v>
      </c>
      <c r="H1453" s="1" t="s">
        <v>1657</v>
      </c>
      <c r="I1453" t="b">
        <f>COUNTIF(Estadísticas!I:I,'Centraldecomunicacion.es'!H1453)&gt;0</f>
        <v>0</v>
      </c>
    </row>
    <row r="1454" spans="1:9">
      <c r="A1454" s="1" t="s">
        <v>5253</v>
      </c>
      <c r="B1454" s="1" t="s">
        <v>10</v>
      </c>
      <c r="C1454" s="1" t="s">
        <v>5254</v>
      </c>
      <c r="D1454" s="1" t="s">
        <v>5095</v>
      </c>
      <c r="E1454" s="1" t="s">
        <v>5095</v>
      </c>
      <c r="F1454" s="1" t="s">
        <v>23</v>
      </c>
      <c r="G1454" s="1" t="s">
        <v>5255</v>
      </c>
      <c r="H1454" s="1" t="s">
        <v>15</v>
      </c>
      <c r="I1454" t="b">
        <f>COUNTIF(Estadísticas!I:I,'Centraldecomunicacion.es'!H1454)&gt;0</f>
        <v>0</v>
      </c>
    </row>
    <row r="1455" spans="1:9">
      <c r="A1455" s="1" t="s">
        <v>5256</v>
      </c>
      <c r="B1455" s="1" t="s">
        <v>10</v>
      </c>
      <c r="C1455" s="1" t="s">
        <v>5257</v>
      </c>
      <c r="D1455" s="1" t="s">
        <v>5095</v>
      </c>
      <c r="E1455" s="1" t="s">
        <v>5095</v>
      </c>
      <c r="F1455" s="1" t="s">
        <v>23</v>
      </c>
      <c r="G1455" s="1" t="s">
        <v>23</v>
      </c>
      <c r="H1455" s="1" t="s">
        <v>15</v>
      </c>
      <c r="I1455" t="b">
        <f>COUNTIF(Estadísticas!I:I,'Centraldecomunicacion.es'!H1455)&gt;0</f>
        <v>0</v>
      </c>
    </row>
    <row r="1456" spans="1:9">
      <c r="A1456" s="1" t="s">
        <v>5258</v>
      </c>
      <c r="B1456" s="1" t="s">
        <v>10</v>
      </c>
      <c r="C1456" s="1" t="s">
        <v>5259</v>
      </c>
      <c r="D1456" s="1" t="s">
        <v>5095</v>
      </c>
      <c r="E1456" s="1" t="s">
        <v>5095</v>
      </c>
      <c r="F1456" s="1" t="s">
        <v>23</v>
      </c>
      <c r="G1456" s="1" t="s">
        <v>5260</v>
      </c>
      <c r="H1456" s="1" t="s">
        <v>15</v>
      </c>
      <c r="I1456" t="b">
        <f>COUNTIF(Estadísticas!I:I,'Centraldecomunicacion.es'!H1456)&gt;0</f>
        <v>0</v>
      </c>
    </row>
    <row r="1457" spans="1:9">
      <c r="A1457" s="1" t="s">
        <v>5261</v>
      </c>
      <c r="B1457" s="1" t="s">
        <v>10</v>
      </c>
      <c r="C1457" s="1" t="s">
        <v>5262</v>
      </c>
      <c r="D1457" s="1" t="s">
        <v>5095</v>
      </c>
      <c r="E1457" s="1" t="s">
        <v>5095</v>
      </c>
      <c r="F1457" s="1" t="s">
        <v>23</v>
      </c>
      <c r="G1457" s="1" t="s">
        <v>5263</v>
      </c>
      <c r="H1457" s="1" t="s">
        <v>15</v>
      </c>
      <c r="I1457" t="b">
        <f>COUNTIF(Estadísticas!I:I,'Centraldecomunicacion.es'!H1457)&gt;0</f>
        <v>0</v>
      </c>
    </row>
    <row r="1458" spans="1:9">
      <c r="A1458" s="1" t="s">
        <v>5264</v>
      </c>
      <c r="B1458" s="1" t="s">
        <v>10</v>
      </c>
      <c r="C1458" s="1" t="s">
        <v>5265</v>
      </c>
      <c r="D1458" s="1" t="s">
        <v>5095</v>
      </c>
      <c r="E1458" s="1" t="s">
        <v>5095</v>
      </c>
      <c r="F1458" s="1" t="s">
        <v>23</v>
      </c>
      <c r="G1458" s="1" t="s">
        <v>5266</v>
      </c>
      <c r="H1458" s="1" t="s">
        <v>15</v>
      </c>
      <c r="I1458" t="b">
        <f>COUNTIF(Estadísticas!I:I,'Centraldecomunicacion.es'!H1458)&gt;0</f>
        <v>0</v>
      </c>
    </row>
    <row r="1459" spans="1:9">
      <c r="A1459" s="1" t="s">
        <v>5267</v>
      </c>
      <c r="B1459" s="1" t="s">
        <v>10</v>
      </c>
      <c r="C1459" s="1" t="s">
        <v>5268</v>
      </c>
      <c r="D1459" s="1" t="s">
        <v>5095</v>
      </c>
      <c r="E1459" s="1" t="s">
        <v>5095</v>
      </c>
      <c r="F1459" s="1" t="s">
        <v>23</v>
      </c>
      <c r="G1459" s="1" t="s">
        <v>5269</v>
      </c>
      <c r="H1459" s="1" t="s">
        <v>15</v>
      </c>
      <c r="I1459" t="b">
        <f>COUNTIF(Estadísticas!I:I,'Centraldecomunicacion.es'!H1459)&gt;0</f>
        <v>0</v>
      </c>
    </row>
    <row r="1460" spans="1:9">
      <c r="A1460" s="1" t="s">
        <v>5270</v>
      </c>
      <c r="B1460" s="1" t="s">
        <v>10</v>
      </c>
      <c r="C1460" s="1" t="s">
        <v>5271</v>
      </c>
      <c r="D1460" s="1" t="s">
        <v>5095</v>
      </c>
      <c r="E1460" s="1" t="s">
        <v>5095</v>
      </c>
      <c r="F1460" s="1" t="s">
        <v>23</v>
      </c>
      <c r="G1460" s="1" t="s">
        <v>5272</v>
      </c>
      <c r="H1460" s="1" t="s">
        <v>15</v>
      </c>
      <c r="I1460" t="b">
        <f>COUNTIF(Estadísticas!I:I,'Centraldecomunicacion.es'!H1460)&gt;0</f>
        <v>0</v>
      </c>
    </row>
    <row r="1461" spans="1:9">
      <c r="A1461" s="1" t="s">
        <v>5273</v>
      </c>
      <c r="B1461" s="1" t="s">
        <v>10</v>
      </c>
      <c r="C1461" s="1" t="s">
        <v>5274</v>
      </c>
      <c r="D1461" s="1" t="s">
        <v>5095</v>
      </c>
      <c r="E1461" s="1" t="s">
        <v>5095</v>
      </c>
      <c r="F1461" s="1" t="s">
        <v>81</v>
      </c>
      <c r="G1461" s="1" t="s">
        <v>5275</v>
      </c>
      <c r="H1461" s="1" t="s">
        <v>83</v>
      </c>
      <c r="I1461" t="b">
        <f>COUNTIF(Estadísticas!I:I,'Centraldecomunicacion.es'!H1461)&gt;0</f>
        <v>0</v>
      </c>
    </row>
    <row r="1462" spans="1:9">
      <c r="A1462" s="1" t="s">
        <v>5276</v>
      </c>
      <c r="B1462" s="1" t="s">
        <v>10</v>
      </c>
      <c r="C1462" s="1" t="s">
        <v>5277</v>
      </c>
      <c r="D1462" s="1" t="s">
        <v>5095</v>
      </c>
      <c r="E1462" s="1" t="s">
        <v>5095</v>
      </c>
      <c r="F1462" s="1" t="s">
        <v>5278</v>
      </c>
      <c r="G1462" s="1" t="s">
        <v>5279</v>
      </c>
      <c r="H1462" s="1" t="s">
        <v>5280</v>
      </c>
      <c r="I1462" t="b">
        <f>COUNTIF(Estadísticas!I:I,'Centraldecomunicacion.es'!H1462)&gt;0</f>
        <v>1</v>
      </c>
    </row>
    <row r="1463" spans="1:9">
      <c r="A1463" s="1" t="s">
        <v>5281</v>
      </c>
      <c r="B1463" s="1" t="s">
        <v>10</v>
      </c>
      <c r="C1463" s="1" t="s">
        <v>5282</v>
      </c>
      <c r="D1463" s="1" t="s">
        <v>5095</v>
      </c>
      <c r="E1463" s="1" t="s">
        <v>5095</v>
      </c>
      <c r="F1463" s="1" t="s">
        <v>390</v>
      </c>
      <c r="G1463" s="1" t="s">
        <v>5283</v>
      </c>
      <c r="H1463" s="1" t="s">
        <v>15</v>
      </c>
      <c r="I1463" t="b">
        <f>COUNTIF(Estadísticas!I:I,'Centraldecomunicacion.es'!H1463)&gt;0</f>
        <v>0</v>
      </c>
    </row>
    <row r="1464" spans="1:9">
      <c r="A1464" s="1" t="s">
        <v>5284</v>
      </c>
      <c r="B1464" s="1" t="s">
        <v>10</v>
      </c>
      <c r="C1464" s="1" t="s">
        <v>5277</v>
      </c>
      <c r="D1464" s="1" t="s">
        <v>5095</v>
      </c>
      <c r="E1464" s="1" t="s">
        <v>5095</v>
      </c>
      <c r="F1464" s="1" t="s">
        <v>23</v>
      </c>
      <c r="G1464" s="1" t="s">
        <v>5279</v>
      </c>
      <c r="H1464" s="1" t="s">
        <v>15</v>
      </c>
      <c r="I1464" t="b">
        <f>COUNTIF(Estadísticas!I:I,'Centraldecomunicacion.es'!H1464)&gt;0</f>
        <v>0</v>
      </c>
    </row>
    <row r="1465" spans="1:9">
      <c r="A1465" s="1" t="s">
        <v>5285</v>
      </c>
      <c r="B1465" s="1" t="s">
        <v>10</v>
      </c>
      <c r="C1465" s="1" t="s">
        <v>5286</v>
      </c>
      <c r="D1465" s="1" t="s">
        <v>5287</v>
      </c>
      <c r="E1465" s="1" t="s">
        <v>5095</v>
      </c>
      <c r="F1465" s="1" t="s">
        <v>23</v>
      </c>
      <c r="G1465" s="1" t="s">
        <v>5288</v>
      </c>
      <c r="H1465" s="1" t="s">
        <v>15</v>
      </c>
      <c r="I1465" t="b">
        <f>COUNTIF(Estadísticas!I:I,'Centraldecomunicacion.es'!H1465)&gt;0</f>
        <v>0</v>
      </c>
    </row>
    <row r="1466" spans="1:9">
      <c r="A1466" s="1" t="s">
        <v>5289</v>
      </c>
      <c r="B1466" s="1" t="s">
        <v>10</v>
      </c>
      <c r="C1466" s="1" t="s">
        <v>23</v>
      </c>
      <c r="D1466" s="1" t="s">
        <v>5290</v>
      </c>
      <c r="E1466" s="1" t="s">
        <v>23</v>
      </c>
      <c r="F1466" s="1" t="s">
        <v>23</v>
      </c>
      <c r="G1466" s="1" t="s">
        <v>5291</v>
      </c>
      <c r="H1466" s="1" t="s">
        <v>15</v>
      </c>
      <c r="I1466" t="b">
        <f>COUNTIF(Estadísticas!I:I,'Centraldecomunicacion.es'!H1466)&gt;0</f>
        <v>0</v>
      </c>
    </row>
    <row r="1467" spans="1:9">
      <c r="A1467" s="1" t="s">
        <v>5292</v>
      </c>
      <c r="B1467" s="1" t="s">
        <v>10</v>
      </c>
      <c r="C1467" s="1" t="s">
        <v>5293</v>
      </c>
      <c r="D1467" s="1" t="s">
        <v>5287</v>
      </c>
      <c r="E1467" s="1" t="s">
        <v>5095</v>
      </c>
      <c r="F1467" s="1" t="s">
        <v>5294</v>
      </c>
      <c r="G1467" s="1" t="s">
        <v>5295</v>
      </c>
      <c r="H1467" s="1" t="s">
        <v>1104</v>
      </c>
      <c r="I1467" t="b">
        <f>COUNTIF(Estadísticas!I:I,'Centraldecomunicacion.es'!H1467)&gt;0</f>
        <v>0</v>
      </c>
    </row>
    <row r="1468" spans="1:9">
      <c r="A1468" s="1" t="s">
        <v>5296</v>
      </c>
      <c r="B1468" s="1" t="s">
        <v>10</v>
      </c>
      <c r="C1468" s="1" t="s">
        <v>5297</v>
      </c>
      <c r="D1468" s="1" t="s">
        <v>5287</v>
      </c>
      <c r="E1468" s="1" t="s">
        <v>5095</v>
      </c>
      <c r="F1468" s="1" t="s">
        <v>5298</v>
      </c>
      <c r="G1468" s="1" t="s">
        <v>5299</v>
      </c>
      <c r="H1468" s="1" t="s">
        <v>15</v>
      </c>
      <c r="I1468" t="b">
        <f>COUNTIF(Estadísticas!I:I,'Centraldecomunicacion.es'!H1468)&gt;0</f>
        <v>0</v>
      </c>
    </row>
    <row r="1469" spans="1:9">
      <c r="A1469" s="1" t="s">
        <v>5300</v>
      </c>
      <c r="B1469" s="1" t="s">
        <v>10</v>
      </c>
      <c r="C1469" s="1" t="s">
        <v>5301</v>
      </c>
      <c r="D1469" s="1" t="s">
        <v>5302</v>
      </c>
      <c r="E1469" s="1" t="s">
        <v>5095</v>
      </c>
      <c r="F1469" s="1" t="s">
        <v>23</v>
      </c>
      <c r="G1469" s="1" t="s">
        <v>5303</v>
      </c>
      <c r="H1469" s="1" t="s">
        <v>15</v>
      </c>
      <c r="I1469" t="b">
        <f>COUNTIF(Estadísticas!I:I,'Centraldecomunicacion.es'!H1469)&gt;0</f>
        <v>0</v>
      </c>
    </row>
    <row r="1470" spans="1:9">
      <c r="A1470" s="1" t="s">
        <v>5304</v>
      </c>
      <c r="B1470" s="1" t="s">
        <v>10</v>
      </c>
      <c r="C1470" s="1" t="s">
        <v>5305</v>
      </c>
      <c r="D1470" s="1" t="s">
        <v>5287</v>
      </c>
      <c r="E1470" s="1" t="s">
        <v>5095</v>
      </c>
      <c r="F1470" s="1" t="s">
        <v>23</v>
      </c>
      <c r="G1470" s="1" t="s">
        <v>5306</v>
      </c>
      <c r="H1470" s="1" t="s">
        <v>15</v>
      </c>
      <c r="I1470" t="b">
        <f>COUNTIF(Estadísticas!I:I,'Centraldecomunicacion.es'!H1470)&gt;0</f>
        <v>0</v>
      </c>
    </row>
    <row r="1471" spans="1:9">
      <c r="A1471" s="1" t="s">
        <v>5307</v>
      </c>
      <c r="B1471" s="1" t="s">
        <v>10</v>
      </c>
      <c r="C1471" s="1" t="s">
        <v>5308</v>
      </c>
      <c r="D1471" s="1" t="s">
        <v>5287</v>
      </c>
      <c r="E1471" s="1" t="s">
        <v>5095</v>
      </c>
      <c r="F1471" s="1" t="s">
        <v>5309</v>
      </c>
      <c r="G1471" s="1" t="s">
        <v>5310</v>
      </c>
      <c r="H1471" s="1" t="s">
        <v>15</v>
      </c>
      <c r="I1471" t="b">
        <f>COUNTIF(Estadísticas!I:I,'Centraldecomunicacion.es'!H1471)&gt;0</f>
        <v>0</v>
      </c>
    </row>
    <row r="1472" spans="1:9">
      <c r="A1472" s="1" t="s">
        <v>5311</v>
      </c>
      <c r="B1472" s="1" t="s">
        <v>10</v>
      </c>
      <c r="C1472" s="1" t="s">
        <v>5312</v>
      </c>
      <c r="D1472" s="1" t="s">
        <v>5287</v>
      </c>
      <c r="E1472" s="1" t="s">
        <v>5095</v>
      </c>
      <c r="F1472" s="1" t="s">
        <v>5313</v>
      </c>
      <c r="G1472" s="1" t="s">
        <v>5314</v>
      </c>
      <c r="H1472" s="1" t="s">
        <v>5315</v>
      </c>
      <c r="I1472" t="b">
        <f>COUNTIF(Estadísticas!I:I,'Centraldecomunicacion.es'!H1472)&gt;0</f>
        <v>0</v>
      </c>
    </row>
    <row r="1473" spans="1:9">
      <c r="A1473" s="1" t="s">
        <v>5316</v>
      </c>
      <c r="B1473" s="1" t="s">
        <v>10</v>
      </c>
      <c r="C1473" s="1" t="s">
        <v>5317</v>
      </c>
      <c r="D1473" s="1" t="s">
        <v>5287</v>
      </c>
      <c r="E1473" s="1" t="s">
        <v>5095</v>
      </c>
      <c r="F1473" s="1" t="s">
        <v>23</v>
      </c>
      <c r="G1473" s="1" t="s">
        <v>5318</v>
      </c>
      <c r="H1473" s="1" t="s">
        <v>15</v>
      </c>
      <c r="I1473" t="b">
        <f>COUNTIF(Estadísticas!I:I,'Centraldecomunicacion.es'!H1473)&gt;0</f>
        <v>0</v>
      </c>
    </row>
    <row r="1474" spans="1:9">
      <c r="A1474" s="1" t="s">
        <v>5319</v>
      </c>
      <c r="B1474" s="1" t="s">
        <v>10</v>
      </c>
      <c r="C1474" s="1" t="s">
        <v>5320</v>
      </c>
      <c r="D1474" s="1" t="s">
        <v>5287</v>
      </c>
      <c r="E1474" s="1" t="s">
        <v>5095</v>
      </c>
      <c r="F1474" s="1" t="s">
        <v>5298</v>
      </c>
      <c r="G1474" s="1" t="s">
        <v>5321</v>
      </c>
      <c r="H1474" s="1" t="s">
        <v>15</v>
      </c>
      <c r="I1474" t="b">
        <f>COUNTIF(Estadísticas!I:I,'Centraldecomunicacion.es'!H1474)&gt;0</f>
        <v>0</v>
      </c>
    </row>
    <row r="1475" spans="1:9">
      <c r="A1475" s="1" t="s">
        <v>5322</v>
      </c>
      <c r="B1475" s="1" t="s">
        <v>10</v>
      </c>
      <c r="C1475" s="1" t="s">
        <v>5323</v>
      </c>
      <c r="D1475" s="1" t="s">
        <v>5287</v>
      </c>
      <c r="E1475" s="1" t="s">
        <v>5095</v>
      </c>
      <c r="F1475" s="1" t="s">
        <v>23</v>
      </c>
      <c r="G1475" s="1" t="s">
        <v>5324</v>
      </c>
      <c r="H1475" s="1" t="s">
        <v>15</v>
      </c>
      <c r="I1475" t="b">
        <f>COUNTIF(Estadísticas!I:I,'Centraldecomunicacion.es'!H1475)&gt;0</f>
        <v>0</v>
      </c>
    </row>
    <row r="1476" spans="1:9">
      <c r="A1476" s="1" t="s">
        <v>5325</v>
      </c>
      <c r="B1476" s="1" t="s">
        <v>10</v>
      </c>
      <c r="C1476" s="1" t="s">
        <v>5326</v>
      </c>
      <c r="D1476" s="1" t="s">
        <v>5287</v>
      </c>
      <c r="E1476" s="1" t="s">
        <v>5095</v>
      </c>
      <c r="F1476" s="1" t="s">
        <v>23</v>
      </c>
      <c r="G1476" s="1" t="s">
        <v>5327</v>
      </c>
      <c r="H1476" s="1" t="s">
        <v>15</v>
      </c>
      <c r="I1476" t="b">
        <f>COUNTIF(Estadísticas!I:I,'Centraldecomunicacion.es'!H1476)&gt;0</f>
        <v>0</v>
      </c>
    </row>
    <row r="1477" spans="1:9">
      <c r="A1477" s="1" t="s">
        <v>5328</v>
      </c>
      <c r="B1477" s="1" t="s">
        <v>10</v>
      </c>
      <c r="C1477" s="1" t="s">
        <v>5329</v>
      </c>
      <c r="D1477" s="1" t="s">
        <v>5287</v>
      </c>
      <c r="E1477" s="1" t="s">
        <v>5095</v>
      </c>
      <c r="F1477" s="1" t="s">
        <v>23</v>
      </c>
      <c r="G1477" s="1" t="s">
        <v>5330</v>
      </c>
      <c r="H1477" s="1" t="s">
        <v>15</v>
      </c>
      <c r="I1477" t="b">
        <f>COUNTIF(Estadísticas!I:I,'Centraldecomunicacion.es'!H1477)&gt;0</f>
        <v>0</v>
      </c>
    </row>
    <row r="1478" spans="1:9">
      <c r="A1478" s="1" t="s">
        <v>5319</v>
      </c>
      <c r="B1478" s="1" t="s">
        <v>10</v>
      </c>
      <c r="C1478" s="1" t="s">
        <v>5331</v>
      </c>
      <c r="D1478" s="1" t="s">
        <v>5094</v>
      </c>
      <c r="E1478" s="1" t="s">
        <v>5095</v>
      </c>
      <c r="F1478" s="1" t="s">
        <v>5298</v>
      </c>
      <c r="G1478" s="1" t="s">
        <v>5332</v>
      </c>
      <c r="H1478" s="1" t="s">
        <v>15</v>
      </c>
      <c r="I1478" t="b">
        <f>COUNTIF(Estadísticas!I:I,'Centraldecomunicacion.es'!H1478)&gt;0</f>
        <v>0</v>
      </c>
    </row>
    <row r="1479" spans="1:9">
      <c r="A1479" s="1" t="s">
        <v>5333</v>
      </c>
      <c r="B1479" s="1" t="s">
        <v>10</v>
      </c>
      <c r="C1479" s="1" t="s">
        <v>5334</v>
      </c>
      <c r="D1479" s="1" t="s">
        <v>5094</v>
      </c>
      <c r="E1479" s="1" t="s">
        <v>5095</v>
      </c>
      <c r="F1479" s="1" t="s">
        <v>23</v>
      </c>
      <c r="G1479" s="1" t="s">
        <v>5335</v>
      </c>
      <c r="H1479" s="1" t="s">
        <v>15</v>
      </c>
      <c r="I1479" t="b">
        <f>COUNTIF(Estadísticas!I:I,'Centraldecomunicacion.es'!H1479)&gt;0</f>
        <v>0</v>
      </c>
    </row>
    <row r="1480" spans="1:9">
      <c r="A1480" s="1" t="s">
        <v>5336</v>
      </c>
      <c r="B1480" s="1" t="s">
        <v>10</v>
      </c>
      <c r="C1480" s="1" t="s">
        <v>5337</v>
      </c>
      <c r="D1480" s="1" t="s">
        <v>5338</v>
      </c>
      <c r="E1480" s="1" t="s">
        <v>5095</v>
      </c>
      <c r="F1480" s="1" t="s">
        <v>23</v>
      </c>
      <c r="G1480" s="1" t="s">
        <v>5339</v>
      </c>
      <c r="H1480" s="1" t="s">
        <v>15</v>
      </c>
      <c r="I1480" t="b">
        <f>COUNTIF(Estadísticas!I:I,'Centraldecomunicacion.es'!H1480)&gt;0</f>
        <v>0</v>
      </c>
    </row>
    <row r="1481" spans="1:9">
      <c r="A1481" s="1" t="s">
        <v>5340</v>
      </c>
      <c r="B1481" s="1" t="s">
        <v>10</v>
      </c>
      <c r="C1481" s="1" t="s">
        <v>5341</v>
      </c>
      <c r="D1481" s="1" t="s">
        <v>5287</v>
      </c>
      <c r="E1481" s="1" t="s">
        <v>5095</v>
      </c>
      <c r="F1481" s="1" t="s">
        <v>23</v>
      </c>
      <c r="G1481" s="1" t="s">
        <v>5342</v>
      </c>
      <c r="H1481" s="1" t="s">
        <v>15</v>
      </c>
      <c r="I1481" t="b">
        <f>COUNTIF(Estadísticas!I:I,'Centraldecomunicacion.es'!H1481)&gt;0</f>
        <v>0</v>
      </c>
    </row>
    <row r="1482" spans="1:9">
      <c r="A1482" s="1" t="s">
        <v>321</v>
      </c>
      <c r="B1482" s="1" t="s">
        <v>10</v>
      </c>
      <c r="C1482" s="1" t="s">
        <v>5343</v>
      </c>
      <c r="D1482" s="1" t="s">
        <v>5344</v>
      </c>
      <c r="E1482" s="1" t="s">
        <v>5095</v>
      </c>
      <c r="F1482" s="1" t="s">
        <v>323</v>
      </c>
      <c r="G1482" s="1" t="s">
        <v>5345</v>
      </c>
      <c r="H1482" s="1" t="s">
        <v>325</v>
      </c>
      <c r="I1482" t="b">
        <f>COUNTIF(Estadísticas!I:I,'Centraldecomunicacion.es'!H1482)&gt;0</f>
        <v>0</v>
      </c>
    </row>
    <row r="1483" spans="1:9">
      <c r="A1483" s="1" t="s">
        <v>5346</v>
      </c>
      <c r="B1483" s="1" t="s">
        <v>10</v>
      </c>
      <c r="C1483" s="1" t="s">
        <v>5347</v>
      </c>
      <c r="D1483" s="1" t="s">
        <v>5348</v>
      </c>
      <c r="E1483" s="1" t="s">
        <v>5095</v>
      </c>
      <c r="F1483" s="1" t="s">
        <v>23</v>
      </c>
      <c r="G1483" s="1" t="s">
        <v>5349</v>
      </c>
      <c r="H1483" s="1" t="s">
        <v>15</v>
      </c>
      <c r="I1483" t="b">
        <f>COUNTIF(Estadísticas!I:I,'Centraldecomunicacion.es'!H1483)&gt;0</f>
        <v>0</v>
      </c>
    </row>
    <row r="1484" spans="1:9">
      <c r="A1484" s="1" t="s">
        <v>4997</v>
      </c>
      <c r="B1484" s="1" t="s">
        <v>10</v>
      </c>
      <c r="C1484" s="1" t="s">
        <v>5350</v>
      </c>
      <c r="D1484" s="1" t="s">
        <v>5351</v>
      </c>
      <c r="E1484" s="1" t="s">
        <v>5095</v>
      </c>
      <c r="F1484" s="1" t="s">
        <v>5352</v>
      </c>
      <c r="G1484" s="1" t="s">
        <v>5353</v>
      </c>
      <c r="H1484" s="1" t="s">
        <v>15</v>
      </c>
      <c r="I1484" t="b">
        <f>COUNTIF(Estadísticas!I:I,'Centraldecomunicacion.es'!H1484)&gt;0</f>
        <v>0</v>
      </c>
    </row>
    <row r="1485" spans="1:9">
      <c r="A1485" s="1" t="s">
        <v>5354</v>
      </c>
      <c r="B1485" s="1" t="s">
        <v>10</v>
      </c>
      <c r="C1485" s="1" t="s">
        <v>5355</v>
      </c>
      <c r="D1485" s="1" t="s">
        <v>5344</v>
      </c>
      <c r="E1485" s="1" t="s">
        <v>5095</v>
      </c>
      <c r="F1485" s="1" t="s">
        <v>23</v>
      </c>
      <c r="G1485" s="1" t="s">
        <v>5356</v>
      </c>
      <c r="H1485" s="1" t="s">
        <v>15</v>
      </c>
      <c r="I1485" t="b">
        <f>COUNTIF(Estadísticas!I:I,'Centraldecomunicacion.es'!H1485)&gt;0</f>
        <v>0</v>
      </c>
    </row>
    <row r="1486" spans="1:9">
      <c r="A1486" s="1" t="s">
        <v>5357</v>
      </c>
      <c r="B1486" s="1" t="s">
        <v>10</v>
      </c>
      <c r="C1486" s="1" t="s">
        <v>5358</v>
      </c>
      <c r="D1486" s="1" t="s">
        <v>5351</v>
      </c>
      <c r="E1486" s="1" t="s">
        <v>5095</v>
      </c>
      <c r="F1486" s="1" t="s">
        <v>5359</v>
      </c>
      <c r="G1486" s="1" t="s">
        <v>5360</v>
      </c>
      <c r="H1486" s="1" t="s">
        <v>5361</v>
      </c>
      <c r="I1486" t="b">
        <f>COUNTIF(Estadísticas!I:I,'Centraldecomunicacion.es'!H1486)&gt;0</f>
        <v>0</v>
      </c>
    </row>
    <row r="1487" spans="1:9">
      <c r="A1487" s="1" t="s">
        <v>5362</v>
      </c>
      <c r="B1487" s="1" t="s">
        <v>10</v>
      </c>
      <c r="C1487" s="1" t="s">
        <v>5363</v>
      </c>
      <c r="D1487" s="1" t="s">
        <v>5364</v>
      </c>
      <c r="E1487" s="1" t="s">
        <v>5095</v>
      </c>
      <c r="F1487" s="1" t="s">
        <v>23</v>
      </c>
      <c r="G1487" s="1" t="s">
        <v>5365</v>
      </c>
      <c r="H1487" s="1" t="s">
        <v>15</v>
      </c>
      <c r="I1487" t="b">
        <f>COUNTIF(Estadísticas!I:I,'Centraldecomunicacion.es'!H1487)&gt;0</f>
        <v>0</v>
      </c>
    </row>
    <row r="1488" spans="1:9">
      <c r="A1488" s="1" t="s">
        <v>5366</v>
      </c>
      <c r="B1488" s="1" t="s">
        <v>10</v>
      </c>
      <c r="C1488" s="1" t="s">
        <v>5367</v>
      </c>
      <c r="D1488" s="1" t="s">
        <v>5368</v>
      </c>
      <c r="E1488" s="1" t="s">
        <v>5095</v>
      </c>
      <c r="F1488" s="1" t="s">
        <v>5369</v>
      </c>
      <c r="G1488" s="1" t="s">
        <v>5370</v>
      </c>
      <c r="H1488" s="1" t="s">
        <v>15</v>
      </c>
      <c r="I1488" t="b">
        <f>COUNTIF(Estadísticas!I:I,'Centraldecomunicacion.es'!H1488)&gt;0</f>
        <v>0</v>
      </c>
    </row>
    <row r="1489" spans="1:9">
      <c r="A1489" s="1" t="s">
        <v>5371</v>
      </c>
      <c r="B1489" s="1" t="s">
        <v>10</v>
      </c>
      <c r="C1489" s="1" t="s">
        <v>5372</v>
      </c>
      <c r="D1489" s="1" t="s">
        <v>5287</v>
      </c>
      <c r="E1489" s="1" t="s">
        <v>5095</v>
      </c>
      <c r="F1489" s="1" t="s">
        <v>23</v>
      </c>
      <c r="G1489" s="1" t="s">
        <v>5373</v>
      </c>
      <c r="H1489" s="1" t="s">
        <v>15</v>
      </c>
      <c r="I1489" t="b">
        <f>COUNTIF(Estadísticas!I:I,'Centraldecomunicacion.es'!H1489)&gt;0</f>
        <v>0</v>
      </c>
    </row>
    <row r="1490" spans="1:9">
      <c r="A1490" s="1" t="s">
        <v>5374</v>
      </c>
      <c r="B1490" s="1" t="s">
        <v>10</v>
      </c>
      <c r="C1490" s="1" t="s">
        <v>5375</v>
      </c>
      <c r="D1490" s="1" t="s">
        <v>5376</v>
      </c>
      <c r="E1490" s="1" t="s">
        <v>5095</v>
      </c>
      <c r="F1490" s="1" t="s">
        <v>5377</v>
      </c>
      <c r="G1490" s="1" t="s">
        <v>5378</v>
      </c>
      <c r="H1490" s="1" t="s">
        <v>5379</v>
      </c>
      <c r="I1490" t="b">
        <f>COUNTIF(Estadísticas!I:I,'Centraldecomunicacion.es'!H1490)&gt;0</f>
        <v>0</v>
      </c>
    </row>
    <row r="1491" spans="1:9">
      <c r="A1491" s="1" t="s">
        <v>5380</v>
      </c>
      <c r="B1491" s="1" t="s">
        <v>10</v>
      </c>
      <c r="C1491" s="1" t="s">
        <v>5381</v>
      </c>
      <c r="D1491" s="1" t="s">
        <v>5382</v>
      </c>
      <c r="E1491" s="1" t="s">
        <v>5095</v>
      </c>
      <c r="F1491" s="1" t="s">
        <v>23</v>
      </c>
      <c r="G1491" s="1" t="s">
        <v>5383</v>
      </c>
      <c r="H1491" s="1" t="s">
        <v>15</v>
      </c>
      <c r="I1491" t="b">
        <f>COUNTIF(Estadísticas!I:I,'Centraldecomunicacion.es'!H1491)&gt;0</f>
        <v>0</v>
      </c>
    </row>
    <row r="1492" spans="1:9">
      <c r="A1492" s="1" t="s">
        <v>5384</v>
      </c>
      <c r="B1492" s="1" t="s">
        <v>10</v>
      </c>
      <c r="C1492" s="1" t="s">
        <v>5385</v>
      </c>
      <c r="D1492" s="1" t="s">
        <v>5364</v>
      </c>
      <c r="E1492" s="1" t="s">
        <v>5095</v>
      </c>
      <c r="F1492" s="1" t="s">
        <v>5386</v>
      </c>
      <c r="G1492" s="1" t="s">
        <v>5387</v>
      </c>
      <c r="H1492" s="1" t="s">
        <v>15</v>
      </c>
      <c r="I1492" t="b">
        <f>COUNTIF(Estadísticas!I:I,'Centraldecomunicacion.es'!H1492)&gt;0</f>
        <v>0</v>
      </c>
    </row>
    <row r="1493" spans="1:9">
      <c r="A1493" s="1" t="s">
        <v>5388</v>
      </c>
      <c r="B1493" s="1" t="s">
        <v>10</v>
      </c>
      <c r="C1493" s="1" t="s">
        <v>5389</v>
      </c>
      <c r="D1493" s="1" t="s">
        <v>5390</v>
      </c>
      <c r="E1493" s="1" t="s">
        <v>5095</v>
      </c>
      <c r="F1493" s="1" t="s">
        <v>5391</v>
      </c>
      <c r="G1493" s="1" t="s">
        <v>5392</v>
      </c>
      <c r="H1493" s="1" t="s">
        <v>1091</v>
      </c>
      <c r="I1493" t="b">
        <f>COUNTIF(Estadísticas!I:I,'Centraldecomunicacion.es'!H1493)&gt;0</f>
        <v>0</v>
      </c>
    </row>
    <row r="1494" spans="1:9">
      <c r="A1494" s="1" t="s">
        <v>5393</v>
      </c>
      <c r="B1494" s="1" t="s">
        <v>10</v>
      </c>
      <c r="C1494" s="1" t="s">
        <v>5394</v>
      </c>
      <c r="D1494" s="1" t="s">
        <v>5395</v>
      </c>
      <c r="E1494" s="1" t="s">
        <v>5095</v>
      </c>
      <c r="F1494" s="1" t="s">
        <v>23</v>
      </c>
      <c r="G1494" s="1" t="s">
        <v>5396</v>
      </c>
      <c r="H1494" s="1" t="s">
        <v>15</v>
      </c>
      <c r="I1494" t="b">
        <f>COUNTIF(Estadísticas!I:I,'Centraldecomunicacion.es'!H1494)&gt;0</f>
        <v>0</v>
      </c>
    </row>
    <row r="1495" spans="1:9">
      <c r="A1495" s="1" t="s">
        <v>5397</v>
      </c>
      <c r="B1495" s="1" t="s">
        <v>10</v>
      </c>
      <c r="C1495" s="1" t="s">
        <v>5398</v>
      </c>
      <c r="D1495" s="1" t="s">
        <v>5399</v>
      </c>
      <c r="E1495" s="1" t="s">
        <v>5095</v>
      </c>
      <c r="F1495" s="1" t="s">
        <v>5400</v>
      </c>
      <c r="G1495" s="1" t="s">
        <v>5401</v>
      </c>
      <c r="H1495" s="1" t="s">
        <v>5402</v>
      </c>
      <c r="I1495" t="b">
        <f>COUNTIF(Estadísticas!I:I,'Centraldecomunicacion.es'!H1495)&gt;0</f>
        <v>0</v>
      </c>
    </row>
    <row r="1496" spans="1:9">
      <c r="A1496" s="1" t="s">
        <v>5403</v>
      </c>
      <c r="B1496" s="1" t="s">
        <v>10</v>
      </c>
      <c r="C1496" s="1" t="s">
        <v>5404</v>
      </c>
      <c r="D1496" s="1" t="s">
        <v>5405</v>
      </c>
      <c r="E1496" s="1" t="s">
        <v>5095</v>
      </c>
      <c r="F1496" s="1" t="s">
        <v>5391</v>
      </c>
      <c r="G1496" s="1" t="s">
        <v>5406</v>
      </c>
      <c r="H1496" s="1" t="s">
        <v>1091</v>
      </c>
      <c r="I1496" t="b">
        <f>COUNTIF(Estadísticas!I:I,'Centraldecomunicacion.es'!H1496)&gt;0</f>
        <v>0</v>
      </c>
    </row>
    <row r="1497" spans="1:9">
      <c r="A1497" s="1" t="s">
        <v>5407</v>
      </c>
      <c r="B1497" s="1" t="s">
        <v>10</v>
      </c>
      <c r="C1497" s="1" t="s">
        <v>5408</v>
      </c>
      <c r="D1497" s="1" t="s">
        <v>5409</v>
      </c>
      <c r="E1497" s="1" t="s">
        <v>5095</v>
      </c>
      <c r="F1497" s="1" t="s">
        <v>23</v>
      </c>
      <c r="G1497" s="1" t="s">
        <v>5410</v>
      </c>
      <c r="H1497" s="1" t="s">
        <v>15</v>
      </c>
      <c r="I1497" t="b">
        <f>COUNTIF(Estadísticas!I:I,'Centraldecomunicacion.es'!H1497)&gt;0</f>
        <v>0</v>
      </c>
    </row>
    <row r="1498" spans="1:9">
      <c r="A1498" s="1" t="s">
        <v>5411</v>
      </c>
      <c r="B1498" s="1" t="s">
        <v>10</v>
      </c>
      <c r="C1498" s="1" t="s">
        <v>5412</v>
      </c>
      <c r="D1498" s="1" t="s">
        <v>5409</v>
      </c>
      <c r="E1498" s="1" t="s">
        <v>5095</v>
      </c>
      <c r="F1498" s="1" t="s">
        <v>811</v>
      </c>
      <c r="G1498" s="1" t="s">
        <v>5413</v>
      </c>
      <c r="H1498" s="1" t="s">
        <v>15</v>
      </c>
      <c r="I1498" t="b">
        <f>COUNTIF(Estadísticas!I:I,'Centraldecomunicacion.es'!H1498)&gt;0</f>
        <v>0</v>
      </c>
    </row>
    <row r="1499" spans="1:9">
      <c r="A1499" s="1" t="s">
        <v>1653</v>
      </c>
      <c r="B1499" s="1" t="s">
        <v>10</v>
      </c>
      <c r="C1499" s="1" t="s">
        <v>5414</v>
      </c>
      <c r="D1499" s="1" t="s">
        <v>5415</v>
      </c>
      <c r="E1499" s="1" t="s">
        <v>1700</v>
      </c>
      <c r="F1499" s="1" t="s">
        <v>1655</v>
      </c>
      <c r="G1499" s="1" t="s">
        <v>5416</v>
      </c>
      <c r="H1499" s="1" t="s">
        <v>1657</v>
      </c>
      <c r="I1499" t="b">
        <f>COUNTIF(Estadísticas!I:I,'Centraldecomunicacion.es'!H1499)&gt;0</f>
        <v>0</v>
      </c>
    </row>
    <row r="1500" spans="1:9">
      <c r="A1500" s="1" t="s">
        <v>5417</v>
      </c>
      <c r="B1500" s="1" t="s">
        <v>10</v>
      </c>
      <c r="C1500" s="1" t="s">
        <v>5418</v>
      </c>
      <c r="D1500" s="1" t="s">
        <v>693</v>
      </c>
      <c r="E1500" s="1" t="s">
        <v>693</v>
      </c>
      <c r="F1500" s="1" t="s">
        <v>5419</v>
      </c>
      <c r="G1500" s="1" t="s">
        <v>5420</v>
      </c>
      <c r="H1500" s="1" t="s">
        <v>15</v>
      </c>
      <c r="I1500" t="b">
        <f>COUNTIF(Estadísticas!I:I,'Centraldecomunicacion.es'!H1500)&gt;0</f>
        <v>0</v>
      </c>
    </row>
    <row r="1501" spans="1:9">
      <c r="A1501" s="1" t="s">
        <v>5421</v>
      </c>
      <c r="B1501" s="1" t="s">
        <v>10</v>
      </c>
      <c r="C1501" s="1" t="s">
        <v>5422</v>
      </c>
      <c r="D1501" s="1" t="s">
        <v>1994</v>
      </c>
      <c r="E1501" s="1" t="s">
        <v>1995</v>
      </c>
      <c r="F1501" s="1" t="s">
        <v>5423</v>
      </c>
      <c r="G1501" s="1" t="s">
        <v>5424</v>
      </c>
      <c r="H1501" s="1" t="s">
        <v>5425</v>
      </c>
      <c r="I1501" t="b">
        <f>COUNTIF(Estadísticas!I:I,'Centraldecomunicacion.es'!H1501)&gt;0</f>
        <v>0</v>
      </c>
    </row>
    <row r="1502" spans="1:9">
      <c r="A1502" s="1" t="s">
        <v>321</v>
      </c>
      <c r="B1502" s="1" t="s">
        <v>10</v>
      </c>
      <c r="C1502" s="1" t="s">
        <v>5426</v>
      </c>
      <c r="D1502" s="1" t="s">
        <v>5427</v>
      </c>
      <c r="E1502" s="1" t="s">
        <v>3197</v>
      </c>
      <c r="F1502" s="1" t="s">
        <v>5428</v>
      </c>
      <c r="G1502" s="1" t="s">
        <v>5429</v>
      </c>
      <c r="H1502" s="1" t="s">
        <v>5430</v>
      </c>
      <c r="I1502" t="b">
        <f>COUNTIF(Estadísticas!I:I,'Centraldecomunicacion.es'!H1502)&gt;0</f>
        <v>0</v>
      </c>
    </row>
    <row r="1503" spans="1:9">
      <c r="A1503" s="1" t="s">
        <v>5431</v>
      </c>
      <c r="B1503" s="1" t="s">
        <v>10</v>
      </c>
      <c r="C1503" s="1" t="s">
        <v>5432</v>
      </c>
      <c r="D1503" s="1" t="s">
        <v>5433</v>
      </c>
      <c r="E1503" s="1" t="s">
        <v>5118</v>
      </c>
      <c r="F1503" s="1" t="s">
        <v>23</v>
      </c>
      <c r="G1503" s="1" t="s">
        <v>5434</v>
      </c>
      <c r="H1503" s="1" t="s">
        <v>15</v>
      </c>
      <c r="I1503" t="b">
        <f>COUNTIF(Estadísticas!I:I,'Centraldecomunicacion.es'!H1503)&gt;0</f>
        <v>0</v>
      </c>
    </row>
    <row r="1504" spans="1:9">
      <c r="A1504" s="1" t="s">
        <v>5435</v>
      </c>
      <c r="B1504" s="1" t="s">
        <v>10</v>
      </c>
      <c r="C1504" s="1" t="s">
        <v>5436</v>
      </c>
      <c r="D1504" s="1" t="s">
        <v>427</v>
      </c>
      <c r="E1504" s="1" t="s">
        <v>225</v>
      </c>
      <c r="F1504" s="1" t="s">
        <v>23</v>
      </c>
      <c r="G1504" s="1" t="s">
        <v>5437</v>
      </c>
      <c r="H1504" s="1" t="s">
        <v>15</v>
      </c>
      <c r="I1504" t="b">
        <f>COUNTIF(Estadísticas!I:I,'Centraldecomunicacion.es'!H1504)&gt;0</f>
        <v>0</v>
      </c>
    </row>
    <row r="1505" spans="1:9">
      <c r="A1505" s="1" t="s">
        <v>5438</v>
      </c>
      <c r="B1505" s="1" t="s">
        <v>10</v>
      </c>
      <c r="C1505" s="1" t="s">
        <v>5439</v>
      </c>
      <c r="D1505" s="1" t="s">
        <v>5440</v>
      </c>
      <c r="E1505" s="1" t="s">
        <v>5440</v>
      </c>
      <c r="F1505" s="1" t="s">
        <v>23</v>
      </c>
      <c r="G1505" s="1" t="s">
        <v>23</v>
      </c>
      <c r="H1505" s="1" t="s">
        <v>15</v>
      </c>
      <c r="I1505" t="b">
        <f>COUNTIF(Estadísticas!I:I,'Centraldecomunicacion.es'!H1505)&gt;0</f>
        <v>0</v>
      </c>
    </row>
    <row r="1506" spans="1:9">
      <c r="A1506" s="1" t="s">
        <v>5441</v>
      </c>
      <c r="B1506" s="1" t="s">
        <v>10</v>
      </c>
      <c r="C1506" s="1" t="s">
        <v>5442</v>
      </c>
      <c r="D1506" s="1" t="s">
        <v>5440</v>
      </c>
      <c r="E1506" s="1" t="s">
        <v>5440</v>
      </c>
      <c r="F1506" s="1" t="s">
        <v>23</v>
      </c>
      <c r="G1506" s="1" t="s">
        <v>5443</v>
      </c>
      <c r="H1506" s="1" t="s">
        <v>15</v>
      </c>
      <c r="I1506" t="b">
        <f>COUNTIF(Estadísticas!I:I,'Centraldecomunicacion.es'!H1506)&gt;0</f>
        <v>0</v>
      </c>
    </row>
    <row r="1507" spans="1:9">
      <c r="A1507" s="1" t="s">
        <v>5444</v>
      </c>
      <c r="B1507" s="1" t="s">
        <v>10</v>
      </c>
      <c r="C1507" s="1" t="s">
        <v>5445</v>
      </c>
      <c r="D1507" s="1" t="s">
        <v>1994</v>
      </c>
      <c r="E1507" s="1" t="s">
        <v>1995</v>
      </c>
      <c r="F1507" s="1" t="s">
        <v>1655</v>
      </c>
      <c r="G1507" s="1" t="s">
        <v>5446</v>
      </c>
      <c r="H1507" s="1" t="s">
        <v>1657</v>
      </c>
      <c r="I1507" t="b">
        <f>COUNTIF(Estadísticas!I:I,'Centraldecomunicacion.es'!H1507)&gt;0</f>
        <v>0</v>
      </c>
    </row>
    <row r="1508" spans="1:9">
      <c r="A1508" s="1" t="s">
        <v>5447</v>
      </c>
      <c r="B1508" s="1" t="s">
        <v>10</v>
      </c>
      <c r="C1508" s="1" t="s">
        <v>5448</v>
      </c>
      <c r="D1508" s="1" t="s">
        <v>1994</v>
      </c>
      <c r="E1508" s="1" t="s">
        <v>1995</v>
      </c>
      <c r="F1508" s="1" t="s">
        <v>5449</v>
      </c>
      <c r="G1508" s="1" t="s">
        <v>5450</v>
      </c>
      <c r="H1508" s="1" t="s">
        <v>15</v>
      </c>
      <c r="I1508" t="b">
        <f>COUNTIF(Estadísticas!I:I,'Centraldecomunicacion.es'!H1508)&gt;0</f>
        <v>0</v>
      </c>
    </row>
    <row r="1509" spans="1:9">
      <c r="A1509" s="1" t="s">
        <v>5451</v>
      </c>
      <c r="B1509" s="1" t="s">
        <v>10</v>
      </c>
      <c r="C1509" s="1" t="s">
        <v>5452</v>
      </c>
      <c r="D1509" s="1" t="s">
        <v>1994</v>
      </c>
      <c r="E1509" s="1" t="s">
        <v>1995</v>
      </c>
      <c r="F1509" s="1" t="s">
        <v>5453</v>
      </c>
      <c r="G1509" s="1" t="s">
        <v>5454</v>
      </c>
      <c r="H1509" s="1" t="s">
        <v>15</v>
      </c>
      <c r="I1509" t="b">
        <f>COUNTIF(Estadísticas!I:I,'Centraldecomunicacion.es'!H1509)&gt;0</f>
        <v>0</v>
      </c>
    </row>
    <row r="1510" spans="1:9">
      <c r="A1510" s="1" t="s">
        <v>5455</v>
      </c>
      <c r="B1510" s="1" t="s">
        <v>10</v>
      </c>
      <c r="C1510" s="1" t="s">
        <v>5456</v>
      </c>
      <c r="D1510" s="1" t="s">
        <v>1994</v>
      </c>
      <c r="E1510" s="1" t="s">
        <v>1995</v>
      </c>
      <c r="F1510" s="1" t="s">
        <v>23</v>
      </c>
      <c r="G1510" s="1" t="s">
        <v>5457</v>
      </c>
      <c r="H1510" s="1" t="s">
        <v>15</v>
      </c>
      <c r="I1510" t="b">
        <f>COUNTIF(Estadísticas!I:I,'Centraldecomunicacion.es'!H1510)&gt;0</f>
        <v>0</v>
      </c>
    </row>
    <row r="1511" spans="1:9">
      <c r="A1511" s="1" t="s">
        <v>5458</v>
      </c>
      <c r="B1511" s="1" t="s">
        <v>10</v>
      </c>
      <c r="C1511" s="1" t="s">
        <v>5459</v>
      </c>
      <c r="D1511" s="1" t="s">
        <v>1994</v>
      </c>
      <c r="E1511" s="1" t="s">
        <v>1995</v>
      </c>
      <c r="F1511" s="1" t="s">
        <v>23</v>
      </c>
      <c r="G1511" s="1" t="s">
        <v>5460</v>
      </c>
      <c r="H1511" s="1" t="s">
        <v>15</v>
      </c>
      <c r="I1511" t="b">
        <f>COUNTIF(Estadísticas!I:I,'Centraldecomunicacion.es'!H1511)&gt;0</f>
        <v>0</v>
      </c>
    </row>
    <row r="1512" spans="1:9">
      <c r="A1512" s="1" t="s">
        <v>5461</v>
      </c>
      <c r="B1512" s="1" t="s">
        <v>10</v>
      </c>
      <c r="C1512" s="1" t="s">
        <v>5462</v>
      </c>
      <c r="D1512" s="1" t="s">
        <v>1994</v>
      </c>
      <c r="E1512" s="1" t="s">
        <v>1995</v>
      </c>
      <c r="F1512" s="1" t="s">
        <v>23</v>
      </c>
      <c r="G1512" s="1" t="s">
        <v>5463</v>
      </c>
      <c r="H1512" s="1" t="s">
        <v>15</v>
      </c>
      <c r="I1512" t="b">
        <f>COUNTIF(Estadísticas!I:I,'Centraldecomunicacion.es'!H1512)&gt;0</f>
        <v>0</v>
      </c>
    </row>
    <row r="1513" spans="1:9">
      <c r="A1513" s="1" t="s">
        <v>5464</v>
      </c>
      <c r="B1513" s="1" t="s">
        <v>10</v>
      </c>
      <c r="C1513" s="1" t="s">
        <v>5465</v>
      </c>
      <c r="D1513" s="1" t="s">
        <v>1994</v>
      </c>
      <c r="E1513" s="1" t="s">
        <v>1995</v>
      </c>
      <c r="F1513" s="1" t="s">
        <v>23</v>
      </c>
      <c r="G1513" s="1" t="s">
        <v>5466</v>
      </c>
      <c r="H1513" s="1" t="s">
        <v>15</v>
      </c>
      <c r="I1513" t="b">
        <f>COUNTIF(Estadísticas!I:I,'Centraldecomunicacion.es'!H1513)&gt;0</f>
        <v>0</v>
      </c>
    </row>
    <row r="1514" spans="1:9">
      <c r="A1514" s="1" t="s">
        <v>5467</v>
      </c>
      <c r="B1514" s="1" t="s">
        <v>10</v>
      </c>
      <c r="C1514" s="1" t="s">
        <v>5468</v>
      </c>
      <c r="D1514" s="1" t="s">
        <v>1994</v>
      </c>
      <c r="E1514" s="1" t="s">
        <v>1995</v>
      </c>
      <c r="F1514" s="1" t="s">
        <v>23</v>
      </c>
      <c r="G1514" s="1" t="s">
        <v>5469</v>
      </c>
      <c r="H1514" s="1" t="s">
        <v>15</v>
      </c>
      <c r="I1514" t="b">
        <f>COUNTIF(Estadísticas!I:I,'Centraldecomunicacion.es'!H1514)&gt;0</f>
        <v>0</v>
      </c>
    </row>
    <row r="1515" spans="1:9">
      <c r="A1515" s="1" t="s">
        <v>5470</v>
      </c>
      <c r="B1515" s="1" t="s">
        <v>10</v>
      </c>
      <c r="C1515" s="1" t="s">
        <v>5471</v>
      </c>
      <c r="D1515" s="1" t="s">
        <v>1994</v>
      </c>
      <c r="E1515" s="1" t="s">
        <v>1995</v>
      </c>
      <c r="F1515" s="1" t="s">
        <v>23</v>
      </c>
      <c r="G1515" s="1" t="s">
        <v>5472</v>
      </c>
      <c r="H1515" s="1" t="s">
        <v>15</v>
      </c>
      <c r="I1515" t="b">
        <f>COUNTIF(Estadísticas!I:I,'Centraldecomunicacion.es'!H1515)&gt;0</f>
        <v>0</v>
      </c>
    </row>
    <row r="1516" spans="1:9">
      <c r="A1516" s="1" t="s">
        <v>5473</v>
      </c>
      <c r="B1516" s="1" t="s">
        <v>10</v>
      </c>
      <c r="C1516" s="1" t="s">
        <v>5474</v>
      </c>
      <c r="D1516" s="1" t="s">
        <v>1994</v>
      </c>
      <c r="E1516" s="1" t="s">
        <v>1995</v>
      </c>
      <c r="F1516" s="1" t="s">
        <v>23</v>
      </c>
      <c r="G1516" s="1" t="s">
        <v>23</v>
      </c>
      <c r="H1516" s="1" t="s">
        <v>15</v>
      </c>
      <c r="I1516" t="b">
        <f>COUNTIF(Estadísticas!I:I,'Centraldecomunicacion.es'!H1516)&gt;0</f>
        <v>0</v>
      </c>
    </row>
    <row r="1517" spans="1:9">
      <c r="A1517" s="1" t="s">
        <v>5475</v>
      </c>
      <c r="B1517" s="1" t="s">
        <v>10</v>
      </c>
      <c r="C1517" s="1" t="s">
        <v>5476</v>
      </c>
      <c r="D1517" s="1" t="s">
        <v>1994</v>
      </c>
      <c r="E1517" s="1" t="s">
        <v>1995</v>
      </c>
      <c r="F1517" s="1" t="s">
        <v>5477</v>
      </c>
      <c r="G1517" s="1" t="s">
        <v>5478</v>
      </c>
      <c r="H1517" s="1" t="s">
        <v>15</v>
      </c>
      <c r="I1517" t="b">
        <f>COUNTIF(Estadísticas!I:I,'Centraldecomunicacion.es'!H1517)&gt;0</f>
        <v>0</v>
      </c>
    </row>
    <row r="1518" spans="1:9">
      <c r="A1518" s="1" t="s">
        <v>5479</v>
      </c>
      <c r="B1518" s="1" t="s">
        <v>10</v>
      </c>
      <c r="C1518" s="1" t="s">
        <v>5480</v>
      </c>
      <c r="D1518" s="1" t="s">
        <v>1994</v>
      </c>
      <c r="E1518" s="1" t="s">
        <v>1995</v>
      </c>
      <c r="F1518" s="1" t="s">
        <v>23</v>
      </c>
      <c r="G1518" s="1" t="s">
        <v>5481</v>
      </c>
      <c r="H1518" s="1" t="s">
        <v>15</v>
      </c>
      <c r="I1518" t="b">
        <f>COUNTIF(Estadísticas!I:I,'Centraldecomunicacion.es'!H1518)&gt;0</f>
        <v>0</v>
      </c>
    </row>
    <row r="1519" spans="1:9">
      <c r="A1519" s="1" t="s">
        <v>5482</v>
      </c>
      <c r="B1519" s="1" t="s">
        <v>10</v>
      </c>
      <c r="C1519" s="1" t="s">
        <v>5483</v>
      </c>
      <c r="D1519" s="1" t="s">
        <v>1994</v>
      </c>
      <c r="E1519" s="1" t="s">
        <v>1995</v>
      </c>
      <c r="F1519" s="1" t="s">
        <v>23</v>
      </c>
      <c r="G1519" s="1" t="s">
        <v>5484</v>
      </c>
      <c r="H1519" s="1" t="s">
        <v>15</v>
      </c>
      <c r="I1519" t="b">
        <f>COUNTIF(Estadísticas!I:I,'Centraldecomunicacion.es'!H1519)&gt;0</f>
        <v>0</v>
      </c>
    </row>
    <row r="1520" spans="1:9">
      <c r="A1520" s="1" t="s">
        <v>5485</v>
      </c>
      <c r="B1520" s="1" t="s">
        <v>10</v>
      </c>
      <c r="C1520" s="1" t="s">
        <v>5486</v>
      </c>
      <c r="D1520" s="1" t="s">
        <v>1994</v>
      </c>
      <c r="E1520" s="1" t="s">
        <v>1995</v>
      </c>
      <c r="F1520" s="1" t="s">
        <v>5487</v>
      </c>
      <c r="G1520" s="1" t="s">
        <v>5488</v>
      </c>
      <c r="H1520" s="1" t="s">
        <v>15</v>
      </c>
      <c r="I1520" t="b">
        <f>COUNTIF(Estadísticas!I:I,'Centraldecomunicacion.es'!H1520)&gt;0</f>
        <v>0</v>
      </c>
    </row>
    <row r="1521" spans="1:9">
      <c r="A1521" s="1" t="s">
        <v>5489</v>
      </c>
      <c r="B1521" s="1" t="s">
        <v>10</v>
      </c>
      <c r="C1521" s="1" t="s">
        <v>5490</v>
      </c>
      <c r="D1521" s="1" t="s">
        <v>1994</v>
      </c>
      <c r="E1521" s="1" t="s">
        <v>1995</v>
      </c>
      <c r="F1521" s="1" t="s">
        <v>23</v>
      </c>
      <c r="G1521" s="1" t="s">
        <v>5491</v>
      </c>
      <c r="H1521" s="1" t="s">
        <v>15</v>
      </c>
      <c r="I1521" t="b">
        <f>COUNTIF(Estadísticas!I:I,'Centraldecomunicacion.es'!H1521)&gt;0</f>
        <v>0</v>
      </c>
    </row>
    <row r="1522" spans="1:9">
      <c r="A1522" s="1" t="s">
        <v>5492</v>
      </c>
      <c r="B1522" s="1" t="s">
        <v>10</v>
      </c>
      <c r="C1522" s="1" t="s">
        <v>5422</v>
      </c>
      <c r="D1522" s="1" t="s">
        <v>1994</v>
      </c>
      <c r="E1522" s="1" t="s">
        <v>1995</v>
      </c>
      <c r="F1522" s="1" t="s">
        <v>23</v>
      </c>
      <c r="G1522" s="1" t="s">
        <v>23</v>
      </c>
      <c r="H1522" s="1" t="s">
        <v>15</v>
      </c>
      <c r="I1522" t="b">
        <f>COUNTIF(Estadísticas!I:I,'Centraldecomunicacion.es'!H1522)&gt;0</f>
        <v>0</v>
      </c>
    </row>
    <row r="1523" spans="1:9">
      <c r="A1523" s="1" t="s">
        <v>5493</v>
      </c>
      <c r="B1523" s="1" t="s">
        <v>10</v>
      </c>
      <c r="C1523" s="1" t="s">
        <v>5494</v>
      </c>
      <c r="D1523" s="1" t="s">
        <v>1994</v>
      </c>
      <c r="E1523" s="1" t="s">
        <v>1995</v>
      </c>
      <c r="F1523" s="1" t="s">
        <v>23</v>
      </c>
      <c r="G1523" s="1" t="s">
        <v>5495</v>
      </c>
      <c r="H1523" s="1" t="s">
        <v>15</v>
      </c>
      <c r="I1523" t="b">
        <f>COUNTIF(Estadísticas!I:I,'Centraldecomunicacion.es'!H1523)&gt;0</f>
        <v>0</v>
      </c>
    </row>
    <row r="1524" spans="1:9">
      <c r="A1524" s="1" t="s">
        <v>5496</v>
      </c>
      <c r="B1524" s="1" t="s">
        <v>10</v>
      </c>
      <c r="C1524" s="1" t="s">
        <v>5497</v>
      </c>
      <c r="D1524" s="1" t="s">
        <v>1994</v>
      </c>
      <c r="E1524" s="1" t="s">
        <v>1995</v>
      </c>
      <c r="F1524" s="1" t="s">
        <v>23</v>
      </c>
      <c r="G1524" s="1" t="s">
        <v>5498</v>
      </c>
      <c r="H1524" s="1" t="s">
        <v>15</v>
      </c>
      <c r="I1524" t="b">
        <f>COUNTIF(Estadísticas!I:I,'Centraldecomunicacion.es'!H1524)&gt;0</f>
        <v>0</v>
      </c>
    </row>
    <row r="1525" spans="1:9">
      <c r="A1525" s="1" t="s">
        <v>5499</v>
      </c>
      <c r="B1525" s="1" t="s">
        <v>10</v>
      </c>
      <c r="C1525" s="1" t="s">
        <v>5500</v>
      </c>
      <c r="D1525" s="1" t="s">
        <v>1994</v>
      </c>
      <c r="E1525" s="1" t="s">
        <v>1995</v>
      </c>
      <c r="F1525" s="1" t="s">
        <v>23</v>
      </c>
      <c r="G1525" s="1" t="s">
        <v>5501</v>
      </c>
      <c r="H1525" s="1" t="s">
        <v>15</v>
      </c>
      <c r="I1525" t="b">
        <f>COUNTIF(Estadísticas!I:I,'Centraldecomunicacion.es'!H1525)&gt;0</f>
        <v>0</v>
      </c>
    </row>
    <row r="1526" spans="1:9">
      <c r="A1526" s="1" t="s">
        <v>5502</v>
      </c>
      <c r="B1526" s="1" t="s">
        <v>10</v>
      </c>
      <c r="C1526" s="1" t="s">
        <v>5503</v>
      </c>
      <c r="D1526" s="1" t="s">
        <v>5504</v>
      </c>
      <c r="E1526" s="1" t="s">
        <v>1995</v>
      </c>
      <c r="F1526" s="1" t="s">
        <v>23</v>
      </c>
      <c r="G1526" s="1" t="s">
        <v>5505</v>
      </c>
      <c r="H1526" s="1" t="s">
        <v>15</v>
      </c>
      <c r="I1526" t="b">
        <f>COUNTIF(Estadísticas!I:I,'Centraldecomunicacion.es'!H1526)&gt;0</f>
        <v>0</v>
      </c>
    </row>
    <row r="1527" spans="1:9">
      <c r="A1527" s="1" t="s">
        <v>5506</v>
      </c>
      <c r="B1527" s="1" t="s">
        <v>10</v>
      </c>
      <c r="C1527" s="1" t="s">
        <v>5507</v>
      </c>
      <c r="D1527" s="1" t="s">
        <v>1994</v>
      </c>
      <c r="E1527" s="1" t="s">
        <v>1995</v>
      </c>
      <c r="F1527" s="1" t="s">
        <v>5508</v>
      </c>
      <c r="G1527" s="1" t="s">
        <v>5509</v>
      </c>
      <c r="H1527" s="1" t="s">
        <v>5510</v>
      </c>
      <c r="I1527" t="b">
        <f>COUNTIF(Estadísticas!I:I,'Centraldecomunicacion.es'!H1527)&gt;0</f>
        <v>0</v>
      </c>
    </row>
    <row r="1528" spans="1:9">
      <c r="A1528" s="1" t="s">
        <v>5511</v>
      </c>
      <c r="B1528" s="1" t="s">
        <v>10</v>
      </c>
      <c r="C1528" s="1" t="s">
        <v>5512</v>
      </c>
      <c r="D1528" s="1" t="s">
        <v>5513</v>
      </c>
      <c r="E1528" s="1" t="s">
        <v>1995</v>
      </c>
      <c r="F1528" s="1" t="s">
        <v>23</v>
      </c>
      <c r="G1528" s="1" t="s">
        <v>5514</v>
      </c>
      <c r="H1528" s="1" t="s">
        <v>15</v>
      </c>
      <c r="I1528" t="b">
        <f>COUNTIF(Estadísticas!I:I,'Centraldecomunicacion.es'!H1528)&gt;0</f>
        <v>0</v>
      </c>
    </row>
    <row r="1529" spans="1:9">
      <c r="A1529" s="1" t="s">
        <v>5515</v>
      </c>
      <c r="B1529" s="1" t="s">
        <v>10</v>
      </c>
      <c r="C1529" s="1" t="s">
        <v>5516</v>
      </c>
      <c r="D1529" s="1" t="s">
        <v>5513</v>
      </c>
      <c r="E1529" s="1" t="s">
        <v>1995</v>
      </c>
      <c r="F1529" s="1" t="s">
        <v>23</v>
      </c>
      <c r="G1529" s="1" t="s">
        <v>5517</v>
      </c>
      <c r="H1529" s="1" t="s">
        <v>15</v>
      </c>
      <c r="I1529" t="b">
        <f>COUNTIF(Estadísticas!I:I,'Centraldecomunicacion.es'!H1529)&gt;0</f>
        <v>0</v>
      </c>
    </row>
    <row r="1530" spans="1:9">
      <c r="A1530" s="1" t="s">
        <v>5518</v>
      </c>
      <c r="B1530" s="1" t="s">
        <v>10</v>
      </c>
      <c r="C1530" s="1" t="s">
        <v>23</v>
      </c>
      <c r="D1530" s="1" t="s">
        <v>5519</v>
      </c>
      <c r="E1530" s="1" t="s">
        <v>23</v>
      </c>
      <c r="F1530" s="1" t="s">
        <v>5520</v>
      </c>
      <c r="G1530" s="1" t="s">
        <v>5521</v>
      </c>
      <c r="H1530" s="1" t="s">
        <v>5522</v>
      </c>
      <c r="I1530" t="b">
        <f>COUNTIF(Estadísticas!I:I,'Centraldecomunicacion.es'!H1530)&gt;0</f>
        <v>0</v>
      </c>
    </row>
    <row r="1531" spans="1:9">
      <c r="A1531" s="1" t="s">
        <v>5523</v>
      </c>
      <c r="B1531" s="1" t="s">
        <v>10</v>
      </c>
      <c r="C1531" s="1" t="s">
        <v>5524</v>
      </c>
      <c r="D1531" s="1" t="s">
        <v>1994</v>
      </c>
      <c r="E1531" s="1" t="s">
        <v>1995</v>
      </c>
      <c r="F1531" s="1" t="s">
        <v>23</v>
      </c>
      <c r="G1531" s="1" t="s">
        <v>5525</v>
      </c>
      <c r="H1531" s="1" t="s">
        <v>15</v>
      </c>
      <c r="I1531" t="b">
        <f>COUNTIF(Estadísticas!I:I,'Centraldecomunicacion.es'!H1531)&gt;0</f>
        <v>0</v>
      </c>
    </row>
    <row r="1532" spans="1:9">
      <c r="A1532" s="1" t="s">
        <v>5502</v>
      </c>
      <c r="B1532" s="1" t="s">
        <v>10</v>
      </c>
      <c r="C1532" s="1" t="s">
        <v>5526</v>
      </c>
      <c r="D1532" s="1" t="s">
        <v>1994</v>
      </c>
      <c r="E1532" s="1" t="s">
        <v>1995</v>
      </c>
      <c r="F1532" s="1" t="s">
        <v>23</v>
      </c>
      <c r="G1532" s="1" t="s">
        <v>5527</v>
      </c>
      <c r="H1532" s="1" t="s">
        <v>15</v>
      </c>
      <c r="I1532" t="b">
        <f>COUNTIF(Estadísticas!I:I,'Centraldecomunicacion.es'!H1532)&gt;0</f>
        <v>0</v>
      </c>
    </row>
    <row r="1533" spans="1:9">
      <c r="A1533" s="1" t="s">
        <v>5528</v>
      </c>
      <c r="B1533" s="1" t="s">
        <v>10</v>
      </c>
      <c r="C1533" s="1" t="s">
        <v>5529</v>
      </c>
      <c r="D1533" s="1" t="s">
        <v>5513</v>
      </c>
      <c r="E1533" s="1" t="s">
        <v>1995</v>
      </c>
      <c r="F1533" s="1" t="s">
        <v>5530</v>
      </c>
      <c r="G1533" s="1" t="s">
        <v>23</v>
      </c>
      <c r="H1533" s="1" t="s">
        <v>5531</v>
      </c>
      <c r="I1533" t="b">
        <f>COUNTIF(Estadísticas!I:I,'Centraldecomunicacion.es'!H1533)&gt;0</f>
        <v>0</v>
      </c>
    </row>
    <row r="1534" spans="1:9">
      <c r="A1534" s="1" t="s">
        <v>5532</v>
      </c>
      <c r="B1534" s="1" t="s">
        <v>10</v>
      </c>
      <c r="C1534" s="1" t="s">
        <v>5533</v>
      </c>
      <c r="D1534" s="1" t="s">
        <v>5534</v>
      </c>
      <c r="E1534" s="1" t="s">
        <v>1995</v>
      </c>
      <c r="F1534" s="1" t="s">
        <v>23</v>
      </c>
      <c r="G1534" s="1" t="s">
        <v>5535</v>
      </c>
      <c r="H1534" s="1" t="s">
        <v>15</v>
      </c>
      <c r="I1534" t="b">
        <f>COUNTIF(Estadísticas!I:I,'Centraldecomunicacion.es'!H1534)&gt;0</f>
        <v>0</v>
      </c>
    </row>
    <row r="1535" spans="1:9">
      <c r="A1535" s="1" t="s">
        <v>5536</v>
      </c>
      <c r="B1535" s="1" t="s">
        <v>10</v>
      </c>
      <c r="C1535" s="1" t="s">
        <v>5537</v>
      </c>
      <c r="D1535" s="1" t="s">
        <v>5513</v>
      </c>
      <c r="E1535" s="1" t="s">
        <v>1995</v>
      </c>
      <c r="F1535" s="1" t="s">
        <v>23</v>
      </c>
      <c r="G1535" s="1" t="s">
        <v>23</v>
      </c>
      <c r="H1535" s="1" t="s">
        <v>15</v>
      </c>
      <c r="I1535" t="b">
        <f>COUNTIF(Estadísticas!I:I,'Centraldecomunicacion.es'!H1535)&gt;0</f>
        <v>0</v>
      </c>
    </row>
    <row r="1536" spans="1:9">
      <c r="A1536" s="1" t="s">
        <v>5538</v>
      </c>
      <c r="B1536" s="1" t="s">
        <v>10</v>
      </c>
      <c r="C1536" s="1" t="s">
        <v>5539</v>
      </c>
      <c r="D1536" s="1" t="s">
        <v>5513</v>
      </c>
      <c r="E1536" s="1" t="s">
        <v>1995</v>
      </c>
      <c r="F1536" s="1" t="s">
        <v>5540</v>
      </c>
      <c r="G1536" s="1" t="s">
        <v>5541</v>
      </c>
      <c r="H1536" s="1" t="s">
        <v>15</v>
      </c>
      <c r="I1536" t="b">
        <f>COUNTIF(Estadísticas!I:I,'Centraldecomunicacion.es'!H1536)&gt;0</f>
        <v>0</v>
      </c>
    </row>
    <row r="1537" spans="1:9">
      <c r="A1537" s="1" t="s">
        <v>5542</v>
      </c>
      <c r="B1537" s="1" t="s">
        <v>10</v>
      </c>
      <c r="C1537" s="1" t="s">
        <v>5543</v>
      </c>
      <c r="D1537" s="1" t="s">
        <v>5544</v>
      </c>
      <c r="E1537" s="1" t="s">
        <v>1995</v>
      </c>
      <c r="F1537" s="1" t="s">
        <v>23</v>
      </c>
      <c r="G1537" s="1" t="s">
        <v>5545</v>
      </c>
      <c r="H1537" s="1" t="s">
        <v>15</v>
      </c>
      <c r="I1537" t="b">
        <f>COUNTIF(Estadísticas!I:I,'Centraldecomunicacion.es'!H1537)&gt;0</f>
        <v>0</v>
      </c>
    </row>
    <row r="1538" spans="1:9">
      <c r="A1538" s="1" t="s">
        <v>5546</v>
      </c>
      <c r="B1538" s="1" t="s">
        <v>10</v>
      </c>
      <c r="C1538" s="1" t="s">
        <v>5547</v>
      </c>
      <c r="D1538" s="1" t="s">
        <v>5513</v>
      </c>
      <c r="E1538" s="1" t="s">
        <v>1995</v>
      </c>
      <c r="F1538" s="1" t="s">
        <v>5548</v>
      </c>
      <c r="G1538" s="1" t="s">
        <v>5549</v>
      </c>
      <c r="H1538" s="1" t="s">
        <v>5550</v>
      </c>
      <c r="I1538" t="b">
        <f>COUNTIF(Estadísticas!I:I,'Centraldecomunicacion.es'!H1538)&gt;0</f>
        <v>0</v>
      </c>
    </row>
    <row r="1539" spans="1:9">
      <c r="A1539" s="1" t="s">
        <v>5551</v>
      </c>
      <c r="B1539" s="1" t="s">
        <v>10</v>
      </c>
      <c r="C1539" s="1" t="s">
        <v>5552</v>
      </c>
      <c r="D1539" s="1" t="s">
        <v>5553</v>
      </c>
      <c r="E1539" s="1" t="s">
        <v>1995</v>
      </c>
      <c r="F1539" s="1" t="s">
        <v>23</v>
      </c>
      <c r="G1539" s="1" t="s">
        <v>5554</v>
      </c>
      <c r="H1539" s="1" t="s">
        <v>15</v>
      </c>
      <c r="I1539" t="b">
        <f>COUNTIF(Estadísticas!I:I,'Centraldecomunicacion.es'!H1539)&gt;0</f>
        <v>0</v>
      </c>
    </row>
    <row r="1540" spans="1:9">
      <c r="A1540" s="1" t="s">
        <v>5555</v>
      </c>
      <c r="B1540" s="1" t="s">
        <v>10</v>
      </c>
      <c r="C1540" s="1" t="s">
        <v>5556</v>
      </c>
      <c r="D1540" s="1" t="s">
        <v>5557</v>
      </c>
      <c r="E1540" s="1" t="s">
        <v>1995</v>
      </c>
      <c r="F1540" s="1" t="s">
        <v>23</v>
      </c>
      <c r="G1540" s="1" t="s">
        <v>5558</v>
      </c>
      <c r="H1540" s="1" t="s">
        <v>15</v>
      </c>
      <c r="I1540" t="b">
        <f>COUNTIF(Estadísticas!I:I,'Centraldecomunicacion.es'!H1540)&gt;0</f>
        <v>0</v>
      </c>
    </row>
    <row r="1541" spans="1:9">
      <c r="A1541" s="1" t="s">
        <v>5559</v>
      </c>
      <c r="B1541" s="1" t="s">
        <v>10</v>
      </c>
      <c r="C1541" s="1" t="s">
        <v>5560</v>
      </c>
      <c r="D1541" s="1" t="s">
        <v>5557</v>
      </c>
      <c r="E1541" s="1" t="s">
        <v>1995</v>
      </c>
      <c r="F1541" s="1" t="s">
        <v>23</v>
      </c>
      <c r="G1541" s="1" t="s">
        <v>5561</v>
      </c>
      <c r="H1541" s="1" t="s">
        <v>15</v>
      </c>
      <c r="I1541" t="b">
        <f>COUNTIF(Estadísticas!I:I,'Centraldecomunicacion.es'!H1541)&gt;0</f>
        <v>0</v>
      </c>
    </row>
    <row r="1542" spans="1:9">
      <c r="A1542" s="1" t="s">
        <v>5562</v>
      </c>
      <c r="B1542" s="1" t="s">
        <v>10</v>
      </c>
      <c r="C1542" s="1" t="s">
        <v>5563</v>
      </c>
      <c r="D1542" s="1" t="s">
        <v>4340</v>
      </c>
      <c r="E1542" s="1" t="s">
        <v>1995</v>
      </c>
      <c r="F1542" s="1" t="s">
        <v>5564</v>
      </c>
      <c r="G1542" s="1" t="s">
        <v>5565</v>
      </c>
      <c r="H1542" s="1" t="s">
        <v>5566</v>
      </c>
      <c r="I1542" t="b">
        <f>COUNTIF(Estadísticas!I:I,'Centraldecomunicacion.es'!H1542)&gt;0</f>
        <v>1</v>
      </c>
    </row>
    <row r="1543" spans="1:9">
      <c r="A1543" s="1" t="s">
        <v>5567</v>
      </c>
      <c r="B1543" s="1" t="s">
        <v>10</v>
      </c>
      <c r="C1543" s="1" t="s">
        <v>5568</v>
      </c>
      <c r="D1543" s="1" t="s">
        <v>5569</v>
      </c>
      <c r="E1543" s="1" t="s">
        <v>1995</v>
      </c>
      <c r="F1543" s="1" t="s">
        <v>23</v>
      </c>
      <c r="G1543" s="1" t="s">
        <v>5570</v>
      </c>
      <c r="H1543" s="1" t="s">
        <v>15</v>
      </c>
      <c r="I1543" t="b">
        <f>COUNTIF(Estadísticas!I:I,'Centraldecomunicacion.es'!H1543)&gt;0</f>
        <v>0</v>
      </c>
    </row>
    <row r="1544" spans="1:9">
      <c r="A1544" s="1" t="s">
        <v>5571</v>
      </c>
      <c r="B1544" s="1" t="s">
        <v>10</v>
      </c>
      <c r="C1544" s="1" t="s">
        <v>5572</v>
      </c>
      <c r="D1544" s="1" t="s">
        <v>5569</v>
      </c>
      <c r="E1544" s="1" t="s">
        <v>1995</v>
      </c>
      <c r="F1544" s="1" t="s">
        <v>81</v>
      </c>
      <c r="G1544" s="1" t="s">
        <v>5573</v>
      </c>
      <c r="H1544" s="1" t="s">
        <v>83</v>
      </c>
      <c r="I1544" t="b">
        <f>COUNTIF(Estadísticas!I:I,'Centraldecomunicacion.es'!H1544)&gt;0</f>
        <v>0</v>
      </c>
    </row>
    <row r="1545" spans="1:9">
      <c r="A1545" s="1" t="s">
        <v>5574</v>
      </c>
      <c r="B1545" s="1" t="s">
        <v>10</v>
      </c>
      <c r="C1545" s="1" t="s">
        <v>5575</v>
      </c>
      <c r="D1545" s="1" t="s">
        <v>5576</v>
      </c>
      <c r="E1545" s="1" t="s">
        <v>1995</v>
      </c>
      <c r="F1545" s="1" t="s">
        <v>5577</v>
      </c>
      <c r="G1545" s="1" t="s">
        <v>5578</v>
      </c>
      <c r="H1545" s="1" t="s">
        <v>15</v>
      </c>
      <c r="I1545" t="b">
        <f>COUNTIF(Estadísticas!I:I,'Centraldecomunicacion.es'!H1545)&gt;0</f>
        <v>0</v>
      </c>
    </row>
    <row r="1546" spans="1:9">
      <c r="A1546" s="1" t="s">
        <v>5579</v>
      </c>
      <c r="B1546" s="1" t="s">
        <v>10</v>
      </c>
      <c r="C1546" s="1" t="s">
        <v>5580</v>
      </c>
      <c r="D1546" s="1" t="s">
        <v>5576</v>
      </c>
      <c r="E1546" s="1" t="s">
        <v>1995</v>
      </c>
      <c r="F1546" s="1" t="s">
        <v>23</v>
      </c>
      <c r="G1546" s="1" t="s">
        <v>5581</v>
      </c>
      <c r="H1546" s="1" t="s">
        <v>15</v>
      </c>
      <c r="I1546" t="b">
        <f>COUNTIF(Estadísticas!I:I,'Centraldecomunicacion.es'!H1546)&gt;0</f>
        <v>0</v>
      </c>
    </row>
    <row r="1547" spans="1:9">
      <c r="A1547" s="1" t="s">
        <v>5582</v>
      </c>
      <c r="B1547" s="1" t="s">
        <v>10</v>
      </c>
      <c r="C1547" s="1" t="s">
        <v>5583</v>
      </c>
      <c r="D1547" s="1" t="s">
        <v>5576</v>
      </c>
      <c r="E1547" s="1" t="s">
        <v>1995</v>
      </c>
      <c r="F1547" s="1" t="s">
        <v>1655</v>
      </c>
      <c r="G1547" s="1" t="s">
        <v>5584</v>
      </c>
      <c r="H1547" s="1" t="s">
        <v>1657</v>
      </c>
      <c r="I1547" t="b">
        <f>COUNTIF(Estadísticas!I:I,'Centraldecomunicacion.es'!H1547)&gt;0</f>
        <v>0</v>
      </c>
    </row>
    <row r="1548" spans="1:9">
      <c r="A1548" s="1" t="s">
        <v>5585</v>
      </c>
      <c r="B1548" s="1" t="s">
        <v>10</v>
      </c>
      <c r="C1548" s="1" t="s">
        <v>5586</v>
      </c>
      <c r="D1548" s="1" t="s">
        <v>5569</v>
      </c>
      <c r="E1548" s="1" t="s">
        <v>1995</v>
      </c>
      <c r="F1548" s="1" t="s">
        <v>23</v>
      </c>
      <c r="G1548" s="1" t="s">
        <v>5587</v>
      </c>
      <c r="H1548" s="1" t="s">
        <v>15</v>
      </c>
      <c r="I1548" t="b">
        <f>COUNTIF(Estadísticas!I:I,'Centraldecomunicacion.es'!H1548)&gt;0</f>
        <v>0</v>
      </c>
    </row>
    <row r="1549" spans="1:9">
      <c r="A1549" s="1" t="s">
        <v>5588</v>
      </c>
      <c r="B1549" s="1" t="s">
        <v>10</v>
      </c>
      <c r="C1549" s="1" t="s">
        <v>5589</v>
      </c>
      <c r="D1549" s="1" t="s">
        <v>5569</v>
      </c>
      <c r="E1549" s="1" t="s">
        <v>1995</v>
      </c>
      <c r="F1549" s="1" t="s">
        <v>5590</v>
      </c>
      <c r="G1549" s="1" t="s">
        <v>5591</v>
      </c>
      <c r="H1549" s="1" t="s">
        <v>15</v>
      </c>
      <c r="I1549" t="b">
        <f>COUNTIF(Estadísticas!I:I,'Centraldecomunicacion.es'!H1549)&gt;0</f>
        <v>0</v>
      </c>
    </row>
    <row r="1550" spans="1:9">
      <c r="A1550" s="1" t="s">
        <v>5592</v>
      </c>
      <c r="B1550" s="1" t="s">
        <v>10</v>
      </c>
      <c r="C1550" s="1" t="s">
        <v>5593</v>
      </c>
      <c r="D1550" s="1" t="s">
        <v>5594</v>
      </c>
      <c r="E1550" s="1" t="s">
        <v>1995</v>
      </c>
      <c r="F1550" s="1" t="s">
        <v>23</v>
      </c>
      <c r="G1550" s="1" t="s">
        <v>5595</v>
      </c>
      <c r="H1550" s="1" t="s">
        <v>15</v>
      </c>
      <c r="I1550" t="b">
        <f>COUNTIF(Estadísticas!I:I,'Centraldecomunicacion.es'!H1550)&gt;0</f>
        <v>0</v>
      </c>
    </row>
    <row r="1551" spans="1:9">
      <c r="A1551" s="1" t="s">
        <v>5596</v>
      </c>
      <c r="B1551" s="1" t="s">
        <v>10</v>
      </c>
      <c r="C1551" s="1" t="s">
        <v>5597</v>
      </c>
      <c r="D1551" s="1" t="s">
        <v>5576</v>
      </c>
      <c r="E1551" s="1" t="s">
        <v>1995</v>
      </c>
      <c r="F1551" s="1" t="s">
        <v>23</v>
      </c>
      <c r="G1551" s="1" t="s">
        <v>5598</v>
      </c>
      <c r="H1551" s="1" t="s">
        <v>15</v>
      </c>
      <c r="I1551" t="b">
        <f>COUNTIF(Estadísticas!I:I,'Centraldecomunicacion.es'!H1551)&gt;0</f>
        <v>0</v>
      </c>
    </row>
    <row r="1552" spans="1:9">
      <c r="A1552" s="1" t="s">
        <v>5599</v>
      </c>
      <c r="B1552" s="1" t="s">
        <v>10</v>
      </c>
      <c r="C1552" s="1" t="s">
        <v>5600</v>
      </c>
      <c r="D1552" s="1" t="s">
        <v>5576</v>
      </c>
      <c r="E1552" s="1" t="s">
        <v>1995</v>
      </c>
      <c r="F1552" s="1" t="s">
        <v>23</v>
      </c>
      <c r="G1552" s="1" t="s">
        <v>5601</v>
      </c>
      <c r="H1552" s="1" t="s">
        <v>15</v>
      </c>
      <c r="I1552" t="b">
        <f>COUNTIF(Estadísticas!I:I,'Centraldecomunicacion.es'!H1552)&gt;0</f>
        <v>0</v>
      </c>
    </row>
    <row r="1553" spans="1:9">
      <c r="A1553" s="1" t="s">
        <v>5602</v>
      </c>
      <c r="B1553" s="1" t="s">
        <v>10</v>
      </c>
      <c r="C1553" s="1" t="s">
        <v>5603</v>
      </c>
      <c r="D1553" s="1" t="s">
        <v>5594</v>
      </c>
      <c r="E1553" s="1" t="s">
        <v>1995</v>
      </c>
      <c r="F1553" s="1" t="s">
        <v>23</v>
      </c>
      <c r="G1553" s="1" t="s">
        <v>5604</v>
      </c>
      <c r="H1553" s="1" t="s">
        <v>15</v>
      </c>
      <c r="I1553" t="b">
        <f>COUNTIF(Estadísticas!I:I,'Centraldecomunicacion.es'!H1553)&gt;0</f>
        <v>0</v>
      </c>
    </row>
    <row r="1554" spans="1:9">
      <c r="A1554" s="1" t="s">
        <v>5605</v>
      </c>
      <c r="B1554" s="1" t="s">
        <v>10</v>
      </c>
      <c r="C1554" s="1" t="s">
        <v>5606</v>
      </c>
      <c r="D1554" s="1" t="s">
        <v>5576</v>
      </c>
      <c r="E1554" s="1" t="s">
        <v>1995</v>
      </c>
      <c r="F1554" s="1" t="s">
        <v>5607</v>
      </c>
      <c r="G1554" s="1" t="s">
        <v>5608</v>
      </c>
      <c r="H1554" s="1" t="s">
        <v>5609</v>
      </c>
      <c r="I1554" t="b">
        <f>COUNTIF(Estadísticas!I:I,'Centraldecomunicacion.es'!H1554)&gt;0</f>
        <v>0</v>
      </c>
    </row>
    <row r="1555" spans="1:9">
      <c r="A1555" s="1" t="s">
        <v>5610</v>
      </c>
      <c r="B1555" s="1" t="s">
        <v>10</v>
      </c>
      <c r="C1555" s="1" t="s">
        <v>5611</v>
      </c>
      <c r="D1555" s="1" t="s">
        <v>5612</v>
      </c>
      <c r="E1555" s="1" t="s">
        <v>1995</v>
      </c>
      <c r="F1555" s="1" t="s">
        <v>23</v>
      </c>
      <c r="G1555" s="1" t="s">
        <v>5613</v>
      </c>
      <c r="H1555" s="1" t="s">
        <v>15</v>
      </c>
      <c r="I1555" t="b">
        <f>COUNTIF(Estadísticas!I:I,'Centraldecomunicacion.es'!H1555)&gt;0</f>
        <v>0</v>
      </c>
    </row>
    <row r="1556" spans="1:9">
      <c r="A1556" s="1" t="s">
        <v>5614</v>
      </c>
      <c r="B1556" s="1" t="s">
        <v>10</v>
      </c>
      <c r="C1556" s="1" t="s">
        <v>5615</v>
      </c>
      <c r="D1556" s="1" t="s">
        <v>5616</v>
      </c>
      <c r="E1556" s="1" t="s">
        <v>1995</v>
      </c>
      <c r="F1556" s="1" t="s">
        <v>5617</v>
      </c>
      <c r="G1556" s="1" t="s">
        <v>5618</v>
      </c>
      <c r="H1556" s="1" t="s">
        <v>5619</v>
      </c>
      <c r="I1556" t="b">
        <f>COUNTIF(Estadísticas!I:I,'Centraldecomunicacion.es'!H1556)&gt;0</f>
        <v>0</v>
      </c>
    </row>
    <row r="1557" spans="1:9">
      <c r="A1557" s="1" t="s">
        <v>5620</v>
      </c>
      <c r="B1557" s="1" t="s">
        <v>10</v>
      </c>
      <c r="C1557" s="1" t="s">
        <v>5621</v>
      </c>
      <c r="D1557" s="1" t="s">
        <v>5576</v>
      </c>
      <c r="E1557" s="1" t="s">
        <v>1995</v>
      </c>
      <c r="F1557" s="1" t="s">
        <v>5449</v>
      </c>
      <c r="G1557" s="1" t="s">
        <v>5622</v>
      </c>
      <c r="H1557" s="1" t="s">
        <v>15</v>
      </c>
      <c r="I1557" t="b">
        <f>COUNTIF(Estadísticas!I:I,'Centraldecomunicacion.es'!H1557)&gt;0</f>
        <v>0</v>
      </c>
    </row>
    <row r="1558" spans="1:9">
      <c r="A1558" s="1" t="s">
        <v>5623</v>
      </c>
      <c r="B1558" s="1" t="s">
        <v>10</v>
      </c>
      <c r="C1558" s="1" t="s">
        <v>5624</v>
      </c>
      <c r="D1558" s="1" t="s">
        <v>5625</v>
      </c>
      <c r="E1558" s="1" t="s">
        <v>1995</v>
      </c>
      <c r="F1558" s="1" t="s">
        <v>23</v>
      </c>
      <c r="G1558" s="1" t="s">
        <v>5626</v>
      </c>
      <c r="H1558" s="1" t="s">
        <v>15</v>
      </c>
      <c r="I1558" t="b">
        <f>COUNTIF(Estadísticas!I:I,'Centraldecomunicacion.es'!H1558)&gt;0</f>
        <v>0</v>
      </c>
    </row>
    <row r="1559" spans="1:9">
      <c r="A1559" s="1" t="s">
        <v>5627</v>
      </c>
      <c r="B1559" s="1" t="s">
        <v>10</v>
      </c>
      <c r="C1559" s="1" t="s">
        <v>5628</v>
      </c>
      <c r="D1559" s="1" t="s">
        <v>5576</v>
      </c>
      <c r="E1559" s="1" t="s">
        <v>1995</v>
      </c>
      <c r="F1559" s="1" t="s">
        <v>23</v>
      </c>
      <c r="G1559" s="1" t="s">
        <v>5629</v>
      </c>
      <c r="H1559" s="1" t="s">
        <v>15</v>
      </c>
      <c r="I1559" t="b">
        <f>COUNTIF(Estadísticas!I:I,'Centraldecomunicacion.es'!H1559)&gt;0</f>
        <v>0</v>
      </c>
    </row>
    <row r="1560" spans="1:9">
      <c r="A1560" s="1" t="s">
        <v>5630</v>
      </c>
      <c r="B1560" s="1" t="s">
        <v>10</v>
      </c>
      <c r="C1560" s="1" t="s">
        <v>5631</v>
      </c>
      <c r="D1560" s="1" t="s">
        <v>5616</v>
      </c>
      <c r="E1560" s="1" t="s">
        <v>1995</v>
      </c>
      <c r="F1560" s="1" t="s">
        <v>23</v>
      </c>
      <c r="G1560" s="1" t="s">
        <v>5632</v>
      </c>
      <c r="H1560" s="1" t="s">
        <v>15</v>
      </c>
      <c r="I1560" t="b">
        <f>COUNTIF(Estadísticas!I:I,'Centraldecomunicacion.es'!H1560)&gt;0</f>
        <v>0</v>
      </c>
    </row>
    <row r="1561" spans="1:9">
      <c r="A1561" s="1" t="s">
        <v>5633</v>
      </c>
      <c r="B1561" s="1" t="s">
        <v>10</v>
      </c>
      <c r="C1561" s="1" t="s">
        <v>5634</v>
      </c>
      <c r="D1561" s="1" t="s">
        <v>5635</v>
      </c>
      <c r="E1561" s="1" t="s">
        <v>1995</v>
      </c>
      <c r="F1561" s="1" t="s">
        <v>23</v>
      </c>
      <c r="G1561" s="1" t="s">
        <v>23</v>
      </c>
      <c r="H1561" s="1" t="s">
        <v>15</v>
      </c>
      <c r="I1561" t="b">
        <f>COUNTIF(Estadísticas!I:I,'Centraldecomunicacion.es'!H1561)&gt;0</f>
        <v>0</v>
      </c>
    </row>
    <row r="1562" spans="1:9">
      <c r="A1562" s="1" t="s">
        <v>5636</v>
      </c>
      <c r="B1562" s="1" t="s">
        <v>10</v>
      </c>
      <c r="C1562" s="1" t="s">
        <v>5637</v>
      </c>
      <c r="D1562" s="1" t="s">
        <v>5638</v>
      </c>
      <c r="E1562" s="1" t="s">
        <v>1995</v>
      </c>
      <c r="F1562" s="1" t="s">
        <v>23</v>
      </c>
      <c r="G1562" s="1" t="s">
        <v>5639</v>
      </c>
      <c r="H1562" s="1" t="s">
        <v>15</v>
      </c>
      <c r="I1562" t="b">
        <f>COUNTIF(Estadísticas!I:I,'Centraldecomunicacion.es'!H1562)&gt;0</f>
        <v>0</v>
      </c>
    </row>
    <row r="1563" spans="1:9">
      <c r="A1563" s="1" t="s">
        <v>5640</v>
      </c>
      <c r="B1563" s="1" t="s">
        <v>10</v>
      </c>
      <c r="C1563" s="1" t="s">
        <v>5641</v>
      </c>
      <c r="D1563" s="1" t="s">
        <v>5616</v>
      </c>
      <c r="E1563" s="1" t="s">
        <v>1995</v>
      </c>
      <c r="F1563" s="1" t="s">
        <v>23</v>
      </c>
      <c r="G1563" s="1" t="s">
        <v>5642</v>
      </c>
      <c r="H1563" s="1" t="s">
        <v>15</v>
      </c>
      <c r="I1563" t="b">
        <f>COUNTIF(Estadísticas!I:I,'Centraldecomunicacion.es'!H1563)&gt;0</f>
        <v>0</v>
      </c>
    </row>
    <row r="1564" spans="1:9">
      <c r="A1564" s="1" t="s">
        <v>5643</v>
      </c>
      <c r="B1564" s="1" t="s">
        <v>10</v>
      </c>
      <c r="C1564" s="1" t="s">
        <v>5644</v>
      </c>
      <c r="D1564" s="1" t="s">
        <v>5576</v>
      </c>
      <c r="E1564" s="1" t="s">
        <v>1995</v>
      </c>
      <c r="F1564" s="1" t="s">
        <v>5645</v>
      </c>
      <c r="G1564" s="1" t="s">
        <v>5646</v>
      </c>
      <c r="H1564" s="1" t="s">
        <v>5647</v>
      </c>
      <c r="I1564" t="b">
        <f>COUNTIF(Estadísticas!I:I,'Centraldecomunicacion.es'!H1564)&gt;0</f>
        <v>0</v>
      </c>
    </row>
    <row r="1565" spans="1:9">
      <c r="A1565" s="1" t="s">
        <v>5648</v>
      </c>
      <c r="B1565" s="1" t="s">
        <v>10</v>
      </c>
      <c r="C1565" s="1" t="s">
        <v>5649</v>
      </c>
      <c r="D1565" s="1" t="s">
        <v>5650</v>
      </c>
      <c r="E1565" s="1" t="s">
        <v>1995</v>
      </c>
      <c r="F1565" s="1" t="s">
        <v>23</v>
      </c>
      <c r="G1565" s="1" t="s">
        <v>5651</v>
      </c>
      <c r="H1565" s="1" t="s">
        <v>15</v>
      </c>
      <c r="I1565" t="b">
        <f>COUNTIF(Estadísticas!I:I,'Centraldecomunicacion.es'!H1565)&gt;0</f>
        <v>0</v>
      </c>
    </row>
    <row r="1566" spans="1:9">
      <c r="A1566" s="1" t="s">
        <v>5652</v>
      </c>
      <c r="B1566" s="1" t="s">
        <v>10</v>
      </c>
      <c r="C1566" s="1" t="s">
        <v>5653</v>
      </c>
      <c r="D1566" s="1" t="s">
        <v>5638</v>
      </c>
      <c r="E1566" s="1" t="s">
        <v>1995</v>
      </c>
      <c r="F1566" s="1" t="s">
        <v>5654</v>
      </c>
      <c r="G1566" s="1" t="s">
        <v>5655</v>
      </c>
      <c r="H1566" s="1" t="s">
        <v>5656</v>
      </c>
      <c r="I1566" t="b">
        <f>COUNTIF(Estadísticas!I:I,'Centraldecomunicacion.es'!H1566)&gt;0</f>
        <v>0</v>
      </c>
    </row>
    <row r="1567" spans="1:9">
      <c r="A1567" s="1" t="s">
        <v>5657</v>
      </c>
      <c r="B1567" s="1" t="s">
        <v>10</v>
      </c>
      <c r="C1567" s="1" t="s">
        <v>5658</v>
      </c>
      <c r="D1567" s="1" t="s">
        <v>5616</v>
      </c>
      <c r="E1567" s="1" t="s">
        <v>1995</v>
      </c>
      <c r="F1567" s="1" t="s">
        <v>5659</v>
      </c>
      <c r="G1567" s="1" t="s">
        <v>5660</v>
      </c>
      <c r="H1567" s="1" t="s">
        <v>5661</v>
      </c>
      <c r="I1567" t="b">
        <f>COUNTIF(Estadísticas!I:I,'Centraldecomunicacion.es'!H1567)&gt;0</f>
        <v>1</v>
      </c>
    </row>
    <row r="1568" spans="1:9">
      <c r="A1568" s="1" t="s">
        <v>5662</v>
      </c>
      <c r="B1568" s="1" t="s">
        <v>10</v>
      </c>
      <c r="C1568" s="1" t="s">
        <v>5663</v>
      </c>
      <c r="D1568" s="1" t="s">
        <v>5664</v>
      </c>
      <c r="E1568" s="1" t="s">
        <v>1995</v>
      </c>
      <c r="F1568" s="1" t="s">
        <v>5665</v>
      </c>
      <c r="G1568" s="1" t="s">
        <v>5666</v>
      </c>
      <c r="H1568" s="1" t="s">
        <v>5667</v>
      </c>
      <c r="I1568" t="b">
        <f>COUNTIF(Estadísticas!I:I,'Centraldecomunicacion.es'!H1568)&gt;0</f>
        <v>0</v>
      </c>
    </row>
    <row r="1569" spans="1:9">
      <c r="A1569" s="1" t="s">
        <v>5668</v>
      </c>
      <c r="B1569" s="1" t="s">
        <v>10</v>
      </c>
      <c r="C1569" s="1" t="s">
        <v>5669</v>
      </c>
      <c r="D1569" s="1" t="s">
        <v>5616</v>
      </c>
      <c r="E1569" s="1" t="s">
        <v>1995</v>
      </c>
      <c r="F1569" s="1" t="s">
        <v>5530</v>
      </c>
      <c r="G1569" s="1" t="s">
        <v>5670</v>
      </c>
      <c r="H1569" s="1" t="s">
        <v>5531</v>
      </c>
      <c r="I1569" t="b">
        <f>COUNTIF(Estadísticas!I:I,'Centraldecomunicacion.es'!H1569)&gt;0</f>
        <v>0</v>
      </c>
    </row>
    <row r="1570" spans="1:9">
      <c r="A1570" s="1" t="s">
        <v>5671</v>
      </c>
      <c r="B1570" s="1" t="s">
        <v>10</v>
      </c>
      <c r="C1570" s="1" t="s">
        <v>5672</v>
      </c>
      <c r="D1570" s="1" t="s">
        <v>5625</v>
      </c>
      <c r="E1570" s="1" t="s">
        <v>1995</v>
      </c>
      <c r="F1570" s="1" t="s">
        <v>23</v>
      </c>
      <c r="G1570" s="1" t="s">
        <v>5673</v>
      </c>
      <c r="H1570" s="1" t="s">
        <v>15</v>
      </c>
      <c r="I1570" t="b">
        <f>COUNTIF(Estadísticas!I:I,'Centraldecomunicacion.es'!H1570)&gt;0</f>
        <v>0</v>
      </c>
    </row>
    <row r="1571" spans="1:9">
      <c r="A1571" s="1" t="s">
        <v>5674</v>
      </c>
      <c r="B1571" s="1" t="s">
        <v>10</v>
      </c>
      <c r="C1571" s="1" t="s">
        <v>5675</v>
      </c>
      <c r="D1571" s="1" t="s">
        <v>5625</v>
      </c>
      <c r="E1571" s="1" t="s">
        <v>1995</v>
      </c>
      <c r="F1571" s="1" t="s">
        <v>23</v>
      </c>
      <c r="G1571" s="1" t="s">
        <v>5676</v>
      </c>
      <c r="H1571" s="1" t="s">
        <v>15</v>
      </c>
      <c r="I1571" t="b">
        <f>COUNTIF(Estadísticas!I:I,'Centraldecomunicacion.es'!H1571)&gt;0</f>
        <v>0</v>
      </c>
    </row>
    <row r="1572" spans="1:9">
      <c r="A1572" s="1" t="s">
        <v>156</v>
      </c>
      <c r="B1572" s="1" t="s">
        <v>10</v>
      </c>
      <c r="C1572" s="1" t="s">
        <v>5677</v>
      </c>
      <c r="D1572" s="1" t="s">
        <v>5678</v>
      </c>
      <c r="E1572" s="1" t="s">
        <v>1995</v>
      </c>
      <c r="F1572" s="1" t="s">
        <v>23</v>
      </c>
      <c r="G1572" s="1" t="s">
        <v>5679</v>
      </c>
      <c r="H1572" s="1" t="s">
        <v>15</v>
      </c>
      <c r="I1572" t="b">
        <f>COUNTIF(Estadísticas!I:I,'Centraldecomunicacion.es'!H1572)&gt;0</f>
        <v>0</v>
      </c>
    </row>
    <row r="1573" spans="1:9">
      <c r="A1573" s="1" t="s">
        <v>5680</v>
      </c>
      <c r="B1573" s="1" t="s">
        <v>10</v>
      </c>
      <c r="C1573" s="1" t="s">
        <v>5681</v>
      </c>
      <c r="D1573" s="1" t="s">
        <v>5682</v>
      </c>
      <c r="E1573" s="1" t="s">
        <v>1995</v>
      </c>
      <c r="F1573" s="1" t="s">
        <v>23</v>
      </c>
      <c r="G1573" s="1" t="s">
        <v>23</v>
      </c>
      <c r="H1573" s="1" t="s">
        <v>15</v>
      </c>
      <c r="I1573" t="b">
        <f>COUNTIF(Estadísticas!I:I,'Centraldecomunicacion.es'!H1573)&gt;0</f>
        <v>0</v>
      </c>
    </row>
    <row r="1574" spans="1:9">
      <c r="A1574" s="1" t="s">
        <v>5683</v>
      </c>
      <c r="B1574" s="1" t="s">
        <v>10</v>
      </c>
      <c r="C1574" s="1" t="s">
        <v>5684</v>
      </c>
      <c r="D1574" s="1" t="s">
        <v>5638</v>
      </c>
      <c r="E1574" s="1" t="s">
        <v>1995</v>
      </c>
      <c r="F1574" s="1" t="s">
        <v>1499</v>
      </c>
      <c r="G1574" s="1" t="s">
        <v>5685</v>
      </c>
      <c r="H1574" s="1" t="s">
        <v>1501</v>
      </c>
      <c r="I1574" t="b">
        <f>COUNTIF(Estadísticas!I:I,'Centraldecomunicacion.es'!H1574)&gt;0</f>
        <v>0</v>
      </c>
    </row>
    <row r="1575" spans="1:9">
      <c r="A1575" s="1" t="s">
        <v>5686</v>
      </c>
      <c r="B1575" s="1" t="s">
        <v>10</v>
      </c>
      <c r="C1575" s="1" t="s">
        <v>5687</v>
      </c>
      <c r="D1575" s="1" t="s">
        <v>5638</v>
      </c>
      <c r="E1575" s="1" t="s">
        <v>1995</v>
      </c>
      <c r="F1575" s="1" t="s">
        <v>23</v>
      </c>
      <c r="G1575" s="1" t="s">
        <v>5688</v>
      </c>
      <c r="H1575" s="1" t="s">
        <v>15</v>
      </c>
      <c r="I1575" t="b">
        <f>COUNTIF(Estadísticas!I:I,'Centraldecomunicacion.es'!H1575)&gt;0</f>
        <v>0</v>
      </c>
    </row>
    <row r="1576" spans="1:9">
      <c r="A1576" s="1" t="s">
        <v>5689</v>
      </c>
      <c r="B1576" s="1" t="s">
        <v>10</v>
      </c>
      <c r="C1576" s="1" t="s">
        <v>5690</v>
      </c>
      <c r="D1576" s="1" t="s">
        <v>5616</v>
      </c>
      <c r="E1576" s="1" t="s">
        <v>1995</v>
      </c>
      <c r="F1576" s="1" t="s">
        <v>23</v>
      </c>
      <c r="G1576" s="1" t="s">
        <v>5691</v>
      </c>
      <c r="H1576" s="1" t="s">
        <v>15</v>
      </c>
      <c r="I1576" t="b">
        <f>COUNTIF(Estadísticas!I:I,'Centraldecomunicacion.es'!H1576)&gt;0</f>
        <v>0</v>
      </c>
    </row>
    <row r="1577" spans="1:9">
      <c r="A1577" s="1" t="s">
        <v>5692</v>
      </c>
      <c r="B1577" s="1" t="s">
        <v>10</v>
      </c>
      <c r="C1577" s="1" t="s">
        <v>5693</v>
      </c>
      <c r="D1577" s="1" t="s">
        <v>5694</v>
      </c>
      <c r="E1577" s="1" t="s">
        <v>1995</v>
      </c>
      <c r="F1577" s="1" t="s">
        <v>23</v>
      </c>
      <c r="G1577" s="1" t="s">
        <v>5695</v>
      </c>
      <c r="H1577" s="1" t="s">
        <v>15</v>
      </c>
      <c r="I1577" t="b">
        <f>COUNTIF(Estadísticas!I:I,'Centraldecomunicacion.es'!H1577)&gt;0</f>
        <v>0</v>
      </c>
    </row>
    <row r="1578" spans="1:9">
      <c r="A1578" s="1" t="s">
        <v>5696</v>
      </c>
      <c r="B1578" s="1" t="s">
        <v>10</v>
      </c>
      <c r="C1578" s="1" t="s">
        <v>5697</v>
      </c>
      <c r="D1578" s="1" t="s">
        <v>5616</v>
      </c>
      <c r="E1578" s="1" t="s">
        <v>1995</v>
      </c>
      <c r="F1578" s="1" t="s">
        <v>5698</v>
      </c>
      <c r="G1578" s="1" t="s">
        <v>5699</v>
      </c>
      <c r="H1578" s="1" t="s">
        <v>5700</v>
      </c>
      <c r="I1578" t="b">
        <f>COUNTIF(Estadísticas!I:I,'Centraldecomunicacion.es'!H1578)&gt;0</f>
        <v>0</v>
      </c>
    </row>
    <row r="1579" spans="1:9">
      <c r="A1579" s="1" t="s">
        <v>5701</v>
      </c>
      <c r="B1579" s="1" t="s">
        <v>10</v>
      </c>
      <c r="C1579" s="1" t="s">
        <v>5702</v>
      </c>
      <c r="D1579" s="1" t="s">
        <v>5703</v>
      </c>
      <c r="E1579" s="1" t="s">
        <v>1995</v>
      </c>
      <c r="F1579" s="1" t="s">
        <v>5704</v>
      </c>
      <c r="G1579" s="1" t="s">
        <v>5705</v>
      </c>
      <c r="H1579" s="1" t="s">
        <v>5706</v>
      </c>
      <c r="I1579" t="b">
        <f>COUNTIF(Estadísticas!I:I,'Centraldecomunicacion.es'!H1579)&gt;0</f>
        <v>0</v>
      </c>
    </row>
    <row r="1580" spans="1:9">
      <c r="A1580" s="1" t="s">
        <v>5707</v>
      </c>
      <c r="B1580" s="1" t="s">
        <v>10</v>
      </c>
      <c r="C1580" s="1" t="s">
        <v>5708</v>
      </c>
      <c r="D1580" s="1" t="s">
        <v>5682</v>
      </c>
      <c r="E1580" s="1" t="s">
        <v>1995</v>
      </c>
      <c r="F1580" s="1" t="s">
        <v>5709</v>
      </c>
      <c r="G1580" s="1" t="s">
        <v>5710</v>
      </c>
      <c r="H1580" s="1" t="s">
        <v>5711</v>
      </c>
      <c r="I1580" t="b">
        <f>COUNTIF(Estadísticas!I:I,'Centraldecomunicacion.es'!H1580)&gt;0</f>
        <v>1</v>
      </c>
    </row>
    <row r="1581" spans="1:9">
      <c r="A1581" s="1" t="s">
        <v>5712</v>
      </c>
      <c r="B1581" s="1" t="s">
        <v>10</v>
      </c>
      <c r="C1581" s="1" t="s">
        <v>5713</v>
      </c>
      <c r="D1581" s="1" t="s">
        <v>5714</v>
      </c>
      <c r="E1581" s="1" t="s">
        <v>1995</v>
      </c>
      <c r="F1581" s="1" t="s">
        <v>5715</v>
      </c>
      <c r="G1581" s="1" t="s">
        <v>5716</v>
      </c>
      <c r="H1581" s="1" t="s">
        <v>5717</v>
      </c>
      <c r="I1581" t="b">
        <f>COUNTIF(Estadísticas!I:I,'Centraldecomunicacion.es'!H1581)&gt;0</f>
        <v>0</v>
      </c>
    </row>
    <row r="1582" spans="1:9">
      <c r="A1582" s="1" t="s">
        <v>5718</v>
      </c>
      <c r="B1582" s="1" t="s">
        <v>10</v>
      </c>
      <c r="C1582" s="1" t="s">
        <v>5719</v>
      </c>
      <c r="D1582" s="1" t="s">
        <v>5616</v>
      </c>
      <c r="E1582" s="1" t="s">
        <v>1995</v>
      </c>
      <c r="F1582" s="1" t="s">
        <v>23</v>
      </c>
      <c r="G1582" s="1" t="s">
        <v>5720</v>
      </c>
      <c r="H1582" s="1" t="s">
        <v>15</v>
      </c>
      <c r="I1582" t="b">
        <f>COUNTIF(Estadísticas!I:I,'Centraldecomunicacion.es'!H1582)&gt;0</f>
        <v>0</v>
      </c>
    </row>
    <row r="1583" spans="1:9">
      <c r="A1583" s="1" t="s">
        <v>5721</v>
      </c>
      <c r="B1583" s="1" t="s">
        <v>10</v>
      </c>
      <c r="C1583" s="1" t="s">
        <v>5722</v>
      </c>
      <c r="D1583" s="1" t="s">
        <v>5723</v>
      </c>
      <c r="E1583" s="1" t="s">
        <v>1995</v>
      </c>
      <c r="F1583" s="1" t="s">
        <v>23</v>
      </c>
      <c r="G1583" s="1" t="s">
        <v>5724</v>
      </c>
      <c r="H1583" s="1" t="s">
        <v>15</v>
      </c>
      <c r="I1583" t="b">
        <f>COUNTIF(Estadísticas!I:I,'Centraldecomunicacion.es'!H1583)&gt;0</f>
        <v>0</v>
      </c>
    </row>
    <row r="1584" spans="1:9">
      <c r="A1584" s="1" t="s">
        <v>5725</v>
      </c>
      <c r="B1584" s="1" t="s">
        <v>10</v>
      </c>
      <c r="C1584" s="1" t="s">
        <v>5726</v>
      </c>
      <c r="D1584" s="1" t="s">
        <v>5727</v>
      </c>
      <c r="E1584" s="1" t="s">
        <v>1995</v>
      </c>
      <c r="F1584" s="1" t="s">
        <v>23</v>
      </c>
      <c r="G1584" s="1" t="s">
        <v>5728</v>
      </c>
      <c r="H1584" s="1" t="s">
        <v>15</v>
      </c>
      <c r="I1584" t="b">
        <f>COUNTIF(Estadísticas!I:I,'Centraldecomunicacion.es'!H1584)&gt;0</f>
        <v>0</v>
      </c>
    </row>
    <row r="1585" spans="1:9">
      <c r="A1585" s="1" t="s">
        <v>5729</v>
      </c>
      <c r="B1585" s="1" t="s">
        <v>10</v>
      </c>
      <c r="C1585" s="1" t="s">
        <v>5730</v>
      </c>
      <c r="D1585" s="1" t="s">
        <v>5616</v>
      </c>
      <c r="E1585" s="1" t="s">
        <v>1995</v>
      </c>
      <c r="F1585" s="1" t="s">
        <v>23</v>
      </c>
      <c r="G1585" s="1" t="s">
        <v>5731</v>
      </c>
      <c r="H1585" s="1" t="s">
        <v>15</v>
      </c>
      <c r="I1585" t="b">
        <f>COUNTIF(Estadísticas!I:I,'Centraldecomunicacion.es'!H1585)&gt;0</f>
        <v>0</v>
      </c>
    </row>
    <row r="1586" spans="1:9">
      <c r="A1586" s="1" t="s">
        <v>5732</v>
      </c>
      <c r="B1586" s="1" t="s">
        <v>10</v>
      </c>
      <c r="C1586" s="1" t="s">
        <v>5733</v>
      </c>
      <c r="D1586" s="1" t="s">
        <v>5638</v>
      </c>
      <c r="E1586" s="1" t="s">
        <v>1995</v>
      </c>
      <c r="F1586" s="1" t="s">
        <v>23</v>
      </c>
      <c r="G1586" s="1" t="s">
        <v>5734</v>
      </c>
      <c r="H1586" s="1" t="s">
        <v>15</v>
      </c>
      <c r="I1586" t="b">
        <f>COUNTIF(Estadísticas!I:I,'Centraldecomunicacion.es'!H1586)&gt;0</f>
        <v>0</v>
      </c>
    </row>
    <row r="1587" spans="1:9">
      <c r="A1587" s="1" t="s">
        <v>5735</v>
      </c>
      <c r="B1587" s="1" t="s">
        <v>10</v>
      </c>
      <c r="C1587" s="1" t="s">
        <v>5736</v>
      </c>
      <c r="D1587" s="1" t="s">
        <v>5714</v>
      </c>
      <c r="E1587" s="1" t="s">
        <v>1995</v>
      </c>
      <c r="F1587" s="1" t="s">
        <v>5737</v>
      </c>
      <c r="G1587" s="1" t="s">
        <v>5738</v>
      </c>
      <c r="H1587" s="1" t="s">
        <v>5739</v>
      </c>
      <c r="I1587" t="b">
        <f>COUNTIF(Estadísticas!I:I,'Centraldecomunicacion.es'!H1587)&gt;0</f>
        <v>0</v>
      </c>
    </row>
    <row r="1588" spans="1:9">
      <c r="A1588" s="1" t="s">
        <v>5740</v>
      </c>
      <c r="B1588" s="1" t="s">
        <v>10</v>
      </c>
      <c r="C1588" s="1" t="s">
        <v>5741</v>
      </c>
      <c r="D1588" s="1" t="s">
        <v>5742</v>
      </c>
      <c r="E1588" s="1" t="s">
        <v>1995</v>
      </c>
      <c r="F1588" s="1" t="s">
        <v>23</v>
      </c>
      <c r="G1588" s="1" t="s">
        <v>5743</v>
      </c>
      <c r="H1588" s="1" t="s">
        <v>15</v>
      </c>
      <c r="I1588" t="b">
        <f>COUNTIF(Estadísticas!I:I,'Centraldecomunicacion.es'!H1588)&gt;0</f>
        <v>0</v>
      </c>
    </row>
    <row r="1589" spans="1:9">
      <c r="A1589" s="1" t="s">
        <v>5744</v>
      </c>
      <c r="B1589" s="1" t="s">
        <v>10</v>
      </c>
      <c r="C1589" s="1" t="s">
        <v>5745</v>
      </c>
      <c r="D1589" s="1" t="s">
        <v>5746</v>
      </c>
      <c r="E1589" s="1" t="s">
        <v>1995</v>
      </c>
      <c r="F1589" s="1" t="s">
        <v>23</v>
      </c>
      <c r="G1589" s="1" t="s">
        <v>23</v>
      </c>
      <c r="H1589" s="1" t="s">
        <v>15</v>
      </c>
      <c r="I1589" t="b">
        <f>COUNTIF(Estadísticas!I:I,'Centraldecomunicacion.es'!H1589)&gt;0</f>
        <v>0</v>
      </c>
    </row>
    <row r="1590" spans="1:9">
      <c r="A1590" s="1" t="s">
        <v>5747</v>
      </c>
      <c r="B1590" s="1" t="s">
        <v>10</v>
      </c>
      <c r="C1590" s="1" t="s">
        <v>5748</v>
      </c>
      <c r="D1590" s="1" t="s">
        <v>5742</v>
      </c>
      <c r="E1590" s="1" t="s">
        <v>1995</v>
      </c>
      <c r="F1590" s="1" t="s">
        <v>5749</v>
      </c>
      <c r="G1590" s="1" t="s">
        <v>5750</v>
      </c>
      <c r="H1590" s="1" t="s">
        <v>5751</v>
      </c>
      <c r="I1590" t="b">
        <f>COUNTIF(Estadísticas!I:I,'Centraldecomunicacion.es'!H1590)&gt;0</f>
        <v>0</v>
      </c>
    </row>
    <row r="1591" spans="1:9">
      <c r="A1591" s="1" t="s">
        <v>5752</v>
      </c>
      <c r="B1591" s="1" t="s">
        <v>10</v>
      </c>
      <c r="C1591" s="1" t="s">
        <v>5753</v>
      </c>
      <c r="D1591" s="1" t="s">
        <v>5714</v>
      </c>
      <c r="E1591" s="1" t="s">
        <v>1995</v>
      </c>
      <c r="F1591" s="1" t="s">
        <v>23</v>
      </c>
      <c r="G1591" s="1" t="s">
        <v>5754</v>
      </c>
      <c r="H1591" s="1" t="s">
        <v>15</v>
      </c>
      <c r="I1591" t="b">
        <f>COUNTIF(Estadísticas!I:I,'Centraldecomunicacion.es'!H1591)&gt;0</f>
        <v>0</v>
      </c>
    </row>
    <row r="1592" spans="1:9">
      <c r="A1592" s="1" t="s">
        <v>5755</v>
      </c>
      <c r="B1592" s="1" t="s">
        <v>10</v>
      </c>
      <c r="C1592" s="1" t="s">
        <v>5756</v>
      </c>
      <c r="D1592" s="1" t="s">
        <v>5757</v>
      </c>
      <c r="E1592" s="1" t="s">
        <v>1995</v>
      </c>
      <c r="F1592" s="1" t="s">
        <v>23</v>
      </c>
      <c r="G1592" s="1" t="s">
        <v>23</v>
      </c>
      <c r="H1592" s="1" t="s">
        <v>15</v>
      </c>
      <c r="I1592" t="b">
        <f>COUNTIF(Estadísticas!I:I,'Centraldecomunicacion.es'!H1592)&gt;0</f>
        <v>0</v>
      </c>
    </row>
    <row r="1593" spans="1:9">
      <c r="A1593" s="1" t="s">
        <v>5758</v>
      </c>
      <c r="B1593" s="1" t="s">
        <v>10</v>
      </c>
      <c r="C1593" s="1" t="s">
        <v>5759</v>
      </c>
      <c r="D1593" s="1" t="s">
        <v>5760</v>
      </c>
      <c r="E1593" s="1" t="s">
        <v>1995</v>
      </c>
      <c r="F1593" s="1" t="s">
        <v>23</v>
      </c>
      <c r="G1593" s="1" t="s">
        <v>5761</v>
      </c>
      <c r="H1593" s="1" t="s">
        <v>15</v>
      </c>
      <c r="I1593" t="b">
        <f>COUNTIF(Estadísticas!I:I,'Centraldecomunicacion.es'!H1593)&gt;0</f>
        <v>0</v>
      </c>
    </row>
    <row r="1594" spans="1:9">
      <c r="A1594" s="1" t="s">
        <v>5740</v>
      </c>
      <c r="B1594" s="1" t="s">
        <v>10</v>
      </c>
      <c r="C1594" s="1" t="s">
        <v>5762</v>
      </c>
      <c r="D1594" s="1" t="s">
        <v>5742</v>
      </c>
      <c r="E1594" s="1" t="s">
        <v>1995</v>
      </c>
      <c r="F1594" s="1" t="s">
        <v>5763</v>
      </c>
      <c r="G1594" s="1" t="s">
        <v>5764</v>
      </c>
      <c r="H1594" s="1" t="s">
        <v>5765</v>
      </c>
      <c r="I1594" t="b">
        <f>COUNTIF(Estadísticas!I:I,'Centraldecomunicacion.es'!H1594)&gt;0</f>
        <v>0</v>
      </c>
    </row>
    <row r="1595" spans="1:9">
      <c r="A1595" s="1" t="s">
        <v>5766</v>
      </c>
      <c r="B1595" s="1" t="s">
        <v>10</v>
      </c>
      <c r="C1595" s="1" t="s">
        <v>5767</v>
      </c>
      <c r="D1595" s="1" t="s">
        <v>5768</v>
      </c>
      <c r="E1595" s="1" t="s">
        <v>1995</v>
      </c>
      <c r="F1595" s="1" t="s">
        <v>1655</v>
      </c>
      <c r="G1595" s="1" t="s">
        <v>5769</v>
      </c>
      <c r="H1595" s="1" t="s">
        <v>1657</v>
      </c>
      <c r="I1595" t="b">
        <f>COUNTIF(Estadísticas!I:I,'Centraldecomunicacion.es'!H1595)&gt;0</f>
        <v>0</v>
      </c>
    </row>
    <row r="1596" spans="1:9">
      <c r="A1596" s="1" t="s">
        <v>5770</v>
      </c>
      <c r="B1596" s="1" t="s">
        <v>10</v>
      </c>
      <c r="C1596" s="1" t="s">
        <v>5771</v>
      </c>
      <c r="D1596" s="1" t="s">
        <v>5772</v>
      </c>
      <c r="E1596" s="1" t="s">
        <v>1995</v>
      </c>
      <c r="F1596" s="1" t="s">
        <v>23</v>
      </c>
      <c r="G1596" s="1" t="s">
        <v>5773</v>
      </c>
      <c r="H1596" s="1" t="s">
        <v>15</v>
      </c>
      <c r="I1596" t="b">
        <f>COUNTIF(Estadísticas!I:I,'Centraldecomunicacion.es'!H1596)&gt;0</f>
        <v>0</v>
      </c>
    </row>
    <row r="1597" spans="1:9">
      <c r="A1597" s="1" t="s">
        <v>5774</v>
      </c>
      <c r="B1597" s="1" t="s">
        <v>10</v>
      </c>
      <c r="C1597" s="1" t="s">
        <v>5775</v>
      </c>
      <c r="D1597" s="1" t="s">
        <v>5768</v>
      </c>
      <c r="E1597" s="1" t="s">
        <v>1995</v>
      </c>
      <c r="F1597" s="1" t="s">
        <v>23</v>
      </c>
      <c r="G1597" s="1" t="s">
        <v>5776</v>
      </c>
      <c r="H1597" s="1" t="s">
        <v>15</v>
      </c>
      <c r="I1597" t="b">
        <f>COUNTIF(Estadísticas!I:I,'Centraldecomunicacion.es'!H1597)&gt;0</f>
        <v>0</v>
      </c>
    </row>
    <row r="1598" spans="1:9">
      <c r="A1598" s="1" t="s">
        <v>5777</v>
      </c>
      <c r="B1598" s="1" t="s">
        <v>10</v>
      </c>
      <c r="C1598" s="1" t="s">
        <v>5778</v>
      </c>
      <c r="D1598" s="1" t="s">
        <v>5779</v>
      </c>
      <c r="E1598" s="1" t="s">
        <v>1995</v>
      </c>
      <c r="F1598" s="1" t="s">
        <v>5780</v>
      </c>
      <c r="G1598" s="1" t="s">
        <v>5781</v>
      </c>
      <c r="H1598" s="1" t="s">
        <v>5782</v>
      </c>
      <c r="I1598" t="b">
        <f>COUNTIF(Estadísticas!I:I,'Centraldecomunicacion.es'!H1598)&gt;0</f>
        <v>0</v>
      </c>
    </row>
    <row r="1599" spans="1:9">
      <c r="A1599" s="1" t="s">
        <v>5783</v>
      </c>
      <c r="B1599" s="1" t="s">
        <v>10</v>
      </c>
      <c r="C1599" s="1" t="s">
        <v>5784</v>
      </c>
      <c r="D1599" s="1" t="s">
        <v>5768</v>
      </c>
      <c r="E1599" s="1" t="s">
        <v>1995</v>
      </c>
      <c r="F1599" s="1" t="s">
        <v>23</v>
      </c>
      <c r="G1599" s="1" t="s">
        <v>5785</v>
      </c>
      <c r="H1599" s="1" t="s">
        <v>15</v>
      </c>
      <c r="I1599" t="b">
        <f>COUNTIF(Estadísticas!I:I,'Centraldecomunicacion.es'!H1599)&gt;0</f>
        <v>0</v>
      </c>
    </row>
    <row r="1600" spans="1:9">
      <c r="A1600" s="1" t="s">
        <v>5786</v>
      </c>
      <c r="B1600" s="1" t="s">
        <v>10</v>
      </c>
      <c r="C1600" s="1" t="s">
        <v>5787</v>
      </c>
      <c r="D1600" s="1" t="s">
        <v>5714</v>
      </c>
      <c r="E1600" s="1" t="s">
        <v>1995</v>
      </c>
      <c r="F1600" s="1" t="s">
        <v>811</v>
      </c>
      <c r="G1600" s="1" t="s">
        <v>5788</v>
      </c>
      <c r="H1600" s="1" t="s">
        <v>15</v>
      </c>
      <c r="I1600" t="b">
        <f>COUNTIF(Estadísticas!I:I,'Centraldecomunicacion.es'!H1600)&gt;0</f>
        <v>0</v>
      </c>
    </row>
    <row r="1601" spans="1:9">
      <c r="A1601" s="1" t="s">
        <v>5789</v>
      </c>
      <c r="B1601" s="1" t="s">
        <v>10</v>
      </c>
      <c r="C1601" s="1" t="s">
        <v>5790</v>
      </c>
      <c r="D1601" s="1" t="s">
        <v>5791</v>
      </c>
      <c r="E1601" s="1" t="s">
        <v>1995</v>
      </c>
      <c r="F1601" s="1" t="s">
        <v>23</v>
      </c>
      <c r="G1601" s="1" t="s">
        <v>5792</v>
      </c>
      <c r="H1601" s="1" t="s">
        <v>15</v>
      </c>
      <c r="I1601" t="b">
        <f>COUNTIF(Estadísticas!I:I,'Centraldecomunicacion.es'!H1601)&gt;0</f>
        <v>0</v>
      </c>
    </row>
    <row r="1602" spans="1:9">
      <c r="A1602" s="1" t="s">
        <v>5793</v>
      </c>
      <c r="B1602" s="1" t="s">
        <v>10</v>
      </c>
      <c r="C1602" s="1" t="s">
        <v>5794</v>
      </c>
      <c r="D1602" s="1" t="s">
        <v>5795</v>
      </c>
      <c r="E1602" s="1" t="s">
        <v>1995</v>
      </c>
      <c r="F1602" s="1" t="s">
        <v>5796</v>
      </c>
      <c r="G1602" s="1" t="s">
        <v>5797</v>
      </c>
      <c r="H1602" s="1" t="s">
        <v>5798</v>
      </c>
      <c r="I1602" t="b">
        <f>COUNTIF(Estadísticas!I:I,'Centraldecomunicacion.es'!H1602)&gt;0</f>
        <v>0</v>
      </c>
    </row>
    <row r="1603" spans="1:9">
      <c r="A1603" s="1" t="s">
        <v>5799</v>
      </c>
      <c r="B1603" s="1" t="s">
        <v>10</v>
      </c>
      <c r="C1603" s="1" t="s">
        <v>5800</v>
      </c>
      <c r="D1603" s="1" t="s">
        <v>5801</v>
      </c>
      <c r="E1603" s="1" t="s">
        <v>1995</v>
      </c>
      <c r="F1603" s="1" t="s">
        <v>23</v>
      </c>
      <c r="G1603" s="1" t="s">
        <v>5802</v>
      </c>
      <c r="H1603" s="1" t="s">
        <v>15</v>
      </c>
      <c r="I1603" t="b">
        <f>COUNTIF(Estadísticas!I:I,'Centraldecomunicacion.es'!H1603)&gt;0</f>
        <v>0</v>
      </c>
    </row>
    <row r="1604" spans="1:9">
      <c r="A1604" s="1" t="s">
        <v>5803</v>
      </c>
      <c r="B1604" s="1" t="s">
        <v>10</v>
      </c>
      <c r="C1604" s="1" t="s">
        <v>5804</v>
      </c>
      <c r="D1604" s="1" t="s">
        <v>5805</v>
      </c>
      <c r="E1604" s="1" t="s">
        <v>1995</v>
      </c>
      <c r="F1604" s="1" t="s">
        <v>23</v>
      </c>
      <c r="G1604" s="1" t="s">
        <v>5806</v>
      </c>
      <c r="H1604" s="1" t="s">
        <v>15</v>
      </c>
      <c r="I1604" t="b">
        <f>COUNTIF(Estadísticas!I:I,'Centraldecomunicacion.es'!H1604)&gt;0</f>
        <v>0</v>
      </c>
    </row>
    <row r="1605" spans="1:9">
      <c r="A1605" s="1" t="s">
        <v>5807</v>
      </c>
      <c r="B1605" s="1" t="s">
        <v>10</v>
      </c>
      <c r="C1605" s="1" t="s">
        <v>5808</v>
      </c>
      <c r="D1605" s="1" t="s">
        <v>5809</v>
      </c>
      <c r="E1605" s="1" t="s">
        <v>1995</v>
      </c>
      <c r="F1605" s="1" t="s">
        <v>1655</v>
      </c>
      <c r="G1605" s="1" t="s">
        <v>5810</v>
      </c>
      <c r="H1605" s="1" t="s">
        <v>1657</v>
      </c>
      <c r="I1605" t="b">
        <f>COUNTIF(Estadísticas!I:I,'Centraldecomunicacion.es'!H1605)&gt;0</f>
        <v>0</v>
      </c>
    </row>
    <row r="1606" spans="1:9">
      <c r="A1606" s="1" t="s">
        <v>5811</v>
      </c>
      <c r="B1606" s="1" t="s">
        <v>10</v>
      </c>
      <c r="C1606" s="1" t="s">
        <v>5812</v>
      </c>
      <c r="D1606" s="1" t="s">
        <v>5813</v>
      </c>
      <c r="E1606" s="1" t="s">
        <v>1995</v>
      </c>
      <c r="F1606" s="1" t="s">
        <v>5814</v>
      </c>
      <c r="G1606" s="1" t="s">
        <v>5815</v>
      </c>
      <c r="H1606" s="1" t="s">
        <v>5816</v>
      </c>
      <c r="I1606" t="b">
        <f>COUNTIF(Estadísticas!I:I,'Centraldecomunicacion.es'!H1606)&gt;0</f>
        <v>0</v>
      </c>
    </row>
    <row r="1607" spans="1:9">
      <c r="A1607" s="1" t="s">
        <v>5817</v>
      </c>
      <c r="B1607" s="1" t="s">
        <v>10</v>
      </c>
      <c r="C1607" s="1" t="s">
        <v>5818</v>
      </c>
      <c r="D1607" s="1" t="s">
        <v>5576</v>
      </c>
      <c r="E1607" s="1" t="s">
        <v>1995</v>
      </c>
      <c r="F1607" s="1" t="s">
        <v>23</v>
      </c>
      <c r="G1607" s="1" t="s">
        <v>5819</v>
      </c>
      <c r="H1607" s="1" t="s">
        <v>15</v>
      </c>
      <c r="I1607" t="b">
        <f>COUNTIF(Estadísticas!I:I,'Centraldecomunicacion.es'!H1607)&gt;0</f>
        <v>0</v>
      </c>
    </row>
    <row r="1608" spans="1:9">
      <c r="A1608" s="1" t="s">
        <v>5820</v>
      </c>
      <c r="B1608" s="1" t="s">
        <v>10</v>
      </c>
      <c r="C1608" s="1" t="s">
        <v>5821</v>
      </c>
      <c r="D1608" s="1" t="s">
        <v>5822</v>
      </c>
      <c r="E1608" s="1" t="s">
        <v>1709</v>
      </c>
      <c r="F1608" s="1" t="s">
        <v>23</v>
      </c>
      <c r="G1608" s="1" t="s">
        <v>5823</v>
      </c>
      <c r="H1608" s="1" t="s">
        <v>15</v>
      </c>
      <c r="I1608" t="b">
        <f>COUNTIF(Estadísticas!I:I,'Centraldecomunicacion.es'!H1608)&gt;0</f>
        <v>0</v>
      </c>
    </row>
    <row r="1609" spans="1:9">
      <c r="A1609" s="1" t="s">
        <v>5824</v>
      </c>
      <c r="B1609" s="1" t="s">
        <v>10</v>
      </c>
      <c r="C1609" s="1" t="s">
        <v>5825</v>
      </c>
      <c r="D1609" s="1" t="s">
        <v>5415</v>
      </c>
      <c r="E1609" s="1" t="s">
        <v>1709</v>
      </c>
      <c r="F1609" s="1" t="s">
        <v>1655</v>
      </c>
      <c r="G1609" s="1" t="s">
        <v>5826</v>
      </c>
      <c r="H1609" s="1" t="s">
        <v>1657</v>
      </c>
      <c r="I1609" t="b">
        <f>COUNTIF(Estadísticas!I:I,'Centraldecomunicacion.es'!H1609)&gt;0</f>
        <v>0</v>
      </c>
    </row>
    <row r="1610" spans="1:9">
      <c r="A1610" s="1" t="s">
        <v>5827</v>
      </c>
      <c r="B1610" s="1" t="s">
        <v>10</v>
      </c>
      <c r="C1610" s="1" t="s">
        <v>5828</v>
      </c>
      <c r="D1610" s="1" t="s">
        <v>5415</v>
      </c>
      <c r="E1610" s="1" t="s">
        <v>1709</v>
      </c>
      <c r="F1610" s="1" t="s">
        <v>23</v>
      </c>
      <c r="G1610" s="1" t="s">
        <v>5829</v>
      </c>
      <c r="H1610" s="1" t="s">
        <v>15</v>
      </c>
      <c r="I1610" t="b">
        <f>COUNTIF(Estadísticas!I:I,'Centraldecomunicacion.es'!H1610)&gt;0</f>
        <v>0</v>
      </c>
    </row>
    <row r="1611" spans="1:9">
      <c r="A1611" s="1" t="s">
        <v>5830</v>
      </c>
      <c r="B1611" s="1" t="s">
        <v>10</v>
      </c>
      <c r="C1611" s="1" t="s">
        <v>5831</v>
      </c>
      <c r="D1611" s="1" t="s">
        <v>5415</v>
      </c>
      <c r="E1611" s="1" t="s">
        <v>1700</v>
      </c>
      <c r="F1611" s="1" t="s">
        <v>56</v>
      </c>
      <c r="G1611" s="1" t="s">
        <v>5832</v>
      </c>
      <c r="H1611" s="1" t="s">
        <v>15</v>
      </c>
      <c r="I1611" t="b">
        <f>COUNTIF(Estadísticas!I:I,'Centraldecomunicacion.es'!H1611)&gt;0</f>
        <v>0</v>
      </c>
    </row>
    <row r="1612" spans="1:9">
      <c r="A1612" s="1" t="s">
        <v>5833</v>
      </c>
      <c r="B1612" s="1" t="s">
        <v>10</v>
      </c>
      <c r="C1612" s="1" t="s">
        <v>5834</v>
      </c>
      <c r="D1612" s="1" t="s">
        <v>5415</v>
      </c>
      <c r="E1612" s="1" t="s">
        <v>1709</v>
      </c>
      <c r="F1612" s="1" t="s">
        <v>5835</v>
      </c>
      <c r="G1612" s="1" t="s">
        <v>5836</v>
      </c>
      <c r="H1612" s="1" t="s">
        <v>15</v>
      </c>
      <c r="I1612" t="b">
        <f>COUNTIF(Estadísticas!I:I,'Centraldecomunicacion.es'!H1612)&gt;0</f>
        <v>0</v>
      </c>
    </row>
    <row r="1613" spans="1:9">
      <c r="A1613" s="1" t="s">
        <v>5837</v>
      </c>
      <c r="B1613" s="1" t="s">
        <v>10</v>
      </c>
      <c r="C1613" s="1" t="s">
        <v>5838</v>
      </c>
      <c r="D1613" s="1" t="s">
        <v>5415</v>
      </c>
      <c r="E1613" s="1" t="s">
        <v>1700</v>
      </c>
      <c r="F1613" s="1" t="s">
        <v>23</v>
      </c>
      <c r="G1613" s="1" t="s">
        <v>5839</v>
      </c>
      <c r="H1613" s="1" t="s">
        <v>15</v>
      </c>
      <c r="I1613" t="b">
        <f>COUNTIF(Estadísticas!I:I,'Centraldecomunicacion.es'!H1613)&gt;0</f>
        <v>0</v>
      </c>
    </row>
    <row r="1614" spans="1:9">
      <c r="A1614" s="1" t="s">
        <v>5840</v>
      </c>
      <c r="B1614" s="1" t="s">
        <v>10</v>
      </c>
      <c r="C1614" s="1" t="s">
        <v>5841</v>
      </c>
      <c r="D1614" s="1" t="s">
        <v>5415</v>
      </c>
      <c r="E1614" s="1" t="s">
        <v>1709</v>
      </c>
      <c r="F1614" s="1" t="s">
        <v>23</v>
      </c>
      <c r="G1614" s="1" t="s">
        <v>5842</v>
      </c>
      <c r="H1614" s="1" t="s">
        <v>15</v>
      </c>
      <c r="I1614" t="b">
        <f>COUNTIF(Estadísticas!I:I,'Centraldecomunicacion.es'!H1614)&gt;0</f>
        <v>0</v>
      </c>
    </row>
    <row r="1615" spans="1:9">
      <c r="A1615" s="1" t="s">
        <v>5843</v>
      </c>
      <c r="B1615" s="1" t="s">
        <v>10</v>
      </c>
      <c r="C1615" s="1" t="s">
        <v>5844</v>
      </c>
      <c r="D1615" s="1" t="s">
        <v>5415</v>
      </c>
      <c r="E1615" s="1" t="s">
        <v>1709</v>
      </c>
      <c r="F1615" s="1" t="s">
        <v>23</v>
      </c>
      <c r="G1615" s="1" t="s">
        <v>23</v>
      </c>
      <c r="H1615" s="1" t="s">
        <v>15</v>
      </c>
      <c r="I1615" t="b">
        <f>COUNTIF(Estadísticas!I:I,'Centraldecomunicacion.es'!H1615)&gt;0</f>
        <v>0</v>
      </c>
    </row>
    <row r="1616" spans="1:9">
      <c r="A1616" s="1" t="s">
        <v>5845</v>
      </c>
      <c r="B1616" s="1" t="s">
        <v>10</v>
      </c>
      <c r="C1616" s="1" t="s">
        <v>5844</v>
      </c>
      <c r="D1616" s="1" t="s">
        <v>5415</v>
      </c>
      <c r="E1616" s="1" t="s">
        <v>1709</v>
      </c>
      <c r="F1616" s="1" t="s">
        <v>23</v>
      </c>
      <c r="G1616" s="1" t="s">
        <v>5846</v>
      </c>
      <c r="H1616" s="1" t="s">
        <v>15</v>
      </c>
      <c r="I1616" t="b">
        <f>COUNTIF(Estadísticas!I:I,'Centraldecomunicacion.es'!H1616)&gt;0</f>
        <v>0</v>
      </c>
    </row>
    <row r="1617" spans="1:9">
      <c r="A1617" s="1" t="s">
        <v>5847</v>
      </c>
      <c r="B1617" s="1" t="s">
        <v>10</v>
      </c>
      <c r="C1617" s="1" t="s">
        <v>5848</v>
      </c>
      <c r="D1617" s="1" t="s">
        <v>5415</v>
      </c>
      <c r="E1617" s="1" t="s">
        <v>1709</v>
      </c>
      <c r="F1617" s="1" t="s">
        <v>323</v>
      </c>
      <c r="G1617" s="1" t="s">
        <v>5849</v>
      </c>
      <c r="H1617" s="1" t="s">
        <v>325</v>
      </c>
      <c r="I1617" t="b">
        <f>COUNTIF(Estadísticas!I:I,'Centraldecomunicacion.es'!H1617)&gt;0</f>
        <v>0</v>
      </c>
    </row>
    <row r="1618" spans="1:9">
      <c r="A1618" s="1" t="s">
        <v>5850</v>
      </c>
      <c r="B1618" s="1" t="s">
        <v>10</v>
      </c>
      <c r="C1618" s="1" t="s">
        <v>5851</v>
      </c>
      <c r="D1618" s="1" t="s">
        <v>5415</v>
      </c>
      <c r="E1618" s="1" t="s">
        <v>1700</v>
      </c>
      <c r="F1618" s="1" t="s">
        <v>23</v>
      </c>
      <c r="G1618" s="1" t="s">
        <v>5852</v>
      </c>
      <c r="H1618" s="1" t="s">
        <v>15</v>
      </c>
      <c r="I1618" t="b">
        <f>COUNTIF(Estadísticas!I:I,'Centraldecomunicacion.es'!H1618)&gt;0</f>
        <v>0</v>
      </c>
    </row>
    <row r="1619" spans="1:9">
      <c r="A1619" s="1" t="s">
        <v>5853</v>
      </c>
      <c r="B1619" s="1" t="s">
        <v>10</v>
      </c>
      <c r="C1619" s="1" t="s">
        <v>5854</v>
      </c>
      <c r="D1619" s="1" t="s">
        <v>1708</v>
      </c>
      <c r="E1619" s="1" t="s">
        <v>1709</v>
      </c>
      <c r="F1619" s="1" t="s">
        <v>5855</v>
      </c>
      <c r="G1619" s="1" t="s">
        <v>5856</v>
      </c>
      <c r="H1619" s="1" t="s">
        <v>5857</v>
      </c>
      <c r="I1619" t="b">
        <f>COUNTIF(Estadísticas!I:I,'Centraldecomunicacion.es'!H1619)&gt;0</f>
        <v>0</v>
      </c>
    </row>
    <row r="1620" spans="1:9">
      <c r="A1620" s="1" t="s">
        <v>5858</v>
      </c>
      <c r="B1620" s="1" t="s">
        <v>10</v>
      </c>
      <c r="C1620" s="1" t="s">
        <v>5859</v>
      </c>
      <c r="D1620" s="1" t="s">
        <v>5860</v>
      </c>
      <c r="E1620" s="1" t="s">
        <v>1700</v>
      </c>
      <c r="F1620" s="1" t="s">
        <v>23</v>
      </c>
      <c r="G1620" s="1" t="s">
        <v>5861</v>
      </c>
      <c r="H1620" s="1" t="s">
        <v>15</v>
      </c>
      <c r="I1620" t="b">
        <f>COUNTIF(Estadísticas!I:I,'Centraldecomunicacion.es'!H1620)&gt;0</f>
        <v>0</v>
      </c>
    </row>
    <row r="1621" spans="1:9">
      <c r="A1621" s="1" t="s">
        <v>5862</v>
      </c>
      <c r="B1621" s="1" t="s">
        <v>10</v>
      </c>
      <c r="C1621" s="1" t="s">
        <v>5863</v>
      </c>
      <c r="D1621" s="1" t="s">
        <v>1708</v>
      </c>
      <c r="E1621" s="1" t="s">
        <v>1700</v>
      </c>
      <c r="F1621" s="1" t="s">
        <v>5864</v>
      </c>
      <c r="G1621" s="1" t="s">
        <v>5865</v>
      </c>
      <c r="H1621" s="1" t="s">
        <v>15</v>
      </c>
      <c r="I1621" t="b">
        <f>COUNTIF(Estadísticas!I:I,'Centraldecomunicacion.es'!H1621)&gt;0</f>
        <v>0</v>
      </c>
    </row>
    <row r="1622" spans="1:9">
      <c r="A1622" s="1" t="s">
        <v>5866</v>
      </c>
      <c r="B1622" s="1" t="s">
        <v>10</v>
      </c>
      <c r="C1622" s="1" t="s">
        <v>5867</v>
      </c>
      <c r="D1622" s="1" t="s">
        <v>5868</v>
      </c>
      <c r="E1622" s="1" t="s">
        <v>1709</v>
      </c>
      <c r="F1622" s="1" t="s">
        <v>5869</v>
      </c>
      <c r="G1622" s="1" t="s">
        <v>5870</v>
      </c>
      <c r="H1622" s="1" t="s">
        <v>5871</v>
      </c>
      <c r="I1622" t="b">
        <f>COUNTIF(Estadísticas!I:I,'Centraldecomunicacion.es'!H1622)&gt;0</f>
        <v>0</v>
      </c>
    </row>
    <row r="1623" spans="1:9">
      <c r="A1623" s="1" t="s">
        <v>5872</v>
      </c>
      <c r="B1623" s="1" t="s">
        <v>10</v>
      </c>
      <c r="C1623" s="1" t="s">
        <v>5873</v>
      </c>
      <c r="D1623" s="1" t="s">
        <v>1708</v>
      </c>
      <c r="E1623" s="1" t="s">
        <v>1709</v>
      </c>
      <c r="F1623" s="1" t="s">
        <v>23</v>
      </c>
      <c r="G1623" s="1" t="s">
        <v>5874</v>
      </c>
      <c r="H1623" s="1" t="s">
        <v>15</v>
      </c>
      <c r="I1623" t="b">
        <f>COUNTIF(Estadísticas!I:I,'Centraldecomunicacion.es'!H1623)&gt;0</f>
        <v>0</v>
      </c>
    </row>
    <row r="1624" spans="1:9">
      <c r="A1624" s="1" t="s">
        <v>5875</v>
      </c>
      <c r="B1624" s="1" t="s">
        <v>10</v>
      </c>
      <c r="C1624" s="1" t="s">
        <v>5876</v>
      </c>
      <c r="D1624" s="1" t="s">
        <v>5877</v>
      </c>
      <c r="E1624" s="1" t="s">
        <v>1709</v>
      </c>
      <c r="F1624" s="1" t="s">
        <v>23</v>
      </c>
      <c r="G1624" s="1" t="s">
        <v>5878</v>
      </c>
      <c r="H1624" s="1" t="s">
        <v>15</v>
      </c>
      <c r="I1624" t="b">
        <f>COUNTIF(Estadísticas!I:I,'Centraldecomunicacion.es'!H1624)&gt;0</f>
        <v>0</v>
      </c>
    </row>
    <row r="1625" spans="1:9">
      <c r="A1625" s="1" t="s">
        <v>5879</v>
      </c>
      <c r="B1625" s="1" t="s">
        <v>10</v>
      </c>
      <c r="C1625" s="1" t="s">
        <v>5880</v>
      </c>
      <c r="D1625" s="1" t="s">
        <v>5877</v>
      </c>
      <c r="E1625" s="1" t="s">
        <v>1709</v>
      </c>
      <c r="F1625" s="1" t="s">
        <v>23</v>
      </c>
      <c r="G1625" s="1" t="s">
        <v>5881</v>
      </c>
      <c r="H1625" s="1" t="s">
        <v>15</v>
      </c>
      <c r="I1625" t="b">
        <f>COUNTIF(Estadísticas!I:I,'Centraldecomunicacion.es'!H1625)&gt;0</f>
        <v>0</v>
      </c>
    </row>
    <row r="1626" spans="1:9">
      <c r="A1626" s="1" t="s">
        <v>5882</v>
      </c>
      <c r="B1626" s="1" t="s">
        <v>10</v>
      </c>
      <c r="C1626" s="1" t="s">
        <v>5883</v>
      </c>
      <c r="D1626" s="1" t="s">
        <v>5884</v>
      </c>
      <c r="E1626" s="1" t="s">
        <v>1709</v>
      </c>
      <c r="F1626" s="1" t="s">
        <v>5885</v>
      </c>
      <c r="G1626" s="1" t="s">
        <v>5886</v>
      </c>
      <c r="H1626" s="1" t="s">
        <v>5887</v>
      </c>
      <c r="I1626" t="b">
        <f>COUNTIF(Estadísticas!I:I,'Centraldecomunicacion.es'!H1626)&gt;0</f>
        <v>1</v>
      </c>
    </row>
    <row r="1627" spans="1:9">
      <c r="A1627" s="1" t="s">
        <v>5888</v>
      </c>
      <c r="B1627" s="1" t="s">
        <v>10</v>
      </c>
      <c r="C1627" s="1" t="s">
        <v>5889</v>
      </c>
      <c r="D1627" s="1" t="s">
        <v>5890</v>
      </c>
      <c r="E1627" s="1" t="s">
        <v>1709</v>
      </c>
      <c r="F1627" s="1" t="s">
        <v>23</v>
      </c>
      <c r="G1627" s="1" t="s">
        <v>5891</v>
      </c>
      <c r="H1627" s="1" t="s">
        <v>15</v>
      </c>
      <c r="I1627" t="b">
        <f>COUNTIF(Estadísticas!I:I,'Centraldecomunicacion.es'!H1627)&gt;0</f>
        <v>0</v>
      </c>
    </row>
    <row r="1628" spans="1:9">
      <c r="A1628" s="1" t="s">
        <v>5892</v>
      </c>
      <c r="B1628" s="1" t="s">
        <v>10</v>
      </c>
      <c r="C1628" s="1" t="s">
        <v>5893</v>
      </c>
      <c r="D1628" s="1" t="s">
        <v>5894</v>
      </c>
      <c r="E1628" s="1" t="s">
        <v>1709</v>
      </c>
      <c r="F1628" s="1" t="s">
        <v>5895</v>
      </c>
      <c r="G1628" s="1" t="s">
        <v>5896</v>
      </c>
      <c r="H1628" s="1" t="s">
        <v>15</v>
      </c>
      <c r="I1628" t="b">
        <f>COUNTIF(Estadísticas!I:I,'Centraldecomunicacion.es'!H1628)&gt;0</f>
        <v>0</v>
      </c>
    </row>
    <row r="1629" spans="1:9">
      <c r="A1629" s="1" t="s">
        <v>5897</v>
      </c>
      <c r="B1629" s="1" t="s">
        <v>10</v>
      </c>
      <c r="C1629" s="1" t="s">
        <v>5898</v>
      </c>
      <c r="D1629" s="1" t="s">
        <v>5899</v>
      </c>
      <c r="E1629" s="1" t="s">
        <v>1700</v>
      </c>
      <c r="F1629" s="1" t="s">
        <v>23</v>
      </c>
      <c r="G1629" s="1" t="s">
        <v>5900</v>
      </c>
      <c r="H1629" s="1" t="s">
        <v>15</v>
      </c>
      <c r="I1629" t="b">
        <f>COUNTIF(Estadísticas!I:I,'Centraldecomunicacion.es'!H1629)&gt;0</f>
        <v>0</v>
      </c>
    </row>
    <row r="1630" spans="1:9">
      <c r="A1630" s="1" t="s">
        <v>5901</v>
      </c>
      <c r="B1630" s="1" t="s">
        <v>10</v>
      </c>
      <c r="C1630" s="1" t="s">
        <v>5902</v>
      </c>
      <c r="D1630" s="1" t="s">
        <v>5903</v>
      </c>
      <c r="E1630" s="1" t="s">
        <v>1709</v>
      </c>
      <c r="F1630" s="1" t="s">
        <v>5904</v>
      </c>
      <c r="G1630" s="1" t="s">
        <v>5905</v>
      </c>
      <c r="H1630" s="1" t="s">
        <v>5906</v>
      </c>
      <c r="I1630" t="b">
        <f>COUNTIF(Estadísticas!I:I,'Centraldecomunicacion.es'!H1630)&gt;0</f>
        <v>1</v>
      </c>
    </row>
    <row r="1631" spans="1:9">
      <c r="A1631" s="1" t="s">
        <v>5907</v>
      </c>
      <c r="B1631" s="1" t="s">
        <v>10</v>
      </c>
      <c r="C1631" s="1" t="s">
        <v>5908</v>
      </c>
      <c r="D1631" s="1" t="s">
        <v>5903</v>
      </c>
      <c r="E1631" s="1" t="s">
        <v>1700</v>
      </c>
      <c r="F1631" s="1" t="s">
        <v>23</v>
      </c>
      <c r="G1631" s="1" t="s">
        <v>5909</v>
      </c>
      <c r="H1631" s="1" t="s">
        <v>15</v>
      </c>
      <c r="I1631" t="b">
        <f>COUNTIF(Estadísticas!I:I,'Centraldecomunicacion.es'!H1631)&gt;0</f>
        <v>0</v>
      </c>
    </row>
    <row r="1632" spans="1:9">
      <c r="A1632" s="1" t="s">
        <v>5910</v>
      </c>
      <c r="B1632" s="1" t="s">
        <v>10</v>
      </c>
      <c r="C1632" s="1" t="s">
        <v>5911</v>
      </c>
      <c r="D1632" s="1" t="s">
        <v>5903</v>
      </c>
      <c r="E1632" s="1" t="s">
        <v>1709</v>
      </c>
      <c r="F1632" s="1" t="s">
        <v>23</v>
      </c>
      <c r="G1632" s="1" t="s">
        <v>5912</v>
      </c>
      <c r="H1632" s="1" t="s">
        <v>15</v>
      </c>
      <c r="I1632" t="b">
        <f>COUNTIF(Estadísticas!I:I,'Centraldecomunicacion.es'!H1632)&gt;0</f>
        <v>0</v>
      </c>
    </row>
    <row r="1633" spans="1:9">
      <c r="A1633" s="1" t="s">
        <v>5913</v>
      </c>
      <c r="B1633" s="1" t="s">
        <v>10</v>
      </c>
      <c r="C1633" s="1" t="s">
        <v>5914</v>
      </c>
      <c r="D1633" s="1" t="s">
        <v>5915</v>
      </c>
      <c r="E1633" s="1" t="s">
        <v>1709</v>
      </c>
      <c r="F1633" s="1" t="s">
        <v>23</v>
      </c>
      <c r="G1633" s="1" t="s">
        <v>5916</v>
      </c>
      <c r="H1633" s="1" t="s">
        <v>15</v>
      </c>
      <c r="I1633" t="b">
        <f>COUNTIF(Estadísticas!I:I,'Centraldecomunicacion.es'!H1633)&gt;0</f>
        <v>0</v>
      </c>
    </row>
    <row r="1634" spans="1:9">
      <c r="A1634" s="1" t="s">
        <v>5917</v>
      </c>
      <c r="B1634" s="1" t="s">
        <v>10</v>
      </c>
      <c r="C1634" s="1" t="s">
        <v>5918</v>
      </c>
      <c r="D1634" s="1" t="s">
        <v>1708</v>
      </c>
      <c r="E1634" s="1" t="s">
        <v>1709</v>
      </c>
      <c r="F1634" s="1" t="s">
        <v>23</v>
      </c>
      <c r="G1634" s="1" t="s">
        <v>5919</v>
      </c>
      <c r="H1634" s="1" t="s">
        <v>15</v>
      </c>
      <c r="I1634" t="b">
        <f>COUNTIF(Estadísticas!I:I,'Centraldecomunicacion.es'!H1634)&gt;0</f>
        <v>0</v>
      </c>
    </row>
    <row r="1635" spans="1:9">
      <c r="A1635" s="1" t="s">
        <v>5920</v>
      </c>
      <c r="B1635" s="1" t="s">
        <v>10</v>
      </c>
      <c r="C1635" s="1" t="s">
        <v>5921</v>
      </c>
      <c r="D1635" s="1" t="s">
        <v>5915</v>
      </c>
      <c r="E1635" s="1" t="s">
        <v>1709</v>
      </c>
      <c r="F1635" s="1" t="s">
        <v>23</v>
      </c>
      <c r="G1635" s="1" t="s">
        <v>5922</v>
      </c>
      <c r="H1635" s="1" t="s">
        <v>15</v>
      </c>
      <c r="I1635" t="b">
        <f>COUNTIF(Estadísticas!I:I,'Centraldecomunicacion.es'!H1635)&gt;0</f>
        <v>0</v>
      </c>
    </row>
    <row r="1636" spans="1:9">
      <c r="A1636" s="1" t="s">
        <v>5923</v>
      </c>
      <c r="B1636" s="1" t="s">
        <v>10</v>
      </c>
      <c r="C1636" s="1" t="s">
        <v>5924</v>
      </c>
      <c r="D1636" s="1" t="s">
        <v>5925</v>
      </c>
      <c r="E1636" s="1" t="s">
        <v>1709</v>
      </c>
      <c r="F1636" s="1" t="s">
        <v>23</v>
      </c>
      <c r="G1636" s="1" t="s">
        <v>5926</v>
      </c>
      <c r="H1636" s="1" t="s">
        <v>15</v>
      </c>
      <c r="I1636" t="b">
        <f>COUNTIF(Estadísticas!I:I,'Centraldecomunicacion.es'!H1636)&gt;0</f>
        <v>0</v>
      </c>
    </row>
    <row r="1637" spans="1:9">
      <c r="A1637" s="1" t="s">
        <v>5927</v>
      </c>
      <c r="B1637" s="1" t="s">
        <v>10</v>
      </c>
      <c r="C1637" s="1" t="s">
        <v>5928</v>
      </c>
      <c r="D1637" s="1" t="s">
        <v>1709</v>
      </c>
      <c r="E1637" s="1" t="s">
        <v>1546</v>
      </c>
      <c r="F1637" s="1" t="s">
        <v>23</v>
      </c>
      <c r="G1637" s="1" t="s">
        <v>5929</v>
      </c>
      <c r="H1637" s="1" t="s">
        <v>15</v>
      </c>
      <c r="I1637" t="b">
        <f>COUNTIF(Estadísticas!I:I,'Centraldecomunicacion.es'!H1637)&gt;0</f>
        <v>0</v>
      </c>
    </row>
    <row r="1638" spans="1:9">
      <c r="A1638" s="1" t="s">
        <v>5930</v>
      </c>
      <c r="B1638" s="1" t="s">
        <v>10</v>
      </c>
      <c r="C1638" s="1" t="s">
        <v>5931</v>
      </c>
      <c r="D1638" s="1" t="s">
        <v>5932</v>
      </c>
      <c r="E1638" s="1" t="s">
        <v>1709</v>
      </c>
      <c r="F1638" s="1" t="s">
        <v>23</v>
      </c>
      <c r="G1638" s="1" t="s">
        <v>5933</v>
      </c>
      <c r="H1638" s="1" t="s">
        <v>15</v>
      </c>
      <c r="I1638" t="b">
        <f>COUNTIF(Estadísticas!I:I,'Centraldecomunicacion.es'!H1638)&gt;0</f>
        <v>0</v>
      </c>
    </row>
    <row r="1639" spans="1:9">
      <c r="A1639" s="1" t="s">
        <v>5934</v>
      </c>
      <c r="B1639" s="1" t="s">
        <v>10</v>
      </c>
      <c r="C1639" s="1" t="s">
        <v>5935</v>
      </c>
      <c r="D1639" s="1" t="s">
        <v>5936</v>
      </c>
      <c r="E1639" s="1" t="s">
        <v>1546</v>
      </c>
      <c r="F1639" s="1" t="s">
        <v>23</v>
      </c>
      <c r="G1639" s="1" t="s">
        <v>23</v>
      </c>
      <c r="H1639" s="1" t="s">
        <v>15</v>
      </c>
      <c r="I1639" t="b">
        <f>COUNTIF(Estadísticas!I:I,'Centraldecomunicacion.es'!H1639)&gt;0</f>
        <v>0</v>
      </c>
    </row>
    <row r="1640" spans="1:9">
      <c r="A1640" s="1" t="s">
        <v>1653</v>
      </c>
      <c r="B1640" s="1" t="s">
        <v>10</v>
      </c>
      <c r="C1640" s="1" t="s">
        <v>5937</v>
      </c>
      <c r="D1640" s="1" t="s">
        <v>1546</v>
      </c>
      <c r="E1640" s="1" t="s">
        <v>1546</v>
      </c>
      <c r="F1640" s="1" t="s">
        <v>1655</v>
      </c>
      <c r="G1640" s="1" t="s">
        <v>5252</v>
      </c>
      <c r="H1640" s="1" t="s">
        <v>1657</v>
      </c>
      <c r="I1640" t="b">
        <f>COUNTIF(Estadísticas!I:I,'Centraldecomunicacion.es'!H1640)&gt;0</f>
        <v>0</v>
      </c>
    </row>
    <row r="1641" spans="1:9">
      <c r="A1641" s="1" t="s">
        <v>5938</v>
      </c>
      <c r="B1641" s="1" t="s">
        <v>10</v>
      </c>
      <c r="C1641" s="1" t="s">
        <v>5939</v>
      </c>
      <c r="D1641" s="1" t="s">
        <v>1546</v>
      </c>
      <c r="E1641" s="1" t="s">
        <v>1546</v>
      </c>
      <c r="F1641" s="1" t="s">
        <v>1655</v>
      </c>
      <c r="G1641" s="1" t="s">
        <v>5940</v>
      </c>
      <c r="H1641" s="1" t="s">
        <v>1657</v>
      </c>
      <c r="I1641" t="b">
        <f>COUNTIF(Estadísticas!I:I,'Centraldecomunicacion.es'!H1641)&gt;0</f>
        <v>0</v>
      </c>
    </row>
    <row r="1642" spans="1:9">
      <c r="A1642" s="1" t="s">
        <v>5941</v>
      </c>
      <c r="B1642" s="1" t="s">
        <v>10</v>
      </c>
      <c r="C1642" s="1" t="s">
        <v>5942</v>
      </c>
      <c r="D1642" s="1" t="s">
        <v>1546</v>
      </c>
      <c r="E1642" s="1" t="s">
        <v>1546</v>
      </c>
      <c r="F1642" s="1" t="s">
        <v>1655</v>
      </c>
      <c r="G1642" s="1" t="s">
        <v>5943</v>
      </c>
      <c r="H1642" s="1" t="s">
        <v>1657</v>
      </c>
      <c r="I1642" t="b">
        <f>COUNTIF(Estadísticas!I:I,'Centraldecomunicacion.es'!H1642)&gt;0</f>
        <v>0</v>
      </c>
    </row>
    <row r="1643" spans="1:9">
      <c r="A1643" s="1" t="s">
        <v>5944</v>
      </c>
      <c r="B1643" s="1" t="s">
        <v>10</v>
      </c>
      <c r="C1643" s="1" t="s">
        <v>5945</v>
      </c>
      <c r="D1643" s="1" t="s">
        <v>1546</v>
      </c>
      <c r="E1643" s="1" t="s">
        <v>1546</v>
      </c>
      <c r="F1643" s="1" t="s">
        <v>1655</v>
      </c>
      <c r="G1643" s="1" t="s">
        <v>5946</v>
      </c>
      <c r="H1643" s="1" t="s">
        <v>1657</v>
      </c>
      <c r="I1643" t="b">
        <f>COUNTIF(Estadísticas!I:I,'Centraldecomunicacion.es'!H1643)&gt;0</f>
        <v>0</v>
      </c>
    </row>
    <row r="1644" spans="1:9">
      <c r="A1644" s="1" t="s">
        <v>5947</v>
      </c>
      <c r="B1644" s="1" t="s">
        <v>10</v>
      </c>
      <c r="C1644" s="1" t="s">
        <v>5948</v>
      </c>
      <c r="D1644" s="1" t="s">
        <v>1546</v>
      </c>
      <c r="E1644" s="1" t="s">
        <v>1546</v>
      </c>
      <c r="F1644" s="1" t="s">
        <v>5949</v>
      </c>
      <c r="G1644" s="1" t="s">
        <v>5950</v>
      </c>
      <c r="H1644" s="1" t="s">
        <v>5951</v>
      </c>
      <c r="I1644" t="b">
        <f>COUNTIF(Estadísticas!I:I,'Centraldecomunicacion.es'!H1644)&gt;0</f>
        <v>0</v>
      </c>
    </row>
    <row r="1645" spans="1:9">
      <c r="A1645" s="1" t="s">
        <v>1653</v>
      </c>
      <c r="B1645" s="1" t="s">
        <v>10</v>
      </c>
      <c r="C1645" s="1" t="s">
        <v>5952</v>
      </c>
      <c r="D1645" s="1" t="s">
        <v>1546</v>
      </c>
      <c r="E1645" s="1" t="s">
        <v>1546</v>
      </c>
      <c r="F1645" s="1" t="s">
        <v>1655</v>
      </c>
      <c r="G1645" s="1" t="s">
        <v>5953</v>
      </c>
      <c r="H1645" s="1" t="s">
        <v>1657</v>
      </c>
      <c r="I1645" t="b">
        <f>COUNTIF(Estadísticas!I:I,'Centraldecomunicacion.es'!H1645)&gt;0</f>
        <v>0</v>
      </c>
    </row>
    <row r="1646" spans="1:9">
      <c r="A1646" s="1" t="s">
        <v>5954</v>
      </c>
      <c r="B1646" s="1" t="s">
        <v>10</v>
      </c>
      <c r="C1646" s="1" t="s">
        <v>5955</v>
      </c>
      <c r="D1646" s="1" t="s">
        <v>1546</v>
      </c>
      <c r="E1646" s="1" t="s">
        <v>1546</v>
      </c>
      <c r="F1646" s="1" t="s">
        <v>23</v>
      </c>
      <c r="G1646" s="1" t="s">
        <v>23</v>
      </c>
      <c r="H1646" s="1" t="s">
        <v>15</v>
      </c>
      <c r="I1646" t="b">
        <f>COUNTIF(Estadísticas!I:I,'Centraldecomunicacion.es'!H1646)&gt;0</f>
        <v>0</v>
      </c>
    </row>
    <row r="1647" spans="1:9">
      <c r="A1647" s="1" t="s">
        <v>5956</v>
      </c>
      <c r="B1647" s="1" t="s">
        <v>10</v>
      </c>
      <c r="C1647" s="1" t="s">
        <v>5957</v>
      </c>
      <c r="D1647" s="1" t="s">
        <v>1546</v>
      </c>
      <c r="E1647" s="1" t="s">
        <v>1546</v>
      </c>
      <c r="F1647" s="1" t="s">
        <v>5958</v>
      </c>
      <c r="G1647" s="1" t="s">
        <v>5959</v>
      </c>
      <c r="H1647" s="1" t="s">
        <v>5960</v>
      </c>
      <c r="I1647" t="b">
        <f>COUNTIF(Estadísticas!I:I,'Centraldecomunicacion.es'!H1647)&gt;0</f>
        <v>1</v>
      </c>
    </row>
    <row r="1648" spans="1:9">
      <c r="A1648" s="1" t="s">
        <v>5961</v>
      </c>
      <c r="B1648" s="1" t="s">
        <v>10</v>
      </c>
      <c r="C1648" s="1" t="s">
        <v>5962</v>
      </c>
      <c r="D1648" s="1" t="s">
        <v>1546</v>
      </c>
      <c r="E1648" s="1" t="s">
        <v>1546</v>
      </c>
      <c r="F1648" s="1" t="s">
        <v>23</v>
      </c>
      <c r="G1648" s="1" t="s">
        <v>5963</v>
      </c>
      <c r="H1648" s="1" t="s">
        <v>15</v>
      </c>
      <c r="I1648" t="b">
        <f>COUNTIF(Estadísticas!I:I,'Centraldecomunicacion.es'!H1648)&gt;0</f>
        <v>0</v>
      </c>
    </row>
    <row r="1649" spans="1:9">
      <c r="A1649" s="1" t="s">
        <v>5964</v>
      </c>
      <c r="B1649" s="1" t="s">
        <v>10</v>
      </c>
      <c r="C1649" s="1" t="s">
        <v>5965</v>
      </c>
      <c r="D1649" s="1" t="s">
        <v>1546</v>
      </c>
      <c r="E1649" s="1" t="s">
        <v>1546</v>
      </c>
      <c r="F1649" s="1" t="s">
        <v>23</v>
      </c>
      <c r="G1649" s="1" t="s">
        <v>5966</v>
      </c>
      <c r="H1649" s="1" t="s">
        <v>15</v>
      </c>
      <c r="I1649" t="b">
        <f>COUNTIF(Estadísticas!I:I,'Centraldecomunicacion.es'!H1649)&gt;0</f>
        <v>0</v>
      </c>
    </row>
    <row r="1650" spans="1:9">
      <c r="A1650" s="1" t="s">
        <v>5967</v>
      </c>
      <c r="B1650" s="1" t="s">
        <v>10</v>
      </c>
      <c r="C1650" s="1" t="s">
        <v>5968</v>
      </c>
      <c r="D1650" s="1" t="s">
        <v>1546</v>
      </c>
      <c r="E1650" s="1" t="s">
        <v>1546</v>
      </c>
      <c r="F1650" s="1" t="s">
        <v>23</v>
      </c>
      <c r="G1650" s="1" t="s">
        <v>5969</v>
      </c>
      <c r="H1650" s="1" t="s">
        <v>15</v>
      </c>
      <c r="I1650" t="b">
        <f>COUNTIF(Estadísticas!I:I,'Centraldecomunicacion.es'!H1650)&gt;0</f>
        <v>0</v>
      </c>
    </row>
    <row r="1651" spans="1:9">
      <c r="A1651" s="1" t="s">
        <v>5970</v>
      </c>
      <c r="B1651" s="1" t="s">
        <v>10</v>
      </c>
      <c r="C1651" s="1" t="s">
        <v>5971</v>
      </c>
      <c r="D1651" s="1" t="s">
        <v>1546</v>
      </c>
      <c r="E1651" s="1" t="s">
        <v>1546</v>
      </c>
      <c r="F1651" s="1" t="s">
        <v>23</v>
      </c>
      <c r="G1651" s="1" t="s">
        <v>5972</v>
      </c>
      <c r="H1651" s="1" t="s">
        <v>15</v>
      </c>
      <c r="I1651" t="b">
        <f>COUNTIF(Estadísticas!I:I,'Centraldecomunicacion.es'!H1651)&gt;0</f>
        <v>0</v>
      </c>
    </row>
    <row r="1652" spans="1:9">
      <c r="A1652" s="1" t="s">
        <v>5973</v>
      </c>
      <c r="B1652" s="1" t="s">
        <v>10</v>
      </c>
      <c r="C1652" s="1" t="s">
        <v>5974</v>
      </c>
      <c r="D1652" s="1" t="s">
        <v>1546</v>
      </c>
      <c r="E1652" s="1" t="s">
        <v>1546</v>
      </c>
      <c r="F1652" s="1" t="s">
        <v>23</v>
      </c>
      <c r="G1652" s="1" t="s">
        <v>5975</v>
      </c>
      <c r="H1652" s="1" t="s">
        <v>15</v>
      </c>
      <c r="I1652" t="b">
        <f>COUNTIF(Estadísticas!I:I,'Centraldecomunicacion.es'!H1652)&gt;0</f>
        <v>0</v>
      </c>
    </row>
    <row r="1653" spans="1:9">
      <c r="A1653" s="1" t="s">
        <v>5976</v>
      </c>
      <c r="B1653" s="1" t="s">
        <v>10</v>
      </c>
      <c r="C1653" s="1" t="s">
        <v>5977</v>
      </c>
      <c r="D1653" s="1" t="s">
        <v>1546</v>
      </c>
      <c r="E1653" s="1" t="s">
        <v>1546</v>
      </c>
      <c r="F1653" s="1" t="s">
        <v>81</v>
      </c>
      <c r="G1653" s="1" t="s">
        <v>5978</v>
      </c>
      <c r="H1653" s="1" t="s">
        <v>83</v>
      </c>
      <c r="I1653" t="b">
        <f>COUNTIF(Estadísticas!I:I,'Centraldecomunicacion.es'!H1653)&gt;0</f>
        <v>0</v>
      </c>
    </row>
    <row r="1654" spans="1:9">
      <c r="A1654" s="1" t="s">
        <v>5979</v>
      </c>
      <c r="B1654" s="1" t="s">
        <v>10</v>
      </c>
      <c r="C1654" s="1" t="s">
        <v>5980</v>
      </c>
      <c r="D1654" s="1" t="s">
        <v>5981</v>
      </c>
      <c r="E1654" s="1" t="s">
        <v>5982</v>
      </c>
      <c r="F1654" s="1" t="s">
        <v>23</v>
      </c>
      <c r="G1654" s="1" t="s">
        <v>5983</v>
      </c>
      <c r="H1654" s="1" t="s">
        <v>15</v>
      </c>
      <c r="I1654" t="b">
        <f>COUNTIF(Estadísticas!I:I,'Centraldecomunicacion.es'!H1654)&gt;0</f>
        <v>0</v>
      </c>
    </row>
    <row r="1655" spans="1:9">
      <c r="A1655" s="1" t="s">
        <v>5984</v>
      </c>
      <c r="B1655" s="1" t="s">
        <v>10</v>
      </c>
      <c r="C1655" s="1" t="s">
        <v>5985</v>
      </c>
      <c r="D1655" s="1" t="s">
        <v>1546</v>
      </c>
      <c r="E1655" s="1" t="s">
        <v>1546</v>
      </c>
      <c r="F1655" s="1" t="s">
        <v>5986</v>
      </c>
      <c r="G1655" s="1" t="s">
        <v>5987</v>
      </c>
      <c r="H1655" s="1" t="s">
        <v>15</v>
      </c>
      <c r="I1655" t="b">
        <f>COUNTIF(Estadísticas!I:I,'Centraldecomunicacion.es'!H1655)&gt;0</f>
        <v>0</v>
      </c>
    </row>
    <row r="1656" spans="1:9">
      <c r="A1656" s="1" t="s">
        <v>5988</v>
      </c>
      <c r="B1656" s="1" t="s">
        <v>10</v>
      </c>
      <c r="C1656" s="1" t="s">
        <v>5989</v>
      </c>
      <c r="D1656" s="1" t="s">
        <v>1546</v>
      </c>
      <c r="E1656" s="1" t="s">
        <v>1546</v>
      </c>
      <c r="F1656" s="1" t="s">
        <v>23</v>
      </c>
      <c r="G1656" s="1" t="s">
        <v>5990</v>
      </c>
      <c r="H1656" s="1" t="s">
        <v>15</v>
      </c>
      <c r="I1656" t="b">
        <f>COUNTIF(Estadísticas!I:I,'Centraldecomunicacion.es'!H1656)&gt;0</f>
        <v>0</v>
      </c>
    </row>
    <row r="1657" spans="1:9">
      <c r="A1657" s="1" t="s">
        <v>5991</v>
      </c>
      <c r="B1657" s="1" t="s">
        <v>10</v>
      </c>
      <c r="C1657" s="1" t="s">
        <v>5992</v>
      </c>
      <c r="D1657" s="1" t="s">
        <v>1546</v>
      </c>
      <c r="E1657" s="1" t="s">
        <v>1546</v>
      </c>
      <c r="F1657" s="1" t="s">
        <v>5993</v>
      </c>
      <c r="G1657" s="1" t="s">
        <v>5994</v>
      </c>
      <c r="H1657" s="1" t="s">
        <v>5995</v>
      </c>
      <c r="I1657" t="b">
        <f>COUNTIF(Estadísticas!I:I,'Centraldecomunicacion.es'!H1657)&gt;0</f>
        <v>0</v>
      </c>
    </row>
    <row r="1658" spans="1:9">
      <c r="A1658" s="1" t="s">
        <v>5996</v>
      </c>
      <c r="B1658" s="1" t="s">
        <v>10</v>
      </c>
      <c r="C1658" s="1" t="s">
        <v>5997</v>
      </c>
      <c r="D1658" s="1" t="s">
        <v>1546</v>
      </c>
      <c r="E1658" s="1" t="s">
        <v>1546</v>
      </c>
      <c r="F1658" s="1" t="s">
        <v>5998</v>
      </c>
      <c r="G1658" s="1" t="s">
        <v>5999</v>
      </c>
      <c r="H1658" s="1" t="s">
        <v>6000</v>
      </c>
      <c r="I1658" t="b">
        <f>COUNTIF(Estadísticas!I:I,'Centraldecomunicacion.es'!H1658)&gt;0</f>
        <v>1</v>
      </c>
    </row>
    <row r="1659" spans="1:9">
      <c r="A1659" s="1" t="s">
        <v>6001</v>
      </c>
      <c r="B1659" s="1" t="s">
        <v>10</v>
      </c>
      <c r="C1659" s="1" t="s">
        <v>6002</v>
      </c>
      <c r="D1659" s="1" t="s">
        <v>1546</v>
      </c>
      <c r="E1659" s="1" t="s">
        <v>1546</v>
      </c>
      <c r="F1659" s="1" t="s">
        <v>6003</v>
      </c>
      <c r="G1659" s="1" t="s">
        <v>6004</v>
      </c>
      <c r="H1659" s="1" t="s">
        <v>15</v>
      </c>
      <c r="I1659" t="b">
        <f>COUNTIF(Estadísticas!I:I,'Centraldecomunicacion.es'!H1659)&gt;0</f>
        <v>0</v>
      </c>
    </row>
    <row r="1660" spans="1:9">
      <c r="A1660" s="1" t="s">
        <v>478</v>
      </c>
      <c r="B1660" s="1" t="s">
        <v>10</v>
      </c>
      <c r="C1660" s="1" t="s">
        <v>6005</v>
      </c>
      <c r="D1660" s="1" t="s">
        <v>1546</v>
      </c>
      <c r="E1660" s="1" t="s">
        <v>1546</v>
      </c>
      <c r="F1660" s="1" t="s">
        <v>23</v>
      </c>
      <c r="G1660" s="1" t="s">
        <v>6006</v>
      </c>
      <c r="H1660" s="1" t="s">
        <v>15</v>
      </c>
      <c r="I1660" t="b">
        <f>COUNTIF(Estadísticas!I:I,'Centraldecomunicacion.es'!H1660)&gt;0</f>
        <v>0</v>
      </c>
    </row>
    <row r="1661" spans="1:9">
      <c r="A1661" s="1" t="s">
        <v>6007</v>
      </c>
      <c r="B1661" s="1" t="s">
        <v>10</v>
      </c>
      <c r="C1661" s="1" t="s">
        <v>6008</v>
      </c>
      <c r="D1661" s="1" t="s">
        <v>1546</v>
      </c>
      <c r="E1661" s="1" t="s">
        <v>1546</v>
      </c>
      <c r="F1661" s="1" t="s">
        <v>23</v>
      </c>
      <c r="G1661" s="1" t="s">
        <v>6009</v>
      </c>
      <c r="H1661" s="1" t="s">
        <v>15</v>
      </c>
      <c r="I1661" t="b">
        <f>COUNTIF(Estadísticas!I:I,'Centraldecomunicacion.es'!H1661)&gt;0</f>
        <v>0</v>
      </c>
    </row>
    <row r="1662" spans="1:9">
      <c r="A1662" s="1" t="s">
        <v>6010</v>
      </c>
      <c r="B1662" s="1" t="s">
        <v>10</v>
      </c>
      <c r="C1662" s="1" t="s">
        <v>6011</v>
      </c>
      <c r="D1662" s="1" t="s">
        <v>1546</v>
      </c>
      <c r="E1662" s="1" t="s">
        <v>1546</v>
      </c>
      <c r="F1662" s="1" t="s">
        <v>23</v>
      </c>
      <c r="G1662" s="1" t="s">
        <v>6012</v>
      </c>
      <c r="H1662" s="1" t="s">
        <v>15</v>
      </c>
      <c r="I1662" t="b">
        <f>COUNTIF(Estadísticas!I:I,'Centraldecomunicacion.es'!H1662)&gt;0</f>
        <v>0</v>
      </c>
    </row>
    <row r="1663" spans="1:9">
      <c r="A1663" s="1" t="s">
        <v>6013</v>
      </c>
      <c r="B1663" s="1" t="s">
        <v>10</v>
      </c>
      <c r="C1663" s="1" t="s">
        <v>6014</v>
      </c>
      <c r="D1663" s="1" t="s">
        <v>1546</v>
      </c>
      <c r="E1663" s="1" t="s">
        <v>1546</v>
      </c>
      <c r="F1663" s="1" t="s">
        <v>6015</v>
      </c>
      <c r="G1663" s="1" t="s">
        <v>6016</v>
      </c>
      <c r="H1663" s="1" t="s">
        <v>15</v>
      </c>
      <c r="I1663" t="b">
        <f>COUNTIF(Estadísticas!I:I,'Centraldecomunicacion.es'!H1663)&gt;0</f>
        <v>0</v>
      </c>
    </row>
    <row r="1664" spans="1:9">
      <c r="A1664" s="1" t="s">
        <v>6017</v>
      </c>
      <c r="B1664" s="1" t="s">
        <v>10</v>
      </c>
      <c r="C1664" s="1" t="s">
        <v>6018</v>
      </c>
      <c r="D1664" s="1" t="s">
        <v>1546</v>
      </c>
      <c r="E1664" s="1" t="s">
        <v>1546</v>
      </c>
      <c r="F1664" s="1" t="s">
        <v>23</v>
      </c>
      <c r="G1664" s="1" t="s">
        <v>6019</v>
      </c>
      <c r="H1664" s="1" t="s">
        <v>15</v>
      </c>
      <c r="I1664" t="b">
        <f>COUNTIF(Estadísticas!I:I,'Centraldecomunicacion.es'!H1664)&gt;0</f>
        <v>0</v>
      </c>
    </row>
    <row r="1665" spans="1:9">
      <c r="A1665" s="1" t="s">
        <v>6020</v>
      </c>
      <c r="B1665" s="1" t="s">
        <v>10</v>
      </c>
      <c r="C1665" s="1" t="s">
        <v>6021</v>
      </c>
      <c r="D1665" s="1" t="s">
        <v>1546</v>
      </c>
      <c r="E1665" s="1" t="s">
        <v>1546</v>
      </c>
      <c r="F1665" s="1" t="s">
        <v>6022</v>
      </c>
      <c r="G1665" s="1" t="s">
        <v>6023</v>
      </c>
      <c r="H1665" s="1" t="s">
        <v>6024</v>
      </c>
      <c r="I1665" t="b">
        <f>COUNTIF(Estadísticas!I:I,'Centraldecomunicacion.es'!H1665)&gt;0</f>
        <v>0</v>
      </c>
    </row>
    <row r="1666" spans="1:9">
      <c r="A1666" s="1" t="s">
        <v>6025</v>
      </c>
      <c r="B1666" s="1" t="s">
        <v>10</v>
      </c>
      <c r="C1666" s="1" t="s">
        <v>6026</v>
      </c>
      <c r="D1666" s="1" t="s">
        <v>1546</v>
      </c>
      <c r="E1666" s="1" t="s">
        <v>1546</v>
      </c>
      <c r="F1666" s="1" t="s">
        <v>81</v>
      </c>
      <c r="G1666" s="1" t="s">
        <v>6027</v>
      </c>
      <c r="H1666" s="1" t="s">
        <v>83</v>
      </c>
      <c r="I1666" t="b">
        <f>COUNTIF(Estadísticas!I:I,'Centraldecomunicacion.es'!H1666)&gt;0</f>
        <v>0</v>
      </c>
    </row>
    <row r="1667" spans="1:9">
      <c r="A1667" s="1" t="s">
        <v>6028</v>
      </c>
      <c r="B1667" s="1" t="s">
        <v>10</v>
      </c>
      <c r="C1667" s="1" t="s">
        <v>6029</v>
      </c>
      <c r="D1667" s="1" t="s">
        <v>1546</v>
      </c>
      <c r="E1667" s="1" t="s">
        <v>1546</v>
      </c>
      <c r="F1667" s="1" t="s">
        <v>23</v>
      </c>
      <c r="G1667" s="1" t="s">
        <v>6030</v>
      </c>
      <c r="H1667" s="1" t="s">
        <v>15</v>
      </c>
      <c r="I1667" t="b">
        <f>COUNTIF(Estadísticas!I:I,'Centraldecomunicacion.es'!H1667)&gt;0</f>
        <v>0</v>
      </c>
    </row>
    <row r="1668" spans="1:9">
      <c r="A1668" s="1" t="s">
        <v>1653</v>
      </c>
      <c r="B1668" s="1" t="s">
        <v>10</v>
      </c>
      <c r="C1668" s="1" t="s">
        <v>6031</v>
      </c>
      <c r="D1668" s="1" t="s">
        <v>1546</v>
      </c>
      <c r="E1668" s="1" t="s">
        <v>1546</v>
      </c>
      <c r="F1668" s="1" t="s">
        <v>1655</v>
      </c>
      <c r="G1668" s="1" t="s">
        <v>6032</v>
      </c>
      <c r="H1668" s="1" t="s">
        <v>1657</v>
      </c>
      <c r="I1668" t="b">
        <f>COUNTIF(Estadísticas!I:I,'Centraldecomunicacion.es'!H1668)&gt;0</f>
        <v>0</v>
      </c>
    </row>
    <row r="1669" spans="1:9">
      <c r="A1669" s="1" t="s">
        <v>6033</v>
      </c>
      <c r="B1669" s="1" t="s">
        <v>10</v>
      </c>
      <c r="C1669" s="1" t="s">
        <v>6034</v>
      </c>
      <c r="D1669" s="1" t="s">
        <v>1546</v>
      </c>
      <c r="E1669" s="1" t="s">
        <v>1546</v>
      </c>
      <c r="F1669" s="1" t="s">
        <v>23</v>
      </c>
      <c r="G1669" s="1" t="s">
        <v>6035</v>
      </c>
      <c r="H1669" s="1" t="s">
        <v>15</v>
      </c>
      <c r="I1669" t="b">
        <f>COUNTIF(Estadísticas!I:I,'Centraldecomunicacion.es'!H1669)&gt;0</f>
        <v>0</v>
      </c>
    </row>
    <row r="1670" spans="1:9">
      <c r="A1670" s="1" t="s">
        <v>6036</v>
      </c>
      <c r="B1670" s="1" t="s">
        <v>10</v>
      </c>
      <c r="C1670" s="1" t="s">
        <v>6037</v>
      </c>
      <c r="D1670" s="1" t="s">
        <v>1546</v>
      </c>
      <c r="E1670" s="1" t="s">
        <v>1546</v>
      </c>
      <c r="F1670" s="1" t="s">
        <v>23</v>
      </c>
      <c r="G1670" s="1" t="s">
        <v>6038</v>
      </c>
      <c r="H1670" s="1" t="s">
        <v>15</v>
      </c>
      <c r="I1670" t="b">
        <f>COUNTIF(Estadísticas!I:I,'Centraldecomunicacion.es'!H1670)&gt;0</f>
        <v>0</v>
      </c>
    </row>
    <row r="1671" spans="1:9">
      <c r="A1671" s="1" t="s">
        <v>6039</v>
      </c>
      <c r="B1671" s="1" t="s">
        <v>10</v>
      </c>
      <c r="C1671" s="1" t="s">
        <v>6040</v>
      </c>
      <c r="D1671" s="1" t="s">
        <v>1546</v>
      </c>
      <c r="E1671" s="1" t="s">
        <v>1546</v>
      </c>
      <c r="F1671" s="1" t="s">
        <v>23</v>
      </c>
      <c r="G1671" s="1" t="s">
        <v>6041</v>
      </c>
      <c r="H1671" s="1" t="s">
        <v>15</v>
      </c>
      <c r="I1671" t="b">
        <f>COUNTIF(Estadísticas!I:I,'Centraldecomunicacion.es'!H1671)&gt;0</f>
        <v>0</v>
      </c>
    </row>
    <row r="1672" spans="1:9">
      <c r="A1672" s="1" t="s">
        <v>6042</v>
      </c>
      <c r="B1672" s="1" t="s">
        <v>10</v>
      </c>
      <c r="C1672" s="1" t="s">
        <v>6043</v>
      </c>
      <c r="D1672" s="1" t="s">
        <v>1546</v>
      </c>
      <c r="E1672" s="1" t="s">
        <v>1546</v>
      </c>
      <c r="F1672" s="1" t="s">
        <v>23</v>
      </c>
      <c r="G1672" s="1" t="s">
        <v>6044</v>
      </c>
      <c r="H1672" s="1" t="s">
        <v>15</v>
      </c>
      <c r="I1672" t="b">
        <f>COUNTIF(Estadísticas!I:I,'Centraldecomunicacion.es'!H1672)&gt;0</f>
        <v>0</v>
      </c>
    </row>
    <row r="1673" spans="1:9">
      <c r="A1673" s="1" t="s">
        <v>6045</v>
      </c>
      <c r="B1673" s="1" t="s">
        <v>10</v>
      </c>
      <c r="C1673" s="1" t="s">
        <v>6046</v>
      </c>
      <c r="D1673" s="1" t="s">
        <v>1546</v>
      </c>
      <c r="E1673" s="1" t="s">
        <v>1546</v>
      </c>
      <c r="F1673" s="1" t="s">
        <v>23</v>
      </c>
      <c r="G1673" s="1" t="s">
        <v>6047</v>
      </c>
      <c r="H1673" s="1" t="s">
        <v>15</v>
      </c>
      <c r="I1673" t="b">
        <f>COUNTIF(Estadísticas!I:I,'Centraldecomunicacion.es'!H1673)&gt;0</f>
        <v>0</v>
      </c>
    </row>
    <row r="1674" spans="1:9">
      <c r="A1674" s="1" t="s">
        <v>1653</v>
      </c>
      <c r="B1674" s="1" t="s">
        <v>10</v>
      </c>
      <c r="C1674" s="1" t="s">
        <v>6048</v>
      </c>
      <c r="D1674" s="1" t="s">
        <v>6049</v>
      </c>
      <c r="E1674" s="1" t="s">
        <v>1546</v>
      </c>
      <c r="F1674" s="1" t="s">
        <v>1655</v>
      </c>
      <c r="G1674" s="1" t="s">
        <v>6050</v>
      </c>
      <c r="H1674" s="1" t="s">
        <v>1657</v>
      </c>
      <c r="I1674" t="b">
        <f>COUNTIF(Estadísticas!I:I,'Centraldecomunicacion.es'!H1674)&gt;0</f>
        <v>0</v>
      </c>
    </row>
    <row r="1675" spans="1:9">
      <c r="A1675" s="1" t="s">
        <v>6051</v>
      </c>
      <c r="B1675" s="1" t="s">
        <v>10</v>
      </c>
      <c r="C1675" s="1" t="s">
        <v>6052</v>
      </c>
      <c r="D1675" s="1" t="s">
        <v>1546</v>
      </c>
      <c r="E1675" s="1" t="s">
        <v>1546</v>
      </c>
      <c r="F1675" s="1" t="s">
        <v>6053</v>
      </c>
      <c r="G1675" s="1" t="s">
        <v>6054</v>
      </c>
      <c r="H1675" s="1" t="s">
        <v>6055</v>
      </c>
      <c r="I1675" t="b">
        <f>COUNTIF(Estadísticas!I:I,'Centraldecomunicacion.es'!H1675)&gt;0</f>
        <v>0</v>
      </c>
    </row>
    <row r="1676" spans="1:9">
      <c r="A1676" s="1" t="s">
        <v>6056</v>
      </c>
      <c r="B1676" s="1" t="s">
        <v>10</v>
      </c>
      <c r="C1676" s="1" t="s">
        <v>6057</v>
      </c>
      <c r="D1676" s="1" t="s">
        <v>1546</v>
      </c>
      <c r="E1676" s="1" t="s">
        <v>1546</v>
      </c>
      <c r="F1676" s="1" t="s">
        <v>23</v>
      </c>
      <c r="G1676" s="1" t="s">
        <v>23</v>
      </c>
      <c r="H1676" s="1" t="s">
        <v>15</v>
      </c>
      <c r="I1676" t="b">
        <f>COUNTIF(Estadísticas!I:I,'Centraldecomunicacion.es'!H1676)&gt;0</f>
        <v>0</v>
      </c>
    </row>
    <row r="1677" spans="1:9">
      <c r="A1677" s="1" t="s">
        <v>6058</v>
      </c>
      <c r="B1677" s="1" t="s">
        <v>10</v>
      </c>
      <c r="C1677" s="1" t="s">
        <v>6059</v>
      </c>
      <c r="D1677" s="1" t="s">
        <v>1546</v>
      </c>
      <c r="E1677" s="1" t="s">
        <v>1546</v>
      </c>
      <c r="F1677" s="1" t="s">
        <v>6060</v>
      </c>
      <c r="G1677" s="1" t="s">
        <v>6061</v>
      </c>
      <c r="H1677" s="1" t="s">
        <v>15</v>
      </c>
      <c r="I1677" t="b">
        <f>COUNTIF(Estadísticas!I:I,'Centraldecomunicacion.es'!H1677)&gt;0</f>
        <v>0</v>
      </c>
    </row>
    <row r="1678" spans="1:9">
      <c r="A1678" s="1" t="s">
        <v>6062</v>
      </c>
      <c r="B1678" s="1" t="s">
        <v>10</v>
      </c>
      <c r="C1678" s="1" t="s">
        <v>6063</v>
      </c>
      <c r="D1678" s="1" t="s">
        <v>1546</v>
      </c>
      <c r="E1678" s="1" t="s">
        <v>1546</v>
      </c>
      <c r="F1678" s="1" t="s">
        <v>23</v>
      </c>
      <c r="G1678" s="1" t="s">
        <v>6064</v>
      </c>
      <c r="H1678" s="1" t="s">
        <v>15</v>
      </c>
      <c r="I1678" t="b">
        <f>COUNTIF(Estadísticas!I:I,'Centraldecomunicacion.es'!H1678)&gt;0</f>
        <v>0</v>
      </c>
    </row>
    <row r="1679" spans="1:9">
      <c r="A1679" s="1" t="s">
        <v>6065</v>
      </c>
      <c r="B1679" s="1" t="s">
        <v>10</v>
      </c>
      <c r="C1679" s="1" t="s">
        <v>5974</v>
      </c>
      <c r="D1679" s="1" t="s">
        <v>1546</v>
      </c>
      <c r="E1679" s="1" t="s">
        <v>1546</v>
      </c>
      <c r="F1679" s="1" t="s">
        <v>6066</v>
      </c>
      <c r="G1679" s="1" t="s">
        <v>5975</v>
      </c>
      <c r="H1679" s="1" t="s">
        <v>6067</v>
      </c>
      <c r="I1679" t="b">
        <f>COUNTIF(Estadísticas!I:I,'Centraldecomunicacion.es'!H1679)&gt;0</f>
        <v>0</v>
      </c>
    </row>
    <row r="1680" spans="1:9">
      <c r="A1680" s="1" t="s">
        <v>6068</v>
      </c>
      <c r="B1680" s="1" t="s">
        <v>10</v>
      </c>
      <c r="C1680" s="1" t="s">
        <v>6069</v>
      </c>
      <c r="D1680" s="1" t="s">
        <v>1546</v>
      </c>
      <c r="E1680" s="1" t="s">
        <v>1546</v>
      </c>
      <c r="F1680" s="1" t="s">
        <v>23</v>
      </c>
      <c r="G1680" s="1" t="s">
        <v>6070</v>
      </c>
      <c r="H1680" s="1" t="s">
        <v>15</v>
      </c>
      <c r="I1680" t="b">
        <f>COUNTIF(Estadísticas!I:I,'Centraldecomunicacion.es'!H1680)&gt;0</f>
        <v>0</v>
      </c>
    </row>
    <row r="1681" spans="1:9">
      <c r="A1681" s="1" t="s">
        <v>6071</v>
      </c>
      <c r="B1681" s="1" t="s">
        <v>10</v>
      </c>
      <c r="C1681" s="1" t="s">
        <v>6072</v>
      </c>
      <c r="D1681" s="1" t="s">
        <v>1546</v>
      </c>
      <c r="E1681" s="1" t="s">
        <v>1546</v>
      </c>
      <c r="F1681" s="1" t="s">
        <v>23</v>
      </c>
      <c r="G1681" s="1" t="s">
        <v>6073</v>
      </c>
      <c r="H1681" s="1" t="s">
        <v>15</v>
      </c>
      <c r="I1681" t="b">
        <f>COUNTIF(Estadísticas!I:I,'Centraldecomunicacion.es'!H1681)&gt;0</f>
        <v>0</v>
      </c>
    </row>
    <row r="1682" spans="1:9">
      <c r="A1682" s="1" t="s">
        <v>6074</v>
      </c>
      <c r="B1682" s="1" t="s">
        <v>10</v>
      </c>
      <c r="C1682" s="1" t="s">
        <v>23</v>
      </c>
      <c r="D1682" s="1" t="s">
        <v>5981</v>
      </c>
      <c r="E1682" s="1" t="s">
        <v>23</v>
      </c>
      <c r="F1682" s="1" t="s">
        <v>6075</v>
      </c>
      <c r="G1682" s="1" t="s">
        <v>6076</v>
      </c>
      <c r="H1682" s="1" t="s">
        <v>6077</v>
      </c>
      <c r="I1682" t="b">
        <f>COUNTIF(Estadísticas!I:I,'Centraldecomunicacion.es'!H1682)&gt;0</f>
        <v>0</v>
      </c>
    </row>
    <row r="1683" spans="1:9">
      <c r="A1683" s="1" t="s">
        <v>6078</v>
      </c>
      <c r="B1683" s="1" t="s">
        <v>10</v>
      </c>
      <c r="C1683" s="1" t="s">
        <v>6079</v>
      </c>
      <c r="D1683" s="1" t="s">
        <v>1546</v>
      </c>
      <c r="E1683" s="1" t="s">
        <v>1546</v>
      </c>
      <c r="F1683" s="1" t="s">
        <v>23</v>
      </c>
      <c r="G1683" s="1" t="s">
        <v>6080</v>
      </c>
      <c r="H1683" s="1" t="s">
        <v>15</v>
      </c>
      <c r="I1683" t="b">
        <f>COUNTIF(Estadísticas!I:I,'Centraldecomunicacion.es'!H1683)&gt;0</f>
        <v>0</v>
      </c>
    </row>
    <row r="1684" spans="1:9">
      <c r="A1684" s="1" t="s">
        <v>6081</v>
      </c>
      <c r="B1684" s="1" t="s">
        <v>10</v>
      </c>
      <c r="C1684" s="1" t="s">
        <v>6082</v>
      </c>
      <c r="D1684" s="1" t="s">
        <v>1546</v>
      </c>
      <c r="E1684" s="1" t="s">
        <v>1546</v>
      </c>
      <c r="F1684" s="1" t="s">
        <v>23</v>
      </c>
      <c r="G1684" s="1" t="s">
        <v>6083</v>
      </c>
      <c r="H1684" s="1" t="s">
        <v>15</v>
      </c>
      <c r="I1684" t="b">
        <f>COUNTIF(Estadísticas!I:I,'Centraldecomunicacion.es'!H1684)&gt;0</f>
        <v>0</v>
      </c>
    </row>
    <row r="1685" spans="1:9">
      <c r="A1685" s="1" t="s">
        <v>6084</v>
      </c>
      <c r="B1685" s="1" t="s">
        <v>10</v>
      </c>
      <c r="C1685" s="1" t="s">
        <v>23</v>
      </c>
      <c r="D1685" s="1" t="s">
        <v>5981</v>
      </c>
      <c r="E1685" s="1" t="s">
        <v>23</v>
      </c>
      <c r="F1685" s="1" t="s">
        <v>23</v>
      </c>
      <c r="G1685" s="1" t="s">
        <v>23</v>
      </c>
      <c r="H1685" s="1" t="s">
        <v>15</v>
      </c>
      <c r="I1685" t="b">
        <f>COUNTIF(Estadísticas!I:I,'Centraldecomunicacion.es'!H1685)&gt;0</f>
        <v>0</v>
      </c>
    </row>
    <row r="1686" spans="1:9">
      <c r="A1686" s="1" t="s">
        <v>6085</v>
      </c>
      <c r="B1686" s="1" t="s">
        <v>10</v>
      </c>
      <c r="C1686" s="1" t="s">
        <v>6086</v>
      </c>
      <c r="D1686" s="1" t="s">
        <v>1546</v>
      </c>
      <c r="E1686" s="1" t="s">
        <v>1546</v>
      </c>
      <c r="F1686" s="1" t="s">
        <v>23</v>
      </c>
      <c r="G1686" s="1" t="s">
        <v>23</v>
      </c>
      <c r="H1686" s="1" t="s">
        <v>15</v>
      </c>
      <c r="I1686" t="b">
        <f>COUNTIF(Estadísticas!I:I,'Centraldecomunicacion.es'!H1686)&gt;0</f>
        <v>0</v>
      </c>
    </row>
    <row r="1687" spans="1:9">
      <c r="A1687" s="1" t="s">
        <v>6087</v>
      </c>
      <c r="B1687" s="1" t="s">
        <v>10</v>
      </c>
      <c r="C1687" s="1" t="s">
        <v>6088</v>
      </c>
      <c r="D1687" s="1" t="s">
        <v>1546</v>
      </c>
      <c r="E1687" s="1" t="s">
        <v>1546</v>
      </c>
      <c r="F1687" s="1" t="s">
        <v>23</v>
      </c>
      <c r="G1687" s="1" t="s">
        <v>6089</v>
      </c>
      <c r="H1687" s="1" t="s">
        <v>15</v>
      </c>
      <c r="I1687" t="b">
        <f>COUNTIF(Estadísticas!I:I,'Centraldecomunicacion.es'!H1687)&gt;0</f>
        <v>0</v>
      </c>
    </row>
    <row r="1688" spans="1:9">
      <c r="A1688" s="1" t="s">
        <v>6090</v>
      </c>
      <c r="B1688" s="1" t="s">
        <v>10</v>
      </c>
      <c r="C1688" s="1" t="s">
        <v>6091</v>
      </c>
      <c r="D1688" s="1" t="s">
        <v>6092</v>
      </c>
      <c r="E1688" s="1" t="s">
        <v>1546</v>
      </c>
      <c r="F1688" s="1" t="s">
        <v>6093</v>
      </c>
      <c r="G1688" s="1" t="s">
        <v>6094</v>
      </c>
      <c r="H1688" s="1" t="s">
        <v>15</v>
      </c>
      <c r="I1688" t="b">
        <f>COUNTIF(Estadísticas!I:I,'Centraldecomunicacion.es'!H1688)&gt;0</f>
        <v>0</v>
      </c>
    </row>
    <row r="1689" spans="1:9">
      <c r="A1689" s="1" t="s">
        <v>6095</v>
      </c>
      <c r="B1689" s="1" t="s">
        <v>10</v>
      </c>
      <c r="C1689" s="1" t="s">
        <v>6096</v>
      </c>
      <c r="D1689" s="1" t="s">
        <v>1546</v>
      </c>
      <c r="E1689" s="1" t="s">
        <v>1546</v>
      </c>
      <c r="F1689" s="1" t="s">
        <v>6097</v>
      </c>
      <c r="G1689" s="1" t="s">
        <v>6098</v>
      </c>
      <c r="H1689" s="1" t="s">
        <v>6099</v>
      </c>
      <c r="I1689" t="b">
        <f>COUNTIF(Estadísticas!I:I,'Centraldecomunicacion.es'!H1689)&gt;0</f>
        <v>0</v>
      </c>
    </row>
    <row r="1690" spans="1:9">
      <c r="A1690" s="1" t="s">
        <v>6100</v>
      </c>
      <c r="B1690" s="1" t="s">
        <v>10</v>
      </c>
      <c r="C1690" s="1" t="s">
        <v>6101</v>
      </c>
      <c r="D1690" s="1" t="s">
        <v>1546</v>
      </c>
      <c r="E1690" s="1" t="s">
        <v>1546</v>
      </c>
      <c r="F1690" s="1" t="s">
        <v>23</v>
      </c>
      <c r="G1690" s="1" t="s">
        <v>6102</v>
      </c>
      <c r="H1690" s="1" t="s">
        <v>15</v>
      </c>
      <c r="I1690" t="b">
        <f>COUNTIF(Estadísticas!I:I,'Centraldecomunicacion.es'!H1690)&gt;0</f>
        <v>0</v>
      </c>
    </row>
    <row r="1691" spans="1:9">
      <c r="A1691" s="1" t="s">
        <v>6103</v>
      </c>
      <c r="B1691" s="1" t="s">
        <v>10</v>
      </c>
      <c r="C1691" s="1" t="s">
        <v>6104</v>
      </c>
      <c r="D1691" s="1" t="s">
        <v>6049</v>
      </c>
      <c r="E1691" s="1" t="s">
        <v>1546</v>
      </c>
      <c r="F1691" s="1" t="s">
        <v>6105</v>
      </c>
      <c r="G1691" s="1" t="s">
        <v>6106</v>
      </c>
      <c r="H1691" s="1" t="s">
        <v>15</v>
      </c>
      <c r="I1691" t="b">
        <f>COUNTIF(Estadísticas!I:I,'Centraldecomunicacion.es'!H1691)&gt;0</f>
        <v>0</v>
      </c>
    </row>
    <row r="1692" spans="1:9">
      <c r="A1692" s="1" t="s">
        <v>6107</v>
      </c>
      <c r="B1692" s="1" t="s">
        <v>10</v>
      </c>
      <c r="C1692" s="1" t="s">
        <v>6108</v>
      </c>
      <c r="D1692" s="1" t="s">
        <v>1546</v>
      </c>
      <c r="E1692" s="1" t="s">
        <v>1546</v>
      </c>
      <c r="F1692" s="1" t="s">
        <v>6109</v>
      </c>
      <c r="G1692" s="1" t="s">
        <v>6110</v>
      </c>
      <c r="H1692" s="1" t="s">
        <v>15</v>
      </c>
      <c r="I1692" t="b">
        <f>COUNTIF(Estadísticas!I:I,'Centraldecomunicacion.es'!H1692)&gt;0</f>
        <v>0</v>
      </c>
    </row>
    <row r="1693" spans="1:9">
      <c r="A1693" s="1" t="s">
        <v>1796</v>
      </c>
      <c r="B1693" s="1" t="s">
        <v>10</v>
      </c>
      <c r="C1693" s="1" t="s">
        <v>6111</v>
      </c>
      <c r="D1693" s="1" t="s">
        <v>1546</v>
      </c>
      <c r="E1693" s="1" t="s">
        <v>1546</v>
      </c>
      <c r="F1693" s="1" t="s">
        <v>23</v>
      </c>
      <c r="G1693" s="1" t="s">
        <v>6112</v>
      </c>
      <c r="H1693" s="1" t="s">
        <v>15</v>
      </c>
      <c r="I1693" t="b">
        <f>COUNTIF(Estadísticas!I:I,'Centraldecomunicacion.es'!H1693)&gt;0</f>
        <v>0</v>
      </c>
    </row>
    <row r="1694" spans="1:9">
      <c r="A1694" s="1" t="s">
        <v>6113</v>
      </c>
      <c r="B1694" s="1" t="s">
        <v>10</v>
      </c>
      <c r="C1694" s="1" t="s">
        <v>6114</v>
      </c>
      <c r="D1694" s="1" t="s">
        <v>6092</v>
      </c>
      <c r="E1694" s="1" t="s">
        <v>1546</v>
      </c>
      <c r="F1694" s="1" t="s">
        <v>6115</v>
      </c>
      <c r="G1694" s="1" t="s">
        <v>6116</v>
      </c>
      <c r="H1694" s="1" t="s">
        <v>15</v>
      </c>
      <c r="I1694" t="b">
        <f>COUNTIF(Estadísticas!I:I,'Centraldecomunicacion.es'!H1694)&gt;0</f>
        <v>0</v>
      </c>
    </row>
    <row r="1695" spans="1:9">
      <c r="A1695" s="1" t="s">
        <v>6117</v>
      </c>
      <c r="B1695" s="1" t="s">
        <v>10</v>
      </c>
      <c r="C1695" s="1" t="s">
        <v>6118</v>
      </c>
      <c r="D1695" s="1" t="s">
        <v>1546</v>
      </c>
      <c r="E1695" s="1" t="s">
        <v>1546</v>
      </c>
      <c r="F1695" s="1" t="s">
        <v>23</v>
      </c>
      <c r="G1695" s="1" t="s">
        <v>6119</v>
      </c>
      <c r="H1695" s="1" t="s">
        <v>15</v>
      </c>
      <c r="I1695" t="b">
        <f>COUNTIF(Estadísticas!I:I,'Centraldecomunicacion.es'!H1695)&gt;0</f>
        <v>0</v>
      </c>
    </row>
    <row r="1696" spans="1:9">
      <c r="A1696" s="1" t="s">
        <v>6120</v>
      </c>
      <c r="B1696" s="1" t="s">
        <v>10</v>
      </c>
      <c r="C1696" s="1" t="s">
        <v>6121</v>
      </c>
      <c r="D1696" s="1" t="s">
        <v>6122</v>
      </c>
      <c r="E1696" s="1" t="s">
        <v>1546</v>
      </c>
      <c r="F1696" s="1" t="s">
        <v>23</v>
      </c>
      <c r="G1696" s="1" t="s">
        <v>6123</v>
      </c>
      <c r="H1696" s="1" t="s">
        <v>15</v>
      </c>
      <c r="I1696" t="b">
        <f>COUNTIF(Estadísticas!I:I,'Centraldecomunicacion.es'!H1696)&gt;0</f>
        <v>0</v>
      </c>
    </row>
    <row r="1697" spans="1:9">
      <c r="A1697" s="1" t="s">
        <v>6124</v>
      </c>
      <c r="B1697" s="1" t="s">
        <v>10</v>
      </c>
      <c r="C1697" s="1" t="s">
        <v>6125</v>
      </c>
      <c r="D1697" s="1" t="s">
        <v>6126</v>
      </c>
      <c r="E1697" s="1" t="s">
        <v>1546</v>
      </c>
      <c r="F1697" s="1" t="s">
        <v>23</v>
      </c>
      <c r="G1697" s="1" t="s">
        <v>6127</v>
      </c>
      <c r="H1697" s="1" t="s">
        <v>15</v>
      </c>
      <c r="I1697" t="b">
        <f>COUNTIF(Estadísticas!I:I,'Centraldecomunicacion.es'!H1697)&gt;0</f>
        <v>0</v>
      </c>
    </row>
    <row r="1698" spans="1:9">
      <c r="A1698" s="1" t="s">
        <v>6128</v>
      </c>
      <c r="B1698" s="1" t="s">
        <v>10</v>
      </c>
      <c r="C1698" s="1" t="s">
        <v>6129</v>
      </c>
      <c r="D1698" s="1" t="s">
        <v>6122</v>
      </c>
      <c r="E1698" s="1" t="s">
        <v>1546</v>
      </c>
      <c r="F1698" s="1" t="s">
        <v>6130</v>
      </c>
      <c r="G1698" s="1" t="s">
        <v>6131</v>
      </c>
      <c r="H1698" s="1" t="s">
        <v>6132</v>
      </c>
      <c r="I1698" t="b">
        <f>COUNTIF(Estadísticas!I:I,'Centraldecomunicacion.es'!H1698)&gt;0</f>
        <v>0</v>
      </c>
    </row>
    <row r="1699" spans="1:9">
      <c r="A1699" s="1" t="s">
        <v>6133</v>
      </c>
      <c r="B1699" s="1" t="s">
        <v>10</v>
      </c>
      <c r="C1699" s="1" t="s">
        <v>6134</v>
      </c>
      <c r="D1699" s="1" t="s">
        <v>1546</v>
      </c>
      <c r="E1699" s="1" t="s">
        <v>1546</v>
      </c>
      <c r="F1699" s="1" t="s">
        <v>6135</v>
      </c>
      <c r="G1699" s="1" t="s">
        <v>6136</v>
      </c>
      <c r="H1699" s="1" t="s">
        <v>6137</v>
      </c>
      <c r="I1699" t="b">
        <f>COUNTIF(Estadísticas!I:I,'Centraldecomunicacion.es'!H1699)&gt;0</f>
        <v>1</v>
      </c>
    </row>
    <row r="1700" spans="1:9">
      <c r="A1700" s="1" t="s">
        <v>6138</v>
      </c>
      <c r="B1700" s="1" t="s">
        <v>10</v>
      </c>
      <c r="C1700" s="1" t="s">
        <v>6139</v>
      </c>
      <c r="D1700" s="1" t="s">
        <v>1546</v>
      </c>
      <c r="E1700" s="1" t="s">
        <v>1546</v>
      </c>
      <c r="F1700" s="1" t="s">
        <v>23</v>
      </c>
      <c r="G1700" s="1" t="s">
        <v>6140</v>
      </c>
      <c r="H1700" s="1" t="s">
        <v>15</v>
      </c>
      <c r="I1700" t="b">
        <f>COUNTIF(Estadísticas!I:I,'Centraldecomunicacion.es'!H1700)&gt;0</f>
        <v>0</v>
      </c>
    </row>
    <row r="1701" spans="1:9">
      <c r="A1701" s="1" t="s">
        <v>6141</v>
      </c>
      <c r="B1701" s="1" t="s">
        <v>10</v>
      </c>
      <c r="C1701" s="1" t="s">
        <v>6142</v>
      </c>
      <c r="D1701" s="1" t="s">
        <v>6143</v>
      </c>
      <c r="E1701" s="1" t="s">
        <v>1546</v>
      </c>
      <c r="F1701" s="1" t="s">
        <v>6144</v>
      </c>
      <c r="G1701" s="1" t="s">
        <v>6145</v>
      </c>
      <c r="H1701" s="1" t="s">
        <v>6146</v>
      </c>
      <c r="I1701" t="b">
        <f>COUNTIF(Estadísticas!I:I,'Centraldecomunicacion.es'!H1701)&gt;0</f>
        <v>0</v>
      </c>
    </row>
    <row r="1702" spans="1:9">
      <c r="A1702" s="1" t="s">
        <v>6147</v>
      </c>
      <c r="B1702" s="1" t="s">
        <v>10</v>
      </c>
      <c r="C1702" s="1" t="s">
        <v>6148</v>
      </c>
      <c r="D1702" s="1" t="s">
        <v>1546</v>
      </c>
      <c r="E1702" s="1" t="s">
        <v>1546</v>
      </c>
      <c r="F1702" s="1" t="s">
        <v>6149</v>
      </c>
      <c r="G1702" s="1" t="s">
        <v>6150</v>
      </c>
      <c r="H1702" s="1" t="s">
        <v>15</v>
      </c>
      <c r="I1702" t="b">
        <f>COUNTIF(Estadísticas!I:I,'Centraldecomunicacion.es'!H1702)&gt;0</f>
        <v>0</v>
      </c>
    </row>
    <row r="1703" spans="1:9">
      <c r="A1703" s="1" t="s">
        <v>6151</v>
      </c>
      <c r="B1703" s="1" t="s">
        <v>10</v>
      </c>
      <c r="C1703" s="1" t="s">
        <v>6152</v>
      </c>
      <c r="D1703" s="1" t="s">
        <v>1546</v>
      </c>
      <c r="E1703" s="1" t="s">
        <v>1546</v>
      </c>
      <c r="F1703" s="1" t="s">
        <v>6153</v>
      </c>
      <c r="G1703" s="1" t="s">
        <v>6154</v>
      </c>
      <c r="H1703" s="1" t="s">
        <v>15</v>
      </c>
      <c r="I1703" t="b">
        <f>COUNTIF(Estadísticas!I:I,'Centraldecomunicacion.es'!H1703)&gt;0</f>
        <v>0</v>
      </c>
    </row>
    <row r="1704" spans="1:9">
      <c r="A1704" s="1" t="s">
        <v>6155</v>
      </c>
      <c r="B1704" s="1" t="s">
        <v>10</v>
      </c>
      <c r="C1704" s="1" t="s">
        <v>6156</v>
      </c>
      <c r="D1704" s="1" t="s">
        <v>6122</v>
      </c>
      <c r="E1704" s="1" t="s">
        <v>1546</v>
      </c>
      <c r="F1704" s="1" t="s">
        <v>23</v>
      </c>
      <c r="G1704" s="1" t="s">
        <v>6157</v>
      </c>
      <c r="H1704" s="1" t="s">
        <v>15</v>
      </c>
      <c r="I1704" t="b">
        <f>COUNTIF(Estadísticas!I:I,'Centraldecomunicacion.es'!H1704)&gt;0</f>
        <v>0</v>
      </c>
    </row>
    <row r="1705" spans="1:9">
      <c r="A1705" s="1" t="s">
        <v>6158</v>
      </c>
      <c r="B1705" s="1" t="s">
        <v>10</v>
      </c>
      <c r="C1705" s="1" t="s">
        <v>6159</v>
      </c>
      <c r="D1705" s="1" t="s">
        <v>1546</v>
      </c>
      <c r="E1705" s="1" t="s">
        <v>1546</v>
      </c>
      <c r="F1705" s="1" t="s">
        <v>23</v>
      </c>
      <c r="G1705" s="1" t="s">
        <v>6160</v>
      </c>
      <c r="H1705" s="1" t="s">
        <v>15</v>
      </c>
      <c r="I1705" t="b">
        <f>COUNTIF(Estadísticas!I:I,'Centraldecomunicacion.es'!H1705)&gt;0</f>
        <v>0</v>
      </c>
    </row>
    <row r="1706" spans="1:9">
      <c r="A1706" s="1" t="s">
        <v>6161</v>
      </c>
      <c r="B1706" s="1" t="s">
        <v>10</v>
      </c>
      <c r="C1706" s="1" t="s">
        <v>6162</v>
      </c>
      <c r="D1706" s="1" t="s">
        <v>1546</v>
      </c>
      <c r="E1706" s="1" t="s">
        <v>1546</v>
      </c>
      <c r="F1706" s="1" t="s">
        <v>23</v>
      </c>
      <c r="G1706" s="1" t="s">
        <v>6163</v>
      </c>
      <c r="H1706" s="1" t="s">
        <v>15</v>
      </c>
      <c r="I1706" t="b">
        <f>COUNTIF(Estadísticas!I:I,'Centraldecomunicacion.es'!H1706)&gt;0</f>
        <v>0</v>
      </c>
    </row>
    <row r="1707" spans="1:9">
      <c r="A1707" s="1" t="s">
        <v>6164</v>
      </c>
      <c r="B1707" s="1" t="s">
        <v>10</v>
      </c>
      <c r="C1707" s="1" t="s">
        <v>6165</v>
      </c>
      <c r="D1707" s="1" t="s">
        <v>1546</v>
      </c>
      <c r="E1707" s="1" t="s">
        <v>1546</v>
      </c>
      <c r="F1707" s="1" t="s">
        <v>23</v>
      </c>
      <c r="G1707" s="1" t="s">
        <v>23</v>
      </c>
      <c r="H1707" s="1" t="s">
        <v>15</v>
      </c>
      <c r="I1707" t="b">
        <f>COUNTIF(Estadísticas!I:I,'Centraldecomunicacion.es'!H1707)&gt;0</f>
        <v>0</v>
      </c>
    </row>
    <row r="1708" spans="1:9">
      <c r="A1708" s="1" t="s">
        <v>6166</v>
      </c>
      <c r="B1708" s="1" t="s">
        <v>10</v>
      </c>
      <c r="C1708" s="1" t="s">
        <v>6167</v>
      </c>
      <c r="D1708" s="1" t="s">
        <v>6143</v>
      </c>
      <c r="E1708" s="1" t="s">
        <v>1546</v>
      </c>
      <c r="F1708" s="1" t="s">
        <v>23</v>
      </c>
      <c r="G1708" s="1" t="s">
        <v>6168</v>
      </c>
      <c r="H1708" s="1" t="s">
        <v>15</v>
      </c>
      <c r="I1708" t="b">
        <f>COUNTIF(Estadísticas!I:I,'Centraldecomunicacion.es'!H1708)&gt;0</f>
        <v>0</v>
      </c>
    </row>
    <row r="1709" spans="1:9">
      <c r="A1709" s="1" t="s">
        <v>6169</v>
      </c>
      <c r="B1709" s="1" t="s">
        <v>10</v>
      </c>
      <c r="C1709" s="1" t="s">
        <v>6170</v>
      </c>
      <c r="D1709" s="1" t="s">
        <v>6171</v>
      </c>
      <c r="E1709" s="1" t="s">
        <v>1546</v>
      </c>
      <c r="F1709" s="1" t="s">
        <v>6172</v>
      </c>
      <c r="G1709" s="1" t="s">
        <v>6173</v>
      </c>
      <c r="H1709" s="1" t="s">
        <v>6174</v>
      </c>
      <c r="I1709" t="b">
        <f>COUNTIF(Estadísticas!I:I,'Centraldecomunicacion.es'!H1709)&gt;0</f>
        <v>0</v>
      </c>
    </row>
    <row r="1710" spans="1:9">
      <c r="A1710" s="1" t="s">
        <v>6175</v>
      </c>
      <c r="B1710" s="1" t="s">
        <v>10</v>
      </c>
      <c r="C1710" s="1" t="s">
        <v>6176</v>
      </c>
      <c r="D1710" s="1" t="s">
        <v>6126</v>
      </c>
      <c r="E1710" s="1" t="s">
        <v>1546</v>
      </c>
      <c r="F1710" s="1" t="s">
        <v>390</v>
      </c>
      <c r="G1710" s="1" t="s">
        <v>6177</v>
      </c>
      <c r="H1710" s="1" t="s">
        <v>15</v>
      </c>
      <c r="I1710" t="b">
        <f>COUNTIF(Estadísticas!I:I,'Centraldecomunicacion.es'!H1710)&gt;0</f>
        <v>0</v>
      </c>
    </row>
    <row r="1711" spans="1:9">
      <c r="A1711" s="1" t="s">
        <v>6178</v>
      </c>
      <c r="B1711" s="1" t="s">
        <v>10</v>
      </c>
      <c r="C1711" s="1" t="s">
        <v>6179</v>
      </c>
      <c r="D1711" s="1" t="s">
        <v>6180</v>
      </c>
      <c r="E1711" s="1" t="s">
        <v>1546</v>
      </c>
      <c r="F1711" s="1" t="s">
        <v>56</v>
      </c>
      <c r="G1711" s="1" t="s">
        <v>6181</v>
      </c>
      <c r="H1711" s="1" t="s">
        <v>15</v>
      </c>
      <c r="I1711" t="b">
        <f>COUNTIF(Estadísticas!I:I,'Centraldecomunicacion.es'!H1711)&gt;0</f>
        <v>0</v>
      </c>
    </row>
    <row r="1712" spans="1:9">
      <c r="A1712" s="1" t="s">
        <v>6182</v>
      </c>
      <c r="B1712" s="1" t="s">
        <v>10</v>
      </c>
      <c r="C1712" s="1" t="s">
        <v>6183</v>
      </c>
      <c r="D1712" s="1" t="s">
        <v>6180</v>
      </c>
      <c r="E1712" s="1" t="s">
        <v>1546</v>
      </c>
      <c r="F1712" s="1" t="s">
        <v>23</v>
      </c>
      <c r="G1712" s="1" t="s">
        <v>6184</v>
      </c>
      <c r="H1712" s="1" t="s">
        <v>15</v>
      </c>
      <c r="I1712" t="b">
        <f>COUNTIF(Estadísticas!I:I,'Centraldecomunicacion.es'!H1712)&gt;0</f>
        <v>0</v>
      </c>
    </row>
    <row r="1713" spans="1:9">
      <c r="A1713" s="1" t="s">
        <v>6185</v>
      </c>
      <c r="B1713" s="1" t="s">
        <v>10</v>
      </c>
      <c r="C1713" s="1" t="s">
        <v>6186</v>
      </c>
      <c r="D1713" s="1" t="s">
        <v>6187</v>
      </c>
      <c r="E1713" s="1" t="s">
        <v>1546</v>
      </c>
      <c r="F1713" s="1" t="s">
        <v>6144</v>
      </c>
      <c r="G1713" s="1" t="s">
        <v>6188</v>
      </c>
      <c r="H1713" s="1" t="s">
        <v>6146</v>
      </c>
      <c r="I1713" t="b">
        <f>COUNTIF(Estadísticas!I:I,'Centraldecomunicacion.es'!H1713)&gt;0</f>
        <v>0</v>
      </c>
    </row>
    <row r="1714" spans="1:9">
      <c r="A1714" s="1" t="s">
        <v>6189</v>
      </c>
      <c r="B1714" s="1" t="s">
        <v>10</v>
      </c>
      <c r="C1714" s="1" t="s">
        <v>6190</v>
      </c>
      <c r="D1714" s="1" t="s">
        <v>6191</v>
      </c>
      <c r="E1714" s="1" t="s">
        <v>1546</v>
      </c>
      <c r="F1714" s="1" t="s">
        <v>23</v>
      </c>
      <c r="G1714" s="1" t="s">
        <v>6192</v>
      </c>
      <c r="H1714" s="1" t="s">
        <v>15</v>
      </c>
      <c r="I1714" t="b">
        <f>COUNTIF(Estadísticas!I:I,'Centraldecomunicacion.es'!H1714)&gt;0</f>
        <v>0</v>
      </c>
    </row>
    <row r="1715" spans="1:9">
      <c r="A1715" s="1" t="s">
        <v>6193</v>
      </c>
      <c r="B1715" s="1" t="s">
        <v>10</v>
      </c>
      <c r="C1715" s="1" t="s">
        <v>6194</v>
      </c>
      <c r="D1715" s="1" t="s">
        <v>6126</v>
      </c>
      <c r="E1715" s="1" t="s">
        <v>1546</v>
      </c>
      <c r="F1715" s="1" t="s">
        <v>1655</v>
      </c>
      <c r="G1715" s="1" t="s">
        <v>6195</v>
      </c>
      <c r="H1715" s="1" t="s">
        <v>1657</v>
      </c>
      <c r="I1715" t="b">
        <f>COUNTIF(Estadísticas!I:I,'Centraldecomunicacion.es'!H1715)&gt;0</f>
        <v>0</v>
      </c>
    </row>
    <row r="1716" spans="1:9">
      <c r="A1716" s="1" t="s">
        <v>1653</v>
      </c>
      <c r="B1716" s="1" t="s">
        <v>10</v>
      </c>
      <c r="C1716" s="1" t="s">
        <v>6196</v>
      </c>
      <c r="D1716" s="1" t="s">
        <v>6197</v>
      </c>
      <c r="E1716" s="1" t="s">
        <v>1546</v>
      </c>
      <c r="F1716" s="1" t="s">
        <v>1655</v>
      </c>
      <c r="G1716" s="1" t="s">
        <v>6198</v>
      </c>
      <c r="H1716" s="1" t="s">
        <v>1657</v>
      </c>
      <c r="I1716" t="b">
        <f>COUNTIF(Estadísticas!I:I,'Centraldecomunicacion.es'!H1716)&gt;0</f>
        <v>0</v>
      </c>
    </row>
    <row r="1717" spans="1:9">
      <c r="A1717" s="1" t="s">
        <v>6113</v>
      </c>
      <c r="B1717" s="1" t="s">
        <v>10</v>
      </c>
      <c r="C1717" s="1" t="s">
        <v>6199</v>
      </c>
      <c r="D1717" s="1" t="s">
        <v>6200</v>
      </c>
      <c r="E1717" s="1" t="s">
        <v>1546</v>
      </c>
      <c r="F1717" s="1" t="s">
        <v>23</v>
      </c>
      <c r="G1717" s="1" t="s">
        <v>6201</v>
      </c>
      <c r="H1717" s="1" t="s">
        <v>15</v>
      </c>
      <c r="I1717" t="b">
        <f>COUNTIF(Estadísticas!I:I,'Centraldecomunicacion.es'!H1717)&gt;0</f>
        <v>0</v>
      </c>
    </row>
    <row r="1718" spans="1:9">
      <c r="A1718" s="1" t="s">
        <v>6202</v>
      </c>
      <c r="B1718" s="1" t="s">
        <v>10</v>
      </c>
      <c r="C1718" s="1" t="s">
        <v>6203</v>
      </c>
      <c r="D1718" s="1" t="s">
        <v>6204</v>
      </c>
      <c r="E1718" s="1" t="s">
        <v>1546</v>
      </c>
      <c r="F1718" s="1" t="s">
        <v>23</v>
      </c>
      <c r="G1718" s="1" t="s">
        <v>6205</v>
      </c>
      <c r="H1718" s="1" t="s">
        <v>15</v>
      </c>
      <c r="I1718" t="b">
        <f>COUNTIF(Estadísticas!I:I,'Centraldecomunicacion.es'!H1718)&gt;0</f>
        <v>0</v>
      </c>
    </row>
    <row r="1719" spans="1:9">
      <c r="A1719" s="1" t="s">
        <v>6206</v>
      </c>
      <c r="B1719" s="1" t="s">
        <v>10</v>
      </c>
      <c r="C1719" s="1" t="s">
        <v>6207</v>
      </c>
      <c r="D1719" s="1" t="s">
        <v>6208</v>
      </c>
      <c r="E1719" s="1" t="s">
        <v>1546</v>
      </c>
      <c r="F1719" s="1" t="s">
        <v>23</v>
      </c>
      <c r="G1719" s="1" t="s">
        <v>6209</v>
      </c>
      <c r="H1719" s="1" t="s">
        <v>15</v>
      </c>
      <c r="I1719" t="b">
        <f>COUNTIF(Estadísticas!I:I,'Centraldecomunicacion.es'!H1719)&gt;0</f>
        <v>0</v>
      </c>
    </row>
    <row r="1720" spans="1:9">
      <c r="A1720" s="1" t="s">
        <v>6210</v>
      </c>
      <c r="B1720" s="1" t="s">
        <v>10</v>
      </c>
      <c r="C1720" s="1" t="s">
        <v>6211</v>
      </c>
      <c r="D1720" s="1" t="s">
        <v>6204</v>
      </c>
      <c r="E1720" s="1" t="s">
        <v>1546</v>
      </c>
      <c r="F1720" s="1" t="s">
        <v>23</v>
      </c>
      <c r="G1720" s="1" t="s">
        <v>6212</v>
      </c>
      <c r="H1720" s="1" t="s">
        <v>15</v>
      </c>
      <c r="I1720" t="b">
        <f>COUNTIF(Estadísticas!I:I,'Centraldecomunicacion.es'!H1720)&gt;0</f>
        <v>0</v>
      </c>
    </row>
    <row r="1721" spans="1:9">
      <c r="A1721" s="1" t="s">
        <v>6213</v>
      </c>
      <c r="B1721" s="1" t="s">
        <v>10</v>
      </c>
      <c r="C1721" s="1" t="s">
        <v>6214</v>
      </c>
      <c r="D1721" s="1" t="s">
        <v>6215</v>
      </c>
      <c r="E1721" s="1" t="s">
        <v>1546</v>
      </c>
      <c r="F1721" s="1" t="s">
        <v>23</v>
      </c>
      <c r="G1721" s="1" t="s">
        <v>6216</v>
      </c>
      <c r="H1721" s="1" t="s">
        <v>15</v>
      </c>
      <c r="I1721" t="b">
        <f>COUNTIF(Estadísticas!I:I,'Centraldecomunicacion.es'!H1721)&gt;0</f>
        <v>0</v>
      </c>
    </row>
    <row r="1722" spans="1:9">
      <c r="A1722" s="1" t="s">
        <v>6217</v>
      </c>
      <c r="B1722" s="1" t="s">
        <v>10</v>
      </c>
      <c r="C1722" s="1" t="s">
        <v>6218</v>
      </c>
      <c r="D1722" s="1" t="s">
        <v>6219</v>
      </c>
      <c r="E1722" s="1" t="s">
        <v>1546</v>
      </c>
      <c r="F1722" s="1" t="s">
        <v>23</v>
      </c>
      <c r="G1722" s="1" t="s">
        <v>6220</v>
      </c>
      <c r="H1722" s="1" t="s">
        <v>15</v>
      </c>
      <c r="I1722" t="b">
        <f>COUNTIF(Estadísticas!I:I,'Centraldecomunicacion.es'!H1722)&gt;0</f>
        <v>0</v>
      </c>
    </row>
    <row r="1723" spans="1:9">
      <c r="A1723" s="1" t="s">
        <v>6221</v>
      </c>
      <c r="B1723" s="1" t="s">
        <v>10</v>
      </c>
      <c r="C1723" s="1" t="s">
        <v>6222</v>
      </c>
      <c r="D1723" s="1" t="s">
        <v>6223</v>
      </c>
      <c r="E1723" s="1" t="s">
        <v>1546</v>
      </c>
      <c r="F1723" s="1" t="s">
        <v>23</v>
      </c>
      <c r="G1723" s="1" t="s">
        <v>6224</v>
      </c>
      <c r="H1723" s="1" t="s">
        <v>15</v>
      </c>
      <c r="I1723" t="b">
        <f>COUNTIF(Estadísticas!I:I,'Centraldecomunicacion.es'!H1723)&gt;0</f>
        <v>0</v>
      </c>
    </row>
    <row r="1724" spans="1:9">
      <c r="A1724" s="1" t="s">
        <v>6225</v>
      </c>
      <c r="B1724" s="1" t="s">
        <v>10</v>
      </c>
      <c r="C1724" s="1" t="s">
        <v>6226</v>
      </c>
      <c r="D1724" s="1" t="s">
        <v>6219</v>
      </c>
      <c r="E1724" s="1" t="s">
        <v>1546</v>
      </c>
      <c r="F1724" s="1" t="s">
        <v>1655</v>
      </c>
      <c r="G1724" s="1" t="s">
        <v>6227</v>
      </c>
      <c r="H1724" s="1" t="s">
        <v>1657</v>
      </c>
      <c r="I1724" t="b">
        <f>COUNTIF(Estadísticas!I:I,'Centraldecomunicacion.es'!H1724)&gt;0</f>
        <v>0</v>
      </c>
    </row>
    <row r="1725" spans="1:9">
      <c r="A1725" s="1" t="s">
        <v>6228</v>
      </c>
      <c r="B1725" s="1" t="s">
        <v>10</v>
      </c>
      <c r="C1725" s="1" t="s">
        <v>6229</v>
      </c>
      <c r="D1725" s="1" t="s">
        <v>6223</v>
      </c>
      <c r="E1725" s="1" t="s">
        <v>1546</v>
      </c>
      <c r="F1725" s="1" t="s">
        <v>23</v>
      </c>
      <c r="G1725" s="1" t="s">
        <v>23</v>
      </c>
      <c r="H1725" s="1" t="s">
        <v>15</v>
      </c>
      <c r="I1725" t="b">
        <f>COUNTIF(Estadísticas!I:I,'Centraldecomunicacion.es'!H1725)&gt;0</f>
        <v>0</v>
      </c>
    </row>
    <row r="1726" spans="1:9">
      <c r="A1726" s="1" t="s">
        <v>6230</v>
      </c>
      <c r="B1726" s="1" t="s">
        <v>10</v>
      </c>
      <c r="C1726" s="1" t="s">
        <v>6231</v>
      </c>
      <c r="D1726" s="1" t="s">
        <v>6219</v>
      </c>
      <c r="E1726" s="1" t="s">
        <v>1546</v>
      </c>
      <c r="F1726" s="1" t="s">
        <v>23</v>
      </c>
      <c r="G1726" s="1" t="s">
        <v>6232</v>
      </c>
      <c r="H1726" s="1" t="s">
        <v>15</v>
      </c>
      <c r="I1726" t="b">
        <f>COUNTIF(Estadísticas!I:I,'Centraldecomunicacion.es'!H1726)&gt;0</f>
        <v>0</v>
      </c>
    </row>
    <row r="1727" spans="1:9">
      <c r="A1727" s="1" t="s">
        <v>4538</v>
      </c>
      <c r="B1727" s="1" t="s">
        <v>10</v>
      </c>
      <c r="C1727" s="1" t="s">
        <v>6233</v>
      </c>
      <c r="D1727" s="1" t="s">
        <v>6223</v>
      </c>
      <c r="E1727" s="1" t="s">
        <v>1546</v>
      </c>
      <c r="F1727" s="1" t="s">
        <v>23</v>
      </c>
      <c r="G1727" s="1" t="s">
        <v>6234</v>
      </c>
      <c r="H1727" s="1" t="s">
        <v>15</v>
      </c>
      <c r="I1727" t="b">
        <f>COUNTIF(Estadísticas!I:I,'Centraldecomunicacion.es'!H1727)&gt;0</f>
        <v>0</v>
      </c>
    </row>
    <row r="1728" spans="1:9">
      <c r="A1728" s="1" t="s">
        <v>4607</v>
      </c>
      <c r="B1728" s="1" t="s">
        <v>10</v>
      </c>
      <c r="C1728" s="1" t="s">
        <v>6235</v>
      </c>
      <c r="D1728" s="1" t="s">
        <v>6236</v>
      </c>
      <c r="E1728" s="1" t="s">
        <v>1546</v>
      </c>
      <c r="F1728" s="1" t="s">
        <v>6237</v>
      </c>
      <c r="G1728" s="1" t="s">
        <v>6238</v>
      </c>
      <c r="H1728" s="1" t="s">
        <v>6239</v>
      </c>
      <c r="I1728" t="b">
        <f>COUNTIF(Estadísticas!I:I,'Centraldecomunicacion.es'!H1728)&gt;0</f>
        <v>0</v>
      </c>
    </row>
    <row r="1729" spans="1:9">
      <c r="A1729" s="1" t="s">
        <v>6240</v>
      </c>
      <c r="B1729" s="1" t="s">
        <v>10</v>
      </c>
      <c r="C1729" s="1" t="s">
        <v>6241</v>
      </c>
      <c r="D1729" s="1" t="s">
        <v>6219</v>
      </c>
      <c r="E1729" s="1" t="s">
        <v>1546</v>
      </c>
      <c r="F1729" s="1" t="s">
        <v>56</v>
      </c>
      <c r="G1729" s="1" t="s">
        <v>6242</v>
      </c>
      <c r="H1729" s="1" t="s">
        <v>15</v>
      </c>
      <c r="I1729" t="b">
        <f>COUNTIF(Estadísticas!I:I,'Centraldecomunicacion.es'!H1729)&gt;0</f>
        <v>0</v>
      </c>
    </row>
    <row r="1730" spans="1:9">
      <c r="A1730" s="1" t="s">
        <v>6243</v>
      </c>
      <c r="B1730" s="1" t="s">
        <v>10</v>
      </c>
      <c r="C1730" s="1" t="s">
        <v>6244</v>
      </c>
      <c r="D1730" s="1" t="s">
        <v>6204</v>
      </c>
      <c r="E1730" s="1" t="s">
        <v>1546</v>
      </c>
      <c r="F1730" s="1" t="s">
        <v>23</v>
      </c>
      <c r="G1730" s="1" t="s">
        <v>23</v>
      </c>
      <c r="H1730" s="1" t="s">
        <v>15</v>
      </c>
      <c r="I1730" t="b">
        <f>COUNTIF(Estadísticas!I:I,'Centraldecomunicacion.es'!H1730)&gt;0</f>
        <v>0</v>
      </c>
    </row>
    <row r="1731" spans="1:9">
      <c r="A1731" s="1" t="s">
        <v>6245</v>
      </c>
      <c r="B1731" s="1" t="s">
        <v>10</v>
      </c>
      <c r="C1731" s="1" t="s">
        <v>6246</v>
      </c>
      <c r="D1731" s="1" t="s">
        <v>6247</v>
      </c>
      <c r="E1731" s="1" t="s">
        <v>1546</v>
      </c>
      <c r="F1731" s="1" t="s">
        <v>23</v>
      </c>
      <c r="G1731" s="1" t="s">
        <v>6248</v>
      </c>
      <c r="H1731" s="1" t="s">
        <v>15</v>
      </c>
      <c r="I1731" t="b">
        <f>COUNTIF(Estadísticas!I:I,'Centraldecomunicacion.es'!H1731)&gt;0</f>
        <v>0</v>
      </c>
    </row>
    <row r="1732" spans="1:9">
      <c r="A1732" s="1" t="s">
        <v>6249</v>
      </c>
      <c r="B1732" s="1" t="s">
        <v>10</v>
      </c>
      <c r="C1732" s="1" t="s">
        <v>6250</v>
      </c>
      <c r="D1732" s="1" t="s">
        <v>6247</v>
      </c>
      <c r="E1732" s="1" t="s">
        <v>1546</v>
      </c>
      <c r="F1732" s="1" t="s">
        <v>23</v>
      </c>
      <c r="G1732" s="1" t="s">
        <v>6251</v>
      </c>
      <c r="H1732" s="1" t="s">
        <v>15</v>
      </c>
      <c r="I1732" t="b">
        <f>COUNTIF(Estadísticas!I:I,'Centraldecomunicacion.es'!H1732)&gt;0</f>
        <v>0</v>
      </c>
    </row>
    <row r="1733" spans="1:9">
      <c r="A1733" s="1" t="s">
        <v>6252</v>
      </c>
      <c r="B1733" s="1" t="s">
        <v>10</v>
      </c>
      <c r="C1733" s="1" t="s">
        <v>6253</v>
      </c>
      <c r="D1733" s="1" t="s">
        <v>6197</v>
      </c>
      <c r="E1733" s="1" t="s">
        <v>1546</v>
      </c>
      <c r="F1733" s="1" t="s">
        <v>6254</v>
      </c>
      <c r="G1733" s="1" t="s">
        <v>23</v>
      </c>
      <c r="H1733" s="1" t="s">
        <v>6255</v>
      </c>
      <c r="I1733" t="b">
        <f>COUNTIF(Estadísticas!I:I,'Centraldecomunicacion.es'!H1733)&gt;0</f>
        <v>0</v>
      </c>
    </row>
    <row r="1734" spans="1:9">
      <c r="A1734" s="1" t="s">
        <v>6256</v>
      </c>
      <c r="B1734" s="1" t="s">
        <v>10</v>
      </c>
      <c r="C1734" s="1" t="s">
        <v>6257</v>
      </c>
      <c r="D1734" s="1" t="s">
        <v>6258</v>
      </c>
      <c r="E1734" s="1" t="s">
        <v>1546</v>
      </c>
      <c r="F1734" s="1" t="s">
        <v>23</v>
      </c>
      <c r="G1734" s="1" t="s">
        <v>6259</v>
      </c>
      <c r="H1734" s="1" t="s">
        <v>15</v>
      </c>
      <c r="I1734" t="b">
        <f>COUNTIF(Estadísticas!I:I,'Centraldecomunicacion.es'!H1734)&gt;0</f>
        <v>0</v>
      </c>
    </row>
    <row r="1735" spans="1:9">
      <c r="A1735" s="1" t="s">
        <v>1653</v>
      </c>
      <c r="B1735" s="1" t="s">
        <v>10</v>
      </c>
      <c r="C1735" s="1" t="s">
        <v>6260</v>
      </c>
      <c r="D1735" s="1" t="s">
        <v>1546</v>
      </c>
      <c r="E1735" s="1" t="s">
        <v>1546</v>
      </c>
      <c r="F1735" s="1" t="s">
        <v>1655</v>
      </c>
      <c r="G1735" s="1" t="s">
        <v>6261</v>
      </c>
      <c r="H1735" s="1" t="s">
        <v>1657</v>
      </c>
      <c r="I1735" t="b">
        <f>COUNTIF(Estadísticas!I:I,'Centraldecomunicacion.es'!H1735)&gt;0</f>
        <v>0</v>
      </c>
    </row>
    <row r="1736" spans="1:9">
      <c r="A1736" s="1" t="s">
        <v>6262</v>
      </c>
      <c r="B1736" s="1" t="s">
        <v>10</v>
      </c>
      <c r="C1736" s="1" t="s">
        <v>6263</v>
      </c>
      <c r="D1736" s="1" t="s">
        <v>6264</v>
      </c>
      <c r="E1736" s="1" t="s">
        <v>1546</v>
      </c>
      <c r="F1736" s="1" t="s">
        <v>23</v>
      </c>
      <c r="G1736" s="1" t="s">
        <v>6265</v>
      </c>
      <c r="H1736" s="1" t="s">
        <v>15</v>
      </c>
      <c r="I1736" t="b">
        <f>COUNTIF(Estadísticas!I:I,'Centraldecomunicacion.es'!H1736)&gt;0</f>
        <v>0</v>
      </c>
    </row>
    <row r="1737" spans="1:9">
      <c r="A1737" s="1" t="s">
        <v>321</v>
      </c>
      <c r="B1737" s="1" t="s">
        <v>10</v>
      </c>
      <c r="C1737" s="1" t="s">
        <v>6266</v>
      </c>
      <c r="D1737" s="1" t="s">
        <v>6267</v>
      </c>
      <c r="E1737" s="1" t="s">
        <v>1546</v>
      </c>
      <c r="F1737" s="1" t="s">
        <v>323</v>
      </c>
      <c r="G1737" s="1" t="s">
        <v>6268</v>
      </c>
      <c r="H1737" s="1" t="s">
        <v>325</v>
      </c>
      <c r="I1737" t="b">
        <f>COUNTIF(Estadísticas!I:I,'Centraldecomunicacion.es'!H1737)&gt;0</f>
        <v>0</v>
      </c>
    </row>
    <row r="1738" spans="1:9">
      <c r="A1738" s="1" t="s">
        <v>6269</v>
      </c>
      <c r="B1738" s="1" t="s">
        <v>10</v>
      </c>
      <c r="C1738" s="1" t="s">
        <v>6270</v>
      </c>
      <c r="D1738" s="1" t="s">
        <v>6267</v>
      </c>
      <c r="E1738" s="1" t="s">
        <v>1546</v>
      </c>
      <c r="F1738" s="1" t="s">
        <v>811</v>
      </c>
      <c r="G1738" s="1" t="s">
        <v>6268</v>
      </c>
      <c r="H1738" s="1" t="s">
        <v>15</v>
      </c>
      <c r="I1738" t="b">
        <f>COUNTIF(Estadísticas!I:I,'Centraldecomunicacion.es'!H1738)&gt;0</f>
        <v>0</v>
      </c>
    </row>
    <row r="1739" spans="1:9">
      <c r="A1739" s="1" t="s">
        <v>6271</v>
      </c>
      <c r="B1739" s="1" t="s">
        <v>10</v>
      </c>
      <c r="C1739" s="1" t="s">
        <v>6272</v>
      </c>
      <c r="D1739" s="1" t="s">
        <v>6273</v>
      </c>
      <c r="E1739" s="1" t="s">
        <v>1546</v>
      </c>
      <c r="F1739" s="1" t="s">
        <v>23</v>
      </c>
      <c r="G1739" s="1" t="s">
        <v>6274</v>
      </c>
      <c r="H1739" s="1" t="s">
        <v>15</v>
      </c>
      <c r="I1739" t="b">
        <f>COUNTIF(Estadísticas!I:I,'Centraldecomunicacion.es'!H1739)&gt;0</f>
        <v>0</v>
      </c>
    </row>
    <row r="1740" spans="1:9">
      <c r="A1740" s="1" t="s">
        <v>6275</v>
      </c>
      <c r="B1740" s="1" t="s">
        <v>10</v>
      </c>
      <c r="C1740" s="1" t="s">
        <v>6276</v>
      </c>
      <c r="D1740" s="1" t="s">
        <v>6277</v>
      </c>
      <c r="E1740" s="1" t="s">
        <v>1546</v>
      </c>
      <c r="F1740" s="1" t="s">
        <v>23</v>
      </c>
      <c r="G1740" s="1" t="s">
        <v>6278</v>
      </c>
      <c r="H1740" s="1" t="s">
        <v>15</v>
      </c>
      <c r="I1740" t="b">
        <f>COUNTIF(Estadísticas!I:I,'Centraldecomunicacion.es'!H1740)&gt;0</f>
        <v>0</v>
      </c>
    </row>
    <row r="1741" spans="1:9">
      <c r="A1741" s="1" t="s">
        <v>6279</v>
      </c>
      <c r="B1741" s="1" t="s">
        <v>10</v>
      </c>
      <c r="C1741" s="1" t="s">
        <v>6280</v>
      </c>
      <c r="D1741" s="1" t="s">
        <v>6281</v>
      </c>
      <c r="E1741" s="1" t="s">
        <v>1546</v>
      </c>
      <c r="F1741" s="1" t="s">
        <v>23</v>
      </c>
      <c r="G1741" s="1" t="s">
        <v>6282</v>
      </c>
      <c r="H1741" s="1" t="s">
        <v>15</v>
      </c>
      <c r="I1741" t="b">
        <f>COUNTIF(Estadísticas!I:I,'Centraldecomunicacion.es'!H1741)&gt;0</f>
        <v>0</v>
      </c>
    </row>
    <row r="1742" spans="1:9">
      <c r="A1742" s="1" t="s">
        <v>6283</v>
      </c>
      <c r="B1742" s="1" t="s">
        <v>10</v>
      </c>
      <c r="C1742" s="1" t="s">
        <v>6284</v>
      </c>
      <c r="D1742" s="1" t="s">
        <v>6277</v>
      </c>
      <c r="E1742" s="1" t="s">
        <v>1546</v>
      </c>
      <c r="F1742" s="1" t="s">
        <v>23</v>
      </c>
      <c r="G1742" s="1" t="s">
        <v>6285</v>
      </c>
      <c r="H1742" s="1" t="s">
        <v>15</v>
      </c>
      <c r="I1742" t="b">
        <f>COUNTIF(Estadísticas!I:I,'Centraldecomunicacion.es'!H1742)&gt;0</f>
        <v>0</v>
      </c>
    </row>
    <row r="1743" spans="1:9">
      <c r="A1743" s="1" t="s">
        <v>6286</v>
      </c>
      <c r="B1743" s="1" t="s">
        <v>10</v>
      </c>
      <c r="C1743" s="1" t="s">
        <v>6287</v>
      </c>
      <c r="D1743" s="1" t="s">
        <v>6288</v>
      </c>
      <c r="E1743" s="1" t="s">
        <v>1546</v>
      </c>
      <c r="F1743" s="1" t="s">
        <v>23</v>
      </c>
      <c r="G1743" s="1" t="s">
        <v>6289</v>
      </c>
      <c r="H1743" s="1" t="s">
        <v>15</v>
      </c>
      <c r="I1743" t="b">
        <f>COUNTIF(Estadísticas!I:I,'Centraldecomunicacion.es'!H1743)&gt;0</f>
        <v>0</v>
      </c>
    </row>
    <row r="1744" spans="1:9">
      <c r="A1744" s="1" t="s">
        <v>6290</v>
      </c>
      <c r="B1744" s="1" t="s">
        <v>10</v>
      </c>
      <c r="C1744" s="1" t="s">
        <v>6291</v>
      </c>
      <c r="D1744" s="1" t="s">
        <v>6292</v>
      </c>
      <c r="E1744" s="1" t="s">
        <v>1546</v>
      </c>
      <c r="F1744" s="1" t="s">
        <v>23</v>
      </c>
      <c r="G1744" s="1" t="s">
        <v>6293</v>
      </c>
      <c r="H1744" s="1" t="s">
        <v>15</v>
      </c>
      <c r="I1744" t="b">
        <f>COUNTIF(Estadísticas!I:I,'Centraldecomunicacion.es'!H1744)&gt;0</f>
        <v>0</v>
      </c>
    </row>
    <row r="1745" spans="1:9">
      <c r="A1745" s="1" t="s">
        <v>6294</v>
      </c>
      <c r="B1745" s="1" t="s">
        <v>10</v>
      </c>
      <c r="C1745" s="1" t="s">
        <v>6295</v>
      </c>
      <c r="D1745" s="1" t="s">
        <v>6296</v>
      </c>
      <c r="E1745" s="1" t="s">
        <v>1546</v>
      </c>
      <c r="F1745" s="1" t="s">
        <v>6297</v>
      </c>
      <c r="G1745" s="1" t="s">
        <v>6298</v>
      </c>
      <c r="H1745" s="1" t="s">
        <v>6299</v>
      </c>
      <c r="I1745" t="b">
        <f>COUNTIF(Estadísticas!I:I,'Centraldecomunicacion.es'!H1745)&gt;0</f>
        <v>0</v>
      </c>
    </row>
    <row r="1746" spans="1:9">
      <c r="A1746" s="1" t="s">
        <v>6300</v>
      </c>
      <c r="B1746" s="1" t="s">
        <v>10</v>
      </c>
      <c r="C1746" s="1" t="s">
        <v>6229</v>
      </c>
      <c r="D1746" s="1" t="s">
        <v>6223</v>
      </c>
      <c r="E1746" s="1" t="s">
        <v>1546</v>
      </c>
      <c r="F1746" s="1" t="s">
        <v>23</v>
      </c>
      <c r="G1746" s="1" t="s">
        <v>6301</v>
      </c>
      <c r="H1746" s="1" t="s">
        <v>15</v>
      </c>
      <c r="I1746" t="b">
        <f>COUNTIF(Estadísticas!I:I,'Centraldecomunicacion.es'!H1746)&gt;0</f>
        <v>0</v>
      </c>
    </row>
    <row r="1747" spans="1:9">
      <c r="A1747" s="1" t="s">
        <v>5954</v>
      </c>
      <c r="B1747" s="1" t="s">
        <v>10</v>
      </c>
      <c r="C1747" s="1" t="s">
        <v>6302</v>
      </c>
      <c r="D1747" s="1" t="s">
        <v>6303</v>
      </c>
      <c r="E1747" s="1" t="s">
        <v>1546</v>
      </c>
      <c r="F1747" s="1" t="s">
        <v>1655</v>
      </c>
      <c r="G1747" s="1" t="s">
        <v>6304</v>
      </c>
      <c r="H1747" s="1" t="s">
        <v>1657</v>
      </c>
      <c r="I1747" t="b">
        <f>COUNTIF(Estadísticas!I:I,'Centraldecomunicacion.es'!H1747)&gt;0</f>
        <v>0</v>
      </c>
    </row>
    <row r="1748" spans="1:9">
      <c r="A1748" s="1" t="s">
        <v>6305</v>
      </c>
      <c r="B1748" s="1" t="s">
        <v>10</v>
      </c>
      <c r="C1748" s="1" t="s">
        <v>6306</v>
      </c>
      <c r="D1748" s="1" t="s">
        <v>6303</v>
      </c>
      <c r="E1748" s="1" t="s">
        <v>1546</v>
      </c>
      <c r="F1748" s="1" t="s">
        <v>6307</v>
      </c>
      <c r="G1748" s="1" t="s">
        <v>6308</v>
      </c>
      <c r="H1748" s="1" t="s">
        <v>15</v>
      </c>
      <c r="I1748" t="b">
        <f>COUNTIF(Estadísticas!I:I,'Centraldecomunicacion.es'!H1748)&gt;0</f>
        <v>0</v>
      </c>
    </row>
    <row r="1749" spans="1:9">
      <c r="A1749" s="1" t="s">
        <v>6309</v>
      </c>
      <c r="B1749" s="1" t="s">
        <v>10</v>
      </c>
      <c r="C1749" s="1" t="s">
        <v>6310</v>
      </c>
      <c r="D1749" s="1" t="s">
        <v>6311</v>
      </c>
      <c r="E1749" s="1" t="s">
        <v>1546</v>
      </c>
      <c r="F1749" s="1" t="s">
        <v>6312</v>
      </c>
      <c r="G1749" s="1" t="s">
        <v>6313</v>
      </c>
      <c r="H1749" s="1" t="s">
        <v>6314</v>
      </c>
      <c r="I1749" t="b">
        <f>COUNTIF(Estadísticas!I:I,'Centraldecomunicacion.es'!H1749)&gt;0</f>
        <v>1</v>
      </c>
    </row>
    <row r="1750" spans="1:9">
      <c r="A1750" s="1" t="s">
        <v>6315</v>
      </c>
      <c r="B1750" s="1" t="s">
        <v>10</v>
      </c>
      <c r="C1750" s="1" t="s">
        <v>6316</v>
      </c>
      <c r="D1750" s="1" t="s">
        <v>6317</v>
      </c>
      <c r="E1750" s="1" t="s">
        <v>6317</v>
      </c>
      <c r="F1750" s="1" t="s">
        <v>23</v>
      </c>
      <c r="G1750" s="1" t="s">
        <v>6318</v>
      </c>
      <c r="H1750" s="1" t="s">
        <v>15</v>
      </c>
      <c r="I1750" t="b">
        <f>COUNTIF(Estadísticas!I:I,'Centraldecomunicacion.es'!H1750)&gt;0</f>
        <v>0</v>
      </c>
    </row>
    <row r="1751" spans="1:9">
      <c r="A1751" s="1" t="s">
        <v>6319</v>
      </c>
      <c r="B1751" s="1" t="s">
        <v>10</v>
      </c>
      <c r="C1751" s="1" t="s">
        <v>6320</v>
      </c>
      <c r="D1751" s="1" t="s">
        <v>6317</v>
      </c>
      <c r="E1751" s="1" t="s">
        <v>6317</v>
      </c>
      <c r="F1751" s="1" t="s">
        <v>23</v>
      </c>
      <c r="G1751" s="1" t="s">
        <v>6321</v>
      </c>
      <c r="H1751" s="1" t="s">
        <v>15</v>
      </c>
      <c r="I1751" t="b">
        <f>COUNTIF(Estadísticas!I:I,'Centraldecomunicacion.es'!H1751)&gt;0</f>
        <v>0</v>
      </c>
    </row>
    <row r="1752" spans="1:9">
      <c r="A1752" s="1" t="s">
        <v>6322</v>
      </c>
      <c r="B1752" s="1" t="s">
        <v>10</v>
      </c>
      <c r="C1752" s="1" t="s">
        <v>6323</v>
      </c>
      <c r="D1752" s="1" t="s">
        <v>6317</v>
      </c>
      <c r="E1752" s="1" t="s">
        <v>6317</v>
      </c>
      <c r="F1752" s="1" t="s">
        <v>23</v>
      </c>
      <c r="G1752" s="1" t="s">
        <v>6324</v>
      </c>
      <c r="H1752" s="1" t="s">
        <v>15</v>
      </c>
      <c r="I1752" t="b">
        <f>COUNTIF(Estadísticas!I:I,'Centraldecomunicacion.es'!H1752)&gt;0</f>
        <v>0</v>
      </c>
    </row>
    <row r="1753" spans="1:9">
      <c r="A1753" s="1" t="s">
        <v>3853</v>
      </c>
      <c r="B1753" s="1" t="s">
        <v>10</v>
      </c>
      <c r="C1753" s="1" t="s">
        <v>6325</v>
      </c>
      <c r="D1753" s="1" t="s">
        <v>6317</v>
      </c>
      <c r="E1753" s="1" t="s">
        <v>6317</v>
      </c>
      <c r="F1753" s="1" t="s">
        <v>23</v>
      </c>
      <c r="G1753" s="1" t="s">
        <v>6326</v>
      </c>
      <c r="H1753" s="1" t="s">
        <v>15</v>
      </c>
      <c r="I1753" t="b">
        <f>COUNTIF(Estadísticas!I:I,'Centraldecomunicacion.es'!H1753)&gt;0</f>
        <v>0</v>
      </c>
    </row>
    <row r="1754" spans="1:9">
      <c r="A1754" s="1" t="s">
        <v>6327</v>
      </c>
      <c r="B1754" s="1" t="s">
        <v>10</v>
      </c>
      <c r="C1754" s="1" t="s">
        <v>6328</v>
      </c>
      <c r="D1754" s="1" t="s">
        <v>6317</v>
      </c>
      <c r="E1754" s="1" t="s">
        <v>6317</v>
      </c>
      <c r="F1754" s="1" t="s">
        <v>23</v>
      </c>
      <c r="G1754" s="1" t="s">
        <v>6329</v>
      </c>
      <c r="H1754" s="1" t="s">
        <v>15</v>
      </c>
      <c r="I1754" t="b">
        <f>COUNTIF(Estadísticas!I:I,'Centraldecomunicacion.es'!H1754)&gt;0</f>
        <v>0</v>
      </c>
    </row>
    <row r="1755" spans="1:9">
      <c r="A1755" s="1" t="s">
        <v>6330</v>
      </c>
      <c r="B1755" s="1" t="s">
        <v>10</v>
      </c>
      <c r="C1755" s="1" t="s">
        <v>6331</v>
      </c>
      <c r="D1755" s="1" t="s">
        <v>6317</v>
      </c>
      <c r="E1755" s="1" t="s">
        <v>6317</v>
      </c>
      <c r="F1755" s="1" t="s">
        <v>56</v>
      </c>
      <c r="G1755" s="1" t="s">
        <v>6332</v>
      </c>
      <c r="H1755" s="1" t="s">
        <v>15</v>
      </c>
      <c r="I1755" t="b">
        <f>COUNTIF(Estadísticas!I:I,'Centraldecomunicacion.es'!H1755)&gt;0</f>
        <v>0</v>
      </c>
    </row>
    <row r="1756" spans="1:9">
      <c r="A1756" s="1" t="s">
        <v>6333</v>
      </c>
      <c r="B1756" s="1" t="s">
        <v>10</v>
      </c>
      <c r="C1756" s="1" t="s">
        <v>6334</v>
      </c>
      <c r="D1756" s="1" t="s">
        <v>6317</v>
      </c>
      <c r="E1756" s="1" t="s">
        <v>6317</v>
      </c>
      <c r="F1756" s="1" t="s">
        <v>23</v>
      </c>
      <c r="G1756" s="1" t="s">
        <v>6335</v>
      </c>
      <c r="H1756" s="1" t="s">
        <v>15</v>
      </c>
      <c r="I1756" t="b">
        <f>COUNTIF(Estadísticas!I:I,'Centraldecomunicacion.es'!H1756)&gt;0</f>
        <v>0</v>
      </c>
    </row>
    <row r="1757" spans="1:9">
      <c r="A1757" s="1" t="s">
        <v>6336</v>
      </c>
      <c r="B1757" s="1" t="s">
        <v>10</v>
      </c>
      <c r="C1757" s="1" t="s">
        <v>6337</v>
      </c>
      <c r="D1757" s="1" t="s">
        <v>6317</v>
      </c>
      <c r="E1757" s="1" t="s">
        <v>6317</v>
      </c>
      <c r="F1757" s="1" t="s">
        <v>23</v>
      </c>
      <c r="G1757" s="1" t="s">
        <v>6338</v>
      </c>
      <c r="H1757" s="1" t="s">
        <v>15</v>
      </c>
      <c r="I1757" t="b">
        <f>COUNTIF(Estadísticas!I:I,'Centraldecomunicacion.es'!H1757)&gt;0</f>
        <v>0</v>
      </c>
    </row>
    <row r="1758" spans="1:9">
      <c r="A1758" s="1" t="s">
        <v>6339</v>
      </c>
      <c r="B1758" s="1" t="s">
        <v>10</v>
      </c>
      <c r="C1758" s="1" t="s">
        <v>6340</v>
      </c>
      <c r="D1758" s="1" t="s">
        <v>6341</v>
      </c>
      <c r="E1758" s="1" t="s">
        <v>6317</v>
      </c>
      <c r="F1758" s="1" t="s">
        <v>23</v>
      </c>
      <c r="G1758" s="1" t="s">
        <v>6342</v>
      </c>
      <c r="H1758" s="1" t="s">
        <v>15</v>
      </c>
      <c r="I1758" t="b">
        <f>COUNTIF(Estadísticas!I:I,'Centraldecomunicacion.es'!H1758)&gt;0</f>
        <v>0</v>
      </c>
    </row>
    <row r="1759" spans="1:9">
      <c r="A1759" s="1" t="s">
        <v>6343</v>
      </c>
      <c r="B1759" s="1" t="s">
        <v>10</v>
      </c>
      <c r="C1759" s="1" t="s">
        <v>6344</v>
      </c>
      <c r="D1759" s="1" t="s">
        <v>6345</v>
      </c>
      <c r="E1759" s="1" t="s">
        <v>6317</v>
      </c>
      <c r="F1759" s="1" t="s">
        <v>23</v>
      </c>
      <c r="G1759" s="1" t="s">
        <v>6346</v>
      </c>
      <c r="H1759" s="1" t="s">
        <v>15</v>
      </c>
      <c r="I1759" t="b">
        <f>COUNTIF(Estadísticas!I:I,'Centraldecomunicacion.es'!H1759)&gt;0</f>
        <v>0</v>
      </c>
    </row>
    <row r="1760" spans="1:9">
      <c r="A1760" s="1" t="s">
        <v>455</v>
      </c>
      <c r="B1760" s="1" t="s">
        <v>10</v>
      </c>
      <c r="C1760" s="1" t="s">
        <v>6347</v>
      </c>
      <c r="D1760" s="1" t="s">
        <v>6345</v>
      </c>
      <c r="E1760" s="1" t="s">
        <v>6317</v>
      </c>
      <c r="F1760" s="1" t="s">
        <v>23</v>
      </c>
      <c r="G1760" s="1" t="s">
        <v>23</v>
      </c>
      <c r="H1760" s="1" t="s">
        <v>15</v>
      </c>
      <c r="I1760" t="b">
        <f>COUNTIF(Estadísticas!I:I,'Centraldecomunicacion.es'!H1760)&gt;0</f>
        <v>0</v>
      </c>
    </row>
    <row r="1761" spans="1:9">
      <c r="A1761" s="1" t="s">
        <v>6348</v>
      </c>
      <c r="B1761" s="1" t="s">
        <v>10</v>
      </c>
      <c r="C1761" s="1" t="s">
        <v>6349</v>
      </c>
      <c r="D1761" s="1" t="s">
        <v>6345</v>
      </c>
      <c r="E1761" s="1" t="s">
        <v>6317</v>
      </c>
      <c r="F1761" s="1" t="s">
        <v>23</v>
      </c>
      <c r="G1761" s="1" t="s">
        <v>6350</v>
      </c>
      <c r="H1761" s="1" t="s">
        <v>15</v>
      </c>
      <c r="I1761" t="b">
        <f>COUNTIF(Estadísticas!I:I,'Centraldecomunicacion.es'!H1761)&gt;0</f>
        <v>0</v>
      </c>
    </row>
    <row r="1762" spans="1:9">
      <c r="A1762" s="1" t="s">
        <v>6351</v>
      </c>
      <c r="B1762" s="1" t="s">
        <v>10</v>
      </c>
      <c r="C1762" s="1" t="s">
        <v>6352</v>
      </c>
      <c r="D1762" s="1" t="s">
        <v>6353</v>
      </c>
      <c r="E1762" s="1" t="s">
        <v>6317</v>
      </c>
      <c r="F1762" s="1" t="s">
        <v>23</v>
      </c>
      <c r="G1762" s="1" t="s">
        <v>6354</v>
      </c>
      <c r="H1762" s="1" t="s">
        <v>15</v>
      </c>
      <c r="I1762" t="b">
        <f>COUNTIF(Estadísticas!I:I,'Centraldecomunicacion.es'!H1762)&gt;0</f>
        <v>0</v>
      </c>
    </row>
    <row r="1763" spans="1:9">
      <c r="A1763" s="1" t="s">
        <v>6355</v>
      </c>
      <c r="B1763" s="1" t="s">
        <v>10</v>
      </c>
      <c r="C1763" s="1" t="s">
        <v>6356</v>
      </c>
      <c r="D1763" s="1" t="s">
        <v>6357</v>
      </c>
      <c r="E1763" s="1" t="s">
        <v>6317</v>
      </c>
      <c r="F1763" s="1" t="s">
        <v>23</v>
      </c>
      <c r="G1763" s="1" t="s">
        <v>6358</v>
      </c>
      <c r="H1763" s="1" t="s">
        <v>15</v>
      </c>
      <c r="I1763" t="b">
        <f>COUNTIF(Estadísticas!I:I,'Centraldecomunicacion.es'!H1763)&gt;0</f>
        <v>0</v>
      </c>
    </row>
    <row r="1764" spans="1:9">
      <c r="A1764" s="1" t="s">
        <v>6359</v>
      </c>
      <c r="B1764" s="1" t="s">
        <v>10</v>
      </c>
      <c r="C1764" s="1" t="s">
        <v>6360</v>
      </c>
      <c r="D1764" s="1" t="s">
        <v>6361</v>
      </c>
      <c r="E1764" s="1" t="s">
        <v>6317</v>
      </c>
      <c r="F1764" s="1" t="s">
        <v>23</v>
      </c>
      <c r="G1764" s="1" t="s">
        <v>6362</v>
      </c>
      <c r="H1764" s="1" t="s">
        <v>15</v>
      </c>
      <c r="I1764" t="b">
        <f>COUNTIF(Estadísticas!I:I,'Centraldecomunicacion.es'!H1764)&gt;0</f>
        <v>0</v>
      </c>
    </row>
    <row r="1765" spans="1:9">
      <c r="A1765" s="1" t="s">
        <v>6363</v>
      </c>
      <c r="B1765" s="1" t="s">
        <v>10</v>
      </c>
      <c r="C1765" s="1" t="s">
        <v>6364</v>
      </c>
      <c r="D1765" s="1" t="s">
        <v>6361</v>
      </c>
      <c r="E1765" s="1" t="s">
        <v>6317</v>
      </c>
      <c r="F1765" s="1" t="s">
        <v>23</v>
      </c>
      <c r="G1765" s="1" t="s">
        <v>6365</v>
      </c>
      <c r="H1765" s="1" t="s">
        <v>15</v>
      </c>
      <c r="I1765" t="b">
        <f>COUNTIF(Estadísticas!I:I,'Centraldecomunicacion.es'!H1765)&gt;0</f>
        <v>0</v>
      </c>
    </row>
    <row r="1766" spans="1:9">
      <c r="A1766" s="1" t="s">
        <v>6366</v>
      </c>
      <c r="B1766" s="1" t="s">
        <v>10</v>
      </c>
      <c r="C1766" s="1" t="s">
        <v>6367</v>
      </c>
      <c r="D1766" s="1" t="s">
        <v>6361</v>
      </c>
      <c r="E1766" s="1" t="s">
        <v>6317</v>
      </c>
      <c r="F1766" s="1" t="s">
        <v>6368</v>
      </c>
      <c r="G1766" s="1" t="s">
        <v>6369</v>
      </c>
      <c r="H1766" s="1" t="s">
        <v>1091</v>
      </c>
      <c r="I1766" t="b">
        <f>COUNTIF(Estadísticas!I:I,'Centraldecomunicacion.es'!H1766)&gt;0</f>
        <v>0</v>
      </c>
    </row>
    <row r="1767" spans="1:9">
      <c r="A1767" s="1" t="s">
        <v>6370</v>
      </c>
      <c r="B1767" s="1" t="s">
        <v>10</v>
      </c>
      <c r="C1767" s="1" t="s">
        <v>6371</v>
      </c>
      <c r="D1767" s="1" t="s">
        <v>6372</v>
      </c>
      <c r="E1767" s="1" t="s">
        <v>6317</v>
      </c>
      <c r="F1767" s="1" t="s">
        <v>23</v>
      </c>
      <c r="G1767" s="1" t="s">
        <v>6373</v>
      </c>
      <c r="H1767" s="1" t="s">
        <v>15</v>
      </c>
      <c r="I1767" t="b">
        <f>COUNTIF(Estadísticas!I:I,'Centraldecomunicacion.es'!H1767)&gt;0</f>
        <v>0</v>
      </c>
    </row>
    <row r="1768" spans="1:9">
      <c r="A1768" s="1" t="s">
        <v>6374</v>
      </c>
      <c r="B1768" s="1" t="s">
        <v>10</v>
      </c>
      <c r="C1768" s="1" t="s">
        <v>6375</v>
      </c>
      <c r="D1768" s="1" t="s">
        <v>6376</v>
      </c>
      <c r="E1768" s="1" t="s">
        <v>6317</v>
      </c>
      <c r="F1768" s="1" t="s">
        <v>6377</v>
      </c>
      <c r="G1768" s="1" t="s">
        <v>6378</v>
      </c>
      <c r="H1768" s="1" t="s">
        <v>15</v>
      </c>
      <c r="I1768" t="b">
        <f>COUNTIF(Estadísticas!I:I,'Centraldecomunicacion.es'!H1768)&gt;0</f>
        <v>0</v>
      </c>
    </row>
    <row r="1769" spans="1:9">
      <c r="A1769" s="1" t="s">
        <v>6379</v>
      </c>
      <c r="B1769" s="1" t="s">
        <v>10</v>
      </c>
      <c r="C1769" s="1" t="s">
        <v>6380</v>
      </c>
      <c r="D1769" s="1" t="s">
        <v>6376</v>
      </c>
      <c r="E1769" s="1" t="s">
        <v>6317</v>
      </c>
      <c r="F1769" s="1" t="s">
        <v>23</v>
      </c>
      <c r="G1769" s="1" t="s">
        <v>6381</v>
      </c>
      <c r="H1769" s="1" t="s">
        <v>15</v>
      </c>
      <c r="I1769" t="b">
        <f>COUNTIF(Estadísticas!I:I,'Centraldecomunicacion.es'!H1769)&gt;0</f>
        <v>0</v>
      </c>
    </row>
    <row r="1770" spans="1:9">
      <c r="A1770" s="1" t="s">
        <v>6382</v>
      </c>
      <c r="B1770" s="1" t="s">
        <v>10</v>
      </c>
      <c r="C1770" s="1" t="s">
        <v>6383</v>
      </c>
      <c r="D1770" s="1" t="s">
        <v>6384</v>
      </c>
      <c r="E1770" s="1" t="s">
        <v>6317</v>
      </c>
      <c r="F1770" s="1" t="s">
        <v>23</v>
      </c>
      <c r="G1770" s="1" t="s">
        <v>6385</v>
      </c>
      <c r="H1770" s="1" t="s">
        <v>15</v>
      </c>
      <c r="I1770" t="b">
        <f>COUNTIF(Estadísticas!I:I,'Centraldecomunicacion.es'!H1770)&gt;0</f>
        <v>0</v>
      </c>
    </row>
    <row r="1771" spans="1:9">
      <c r="A1771" s="1" t="s">
        <v>6386</v>
      </c>
      <c r="B1771" s="1" t="s">
        <v>10</v>
      </c>
      <c r="C1771" s="1" t="s">
        <v>6387</v>
      </c>
      <c r="D1771" s="1" t="s">
        <v>6388</v>
      </c>
      <c r="E1771" s="1" t="s">
        <v>6317</v>
      </c>
      <c r="F1771" s="1" t="s">
        <v>23</v>
      </c>
      <c r="G1771" s="1" t="s">
        <v>6389</v>
      </c>
      <c r="H1771" s="1" t="s">
        <v>15</v>
      </c>
      <c r="I1771" t="b">
        <f>COUNTIF(Estadísticas!I:I,'Centraldecomunicacion.es'!H1771)&gt;0</f>
        <v>0</v>
      </c>
    </row>
    <row r="1772" spans="1:9">
      <c r="A1772" s="1" t="s">
        <v>6390</v>
      </c>
      <c r="B1772" s="1" t="s">
        <v>10</v>
      </c>
      <c r="C1772" s="1" t="s">
        <v>6391</v>
      </c>
      <c r="D1772" s="1" t="s">
        <v>6392</v>
      </c>
      <c r="E1772" s="1" t="s">
        <v>6317</v>
      </c>
      <c r="F1772" s="1" t="s">
        <v>23</v>
      </c>
      <c r="G1772" s="1" t="s">
        <v>6393</v>
      </c>
      <c r="H1772" s="1" t="s">
        <v>15</v>
      </c>
      <c r="I1772" t="b">
        <f>COUNTIF(Estadísticas!I:I,'Centraldecomunicacion.es'!H1772)&gt;0</f>
        <v>0</v>
      </c>
    </row>
    <row r="1773" spans="1:9">
      <c r="A1773" s="1" t="s">
        <v>6394</v>
      </c>
      <c r="B1773" s="1" t="s">
        <v>10</v>
      </c>
      <c r="C1773" s="1" t="s">
        <v>6395</v>
      </c>
      <c r="D1773" s="1" t="s">
        <v>6396</v>
      </c>
      <c r="E1773" s="1" t="s">
        <v>6317</v>
      </c>
      <c r="F1773" s="1" t="s">
        <v>23</v>
      </c>
      <c r="G1773" s="1" t="s">
        <v>6397</v>
      </c>
      <c r="H1773" s="1" t="s">
        <v>15</v>
      </c>
      <c r="I1773" t="b">
        <f>COUNTIF(Estadísticas!I:I,'Centraldecomunicacion.es'!H1773)&gt;0</f>
        <v>0</v>
      </c>
    </row>
    <row r="1774" spans="1:9">
      <c r="A1774" s="1" t="s">
        <v>6398</v>
      </c>
      <c r="B1774" s="1" t="s">
        <v>10</v>
      </c>
      <c r="C1774" s="1" t="s">
        <v>6399</v>
      </c>
      <c r="D1774" s="1" t="s">
        <v>6392</v>
      </c>
      <c r="E1774" s="1" t="s">
        <v>6317</v>
      </c>
      <c r="F1774" s="1" t="s">
        <v>23</v>
      </c>
      <c r="G1774" s="1" t="s">
        <v>6400</v>
      </c>
      <c r="H1774" s="1" t="s">
        <v>15</v>
      </c>
      <c r="I1774" t="b">
        <f>COUNTIF(Estadísticas!I:I,'Centraldecomunicacion.es'!H1774)&gt;0</f>
        <v>0</v>
      </c>
    </row>
    <row r="1775" spans="1:9">
      <c r="A1775" s="1" t="s">
        <v>6401</v>
      </c>
      <c r="B1775" s="1" t="s">
        <v>10</v>
      </c>
      <c r="C1775" s="1" t="s">
        <v>6402</v>
      </c>
      <c r="D1775" s="1" t="s">
        <v>6345</v>
      </c>
      <c r="E1775" s="1" t="s">
        <v>6317</v>
      </c>
      <c r="F1775" s="1" t="s">
        <v>6403</v>
      </c>
      <c r="G1775" s="1" t="s">
        <v>23</v>
      </c>
      <c r="H1775" s="1" t="s">
        <v>6404</v>
      </c>
      <c r="I1775" t="b">
        <f>COUNTIF(Estadísticas!I:I,'Centraldecomunicacion.es'!H1775)&gt;0</f>
        <v>1</v>
      </c>
    </row>
    <row r="1776" spans="1:9">
      <c r="A1776" s="1" t="s">
        <v>6405</v>
      </c>
      <c r="B1776" s="1" t="s">
        <v>10</v>
      </c>
      <c r="C1776" s="1" t="s">
        <v>6406</v>
      </c>
      <c r="D1776" s="1" t="s">
        <v>6407</v>
      </c>
      <c r="E1776" s="1" t="s">
        <v>6317</v>
      </c>
      <c r="F1776" s="1" t="s">
        <v>23</v>
      </c>
      <c r="G1776" s="1" t="s">
        <v>6408</v>
      </c>
      <c r="H1776" s="1" t="s">
        <v>15</v>
      </c>
      <c r="I1776" t="b">
        <f>COUNTIF(Estadísticas!I:I,'Centraldecomunicacion.es'!H1776)&gt;0</f>
        <v>0</v>
      </c>
    </row>
    <row r="1777" spans="1:9">
      <c r="A1777" s="1" t="s">
        <v>6409</v>
      </c>
      <c r="B1777" s="1" t="s">
        <v>10</v>
      </c>
      <c r="C1777" s="1" t="s">
        <v>6410</v>
      </c>
      <c r="D1777" s="1" t="s">
        <v>6407</v>
      </c>
      <c r="E1777" s="1" t="s">
        <v>6317</v>
      </c>
      <c r="F1777" s="1" t="s">
        <v>6411</v>
      </c>
      <c r="G1777" s="1" t="s">
        <v>6412</v>
      </c>
      <c r="H1777" s="1" t="s">
        <v>6413</v>
      </c>
      <c r="I1777" t="b">
        <f>COUNTIF(Estadísticas!I:I,'Centraldecomunicacion.es'!H1777)&gt;0</f>
        <v>0</v>
      </c>
    </row>
    <row r="1778" spans="1:9">
      <c r="A1778" s="1" t="s">
        <v>6414</v>
      </c>
      <c r="B1778" s="1" t="s">
        <v>10</v>
      </c>
      <c r="C1778" s="1" t="s">
        <v>6415</v>
      </c>
      <c r="D1778" s="1" t="s">
        <v>6376</v>
      </c>
      <c r="E1778" s="1" t="s">
        <v>6317</v>
      </c>
      <c r="F1778" s="1" t="s">
        <v>6416</v>
      </c>
      <c r="G1778" s="1" t="s">
        <v>6417</v>
      </c>
      <c r="H1778" s="1" t="s">
        <v>6418</v>
      </c>
      <c r="I1778" t="b">
        <f>COUNTIF(Estadísticas!I:I,'Centraldecomunicacion.es'!H1778)&gt;0</f>
        <v>0</v>
      </c>
    </row>
    <row r="1779" spans="1:9">
      <c r="A1779" s="1" t="s">
        <v>6419</v>
      </c>
      <c r="B1779" s="1" t="s">
        <v>10</v>
      </c>
      <c r="C1779" s="1" t="s">
        <v>6420</v>
      </c>
      <c r="D1779" s="1" t="s">
        <v>6361</v>
      </c>
      <c r="E1779" s="1" t="s">
        <v>6317</v>
      </c>
      <c r="F1779" s="1" t="s">
        <v>23</v>
      </c>
      <c r="G1779" s="1" t="s">
        <v>6421</v>
      </c>
      <c r="H1779" s="1" t="s">
        <v>15</v>
      </c>
      <c r="I1779" t="b">
        <f>COUNTIF(Estadísticas!I:I,'Centraldecomunicacion.es'!H1779)&gt;0</f>
        <v>0</v>
      </c>
    </row>
    <row r="1780" spans="1:9">
      <c r="A1780" s="1" t="s">
        <v>6422</v>
      </c>
      <c r="B1780" s="1" t="s">
        <v>10</v>
      </c>
      <c r="C1780" s="1" t="s">
        <v>6423</v>
      </c>
      <c r="D1780" s="1" t="s">
        <v>6424</v>
      </c>
      <c r="E1780" s="1" t="s">
        <v>6425</v>
      </c>
      <c r="F1780" s="1" t="s">
        <v>23</v>
      </c>
      <c r="G1780" s="1" t="s">
        <v>6426</v>
      </c>
      <c r="H1780" s="1" t="s">
        <v>15</v>
      </c>
      <c r="I1780" t="b">
        <f>COUNTIF(Estadísticas!I:I,'Centraldecomunicacion.es'!H1780)&gt;0</f>
        <v>0</v>
      </c>
    </row>
    <row r="1781" spans="1:9">
      <c r="A1781" s="1" t="s">
        <v>6427</v>
      </c>
      <c r="B1781" s="1" t="s">
        <v>10</v>
      </c>
      <c r="C1781" s="1" t="s">
        <v>6428</v>
      </c>
      <c r="D1781" s="1" t="s">
        <v>6361</v>
      </c>
      <c r="E1781" s="1" t="s">
        <v>6317</v>
      </c>
      <c r="F1781" s="1" t="s">
        <v>23</v>
      </c>
      <c r="G1781" s="1" t="s">
        <v>23</v>
      </c>
      <c r="H1781" s="1" t="s">
        <v>15</v>
      </c>
      <c r="I1781" t="b">
        <f>COUNTIF(Estadísticas!I:I,'Centraldecomunicacion.es'!H1781)&gt;0</f>
        <v>0</v>
      </c>
    </row>
    <row r="1782" spans="1:9">
      <c r="A1782" s="1" t="s">
        <v>1845</v>
      </c>
      <c r="B1782" s="1" t="s">
        <v>10</v>
      </c>
      <c r="C1782" s="1" t="s">
        <v>6429</v>
      </c>
      <c r="D1782" s="1" t="s">
        <v>6425</v>
      </c>
      <c r="E1782" s="1" t="s">
        <v>6425</v>
      </c>
      <c r="F1782" s="1" t="s">
        <v>6430</v>
      </c>
      <c r="G1782" s="1" t="s">
        <v>6431</v>
      </c>
      <c r="H1782" s="1" t="s">
        <v>6432</v>
      </c>
      <c r="I1782" t="b">
        <f>COUNTIF(Estadísticas!I:I,'Centraldecomunicacion.es'!H1782)&gt;0</f>
        <v>0</v>
      </c>
    </row>
    <row r="1783" spans="1:9">
      <c r="A1783" s="1" t="s">
        <v>6433</v>
      </c>
      <c r="B1783" s="1" t="s">
        <v>10</v>
      </c>
      <c r="C1783" s="1" t="s">
        <v>6434</v>
      </c>
      <c r="D1783" s="1" t="s">
        <v>6424</v>
      </c>
      <c r="E1783" s="1" t="s">
        <v>6425</v>
      </c>
      <c r="F1783" s="1" t="s">
        <v>23</v>
      </c>
      <c r="G1783" s="1" t="s">
        <v>6435</v>
      </c>
      <c r="H1783" s="1" t="s">
        <v>15</v>
      </c>
      <c r="I1783" t="b">
        <f>COUNTIF(Estadísticas!I:I,'Centraldecomunicacion.es'!H1783)&gt;0</f>
        <v>0</v>
      </c>
    </row>
    <row r="1784" spans="1:9">
      <c r="A1784" s="1" t="s">
        <v>6436</v>
      </c>
      <c r="B1784" s="1" t="s">
        <v>10</v>
      </c>
      <c r="C1784" s="1" t="s">
        <v>6437</v>
      </c>
      <c r="D1784" s="1" t="s">
        <v>6425</v>
      </c>
      <c r="E1784" s="1" t="s">
        <v>6425</v>
      </c>
      <c r="F1784" s="1" t="s">
        <v>6438</v>
      </c>
      <c r="G1784" s="1" t="s">
        <v>6439</v>
      </c>
      <c r="H1784" s="1" t="s">
        <v>6440</v>
      </c>
      <c r="I1784" t="b">
        <f>COUNTIF(Estadísticas!I:I,'Centraldecomunicacion.es'!H1784)&gt;0</f>
        <v>0</v>
      </c>
    </row>
    <row r="1785" spans="1:9">
      <c r="A1785" s="1" t="s">
        <v>6441</v>
      </c>
      <c r="B1785" s="1" t="s">
        <v>10</v>
      </c>
      <c r="C1785" s="1" t="s">
        <v>6442</v>
      </c>
      <c r="D1785" s="1" t="s">
        <v>6443</v>
      </c>
      <c r="E1785" s="1" t="s">
        <v>6317</v>
      </c>
      <c r="F1785" s="1" t="s">
        <v>23</v>
      </c>
      <c r="G1785" s="1" t="s">
        <v>6444</v>
      </c>
      <c r="H1785" s="1" t="s">
        <v>15</v>
      </c>
      <c r="I1785" t="b">
        <f>COUNTIF(Estadísticas!I:I,'Centraldecomunicacion.es'!H1785)&gt;0</f>
        <v>0</v>
      </c>
    </row>
    <row r="1786" spans="1:9">
      <c r="A1786" s="1" t="s">
        <v>6445</v>
      </c>
      <c r="B1786" s="1" t="s">
        <v>10</v>
      </c>
      <c r="C1786" s="1" t="s">
        <v>6446</v>
      </c>
      <c r="D1786" s="1" t="s">
        <v>6447</v>
      </c>
      <c r="E1786" s="1" t="s">
        <v>6317</v>
      </c>
      <c r="F1786" s="1" t="s">
        <v>703</v>
      </c>
      <c r="G1786" s="1" t="s">
        <v>6448</v>
      </c>
      <c r="H1786" s="1" t="s">
        <v>15</v>
      </c>
      <c r="I1786" t="b">
        <f>COUNTIF(Estadísticas!I:I,'Centraldecomunicacion.es'!H1786)&gt;0</f>
        <v>0</v>
      </c>
    </row>
    <row r="1787" spans="1:9">
      <c r="A1787" s="1" t="s">
        <v>6449</v>
      </c>
      <c r="B1787" s="1" t="s">
        <v>10</v>
      </c>
      <c r="C1787" s="1" t="s">
        <v>6450</v>
      </c>
      <c r="D1787" s="1" t="s">
        <v>1978</v>
      </c>
      <c r="E1787" s="1" t="s">
        <v>693</v>
      </c>
      <c r="F1787" s="1" t="s">
        <v>23</v>
      </c>
      <c r="G1787" s="1" t="s">
        <v>6451</v>
      </c>
      <c r="H1787" s="1" t="s">
        <v>15</v>
      </c>
      <c r="I1787" t="b">
        <f>COUNTIF(Estadísticas!I:I,'Centraldecomunicacion.es'!H1787)&gt;0</f>
        <v>0</v>
      </c>
    </row>
    <row r="1788" spans="1:9">
      <c r="A1788" s="1" t="s">
        <v>6452</v>
      </c>
      <c r="B1788" s="1" t="s">
        <v>10</v>
      </c>
      <c r="C1788" s="1" t="s">
        <v>6453</v>
      </c>
      <c r="D1788" s="1" t="s">
        <v>6454</v>
      </c>
      <c r="E1788" s="1" t="s">
        <v>6425</v>
      </c>
      <c r="F1788" s="1" t="s">
        <v>23</v>
      </c>
      <c r="G1788" s="1" t="s">
        <v>6455</v>
      </c>
      <c r="H1788" s="1" t="s">
        <v>15</v>
      </c>
      <c r="I1788" t="b">
        <f>COUNTIF(Estadísticas!I:I,'Centraldecomunicacion.es'!H1788)&gt;0</f>
        <v>0</v>
      </c>
    </row>
    <row r="1789" spans="1:9">
      <c r="A1789" s="1" t="s">
        <v>6456</v>
      </c>
      <c r="B1789" s="1" t="s">
        <v>10</v>
      </c>
      <c r="C1789" s="1" t="s">
        <v>6457</v>
      </c>
      <c r="D1789" s="1" t="s">
        <v>6458</v>
      </c>
      <c r="E1789" s="1" t="s">
        <v>6425</v>
      </c>
      <c r="F1789" s="1" t="s">
        <v>23</v>
      </c>
      <c r="G1789" s="1" t="s">
        <v>6459</v>
      </c>
      <c r="H1789" s="1" t="s">
        <v>15</v>
      </c>
      <c r="I1789" t="b">
        <f>COUNTIF(Estadísticas!I:I,'Centraldecomunicacion.es'!H1789)&gt;0</f>
        <v>0</v>
      </c>
    </row>
    <row r="1790" spans="1:9">
      <c r="A1790" s="1" t="s">
        <v>321</v>
      </c>
      <c r="B1790" s="1" t="s">
        <v>10</v>
      </c>
      <c r="C1790" s="1" t="s">
        <v>6460</v>
      </c>
      <c r="D1790" s="1" t="s">
        <v>6425</v>
      </c>
      <c r="E1790" s="1" t="s">
        <v>6425</v>
      </c>
      <c r="F1790" s="1" t="s">
        <v>323</v>
      </c>
      <c r="G1790" s="1" t="s">
        <v>6461</v>
      </c>
      <c r="H1790" s="1" t="s">
        <v>325</v>
      </c>
      <c r="I1790" t="b">
        <f>COUNTIF(Estadísticas!I:I,'Centraldecomunicacion.es'!H1790)&gt;0</f>
        <v>0</v>
      </c>
    </row>
    <row r="1791" spans="1:9">
      <c r="A1791" s="1" t="s">
        <v>6462</v>
      </c>
      <c r="B1791" s="1" t="s">
        <v>10</v>
      </c>
      <c r="C1791" s="1" t="s">
        <v>6463</v>
      </c>
      <c r="D1791" s="1" t="s">
        <v>6425</v>
      </c>
      <c r="E1791" s="1" t="s">
        <v>6425</v>
      </c>
      <c r="F1791" s="1" t="s">
        <v>23</v>
      </c>
      <c r="G1791" s="1" t="s">
        <v>6464</v>
      </c>
      <c r="H1791" s="1" t="s">
        <v>15</v>
      </c>
      <c r="I1791" t="b">
        <f>COUNTIF(Estadísticas!I:I,'Centraldecomunicacion.es'!H1791)&gt;0</f>
        <v>0</v>
      </c>
    </row>
    <row r="1792" spans="1:9">
      <c r="A1792" s="1" t="s">
        <v>6465</v>
      </c>
      <c r="B1792" s="1" t="s">
        <v>10</v>
      </c>
      <c r="C1792" s="1" t="s">
        <v>6466</v>
      </c>
      <c r="D1792" s="1" t="s">
        <v>6425</v>
      </c>
      <c r="E1792" s="1" t="s">
        <v>6425</v>
      </c>
      <c r="F1792" s="1" t="s">
        <v>23</v>
      </c>
      <c r="G1792" s="1" t="s">
        <v>6467</v>
      </c>
      <c r="H1792" s="1" t="s">
        <v>15</v>
      </c>
      <c r="I1792" t="b">
        <f>COUNTIF(Estadísticas!I:I,'Centraldecomunicacion.es'!H1792)&gt;0</f>
        <v>0</v>
      </c>
    </row>
    <row r="1793" spans="1:9">
      <c r="A1793" s="1" t="s">
        <v>6468</v>
      </c>
      <c r="B1793" s="1" t="s">
        <v>10</v>
      </c>
      <c r="C1793" s="1" t="s">
        <v>6469</v>
      </c>
      <c r="D1793" s="1" t="s">
        <v>6425</v>
      </c>
      <c r="E1793" s="1" t="s">
        <v>6425</v>
      </c>
      <c r="F1793" s="1" t="s">
        <v>6470</v>
      </c>
      <c r="G1793" s="1" t="s">
        <v>6471</v>
      </c>
      <c r="H1793" s="1" t="s">
        <v>6472</v>
      </c>
      <c r="I1793" t="b">
        <f>COUNTIF(Estadísticas!I:I,'Centraldecomunicacion.es'!H1793)&gt;0</f>
        <v>0</v>
      </c>
    </row>
    <row r="1794" spans="1:9">
      <c r="A1794" s="1" t="s">
        <v>6473</v>
      </c>
      <c r="B1794" s="1" t="s">
        <v>10</v>
      </c>
      <c r="C1794" s="1" t="s">
        <v>6474</v>
      </c>
      <c r="D1794" s="1" t="s">
        <v>6425</v>
      </c>
      <c r="E1794" s="1" t="s">
        <v>6425</v>
      </c>
      <c r="F1794" s="1" t="s">
        <v>6475</v>
      </c>
      <c r="G1794" s="1" t="s">
        <v>6476</v>
      </c>
      <c r="H1794" s="1" t="s">
        <v>15</v>
      </c>
      <c r="I1794" t="b">
        <f>COUNTIF(Estadísticas!I:I,'Centraldecomunicacion.es'!H1794)&gt;0</f>
        <v>0</v>
      </c>
    </row>
    <row r="1795" spans="1:9">
      <c r="A1795" s="1" t="s">
        <v>6477</v>
      </c>
      <c r="B1795" s="1" t="s">
        <v>10</v>
      </c>
      <c r="C1795" s="1" t="s">
        <v>6478</v>
      </c>
      <c r="D1795" s="1" t="s">
        <v>6454</v>
      </c>
      <c r="E1795" s="1" t="s">
        <v>6425</v>
      </c>
      <c r="F1795" s="1" t="s">
        <v>23</v>
      </c>
      <c r="G1795" s="1" t="s">
        <v>6479</v>
      </c>
      <c r="H1795" s="1" t="s">
        <v>15</v>
      </c>
      <c r="I1795" t="b">
        <f>COUNTIF(Estadísticas!I:I,'Centraldecomunicacion.es'!H1795)&gt;0</f>
        <v>0</v>
      </c>
    </row>
    <row r="1796" spans="1:9">
      <c r="A1796" s="1" t="s">
        <v>6480</v>
      </c>
      <c r="B1796" s="1" t="s">
        <v>10</v>
      </c>
      <c r="C1796" s="1" t="s">
        <v>6481</v>
      </c>
      <c r="D1796" s="1" t="s">
        <v>6482</v>
      </c>
      <c r="E1796" s="1" t="s">
        <v>6425</v>
      </c>
      <c r="F1796" s="1" t="s">
        <v>23</v>
      </c>
      <c r="G1796" s="1" t="s">
        <v>6483</v>
      </c>
      <c r="H1796" s="1" t="s">
        <v>15</v>
      </c>
      <c r="I1796" t="b">
        <f>COUNTIF(Estadísticas!I:I,'Centraldecomunicacion.es'!H1796)&gt;0</f>
        <v>0</v>
      </c>
    </row>
    <row r="1797" spans="1:9">
      <c r="A1797" s="1" t="s">
        <v>6484</v>
      </c>
      <c r="B1797" s="1" t="s">
        <v>10</v>
      </c>
      <c r="C1797" s="1" t="s">
        <v>6485</v>
      </c>
      <c r="D1797" s="1" t="s">
        <v>6486</v>
      </c>
      <c r="E1797" s="1" t="s">
        <v>6425</v>
      </c>
      <c r="F1797" s="1" t="s">
        <v>6377</v>
      </c>
      <c r="G1797" s="1" t="s">
        <v>6487</v>
      </c>
      <c r="H1797" s="1" t="s">
        <v>15</v>
      </c>
      <c r="I1797" t="b">
        <f>COUNTIF(Estadísticas!I:I,'Centraldecomunicacion.es'!H1797)&gt;0</f>
        <v>0</v>
      </c>
    </row>
    <row r="1798" spans="1:9">
      <c r="A1798" s="1" t="s">
        <v>6488</v>
      </c>
      <c r="B1798" s="1" t="s">
        <v>10</v>
      </c>
      <c r="C1798" s="1" t="s">
        <v>6489</v>
      </c>
      <c r="D1798" s="1" t="s">
        <v>6490</v>
      </c>
      <c r="E1798" s="1" t="s">
        <v>6425</v>
      </c>
      <c r="F1798" s="1" t="s">
        <v>23</v>
      </c>
      <c r="G1798" s="1" t="s">
        <v>6491</v>
      </c>
      <c r="H1798" s="1" t="s">
        <v>15</v>
      </c>
      <c r="I1798" t="b">
        <f>COUNTIF(Estadísticas!I:I,'Centraldecomunicacion.es'!H1798)&gt;0</f>
        <v>0</v>
      </c>
    </row>
    <row r="1799" spans="1:9">
      <c r="A1799" s="1" t="s">
        <v>6492</v>
      </c>
      <c r="B1799" s="1" t="s">
        <v>10</v>
      </c>
      <c r="C1799" s="1" t="s">
        <v>6493</v>
      </c>
      <c r="D1799" s="1" t="s">
        <v>6494</v>
      </c>
      <c r="E1799" s="1" t="s">
        <v>6425</v>
      </c>
      <c r="F1799" s="1" t="s">
        <v>23</v>
      </c>
      <c r="G1799" s="1" t="s">
        <v>6495</v>
      </c>
      <c r="H1799" s="1" t="s">
        <v>15</v>
      </c>
      <c r="I1799" t="b">
        <f>COUNTIF(Estadísticas!I:I,'Centraldecomunicacion.es'!H1799)&gt;0</f>
        <v>0</v>
      </c>
    </row>
    <row r="1800" spans="1:9">
      <c r="A1800" s="1" t="s">
        <v>6496</v>
      </c>
      <c r="B1800" s="1" t="s">
        <v>10</v>
      </c>
      <c r="C1800" s="1" t="s">
        <v>6497</v>
      </c>
      <c r="D1800" s="1" t="s">
        <v>6498</v>
      </c>
      <c r="E1800" s="1" t="s">
        <v>6425</v>
      </c>
      <c r="F1800" s="1" t="s">
        <v>23</v>
      </c>
      <c r="G1800" s="1" t="s">
        <v>6499</v>
      </c>
      <c r="H1800" s="1" t="s">
        <v>15</v>
      </c>
      <c r="I1800" t="b">
        <f>COUNTIF(Estadísticas!I:I,'Centraldecomunicacion.es'!H1800)&gt;0</f>
        <v>0</v>
      </c>
    </row>
    <row r="1801" spans="1:9">
      <c r="A1801" s="1" t="s">
        <v>6500</v>
      </c>
      <c r="B1801" s="1" t="s">
        <v>10</v>
      </c>
      <c r="C1801" s="1" t="s">
        <v>6501</v>
      </c>
      <c r="D1801" s="1" t="s">
        <v>6502</v>
      </c>
      <c r="E1801" s="1" t="s">
        <v>6425</v>
      </c>
      <c r="F1801" s="1" t="s">
        <v>6503</v>
      </c>
      <c r="G1801" s="1" t="s">
        <v>6504</v>
      </c>
      <c r="H1801" s="1" t="s">
        <v>15</v>
      </c>
      <c r="I1801" t="b">
        <f>COUNTIF(Estadísticas!I:I,'Centraldecomunicacion.es'!H1801)&gt;0</f>
        <v>0</v>
      </c>
    </row>
    <row r="1802" spans="1:9">
      <c r="A1802" s="1" t="s">
        <v>6505</v>
      </c>
      <c r="B1802" s="1" t="s">
        <v>10</v>
      </c>
      <c r="C1802" s="1" t="s">
        <v>6481</v>
      </c>
      <c r="D1802" s="1" t="s">
        <v>6482</v>
      </c>
      <c r="E1802" s="1" t="s">
        <v>6425</v>
      </c>
      <c r="F1802" s="1" t="s">
        <v>23</v>
      </c>
      <c r="G1802" s="1" t="s">
        <v>6483</v>
      </c>
      <c r="H1802" s="1" t="s">
        <v>15</v>
      </c>
      <c r="I1802" t="b">
        <f>COUNTIF(Estadísticas!I:I,'Centraldecomunicacion.es'!H1802)&gt;0</f>
        <v>0</v>
      </c>
    </row>
    <row r="1803" spans="1:9">
      <c r="A1803" s="1" t="s">
        <v>6506</v>
      </c>
      <c r="B1803" s="1" t="s">
        <v>10</v>
      </c>
      <c r="C1803" s="1" t="s">
        <v>6507</v>
      </c>
      <c r="D1803" s="1" t="s">
        <v>6508</v>
      </c>
      <c r="E1803" s="1" t="s">
        <v>6425</v>
      </c>
      <c r="F1803" s="1" t="s">
        <v>6509</v>
      </c>
      <c r="G1803" s="1" t="s">
        <v>6510</v>
      </c>
      <c r="H1803" s="1" t="s">
        <v>15</v>
      </c>
      <c r="I1803" t="b">
        <f>COUNTIF(Estadísticas!I:I,'Centraldecomunicacion.es'!H1803)&gt;0</f>
        <v>0</v>
      </c>
    </row>
    <row r="1804" spans="1:9">
      <c r="A1804" s="1" t="s">
        <v>6511</v>
      </c>
      <c r="B1804" s="1" t="s">
        <v>10</v>
      </c>
      <c r="C1804" s="1" t="s">
        <v>6512</v>
      </c>
      <c r="D1804" s="1" t="s">
        <v>6502</v>
      </c>
      <c r="E1804" s="1" t="s">
        <v>6425</v>
      </c>
      <c r="F1804" s="1" t="s">
        <v>23</v>
      </c>
      <c r="G1804" s="1" t="s">
        <v>23</v>
      </c>
      <c r="H1804" s="1" t="s">
        <v>15</v>
      </c>
      <c r="I1804" t="b">
        <f>COUNTIF(Estadísticas!I:I,'Centraldecomunicacion.es'!H1804)&gt;0</f>
        <v>0</v>
      </c>
    </row>
    <row r="1805" spans="1:9">
      <c r="A1805" s="1" t="s">
        <v>6513</v>
      </c>
      <c r="B1805" s="1" t="s">
        <v>10</v>
      </c>
      <c r="C1805" s="1" t="s">
        <v>6514</v>
      </c>
      <c r="D1805" s="1" t="s">
        <v>4308</v>
      </c>
      <c r="E1805" s="1" t="s">
        <v>693</v>
      </c>
      <c r="F1805" s="1" t="s">
        <v>23</v>
      </c>
      <c r="G1805" s="1" t="s">
        <v>6515</v>
      </c>
      <c r="H1805" s="1" t="s">
        <v>15</v>
      </c>
      <c r="I1805" t="b">
        <f>COUNTIF(Estadísticas!I:I,'Centraldecomunicacion.es'!H1805)&gt;0</f>
        <v>0</v>
      </c>
    </row>
    <row r="1806" spans="1:9">
      <c r="A1806" s="1" t="s">
        <v>6516</v>
      </c>
      <c r="B1806" s="1" t="s">
        <v>10</v>
      </c>
      <c r="C1806" s="1" t="s">
        <v>6517</v>
      </c>
      <c r="D1806" s="1" t="s">
        <v>4308</v>
      </c>
      <c r="E1806" s="1" t="s">
        <v>693</v>
      </c>
      <c r="F1806" s="1" t="s">
        <v>23</v>
      </c>
      <c r="G1806" s="1" t="s">
        <v>6518</v>
      </c>
      <c r="H1806" s="1" t="s">
        <v>15</v>
      </c>
      <c r="I1806" t="b">
        <f>COUNTIF(Estadísticas!I:I,'Centraldecomunicacion.es'!H1806)&gt;0</f>
        <v>0</v>
      </c>
    </row>
    <row r="1807" spans="1:9">
      <c r="A1807" s="1" t="s">
        <v>6519</v>
      </c>
      <c r="B1807" s="1" t="s">
        <v>10</v>
      </c>
      <c r="C1807" s="1" t="s">
        <v>6520</v>
      </c>
      <c r="D1807" s="1" t="s">
        <v>693</v>
      </c>
      <c r="E1807" s="1" t="s">
        <v>693</v>
      </c>
      <c r="F1807" s="1" t="s">
        <v>6521</v>
      </c>
      <c r="G1807" s="1" t="s">
        <v>6522</v>
      </c>
      <c r="H1807" s="1" t="s">
        <v>6523</v>
      </c>
      <c r="I1807" t="b">
        <f>COUNTIF(Estadísticas!I:I,'Centraldecomunicacion.es'!H1807)&gt;0</f>
        <v>0</v>
      </c>
    </row>
    <row r="1808" spans="1:9">
      <c r="A1808" s="1" t="s">
        <v>6524</v>
      </c>
      <c r="B1808" s="1" t="s">
        <v>10</v>
      </c>
      <c r="C1808" s="1" t="s">
        <v>6525</v>
      </c>
      <c r="D1808" s="1" t="s">
        <v>4308</v>
      </c>
      <c r="E1808" s="1" t="s">
        <v>693</v>
      </c>
      <c r="F1808" s="1" t="s">
        <v>23</v>
      </c>
      <c r="G1808" s="1" t="s">
        <v>6526</v>
      </c>
      <c r="H1808" s="1" t="s">
        <v>15</v>
      </c>
      <c r="I1808" t="b">
        <f>COUNTIF(Estadísticas!I:I,'Centraldecomunicacion.es'!H1808)&gt;0</f>
        <v>0</v>
      </c>
    </row>
    <row r="1809" spans="1:9">
      <c r="A1809" s="1" t="s">
        <v>6527</v>
      </c>
      <c r="B1809" s="1" t="s">
        <v>10</v>
      </c>
      <c r="C1809" s="1" t="s">
        <v>6528</v>
      </c>
      <c r="D1809" s="1" t="s">
        <v>2264</v>
      </c>
      <c r="E1809" s="1" t="s">
        <v>2264</v>
      </c>
      <c r="F1809" s="1" t="s">
        <v>23</v>
      </c>
      <c r="G1809" s="1" t="s">
        <v>6529</v>
      </c>
      <c r="H1809" s="1" t="s">
        <v>15</v>
      </c>
      <c r="I1809" t="b">
        <f>COUNTIF(Estadísticas!I:I,'Centraldecomunicacion.es'!H1809)&gt;0</f>
        <v>0</v>
      </c>
    </row>
    <row r="1810" spans="1:9">
      <c r="A1810" s="1" t="s">
        <v>6530</v>
      </c>
      <c r="B1810" s="1" t="s">
        <v>10</v>
      </c>
      <c r="C1810" s="1" t="s">
        <v>6531</v>
      </c>
      <c r="D1810" s="1" t="s">
        <v>2264</v>
      </c>
      <c r="E1810" s="1" t="s">
        <v>2264</v>
      </c>
      <c r="F1810" s="1" t="s">
        <v>6532</v>
      </c>
      <c r="G1810" s="1" t="s">
        <v>6533</v>
      </c>
      <c r="H1810" s="1" t="s">
        <v>1104</v>
      </c>
      <c r="I1810" t="b">
        <f>COUNTIF(Estadísticas!I:I,'Centraldecomunicacion.es'!H1810)&gt;0</f>
        <v>0</v>
      </c>
    </row>
    <row r="1811" spans="1:9">
      <c r="A1811" s="1" t="s">
        <v>6534</v>
      </c>
      <c r="B1811" s="1" t="s">
        <v>10</v>
      </c>
      <c r="C1811" s="1" t="s">
        <v>6535</v>
      </c>
      <c r="D1811" s="1" t="s">
        <v>2264</v>
      </c>
      <c r="E1811" s="1" t="s">
        <v>2264</v>
      </c>
      <c r="F1811" s="1" t="s">
        <v>23</v>
      </c>
      <c r="G1811" s="1" t="s">
        <v>6536</v>
      </c>
      <c r="H1811" s="1" t="s">
        <v>15</v>
      </c>
      <c r="I1811" t="b">
        <f>COUNTIF(Estadísticas!I:I,'Centraldecomunicacion.es'!H1811)&gt;0</f>
        <v>0</v>
      </c>
    </row>
    <row r="1812" spans="1:9">
      <c r="A1812" s="1" t="s">
        <v>6537</v>
      </c>
      <c r="B1812" s="1" t="s">
        <v>10</v>
      </c>
      <c r="C1812" s="1" t="s">
        <v>6538</v>
      </c>
      <c r="D1812" s="1" t="s">
        <v>2264</v>
      </c>
      <c r="E1812" s="1" t="s">
        <v>2264</v>
      </c>
      <c r="F1812" s="1" t="s">
        <v>6539</v>
      </c>
      <c r="G1812" s="1" t="s">
        <v>6540</v>
      </c>
      <c r="H1812" s="1" t="s">
        <v>6541</v>
      </c>
      <c r="I1812" t="b">
        <f>COUNTIF(Estadísticas!I:I,'Centraldecomunicacion.es'!H1812)&gt;0</f>
        <v>0</v>
      </c>
    </row>
    <row r="1813" spans="1:9">
      <c r="A1813" s="1" t="s">
        <v>6542</v>
      </c>
      <c r="B1813" s="1" t="s">
        <v>10</v>
      </c>
      <c r="C1813" s="1" t="s">
        <v>6543</v>
      </c>
      <c r="D1813" s="1" t="s">
        <v>2264</v>
      </c>
      <c r="E1813" s="1" t="s">
        <v>2264</v>
      </c>
      <c r="F1813" s="1" t="s">
        <v>6544</v>
      </c>
      <c r="G1813" s="1" t="s">
        <v>6545</v>
      </c>
      <c r="H1813" s="1" t="s">
        <v>6546</v>
      </c>
      <c r="I1813" t="b">
        <f>COUNTIF(Estadísticas!I:I,'Centraldecomunicacion.es'!H1813)&gt;0</f>
        <v>0</v>
      </c>
    </row>
    <row r="1814" spans="1:9">
      <c r="A1814" s="1" t="s">
        <v>6547</v>
      </c>
      <c r="B1814" s="1" t="s">
        <v>10</v>
      </c>
      <c r="C1814" s="1" t="s">
        <v>6548</v>
      </c>
      <c r="D1814" s="1" t="s">
        <v>2264</v>
      </c>
      <c r="E1814" s="1" t="s">
        <v>2264</v>
      </c>
      <c r="F1814" s="1" t="s">
        <v>23</v>
      </c>
      <c r="G1814" s="1" t="s">
        <v>23</v>
      </c>
      <c r="H1814" s="1" t="s">
        <v>15</v>
      </c>
      <c r="I1814" t="b">
        <f>COUNTIF(Estadísticas!I:I,'Centraldecomunicacion.es'!H1814)&gt;0</f>
        <v>0</v>
      </c>
    </row>
    <row r="1815" spans="1:9">
      <c r="A1815" s="1" t="s">
        <v>6537</v>
      </c>
      <c r="B1815" s="1" t="s">
        <v>10</v>
      </c>
      <c r="C1815" s="1" t="s">
        <v>6549</v>
      </c>
      <c r="D1815" s="1" t="s">
        <v>2264</v>
      </c>
      <c r="E1815" s="1" t="s">
        <v>2264</v>
      </c>
      <c r="F1815" s="1" t="s">
        <v>6539</v>
      </c>
      <c r="G1815" s="1" t="s">
        <v>6550</v>
      </c>
      <c r="H1815" s="1" t="s">
        <v>6541</v>
      </c>
      <c r="I1815" t="b">
        <f>COUNTIF(Estadísticas!I:I,'Centraldecomunicacion.es'!H1815)&gt;0</f>
        <v>0</v>
      </c>
    </row>
    <row r="1816" spans="1:9">
      <c r="A1816" s="1" t="s">
        <v>6537</v>
      </c>
      <c r="B1816" s="1" t="s">
        <v>10</v>
      </c>
      <c r="C1816" s="1" t="s">
        <v>6551</v>
      </c>
      <c r="D1816" s="1" t="s">
        <v>2264</v>
      </c>
      <c r="E1816" s="1" t="s">
        <v>2264</v>
      </c>
      <c r="F1816" s="1" t="s">
        <v>6539</v>
      </c>
      <c r="G1816" s="1" t="s">
        <v>6552</v>
      </c>
      <c r="H1816" s="1" t="s">
        <v>6541</v>
      </c>
      <c r="I1816" t="b">
        <f>COUNTIF(Estadísticas!I:I,'Centraldecomunicacion.es'!H1816)&gt;0</f>
        <v>0</v>
      </c>
    </row>
    <row r="1817" spans="1:9">
      <c r="A1817" s="1" t="s">
        <v>6553</v>
      </c>
      <c r="B1817" s="1" t="s">
        <v>10</v>
      </c>
      <c r="C1817" s="1" t="s">
        <v>6554</v>
      </c>
      <c r="D1817" s="1" t="s">
        <v>6555</v>
      </c>
      <c r="E1817" s="1" t="s">
        <v>2264</v>
      </c>
      <c r="F1817" s="1" t="s">
        <v>23</v>
      </c>
      <c r="G1817" s="1" t="s">
        <v>6556</v>
      </c>
      <c r="H1817" s="1" t="s">
        <v>15</v>
      </c>
      <c r="I1817" t="b">
        <f>COUNTIF(Estadísticas!I:I,'Centraldecomunicacion.es'!H1817)&gt;0</f>
        <v>0</v>
      </c>
    </row>
    <row r="1818" spans="1:9">
      <c r="A1818" s="1" t="s">
        <v>6557</v>
      </c>
      <c r="B1818" s="1" t="s">
        <v>10</v>
      </c>
      <c r="C1818" s="1" t="s">
        <v>6558</v>
      </c>
      <c r="D1818" s="1" t="s">
        <v>6555</v>
      </c>
      <c r="E1818" s="1" t="s">
        <v>2264</v>
      </c>
      <c r="F1818" s="1" t="s">
        <v>6559</v>
      </c>
      <c r="G1818" s="1" t="s">
        <v>6560</v>
      </c>
      <c r="H1818" s="1" t="s">
        <v>6561</v>
      </c>
      <c r="I1818" t="b">
        <f>COUNTIF(Estadísticas!I:I,'Centraldecomunicacion.es'!H1818)&gt;0</f>
        <v>1</v>
      </c>
    </row>
    <row r="1819" spans="1:9">
      <c r="A1819" s="1" t="s">
        <v>6562</v>
      </c>
      <c r="B1819" s="1" t="s">
        <v>10</v>
      </c>
      <c r="C1819" s="1" t="s">
        <v>6563</v>
      </c>
      <c r="D1819" s="1" t="s">
        <v>6564</v>
      </c>
      <c r="E1819" s="1" t="s">
        <v>2264</v>
      </c>
      <c r="F1819" s="1" t="s">
        <v>23</v>
      </c>
      <c r="G1819" s="1" t="s">
        <v>6565</v>
      </c>
      <c r="H1819" s="1" t="s">
        <v>15</v>
      </c>
      <c r="I1819" t="b">
        <f>COUNTIF(Estadísticas!I:I,'Centraldecomunicacion.es'!H1819)&gt;0</f>
        <v>0</v>
      </c>
    </row>
    <row r="1820" spans="1:9">
      <c r="A1820" s="1" t="s">
        <v>4668</v>
      </c>
      <c r="B1820" s="1" t="s">
        <v>10</v>
      </c>
      <c r="C1820" s="1" t="s">
        <v>6566</v>
      </c>
      <c r="D1820" s="1" t="s">
        <v>6567</v>
      </c>
      <c r="E1820" s="1" t="s">
        <v>2264</v>
      </c>
      <c r="F1820" s="1" t="s">
        <v>23</v>
      </c>
      <c r="G1820" s="1" t="s">
        <v>6568</v>
      </c>
      <c r="H1820" s="1" t="s">
        <v>15</v>
      </c>
      <c r="I1820" t="b">
        <f>COUNTIF(Estadísticas!I:I,'Centraldecomunicacion.es'!H1820)&gt;0</f>
        <v>0</v>
      </c>
    </row>
    <row r="1821" spans="1:9">
      <c r="A1821" s="1" t="s">
        <v>6569</v>
      </c>
      <c r="B1821" s="1" t="s">
        <v>10</v>
      </c>
      <c r="C1821" s="1" t="s">
        <v>6570</v>
      </c>
      <c r="D1821" s="1" t="s">
        <v>6567</v>
      </c>
      <c r="E1821" s="1" t="s">
        <v>2264</v>
      </c>
      <c r="F1821" s="1" t="s">
        <v>23</v>
      </c>
      <c r="G1821" s="1" t="s">
        <v>6571</v>
      </c>
      <c r="H1821" s="1" t="s">
        <v>15</v>
      </c>
      <c r="I1821" t="b">
        <f>COUNTIF(Estadísticas!I:I,'Centraldecomunicacion.es'!H1821)&gt;0</f>
        <v>0</v>
      </c>
    </row>
    <row r="1822" spans="1:9">
      <c r="A1822" s="1" t="s">
        <v>6572</v>
      </c>
      <c r="B1822" s="1" t="s">
        <v>10</v>
      </c>
      <c r="C1822" s="1" t="s">
        <v>6570</v>
      </c>
      <c r="D1822" s="1" t="s">
        <v>6567</v>
      </c>
      <c r="E1822" s="1" t="s">
        <v>2264</v>
      </c>
      <c r="F1822" s="1" t="s">
        <v>23</v>
      </c>
      <c r="G1822" s="1" t="s">
        <v>6573</v>
      </c>
      <c r="H1822" s="1" t="s">
        <v>15</v>
      </c>
      <c r="I1822" t="b">
        <f>COUNTIF(Estadísticas!I:I,'Centraldecomunicacion.es'!H1822)&gt;0</f>
        <v>0</v>
      </c>
    </row>
    <row r="1823" spans="1:9">
      <c r="A1823" s="1" t="s">
        <v>6574</v>
      </c>
      <c r="B1823" s="1" t="s">
        <v>10</v>
      </c>
      <c r="C1823" s="1" t="s">
        <v>6575</v>
      </c>
      <c r="D1823" s="1" t="s">
        <v>6576</v>
      </c>
      <c r="E1823" s="1" t="s">
        <v>2264</v>
      </c>
      <c r="F1823" s="1" t="s">
        <v>23</v>
      </c>
      <c r="G1823" s="1" t="s">
        <v>6577</v>
      </c>
      <c r="H1823" s="1" t="s">
        <v>15</v>
      </c>
      <c r="I1823" t="b">
        <f>COUNTIF(Estadísticas!I:I,'Centraldecomunicacion.es'!H1823)&gt;0</f>
        <v>0</v>
      </c>
    </row>
    <row r="1824" spans="1:9">
      <c r="A1824" s="1" t="s">
        <v>321</v>
      </c>
      <c r="B1824" s="1" t="s">
        <v>10</v>
      </c>
      <c r="C1824" s="1" t="s">
        <v>6578</v>
      </c>
      <c r="D1824" s="1" t="s">
        <v>6567</v>
      </c>
      <c r="E1824" s="1" t="s">
        <v>2264</v>
      </c>
      <c r="F1824" s="1" t="s">
        <v>6579</v>
      </c>
      <c r="G1824" s="1" t="s">
        <v>6580</v>
      </c>
      <c r="H1824" s="1" t="s">
        <v>6581</v>
      </c>
      <c r="I1824" t="b">
        <f>COUNTIF(Estadísticas!I:I,'Centraldecomunicacion.es'!H1824)&gt;0</f>
        <v>0</v>
      </c>
    </row>
    <row r="1825" spans="1:9">
      <c r="A1825" s="1" t="s">
        <v>6582</v>
      </c>
      <c r="B1825" s="1" t="s">
        <v>10</v>
      </c>
      <c r="C1825" s="1" t="s">
        <v>6583</v>
      </c>
      <c r="D1825" s="1" t="s">
        <v>6584</v>
      </c>
      <c r="E1825" s="1" t="s">
        <v>6585</v>
      </c>
      <c r="F1825" s="1" t="s">
        <v>6586</v>
      </c>
      <c r="G1825" s="1" t="s">
        <v>6587</v>
      </c>
      <c r="H1825" s="1" t="s">
        <v>15</v>
      </c>
      <c r="I1825" t="b">
        <f>COUNTIF(Estadísticas!I:I,'Centraldecomunicacion.es'!H1825)&gt;0</f>
        <v>0</v>
      </c>
    </row>
    <row r="1826" spans="1:9">
      <c r="A1826" s="1" t="s">
        <v>6588</v>
      </c>
      <c r="B1826" s="1" t="s">
        <v>10</v>
      </c>
      <c r="C1826" s="1" t="s">
        <v>6589</v>
      </c>
      <c r="D1826" s="1" t="s">
        <v>6584</v>
      </c>
      <c r="E1826" s="1" t="s">
        <v>6585</v>
      </c>
      <c r="F1826" s="1" t="s">
        <v>6590</v>
      </c>
      <c r="G1826" s="1" t="s">
        <v>6591</v>
      </c>
      <c r="H1826" s="1" t="s">
        <v>6592</v>
      </c>
      <c r="I1826" t="b">
        <f>COUNTIF(Estadísticas!I:I,'Centraldecomunicacion.es'!H1826)&gt;0</f>
        <v>0</v>
      </c>
    </row>
    <row r="1827" spans="1:9">
      <c r="A1827" s="1" t="s">
        <v>6593</v>
      </c>
      <c r="B1827" s="1" t="s">
        <v>10</v>
      </c>
      <c r="C1827" s="1" t="s">
        <v>6594</v>
      </c>
      <c r="D1827" s="1" t="s">
        <v>6584</v>
      </c>
      <c r="E1827" s="1" t="s">
        <v>6584</v>
      </c>
      <c r="F1827" s="1" t="s">
        <v>23</v>
      </c>
      <c r="G1827" s="1" t="s">
        <v>6595</v>
      </c>
      <c r="H1827" s="1" t="s">
        <v>15</v>
      </c>
      <c r="I1827" t="b">
        <f>COUNTIF(Estadísticas!I:I,'Centraldecomunicacion.es'!H1827)&gt;0</f>
        <v>0</v>
      </c>
    </row>
    <row r="1828" spans="1:9">
      <c r="A1828" s="1" t="s">
        <v>6596</v>
      </c>
      <c r="B1828" s="1" t="s">
        <v>10</v>
      </c>
      <c r="C1828" s="1" t="s">
        <v>6597</v>
      </c>
      <c r="D1828" s="1" t="s">
        <v>6598</v>
      </c>
      <c r="E1828" s="1" t="s">
        <v>5118</v>
      </c>
      <c r="F1828" s="1" t="s">
        <v>23</v>
      </c>
      <c r="G1828" s="1" t="s">
        <v>6599</v>
      </c>
      <c r="H1828" s="1" t="s">
        <v>15</v>
      </c>
      <c r="I1828" t="b">
        <f>COUNTIF(Estadísticas!I:I,'Centraldecomunicacion.es'!H1828)&gt;0</f>
        <v>0</v>
      </c>
    </row>
    <row r="1829" spans="1:9">
      <c r="A1829" s="1" t="s">
        <v>6600</v>
      </c>
      <c r="B1829" s="1" t="s">
        <v>10</v>
      </c>
      <c r="C1829" s="1" t="s">
        <v>6601</v>
      </c>
      <c r="D1829" s="1" t="s">
        <v>6602</v>
      </c>
      <c r="E1829" s="1" t="s">
        <v>6602</v>
      </c>
      <c r="F1829" s="1" t="s">
        <v>23</v>
      </c>
      <c r="G1829" s="1" t="s">
        <v>6603</v>
      </c>
      <c r="H1829" s="1" t="s">
        <v>15</v>
      </c>
      <c r="I1829" t="b">
        <f>COUNTIF(Estadísticas!I:I,'Centraldecomunicacion.es'!H1829)&gt;0</f>
        <v>0</v>
      </c>
    </row>
    <row r="1830" spans="1:9">
      <c r="A1830" s="1" t="s">
        <v>6604</v>
      </c>
      <c r="B1830" s="1" t="s">
        <v>10</v>
      </c>
      <c r="C1830" s="1" t="s">
        <v>6605</v>
      </c>
      <c r="D1830" s="1" t="s">
        <v>6602</v>
      </c>
      <c r="E1830" s="1" t="s">
        <v>6602</v>
      </c>
      <c r="F1830" s="1" t="s">
        <v>6606</v>
      </c>
      <c r="G1830" s="1" t="s">
        <v>6607</v>
      </c>
      <c r="H1830" s="1" t="s">
        <v>6608</v>
      </c>
      <c r="I1830" t="b">
        <f>COUNTIF(Estadísticas!I:I,'Centraldecomunicacion.es'!H1830)&gt;0</f>
        <v>0</v>
      </c>
    </row>
    <row r="1831" spans="1:9">
      <c r="A1831" s="1" t="s">
        <v>6609</v>
      </c>
      <c r="B1831" s="1" t="s">
        <v>10</v>
      </c>
      <c r="C1831" s="1" t="s">
        <v>6610</v>
      </c>
      <c r="D1831" s="1" t="s">
        <v>6602</v>
      </c>
      <c r="E1831" s="1" t="s">
        <v>6602</v>
      </c>
      <c r="F1831" s="1" t="s">
        <v>6611</v>
      </c>
      <c r="G1831" s="1" t="s">
        <v>6612</v>
      </c>
      <c r="H1831" s="1" t="s">
        <v>6613</v>
      </c>
      <c r="I1831" t="b">
        <f>COUNTIF(Estadísticas!I:I,'Centraldecomunicacion.es'!H1831)&gt;0</f>
        <v>0</v>
      </c>
    </row>
    <row r="1832" spans="1:9">
      <c r="A1832" s="1" t="s">
        <v>6614</v>
      </c>
      <c r="B1832" s="1" t="s">
        <v>10</v>
      </c>
      <c r="C1832" s="1" t="s">
        <v>6615</v>
      </c>
      <c r="D1832" s="1" t="s">
        <v>6602</v>
      </c>
      <c r="E1832" s="1" t="s">
        <v>6602</v>
      </c>
      <c r="F1832" s="1" t="s">
        <v>23</v>
      </c>
      <c r="G1832" s="1" t="s">
        <v>6616</v>
      </c>
      <c r="H1832" s="1" t="s">
        <v>15</v>
      </c>
      <c r="I1832" t="b">
        <f>COUNTIF(Estadísticas!I:I,'Centraldecomunicacion.es'!H1832)&gt;0</f>
        <v>0</v>
      </c>
    </row>
    <row r="1833" spans="1:9">
      <c r="A1833" s="1" t="s">
        <v>6617</v>
      </c>
      <c r="B1833" s="1" t="s">
        <v>10</v>
      </c>
      <c r="C1833" s="1" t="s">
        <v>6618</v>
      </c>
      <c r="D1833" s="1" t="s">
        <v>6602</v>
      </c>
      <c r="E1833" s="1" t="s">
        <v>6602</v>
      </c>
      <c r="F1833" s="1" t="s">
        <v>23</v>
      </c>
      <c r="G1833" s="1" t="s">
        <v>6619</v>
      </c>
      <c r="H1833" s="1" t="s">
        <v>15</v>
      </c>
      <c r="I1833" t="b">
        <f>COUNTIF(Estadísticas!I:I,'Centraldecomunicacion.es'!H1833)&gt;0</f>
        <v>0</v>
      </c>
    </row>
    <row r="1834" spans="1:9">
      <c r="A1834" s="1" t="s">
        <v>6620</v>
      </c>
      <c r="B1834" s="1" t="s">
        <v>10</v>
      </c>
      <c r="C1834" s="1" t="s">
        <v>6621</v>
      </c>
      <c r="D1834" s="1" t="s">
        <v>6602</v>
      </c>
      <c r="E1834" s="1" t="s">
        <v>6622</v>
      </c>
      <c r="F1834" s="1" t="s">
        <v>6623</v>
      </c>
      <c r="G1834" s="1" t="s">
        <v>6624</v>
      </c>
      <c r="H1834" s="1" t="s">
        <v>6625</v>
      </c>
      <c r="I1834" t="b">
        <f>COUNTIF(Estadísticas!I:I,'Centraldecomunicacion.es'!H1834)&gt;0</f>
        <v>1</v>
      </c>
    </row>
    <row r="1835" spans="1:9">
      <c r="A1835" s="1" t="s">
        <v>6626</v>
      </c>
      <c r="B1835" s="1" t="s">
        <v>10</v>
      </c>
      <c r="C1835" s="1" t="s">
        <v>6627</v>
      </c>
      <c r="D1835" s="1" t="s">
        <v>6602</v>
      </c>
      <c r="E1835" s="1" t="s">
        <v>6602</v>
      </c>
      <c r="F1835" s="1" t="s">
        <v>6623</v>
      </c>
      <c r="G1835" s="1" t="s">
        <v>6628</v>
      </c>
      <c r="H1835" s="1" t="s">
        <v>6625</v>
      </c>
      <c r="I1835" t="b">
        <f>COUNTIF(Estadísticas!I:I,'Centraldecomunicacion.es'!H1835)&gt;0</f>
        <v>1</v>
      </c>
    </row>
    <row r="1836" spans="1:9">
      <c r="A1836" s="1" t="s">
        <v>6629</v>
      </c>
      <c r="B1836" s="1" t="s">
        <v>10</v>
      </c>
      <c r="C1836" s="1" t="s">
        <v>6630</v>
      </c>
      <c r="D1836" s="1" t="s">
        <v>6602</v>
      </c>
      <c r="E1836" s="1" t="s">
        <v>6602</v>
      </c>
      <c r="F1836" s="1" t="s">
        <v>23</v>
      </c>
      <c r="G1836" s="1" t="s">
        <v>6631</v>
      </c>
      <c r="H1836" s="1" t="s">
        <v>15</v>
      </c>
      <c r="I1836" t="b">
        <f>COUNTIF(Estadísticas!I:I,'Centraldecomunicacion.es'!H1836)&gt;0</f>
        <v>0</v>
      </c>
    </row>
    <row r="1837" spans="1:9">
      <c r="A1837" s="1" t="s">
        <v>6632</v>
      </c>
      <c r="B1837" s="1" t="s">
        <v>10</v>
      </c>
      <c r="C1837" s="1" t="s">
        <v>6633</v>
      </c>
      <c r="D1837" s="1" t="s">
        <v>6602</v>
      </c>
      <c r="E1837" s="1" t="s">
        <v>6602</v>
      </c>
      <c r="F1837" s="1" t="s">
        <v>23</v>
      </c>
      <c r="G1837" s="1" t="s">
        <v>6634</v>
      </c>
      <c r="H1837" s="1" t="s">
        <v>15</v>
      </c>
      <c r="I1837" t="b">
        <f>COUNTIF(Estadísticas!I:I,'Centraldecomunicacion.es'!H1837)&gt;0</f>
        <v>0</v>
      </c>
    </row>
    <row r="1838" spans="1:9">
      <c r="A1838" s="1" t="s">
        <v>6635</v>
      </c>
      <c r="B1838" s="1" t="s">
        <v>10</v>
      </c>
      <c r="C1838" s="1" t="s">
        <v>6636</v>
      </c>
      <c r="D1838" s="1" t="s">
        <v>6602</v>
      </c>
      <c r="E1838" s="1" t="s">
        <v>6602</v>
      </c>
      <c r="F1838" s="1" t="s">
        <v>6637</v>
      </c>
      <c r="G1838" s="1" t="s">
        <v>6638</v>
      </c>
      <c r="H1838" s="1" t="s">
        <v>6639</v>
      </c>
      <c r="I1838" t="b">
        <f>COUNTIF(Estadísticas!I:I,'Centraldecomunicacion.es'!H1838)&gt;0</f>
        <v>1</v>
      </c>
    </row>
    <row r="1839" spans="1:9">
      <c r="A1839" s="1" t="s">
        <v>6640</v>
      </c>
      <c r="B1839" s="1" t="s">
        <v>10</v>
      </c>
      <c r="C1839" s="1" t="s">
        <v>23</v>
      </c>
      <c r="D1839" s="1" t="s">
        <v>6641</v>
      </c>
      <c r="E1839" s="1" t="s">
        <v>23</v>
      </c>
      <c r="F1839" s="1" t="s">
        <v>23</v>
      </c>
      <c r="G1839" s="1" t="s">
        <v>6642</v>
      </c>
      <c r="H1839" s="1" t="s">
        <v>15</v>
      </c>
      <c r="I1839" t="b">
        <f>COUNTIF(Estadísticas!I:I,'Centraldecomunicacion.es'!H1839)&gt;0</f>
        <v>0</v>
      </c>
    </row>
    <row r="1840" spans="1:9">
      <c r="A1840" s="1" t="s">
        <v>6643</v>
      </c>
      <c r="B1840" s="1" t="s">
        <v>10</v>
      </c>
      <c r="C1840" s="1" t="s">
        <v>6644</v>
      </c>
      <c r="D1840" s="1" t="s">
        <v>6645</v>
      </c>
      <c r="E1840" s="1" t="s">
        <v>6622</v>
      </c>
      <c r="F1840" s="1" t="s">
        <v>6646</v>
      </c>
      <c r="G1840" s="1" t="s">
        <v>6647</v>
      </c>
      <c r="H1840" s="1" t="s">
        <v>6648</v>
      </c>
      <c r="I1840" t="b">
        <f>COUNTIF(Estadísticas!I:I,'Centraldecomunicacion.es'!H1840)&gt;0</f>
        <v>0</v>
      </c>
    </row>
    <row r="1841" spans="1:9">
      <c r="A1841" s="1" t="s">
        <v>6649</v>
      </c>
      <c r="B1841" s="1" t="s">
        <v>10</v>
      </c>
      <c r="C1841" s="1" t="s">
        <v>6650</v>
      </c>
      <c r="D1841" s="1" t="s">
        <v>6651</v>
      </c>
      <c r="E1841" s="1" t="s">
        <v>6602</v>
      </c>
      <c r="F1841" s="1" t="s">
        <v>23</v>
      </c>
      <c r="G1841" s="1" t="s">
        <v>6652</v>
      </c>
      <c r="H1841" s="1" t="s">
        <v>15</v>
      </c>
      <c r="I1841" t="b">
        <f>COUNTIF(Estadísticas!I:I,'Centraldecomunicacion.es'!H1841)&gt;0</f>
        <v>0</v>
      </c>
    </row>
    <row r="1842" spans="1:9">
      <c r="A1842" s="1" t="s">
        <v>6653</v>
      </c>
      <c r="B1842" s="1" t="s">
        <v>10</v>
      </c>
      <c r="C1842" s="1" t="s">
        <v>6654</v>
      </c>
      <c r="D1842" s="1" t="s">
        <v>6655</v>
      </c>
      <c r="E1842" s="1" t="s">
        <v>6602</v>
      </c>
      <c r="F1842" s="1" t="s">
        <v>23</v>
      </c>
      <c r="G1842" s="1" t="s">
        <v>6656</v>
      </c>
      <c r="H1842" s="1" t="s">
        <v>15</v>
      </c>
      <c r="I1842" t="b">
        <f>COUNTIF(Estadísticas!I:I,'Centraldecomunicacion.es'!H1842)&gt;0</f>
        <v>0</v>
      </c>
    </row>
    <row r="1843" spans="1:9">
      <c r="A1843" s="1" t="s">
        <v>6657</v>
      </c>
      <c r="B1843" s="1" t="s">
        <v>10</v>
      </c>
      <c r="C1843" s="1" t="s">
        <v>6658</v>
      </c>
      <c r="D1843" s="1" t="s">
        <v>6659</v>
      </c>
      <c r="E1843" s="1" t="s">
        <v>6622</v>
      </c>
      <c r="F1843" s="1" t="s">
        <v>390</v>
      </c>
      <c r="G1843" s="1" t="s">
        <v>6660</v>
      </c>
      <c r="H1843" s="1" t="s">
        <v>15</v>
      </c>
      <c r="I1843" t="b">
        <f>COUNTIF(Estadísticas!I:I,'Centraldecomunicacion.es'!H1843)&gt;0</f>
        <v>0</v>
      </c>
    </row>
    <row r="1844" spans="1:9">
      <c r="A1844" s="1" t="s">
        <v>6661</v>
      </c>
      <c r="B1844" s="1" t="s">
        <v>10</v>
      </c>
      <c r="C1844" s="1" t="s">
        <v>6662</v>
      </c>
      <c r="D1844" s="1" t="s">
        <v>6663</v>
      </c>
      <c r="E1844" s="1" t="s">
        <v>6622</v>
      </c>
      <c r="F1844" s="1" t="s">
        <v>23</v>
      </c>
      <c r="G1844" s="1" t="s">
        <v>6664</v>
      </c>
      <c r="H1844" s="1" t="s">
        <v>15</v>
      </c>
      <c r="I1844" t="b">
        <f>COUNTIF(Estadísticas!I:I,'Centraldecomunicacion.es'!H1844)&gt;0</f>
        <v>0</v>
      </c>
    </row>
    <row r="1845" spans="1:9">
      <c r="A1845" s="1" t="s">
        <v>6665</v>
      </c>
      <c r="B1845" s="1" t="s">
        <v>10</v>
      </c>
      <c r="C1845" s="1" t="s">
        <v>6666</v>
      </c>
      <c r="D1845" s="1" t="s">
        <v>6667</v>
      </c>
      <c r="E1845" s="1" t="s">
        <v>6602</v>
      </c>
      <c r="F1845" s="1" t="s">
        <v>23</v>
      </c>
      <c r="G1845" s="1" t="s">
        <v>6668</v>
      </c>
      <c r="H1845" s="1" t="s">
        <v>15</v>
      </c>
      <c r="I1845" t="b">
        <f>COUNTIF(Estadísticas!I:I,'Centraldecomunicacion.es'!H1845)&gt;0</f>
        <v>0</v>
      </c>
    </row>
    <row r="1846" spans="1:9">
      <c r="A1846" s="1" t="s">
        <v>435</v>
      </c>
      <c r="B1846" s="1" t="s">
        <v>10</v>
      </c>
      <c r="C1846" s="1" t="s">
        <v>6669</v>
      </c>
      <c r="D1846" s="1" t="s">
        <v>6670</v>
      </c>
      <c r="E1846" s="1" t="s">
        <v>6602</v>
      </c>
      <c r="F1846" s="1" t="s">
        <v>323</v>
      </c>
      <c r="G1846" s="1" t="s">
        <v>6671</v>
      </c>
      <c r="H1846" s="1" t="s">
        <v>325</v>
      </c>
      <c r="I1846" t="b">
        <f>COUNTIF(Estadísticas!I:I,'Centraldecomunicacion.es'!H1846)&gt;0</f>
        <v>0</v>
      </c>
    </row>
    <row r="1847" spans="1:9">
      <c r="A1847" s="1" t="s">
        <v>6672</v>
      </c>
      <c r="B1847" s="1" t="s">
        <v>10</v>
      </c>
      <c r="C1847" s="1" t="s">
        <v>6673</v>
      </c>
      <c r="D1847" s="1" t="s">
        <v>6663</v>
      </c>
      <c r="E1847" s="1" t="s">
        <v>6622</v>
      </c>
      <c r="F1847" s="1" t="s">
        <v>23</v>
      </c>
      <c r="G1847" s="1" t="s">
        <v>6674</v>
      </c>
      <c r="H1847" s="1" t="s">
        <v>15</v>
      </c>
      <c r="I1847" t="b">
        <f>COUNTIF(Estadísticas!I:I,'Centraldecomunicacion.es'!H1847)&gt;0</f>
        <v>0</v>
      </c>
    </row>
    <row r="1848" spans="1:9">
      <c r="A1848" s="1" t="s">
        <v>6675</v>
      </c>
      <c r="B1848" s="1" t="s">
        <v>10</v>
      </c>
      <c r="C1848" s="1" t="s">
        <v>6676</v>
      </c>
      <c r="D1848" s="1" t="s">
        <v>6670</v>
      </c>
      <c r="E1848" s="1" t="s">
        <v>6622</v>
      </c>
      <c r="F1848" s="1" t="s">
        <v>23</v>
      </c>
      <c r="G1848" s="1" t="s">
        <v>6677</v>
      </c>
      <c r="H1848" s="1" t="s">
        <v>15</v>
      </c>
      <c r="I1848" t="b">
        <f>COUNTIF(Estadísticas!I:I,'Centraldecomunicacion.es'!H1848)&gt;0</f>
        <v>0</v>
      </c>
    </row>
    <row r="1849" spans="1:9">
      <c r="A1849" s="1" t="s">
        <v>6678</v>
      </c>
      <c r="B1849" s="1" t="s">
        <v>10</v>
      </c>
      <c r="C1849" s="1" t="s">
        <v>6679</v>
      </c>
      <c r="D1849" s="1" t="s">
        <v>6680</v>
      </c>
      <c r="E1849" s="1" t="s">
        <v>6622</v>
      </c>
      <c r="F1849" s="1" t="s">
        <v>6681</v>
      </c>
      <c r="G1849" s="1" t="s">
        <v>6682</v>
      </c>
      <c r="H1849" s="1" t="s">
        <v>6683</v>
      </c>
      <c r="I1849" t="b">
        <f>COUNTIF(Estadísticas!I:I,'Centraldecomunicacion.es'!H1849)&gt;0</f>
        <v>0</v>
      </c>
    </row>
    <row r="1850" spans="1:9">
      <c r="A1850" s="1" t="s">
        <v>6684</v>
      </c>
      <c r="B1850" s="1" t="s">
        <v>10</v>
      </c>
      <c r="C1850" s="1" t="s">
        <v>6685</v>
      </c>
      <c r="D1850" s="1" t="s">
        <v>5118</v>
      </c>
      <c r="E1850" s="1" t="s">
        <v>5118</v>
      </c>
      <c r="F1850" s="1" t="s">
        <v>23</v>
      </c>
      <c r="G1850" s="1" t="s">
        <v>6686</v>
      </c>
      <c r="H1850" s="1" t="s">
        <v>15</v>
      </c>
      <c r="I1850" t="b">
        <f>COUNTIF(Estadísticas!I:I,'Centraldecomunicacion.es'!H1850)&gt;0</f>
        <v>0</v>
      </c>
    </row>
    <row r="1851" spans="1:9">
      <c r="A1851" s="1" t="s">
        <v>6687</v>
      </c>
      <c r="B1851" s="1" t="s">
        <v>10</v>
      </c>
      <c r="C1851" s="1" t="s">
        <v>6688</v>
      </c>
      <c r="D1851" s="1" t="s">
        <v>5118</v>
      </c>
      <c r="E1851" s="1" t="s">
        <v>5118</v>
      </c>
      <c r="F1851" s="1" t="s">
        <v>23</v>
      </c>
      <c r="G1851" s="1" t="s">
        <v>6689</v>
      </c>
      <c r="H1851" s="1" t="s">
        <v>15</v>
      </c>
      <c r="I1851" t="b">
        <f>COUNTIF(Estadísticas!I:I,'Centraldecomunicacion.es'!H1851)&gt;0</f>
        <v>0</v>
      </c>
    </row>
    <row r="1852" spans="1:9">
      <c r="A1852" s="1" t="s">
        <v>257</v>
      </c>
      <c r="B1852" s="1" t="s">
        <v>10</v>
      </c>
      <c r="C1852" s="1" t="s">
        <v>6690</v>
      </c>
      <c r="D1852" s="1" t="s">
        <v>5118</v>
      </c>
      <c r="E1852" s="1" t="s">
        <v>5118</v>
      </c>
      <c r="F1852" s="1" t="s">
        <v>81</v>
      </c>
      <c r="G1852" s="1" t="s">
        <v>23</v>
      </c>
      <c r="H1852" s="1" t="s">
        <v>83</v>
      </c>
      <c r="I1852" t="b">
        <f>COUNTIF(Estadísticas!I:I,'Centraldecomunicacion.es'!H1852)&gt;0</f>
        <v>0</v>
      </c>
    </row>
    <row r="1853" spans="1:9">
      <c r="A1853" s="1" t="s">
        <v>6691</v>
      </c>
      <c r="B1853" s="1" t="s">
        <v>10</v>
      </c>
      <c r="C1853" s="1" t="s">
        <v>6692</v>
      </c>
      <c r="D1853" s="1" t="s">
        <v>5118</v>
      </c>
      <c r="E1853" s="1" t="s">
        <v>5118</v>
      </c>
      <c r="F1853" s="1" t="s">
        <v>23</v>
      </c>
      <c r="G1853" s="1" t="s">
        <v>6693</v>
      </c>
      <c r="H1853" s="1" t="s">
        <v>15</v>
      </c>
      <c r="I1853" t="b">
        <f>COUNTIF(Estadísticas!I:I,'Centraldecomunicacion.es'!H1853)&gt;0</f>
        <v>0</v>
      </c>
    </row>
    <row r="1854" spans="1:9">
      <c r="A1854" s="1" t="s">
        <v>6694</v>
      </c>
      <c r="B1854" s="1" t="s">
        <v>10</v>
      </c>
      <c r="C1854" s="1" t="s">
        <v>6695</v>
      </c>
      <c r="D1854" s="1" t="s">
        <v>5118</v>
      </c>
      <c r="E1854" s="1" t="s">
        <v>5118</v>
      </c>
      <c r="F1854" s="1" t="s">
        <v>23</v>
      </c>
      <c r="G1854" s="1" t="s">
        <v>6696</v>
      </c>
      <c r="H1854" s="1" t="s">
        <v>15</v>
      </c>
      <c r="I1854" t="b">
        <f>COUNTIF(Estadísticas!I:I,'Centraldecomunicacion.es'!H1854)&gt;0</f>
        <v>0</v>
      </c>
    </row>
    <row r="1855" spans="1:9">
      <c r="A1855" s="1" t="s">
        <v>6697</v>
      </c>
      <c r="B1855" s="1" t="s">
        <v>10</v>
      </c>
      <c r="C1855" s="1" t="s">
        <v>23</v>
      </c>
      <c r="D1855" s="1" t="s">
        <v>6698</v>
      </c>
      <c r="E1855" s="1" t="s">
        <v>23</v>
      </c>
      <c r="F1855" s="1" t="s">
        <v>81</v>
      </c>
      <c r="G1855" s="1" t="s">
        <v>6699</v>
      </c>
      <c r="H1855" s="1" t="s">
        <v>83</v>
      </c>
      <c r="I1855" t="b">
        <f>COUNTIF(Estadísticas!I:I,'Centraldecomunicacion.es'!H1855)&gt;0</f>
        <v>0</v>
      </c>
    </row>
    <row r="1856" spans="1:9">
      <c r="A1856" s="1" t="s">
        <v>6700</v>
      </c>
      <c r="B1856" s="1" t="s">
        <v>10</v>
      </c>
      <c r="C1856" s="1" t="s">
        <v>6701</v>
      </c>
      <c r="D1856" s="1" t="s">
        <v>5118</v>
      </c>
      <c r="E1856" s="1" t="s">
        <v>5118</v>
      </c>
      <c r="F1856" s="1" t="s">
        <v>6702</v>
      </c>
      <c r="G1856" s="1" t="s">
        <v>6703</v>
      </c>
      <c r="H1856" s="1" t="s">
        <v>6704</v>
      </c>
      <c r="I1856" t="b">
        <f>COUNTIF(Estadísticas!I:I,'Centraldecomunicacion.es'!H1856)&gt;0</f>
        <v>0</v>
      </c>
    </row>
    <row r="1857" spans="1:9">
      <c r="A1857" s="1" t="s">
        <v>6705</v>
      </c>
      <c r="B1857" s="1" t="s">
        <v>10</v>
      </c>
      <c r="C1857" s="1" t="s">
        <v>6706</v>
      </c>
      <c r="D1857" s="1" t="s">
        <v>5118</v>
      </c>
      <c r="E1857" s="1" t="s">
        <v>5118</v>
      </c>
      <c r="F1857" s="1" t="s">
        <v>23</v>
      </c>
      <c r="G1857" s="1" t="s">
        <v>6707</v>
      </c>
      <c r="H1857" s="1" t="s">
        <v>15</v>
      </c>
      <c r="I1857" t="b">
        <f>COUNTIF(Estadísticas!I:I,'Centraldecomunicacion.es'!H1857)&gt;0</f>
        <v>0</v>
      </c>
    </row>
    <row r="1858" spans="1:9">
      <c r="A1858" s="1" t="s">
        <v>6708</v>
      </c>
      <c r="B1858" s="1" t="s">
        <v>10</v>
      </c>
      <c r="C1858" s="1" t="s">
        <v>6709</v>
      </c>
      <c r="D1858" s="1" t="s">
        <v>5118</v>
      </c>
      <c r="E1858" s="1" t="s">
        <v>5118</v>
      </c>
      <c r="F1858" s="1" t="s">
        <v>23</v>
      </c>
      <c r="G1858" s="1" t="s">
        <v>23</v>
      </c>
      <c r="H1858" s="1" t="s">
        <v>15</v>
      </c>
      <c r="I1858" t="b">
        <f>COUNTIF(Estadísticas!I:I,'Centraldecomunicacion.es'!H1858)&gt;0</f>
        <v>0</v>
      </c>
    </row>
    <row r="1859" spans="1:9">
      <c r="A1859" s="1" t="s">
        <v>6710</v>
      </c>
      <c r="B1859" s="1" t="s">
        <v>10</v>
      </c>
      <c r="C1859" s="1" t="s">
        <v>6711</v>
      </c>
      <c r="D1859" s="1" t="s">
        <v>6712</v>
      </c>
      <c r="E1859" s="1" t="s">
        <v>5118</v>
      </c>
      <c r="F1859" s="1" t="s">
        <v>23</v>
      </c>
      <c r="G1859" s="1" t="s">
        <v>6713</v>
      </c>
      <c r="H1859" s="1" t="s">
        <v>15</v>
      </c>
      <c r="I1859" t="b">
        <f>COUNTIF(Estadísticas!I:I,'Centraldecomunicacion.es'!H1859)&gt;0</f>
        <v>0</v>
      </c>
    </row>
    <row r="1860" spans="1:9">
      <c r="A1860" s="1" t="s">
        <v>6714</v>
      </c>
      <c r="B1860" s="1" t="s">
        <v>10</v>
      </c>
      <c r="C1860" s="1" t="s">
        <v>6715</v>
      </c>
      <c r="D1860" s="1" t="s">
        <v>6712</v>
      </c>
      <c r="E1860" s="1" t="s">
        <v>5118</v>
      </c>
      <c r="F1860" s="1" t="s">
        <v>23</v>
      </c>
      <c r="G1860" s="1" t="s">
        <v>6716</v>
      </c>
      <c r="H1860" s="1" t="s">
        <v>15</v>
      </c>
      <c r="I1860" t="b">
        <f>COUNTIF(Estadísticas!I:I,'Centraldecomunicacion.es'!H1860)&gt;0</f>
        <v>0</v>
      </c>
    </row>
    <row r="1861" spans="1:9">
      <c r="A1861" s="1" t="s">
        <v>6717</v>
      </c>
      <c r="B1861" s="1" t="s">
        <v>10</v>
      </c>
      <c r="C1861" s="1" t="s">
        <v>6718</v>
      </c>
      <c r="D1861" s="1" t="s">
        <v>6712</v>
      </c>
      <c r="E1861" s="1" t="s">
        <v>5118</v>
      </c>
      <c r="F1861" s="1" t="s">
        <v>6719</v>
      </c>
      <c r="G1861" s="1" t="s">
        <v>6716</v>
      </c>
      <c r="H1861" s="1" t="s">
        <v>15</v>
      </c>
      <c r="I1861" t="b">
        <f>COUNTIF(Estadísticas!I:I,'Centraldecomunicacion.es'!H1861)&gt;0</f>
        <v>0</v>
      </c>
    </row>
    <row r="1862" spans="1:9">
      <c r="A1862" s="1" t="s">
        <v>6720</v>
      </c>
      <c r="B1862" s="1" t="s">
        <v>10</v>
      </c>
      <c r="C1862" s="1" t="s">
        <v>6721</v>
      </c>
      <c r="D1862" s="1" t="s">
        <v>6722</v>
      </c>
      <c r="E1862" s="1" t="s">
        <v>5118</v>
      </c>
      <c r="F1862" s="1" t="s">
        <v>23</v>
      </c>
      <c r="G1862" s="1" t="s">
        <v>6723</v>
      </c>
      <c r="H1862" s="1" t="s">
        <v>15</v>
      </c>
      <c r="I1862" t="b">
        <f>COUNTIF(Estadísticas!I:I,'Centraldecomunicacion.es'!H1862)&gt;0</f>
        <v>0</v>
      </c>
    </row>
    <row r="1863" spans="1:9">
      <c r="A1863" s="1" t="s">
        <v>6724</v>
      </c>
      <c r="B1863" s="1" t="s">
        <v>10</v>
      </c>
      <c r="C1863" s="1" t="s">
        <v>6725</v>
      </c>
      <c r="D1863" s="1" t="s">
        <v>6726</v>
      </c>
      <c r="E1863" s="1" t="s">
        <v>5118</v>
      </c>
      <c r="F1863" s="1" t="s">
        <v>23</v>
      </c>
      <c r="G1863" s="1" t="s">
        <v>6727</v>
      </c>
      <c r="H1863" s="1" t="s">
        <v>15</v>
      </c>
      <c r="I1863" t="b">
        <f>COUNTIF(Estadísticas!I:I,'Centraldecomunicacion.es'!H1863)&gt;0</f>
        <v>0</v>
      </c>
    </row>
    <row r="1864" spans="1:9">
      <c r="A1864" s="1" t="s">
        <v>6728</v>
      </c>
      <c r="B1864" s="1" t="s">
        <v>10</v>
      </c>
      <c r="C1864" s="1" t="s">
        <v>6729</v>
      </c>
      <c r="D1864" s="1" t="s">
        <v>6730</v>
      </c>
      <c r="E1864" s="1" t="s">
        <v>5118</v>
      </c>
      <c r="F1864" s="1" t="s">
        <v>6731</v>
      </c>
      <c r="G1864" s="1" t="s">
        <v>6732</v>
      </c>
      <c r="H1864" s="1" t="s">
        <v>6733</v>
      </c>
      <c r="I1864" t="b">
        <f>COUNTIF(Estadísticas!I:I,'Centraldecomunicacion.es'!H1864)&gt;0</f>
        <v>0</v>
      </c>
    </row>
    <row r="1865" spans="1:9">
      <c r="A1865" s="1" t="s">
        <v>6734</v>
      </c>
      <c r="B1865" s="1" t="s">
        <v>10</v>
      </c>
      <c r="C1865" s="1" t="s">
        <v>6735</v>
      </c>
      <c r="D1865" s="1" t="s">
        <v>6736</v>
      </c>
      <c r="E1865" s="1" t="s">
        <v>5118</v>
      </c>
      <c r="F1865" s="1" t="s">
        <v>6737</v>
      </c>
      <c r="G1865" s="1" t="s">
        <v>6738</v>
      </c>
      <c r="H1865" s="1" t="s">
        <v>6739</v>
      </c>
      <c r="I1865" t="b">
        <f>COUNTIF(Estadísticas!I:I,'Centraldecomunicacion.es'!H1865)&gt;0</f>
        <v>1</v>
      </c>
    </row>
    <row r="1866" spans="1:9">
      <c r="A1866" s="1" t="s">
        <v>6740</v>
      </c>
      <c r="B1866" s="1" t="s">
        <v>10</v>
      </c>
      <c r="C1866" s="1" t="s">
        <v>6741</v>
      </c>
      <c r="D1866" s="1" t="s">
        <v>6742</v>
      </c>
      <c r="E1866" s="1" t="s">
        <v>5118</v>
      </c>
      <c r="F1866" s="1" t="s">
        <v>811</v>
      </c>
      <c r="G1866" s="1" t="s">
        <v>6743</v>
      </c>
      <c r="H1866" s="1" t="s">
        <v>15</v>
      </c>
      <c r="I1866" t="b">
        <f>COUNTIF(Estadísticas!I:I,'Centraldecomunicacion.es'!H1866)&gt;0</f>
        <v>0</v>
      </c>
    </row>
    <row r="1867" spans="1:9">
      <c r="A1867" s="1" t="s">
        <v>6744</v>
      </c>
      <c r="B1867" s="1" t="s">
        <v>10</v>
      </c>
      <c r="C1867" s="1" t="s">
        <v>6745</v>
      </c>
      <c r="D1867" s="1" t="s">
        <v>6730</v>
      </c>
      <c r="E1867" s="1" t="s">
        <v>5118</v>
      </c>
      <c r="F1867" s="1" t="s">
        <v>81</v>
      </c>
      <c r="G1867" s="1" t="s">
        <v>6746</v>
      </c>
      <c r="H1867" s="1" t="s">
        <v>83</v>
      </c>
      <c r="I1867" t="b">
        <f>COUNTIF(Estadísticas!I:I,'Centraldecomunicacion.es'!H1867)&gt;0</f>
        <v>0</v>
      </c>
    </row>
    <row r="1868" spans="1:9">
      <c r="A1868" s="1" t="s">
        <v>6747</v>
      </c>
      <c r="B1868" s="1" t="s">
        <v>10</v>
      </c>
      <c r="C1868" s="1" t="s">
        <v>6748</v>
      </c>
      <c r="D1868" s="1" t="s">
        <v>6749</v>
      </c>
      <c r="E1868" s="1" t="s">
        <v>5118</v>
      </c>
      <c r="F1868" s="1" t="s">
        <v>6737</v>
      </c>
      <c r="G1868" s="1" t="s">
        <v>6750</v>
      </c>
      <c r="H1868" s="1" t="s">
        <v>6739</v>
      </c>
      <c r="I1868" t="b">
        <f>COUNTIF(Estadísticas!I:I,'Centraldecomunicacion.es'!H1868)&gt;0</f>
        <v>1</v>
      </c>
    </row>
    <row r="1869" spans="1:9">
      <c r="A1869" s="1" t="s">
        <v>6751</v>
      </c>
      <c r="B1869" s="1" t="s">
        <v>10</v>
      </c>
      <c r="C1869" s="1" t="s">
        <v>6752</v>
      </c>
      <c r="D1869" s="1" t="s">
        <v>6730</v>
      </c>
      <c r="E1869" s="1" t="s">
        <v>5118</v>
      </c>
      <c r="F1869" s="1" t="s">
        <v>23</v>
      </c>
      <c r="G1869" s="1" t="s">
        <v>6753</v>
      </c>
      <c r="H1869" s="1" t="s">
        <v>15</v>
      </c>
      <c r="I1869" t="b">
        <f>COUNTIF(Estadísticas!I:I,'Centraldecomunicacion.es'!H1869)&gt;0</f>
        <v>0</v>
      </c>
    </row>
    <row r="1870" spans="1:9">
      <c r="A1870" s="1" t="s">
        <v>6754</v>
      </c>
      <c r="B1870" s="1" t="s">
        <v>10</v>
      </c>
      <c r="C1870" s="1" t="s">
        <v>6755</v>
      </c>
      <c r="D1870" s="1" t="s">
        <v>6756</v>
      </c>
      <c r="E1870" s="1" t="s">
        <v>5118</v>
      </c>
      <c r="F1870" s="1" t="s">
        <v>6757</v>
      </c>
      <c r="G1870" s="1" t="s">
        <v>6758</v>
      </c>
      <c r="H1870" s="1" t="s">
        <v>6759</v>
      </c>
      <c r="I1870" t="b">
        <f>COUNTIF(Estadísticas!I:I,'Centraldecomunicacion.es'!H1870)&gt;0</f>
        <v>1</v>
      </c>
    </row>
    <row r="1871" spans="1:9">
      <c r="A1871" s="1" t="s">
        <v>6760</v>
      </c>
      <c r="B1871" s="1" t="s">
        <v>10</v>
      </c>
      <c r="C1871" s="1" t="s">
        <v>6761</v>
      </c>
      <c r="D1871" s="1" t="s">
        <v>6736</v>
      </c>
      <c r="E1871" s="1" t="s">
        <v>5118</v>
      </c>
      <c r="F1871" s="1" t="s">
        <v>23</v>
      </c>
      <c r="G1871" s="1" t="s">
        <v>23</v>
      </c>
      <c r="H1871" s="1" t="s">
        <v>15</v>
      </c>
      <c r="I1871" t="b">
        <f>COUNTIF(Estadísticas!I:I,'Centraldecomunicacion.es'!H1871)&gt;0</f>
        <v>0</v>
      </c>
    </row>
    <row r="1872" spans="1:9">
      <c r="A1872" s="1" t="s">
        <v>6762</v>
      </c>
      <c r="B1872" s="1" t="s">
        <v>10</v>
      </c>
      <c r="C1872" s="1" t="s">
        <v>6763</v>
      </c>
      <c r="D1872" s="1" t="s">
        <v>6764</v>
      </c>
      <c r="E1872" s="1" t="s">
        <v>5118</v>
      </c>
      <c r="F1872" s="1" t="s">
        <v>23</v>
      </c>
      <c r="G1872" s="1" t="s">
        <v>6765</v>
      </c>
      <c r="H1872" s="1" t="s">
        <v>15</v>
      </c>
      <c r="I1872" t="b">
        <f>COUNTIF(Estadísticas!I:I,'Centraldecomunicacion.es'!H1872)&gt;0</f>
        <v>0</v>
      </c>
    </row>
    <row r="1873" spans="1:9">
      <c r="A1873" s="1" t="s">
        <v>6766</v>
      </c>
      <c r="B1873" s="1" t="s">
        <v>10</v>
      </c>
      <c r="C1873" s="1" t="s">
        <v>6767</v>
      </c>
      <c r="D1873" s="1" t="s">
        <v>6768</v>
      </c>
      <c r="E1873" s="1" t="s">
        <v>5118</v>
      </c>
      <c r="F1873" s="1" t="s">
        <v>23</v>
      </c>
      <c r="G1873" s="1" t="s">
        <v>6769</v>
      </c>
      <c r="H1873" s="1" t="s">
        <v>15</v>
      </c>
      <c r="I1873" t="b">
        <f>COUNTIF(Estadísticas!I:I,'Centraldecomunicacion.es'!H1873)&gt;0</f>
        <v>0</v>
      </c>
    </row>
    <row r="1874" spans="1:9">
      <c r="A1874" s="1" t="s">
        <v>6770</v>
      </c>
      <c r="B1874" s="1" t="s">
        <v>10</v>
      </c>
      <c r="C1874" s="1" t="s">
        <v>6771</v>
      </c>
      <c r="D1874" s="1" t="s">
        <v>6764</v>
      </c>
      <c r="E1874" s="1" t="s">
        <v>5118</v>
      </c>
      <c r="F1874" s="1" t="s">
        <v>23</v>
      </c>
      <c r="G1874" s="1" t="s">
        <v>6772</v>
      </c>
      <c r="H1874" s="1" t="s">
        <v>15</v>
      </c>
      <c r="I1874" t="b">
        <f>COUNTIF(Estadísticas!I:I,'Centraldecomunicacion.es'!H1874)&gt;0</f>
        <v>0</v>
      </c>
    </row>
    <row r="1875" spans="1:9">
      <c r="A1875" s="1" t="s">
        <v>6773</v>
      </c>
      <c r="B1875" s="1" t="s">
        <v>10</v>
      </c>
      <c r="C1875" s="1" t="s">
        <v>6774</v>
      </c>
      <c r="D1875" s="1" t="s">
        <v>6768</v>
      </c>
      <c r="E1875" s="1" t="s">
        <v>5118</v>
      </c>
      <c r="F1875" s="1" t="s">
        <v>23</v>
      </c>
      <c r="G1875" s="1" t="s">
        <v>6775</v>
      </c>
      <c r="H1875" s="1" t="s">
        <v>15</v>
      </c>
      <c r="I1875" t="b">
        <f>COUNTIF(Estadísticas!I:I,'Centraldecomunicacion.es'!H1875)&gt;0</f>
        <v>0</v>
      </c>
    </row>
    <row r="1876" spans="1:9">
      <c r="A1876" s="1" t="s">
        <v>6776</v>
      </c>
      <c r="B1876" s="1" t="s">
        <v>10</v>
      </c>
      <c r="C1876" s="1" t="s">
        <v>6777</v>
      </c>
      <c r="D1876" s="1" t="s">
        <v>5433</v>
      </c>
      <c r="E1876" s="1" t="s">
        <v>5118</v>
      </c>
      <c r="F1876" s="1" t="s">
        <v>6778</v>
      </c>
      <c r="G1876" s="1" t="s">
        <v>6779</v>
      </c>
      <c r="H1876" s="1" t="s">
        <v>6780</v>
      </c>
      <c r="I1876" t="b">
        <f>COUNTIF(Estadísticas!I:I,'Centraldecomunicacion.es'!H1876)&gt;0</f>
        <v>0</v>
      </c>
    </row>
    <row r="1877" spans="1:9">
      <c r="A1877" s="1" t="s">
        <v>6781</v>
      </c>
      <c r="B1877" s="1" t="s">
        <v>10</v>
      </c>
      <c r="C1877" s="1" t="s">
        <v>6782</v>
      </c>
      <c r="D1877" s="1" t="s">
        <v>6783</v>
      </c>
      <c r="E1877" s="1" t="s">
        <v>5118</v>
      </c>
      <c r="F1877" s="1" t="s">
        <v>811</v>
      </c>
      <c r="G1877" s="1" t="s">
        <v>6784</v>
      </c>
      <c r="H1877" s="1" t="s">
        <v>15</v>
      </c>
      <c r="I1877" t="b">
        <f>COUNTIF(Estadísticas!I:I,'Centraldecomunicacion.es'!H1877)&gt;0</f>
        <v>0</v>
      </c>
    </row>
    <row r="1878" spans="1:9">
      <c r="A1878" s="1" t="s">
        <v>6785</v>
      </c>
      <c r="B1878" s="1" t="s">
        <v>10</v>
      </c>
      <c r="C1878" s="1" t="s">
        <v>6786</v>
      </c>
      <c r="D1878" s="1" t="s">
        <v>6764</v>
      </c>
      <c r="E1878" s="1" t="s">
        <v>5118</v>
      </c>
      <c r="F1878" s="1" t="s">
        <v>23</v>
      </c>
      <c r="G1878" s="1" t="s">
        <v>6787</v>
      </c>
      <c r="H1878" s="1" t="s">
        <v>15</v>
      </c>
      <c r="I1878" t="b">
        <f>COUNTIF(Estadísticas!I:I,'Centraldecomunicacion.es'!H1878)&gt;0</f>
        <v>0</v>
      </c>
    </row>
    <row r="1879" spans="1:9">
      <c r="A1879" s="1" t="s">
        <v>6788</v>
      </c>
      <c r="B1879" s="1" t="s">
        <v>10</v>
      </c>
      <c r="C1879" s="1" t="s">
        <v>6789</v>
      </c>
      <c r="D1879" s="1" t="s">
        <v>5433</v>
      </c>
      <c r="E1879" s="1" t="s">
        <v>5118</v>
      </c>
      <c r="F1879" s="1" t="s">
        <v>23</v>
      </c>
      <c r="G1879" s="1" t="s">
        <v>6790</v>
      </c>
      <c r="H1879" s="1" t="s">
        <v>15</v>
      </c>
      <c r="I1879" t="b">
        <f>COUNTIF(Estadísticas!I:I,'Centraldecomunicacion.es'!H1879)&gt;0</f>
        <v>0</v>
      </c>
    </row>
    <row r="1880" spans="1:9">
      <c r="A1880" s="1" t="s">
        <v>6791</v>
      </c>
      <c r="B1880" s="1" t="s">
        <v>10</v>
      </c>
      <c r="C1880" s="1" t="s">
        <v>6792</v>
      </c>
      <c r="D1880" s="1" t="s">
        <v>6764</v>
      </c>
      <c r="E1880" s="1" t="s">
        <v>5118</v>
      </c>
      <c r="F1880" s="1" t="s">
        <v>23</v>
      </c>
      <c r="G1880" s="1" t="s">
        <v>6793</v>
      </c>
      <c r="H1880" s="1" t="s">
        <v>15</v>
      </c>
      <c r="I1880" t="b">
        <f>COUNTIF(Estadísticas!I:I,'Centraldecomunicacion.es'!H1880)&gt;0</f>
        <v>0</v>
      </c>
    </row>
    <row r="1881" spans="1:9">
      <c r="A1881" s="1" t="s">
        <v>6794</v>
      </c>
      <c r="B1881" s="1" t="s">
        <v>10</v>
      </c>
      <c r="C1881" s="1" t="s">
        <v>6795</v>
      </c>
      <c r="D1881" s="1" t="s">
        <v>5433</v>
      </c>
      <c r="E1881" s="1" t="s">
        <v>5118</v>
      </c>
      <c r="F1881" s="1" t="s">
        <v>6796</v>
      </c>
      <c r="G1881" s="1" t="s">
        <v>6797</v>
      </c>
      <c r="H1881" s="1" t="s">
        <v>6798</v>
      </c>
      <c r="I1881" t="b">
        <f>COUNTIF(Estadísticas!I:I,'Centraldecomunicacion.es'!H1881)&gt;0</f>
        <v>0</v>
      </c>
    </row>
    <row r="1882" spans="1:9">
      <c r="A1882" s="1" t="s">
        <v>6799</v>
      </c>
      <c r="B1882" s="1" t="s">
        <v>10</v>
      </c>
      <c r="C1882" s="1" t="s">
        <v>6800</v>
      </c>
      <c r="D1882" s="1" t="s">
        <v>5433</v>
      </c>
      <c r="E1882" s="1" t="s">
        <v>5118</v>
      </c>
      <c r="F1882" s="1" t="s">
        <v>6801</v>
      </c>
      <c r="G1882" s="1" t="s">
        <v>6802</v>
      </c>
      <c r="H1882" s="1" t="s">
        <v>1091</v>
      </c>
      <c r="I1882" t="b">
        <f>COUNTIF(Estadísticas!I:I,'Centraldecomunicacion.es'!H1882)&gt;0</f>
        <v>0</v>
      </c>
    </row>
    <row r="1883" spans="1:9">
      <c r="A1883" s="1" t="s">
        <v>6803</v>
      </c>
      <c r="B1883" s="1" t="s">
        <v>10</v>
      </c>
      <c r="C1883" s="1" t="s">
        <v>6804</v>
      </c>
      <c r="D1883" s="1" t="s">
        <v>6805</v>
      </c>
      <c r="E1883" s="1" t="s">
        <v>5118</v>
      </c>
      <c r="F1883" s="1" t="s">
        <v>23</v>
      </c>
      <c r="G1883" s="1" t="s">
        <v>6806</v>
      </c>
      <c r="H1883" s="1" t="s">
        <v>15</v>
      </c>
      <c r="I1883" t="b">
        <f>COUNTIF(Estadísticas!I:I,'Centraldecomunicacion.es'!H1883)&gt;0</f>
        <v>0</v>
      </c>
    </row>
    <row r="1884" spans="1:9">
      <c r="A1884" s="1" t="s">
        <v>257</v>
      </c>
      <c r="B1884" s="1" t="s">
        <v>10</v>
      </c>
      <c r="C1884" s="1" t="s">
        <v>6807</v>
      </c>
      <c r="D1884" s="1" t="s">
        <v>5433</v>
      </c>
      <c r="E1884" s="1" t="s">
        <v>5118</v>
      </c>
      <c r="F1884" s="1" t="s">
        <v>23</v>
      </c>
      <c r="G1884" s="1" t="s">
        <v>6808</v>
      </c>
      <c r="H1884" s="1" t="s">
        <v>15</v>
      </c>
      <c r="I1884" t="b">
        <f>COUNTIF(Estadísticas!I:I,'Centraldecomunicacion.es'!H1884)&gt;0</f>
        <v>0</v>
      </c>
    </row>
    <row r="1885" spans="1:9">
      <c r="A1885" s="1" t="s">
        <v>6809</v>
      </c>
      <c r="B1885" s="1" t="s">
        <v>10</v>
      </c>
      <c r="C1885" s="1" t="s">
        <v>6810</v>
      </c>
      <c r="D1885" s="1" t="s">
        <v>6749</v>
      </c>
      <c r="E1885" s="1" t="s">
        <v>5118</v>
      </c>
      <c r="F1885" s="1" t="s">
        <v>23</v>
      </c>
      <c r="G1885" s="1" t="s">
        <v>23</v>
      </c>
      <c r="H1885" s="1" t="s">
        <v>15</v>
      </c>
      <c r="I1885" t="b">
        <f>COUNTIF(Estadísticas!I:I,'Centraldecomunicacion.es'!H1885)&gt;0</f>
        <v>0</v>
      </c>
    </row>
    <row r="1886" spans="1:9">
      <c r="A1886" s="1" t="s">
        <v>6811</v>
      </c>
      <c r="B1886" s="1" t="s">
        <v>10</v>
      </c>
      <c r="C1886" s="1" t="s">
        <v>6812</v>
      </c>
      <c r="D1886" s="1" t="s">
        <v>6764</v>
      </c>
      <c r="E1886" s="1" t="s">
        <v>5118</v>
      </c>
      <c r="F1886" s="1" t="s">
        <v>6813</v>
      </c>
      <c r="G1886" s="1" t="s">
        <v>6814</v>
      </c>
      <c r="H1886" s="1" t="s">
        <v>6815</v>
      </c>
      <c r="I1886" t="b">
        <f>COUNTIF(Estadísticas!I:I,'Centraldecomunicacion.es'!H1886)&gt;0</f>
        <v>0</v>
      </c>
    </row>
    <row r="1887" spans="1:9">
      <c r="A1887" s="1" t="s">
        <v>6816</v>
      </c>
      <c r="B1887" s="1" t="s">
        <v>10</v>
      </c>
      <c r="C1887" s="1" t="s">
        <v>6817</v>
      </c>
      <c r="D1887" s="1" t="s">
        <v>5433</v>
      </c>
      <c r="E1887" s="1" t="s">
        <v>5118</v>
      </c>
      <c r="F1887" s="1" t="s">
        <v>23</v>
      </c>
      <c r="G1887" s="1" t="s">
        <v>6818</v>
      </c>
      <c r="H1887" s="1" t="s">
        <v>15</v>
      </c>
      <c r="I1887" t="b">
        <f>COUNTIF(Estadísticas!I:I,'Centraldecomunicacion.es'!H1887)&gt;0</f>
        <v>0</v>
      </c>
    </row>
    <row r="1888" spans="1:9">
      <c r="A1888" s="1" t="s">
        <v>6819</v>
      </c>
      <c r="B1888" s="1" t="s">
        <v>10</v>
      </c>
      <c r="C1888" s="1" t="s">
        <v>6820</v>
      </c>
      <c r="D1888" s="1" t="s">
        <v>5433</v>
      </c>
      <c r="E1888" s="1" t="s">
        <v>5118</v>
      </c>
      <c r="F1888" s="1" t="s">
        <v>6821</v>
      </c>
      <c r="G1888" s="1" t="s">
        <v>6822</v>
      </c>
      <c r="H1888" s="1" t="s">
        <v>6823</v>
      </c>
      <c r="I1888" t="b">
        <f>COUNTIF(Estadísticas!I:I,'Centraldecomunicacion.es'!H1888)&gt;0</f>
        <v>0</v>
      </c>
    </row>
    <row r="1889" spans="1:9">
      <c r="A1889" s="1" t="s">
        <v>6824</v>
      </c>
      <c r="B1889" s="1" t="s">
        <v>10</v>
      </c>
      <c r="C1889" s="1" t="s">
        <v>6825</v>
      </c>
      <c r="D1889" s="1" t="s">
        <v>5433</v>
      </c>
      <c r="E1889" s="1" t="s">
        <v>5118</v>
      </c>
      <c r="F1889" s="1" t="s">
        <v>6826</v>
      </c>
      <c r="G1889" s="1" t="s">
        <v>6827</v>
      </c>
      <c r="H1889" s="1" t="s">
        <v>15</v>
      </c>
      <c r="I1889" t="b">
        <f>COUNTIF(Estadísticas!I:I,'Centraldecomunicacion.es'!H1889)&gt;0</f>
        <v>0</v>
      </c>
    </row>
    <row r="1890" spans="1:9">
      <c r="A1890" s="1" t="s">
        <v>6828</v>
      </c>
      <c r="B1890" s="1" t="s">
        <v>10</v>
      </c>
      <c r="C1890" s="1" t="s">
        <v>6829</v>
      </c>
      <c r="D1890" s="1" t="s">
        <v>6749</v>
      </c>
      <c r="E1890" s="1" t="s">
        <v>5118</v>
      </c>
      <c r="F1890" s="1" t="s">
        <v>23</v>
      </c>
      <c r="G1890" s="1" t="s">
        <v>6830</v>
      </c>
      <c r="H1890" s="1" t="s">
        <v>15</v>
      </c>
      <c r="I1890" t="b">
        <f>COUNTIF(Estadísticas!I:I,'Centraldecomunicacion.es'!H1890)&gt;0</f>
        <v>0</v>
      </c>
    </row>
    <row r="1891" spans="1:9">
      <c r="A1891" s="1" t="s">
        <v>6831</v>
      </c>
      <c r="B1891" s="1" t="s">
        <v>10</v>
      </c>
      <c r="C1891" s="1" t="s">
        <v>6832</v>
      </c>
      <c r="D1891" s="1" t="s">
        <v>5433</v>
      </c>
      <c r="E1891" s="1" t="s">
        <v>5118</v>
      </c>
      <c r="F1891" s="1" t="s">
        <v>23</v>
      </c>
      <c r="G1891" s="1" t="s">
        <v>6833</v>
      </c>
      <c r="H1891" s="1" t="s">
        <v>15</v>
      </c>
      <c r="I1891" t="b">
        <f>COUNTIF(Estadísticas!I:I,'Centraldecomunicacion.es'!H1891)&gt;0</f>
        <v>0</v>
      </c>
    </row>
    <row r="1892" spans="1:9">
      <c r="A1892" s="1" t="s">
        <v>6834</v>
      </c>
      <c r="B1892" s="1" t="s">
        <v>10</v>
      </c>
      <c r="C1892" s="1" t="s">
        <v>6835</v>
      </c>
      <c r="D1892" s="1" t="s">
        <v>6836</v>
      </c>
      <c r="E1892" s="1" t="s">
        <v>5118</v>
      </c>
      <c r="F1892" s="1" t="s">
        <v>23</v>
      </c>
      <c r="G1892" s="1" t="s">
        <v>6837</v>
      </c>
      <c r="H1892" s="1" t="s">
        <v>15</v>
      </c>
      <c r="I1892" t="b">
        <f>COUNTIF(Estadísticas!I:I,'Centraldecomunicacion.es'!H1892)&gt;0</f>
        <v>0</v>
      </c>
    </row>
    <row r="1893" spans="1:9">
      <c r="A1893" s="1" t="s">
        <v>6838</v>
      </c>
      <c r="B1893" s="1" t="s">
        <v>10</v>
      </c>
      <c r="C1893" s="1" t="s">
        <v>6839</v>
      </c>
      <c r="D1893" s="1" t="s">
        <v>5433</v>
      </c>
      <c r="E1893" s="1" t="s">
        <v>5118</v>
      </c>
      <c r="F1893" s="1" t="s">
        <v>6840</v>
      </c>
      <c r="G1893" s="1" t="s">
        <v>6841</v>
      </c>
      <c r="H1893" s="1" t="s">
        <v>6842</v>
      </c>
      <c r="I1893" t="b">
        <f>COUNTIF(Estadísticas!I:I,'Centraldecomunicacion.es'!H1893)&gt;0</f>
        <v>0</v>
      </c>
    </row>
    <row r="1894" spans="1:9">
      <c r="A1894" s="1" t="s">
        <v>6843</v>
      </c>
      <c r="B1894" s="1" t="s">
        <v>10</v>
      </c>
      <c r="C1894" s="1" t="s">
        <v>6844</v>
      </c>
      <c r="D1894" s="1" t="s">
        <v>6845</v>
      </c>
      <c r="E1894" s="1" t="s">
        <v>5118</v>
      </c>
      <c r="F1894" s="1" t="s">
        <v>23</v>
      </c>
      <c r="G1894" s="1" t="s">
        <v>6846</v>
      </c>
      <c r="H1894" s="1" t="s">
        <v>15</v>
      </c>
      <c r="I1894" t="b">
        <f>COUNTIF(Estadísticas!I:I,'Centraldecomunicacion.es'!H1894)&gt;0</f>
        <v>0</v>
      </c>
    </row>
    <row r="1895" spans="1:9">
      <c r="A1895" s="1" t="s">
        <v>6847</v>
      </c>
      <c r="B1895" s="1" t="s">
        <v>10</v>
      </c>
      <c r="C1895" s="1" t="s">
        <v>6848</v>
      </c>
      <c r="D1895" s="1" t="s">
        <v>5433</v>
      </c>
      <c r="E1895" s="1" t="s">
        <v>5118</v>
      </c>
      <c r="F1895" s="1" t="s">
        <v>23</v>
      </c>
      <c r="G1895" s="1" t="s">
        <v>6849</v>
      </c>
      <c r="H1895" s="1" t="s">
        <v>15</v>
      </c>
      <c r="I1895" t="b">
        <f>COUNTIF(Estadísticas!I:I,'Centraldecomunicacion.es'!H1895)&gt;0</f>
        <v>0</v>
      </c>
    </row>
    <row r="1896" spans="1:9">
      <c r="A1896" s="1" t="s">
        <v>6850</v>
      </c>
      <c r="B1896" s="1" t="s">
        <v>10</v>
      </c>
      <c r="C1896" s="1" t="s">
        <v>6851</v>
      </c>
      <c r="D1896" s="1" t="s">
        <v>5433</v>
      </c>
      <c r="E1896" s="1" t="s">
        <v>5118</v>
      </c>
      <c r="F1896" s="1" t="s">
        <v>6826</v>
      </c>
      <c r="G1896" s="1" t="s">
        <v>6852</v>
      </c>
      <c r="H1896" s="1" t="s">
        <v>15</v>
      </c>
      <c r="I1896" t="b">
        <f>COUNTIF(Estadísticas!I:I,'Centraldecomunicacion.es'!H1896)&gt;0</f>
        <v>0</v>
      </c>
    </row>
    <row r="1897" spans="1:9">
      <c r="A1897" s="1" t="s">
        <v>6853</v>
      </c>
      <c r="B1897" s="1" t="s">
        <v>10</v>
      </c>
      <c r="C1897" s="1" t="s">
        <v>6854</v>
      </c>
      <c r="D1897" s="1" t="s">
        <v>6855</v>
      </c>
      <c r="E1897" s="1" t="s">
        <v>5118</v>
      </c>
      <c r="F1897" s="1" t="s">
        <v>23</v>
      </c>
      <c r="G1897" s="1" t="s">
        <v>6856</v>
      </c>
      <c r="H1897" s="1" t="s">
        <v>15</v>
      </c>
      <c r="I1897" t="b">
        <f>COUNTIF(Estadísticas!I:I,'Centraldecomunicacion.es'!H1897)&gt;0</f>
        <v>0</v>
      </c>
    </row>
    <row r="1898" spans="1:9">
      <c r="A1898" s="1" t="s">
        <v>6857</v>
      </c>
      <c r="B1898" s="1" t="s">
        <v>10</v>
      </c>
      <c r="C1898" s="1" t="s">
        <v>6858</v>
      </c>
      <c r="D1898" s="1" t="s">
        <v>5433</v>
      </c>
      <c r="E1898" s="1" t="s">
        <v>5118</v>
      </c>
      <c r="F1898" s="1" t="s">
        <v>23</v>
      </c>
      <c r="G1898" s="1" t="s">
        <v>6859</v>
      </c>
      <c r="H1898" s="1" t="s">
        <v>15</v>
      </c>
      <c r="I1898" t="b">
        <f>COUNTIF(Estadísticas!I:I,'Centraldecomunicacion.es'!H1898)&gt;0</f>
        <v>0</v>
      </c>
    </row>
    <row r="1899" spans="1:9">
      <c r="A1899" s="1" t="s">
        <v>6860</v>
      </c>
      <c r="B1899" s="1" t="s">
        <v>10</v>
      </c>
      <c r="C1899" s="1" t="s">
        <v>6861</v>
      </c>
      <c r="D1899" s="1" t="s">
        <v>5433</v>
      </c>
      <c r="E1899" s="1" t="s">
        <v>5118</v>
      </c>
      <c r="F1899" s="1" t="s">
        <v>6862</v>
      </c>
      <c r="G1899" s="1" t="s">
        <v>6863</v>
      </c>
      <c r="H1899" s="1" t="s">
        <v>6864</v>
      </c>
      <c r="I1899" t="b">
        <f>COUNTIF(Estadísticas!I:I,'Centraldecomunicacion.es'!H1899)&gt;0</f>
        <v>0</v>
      </c>
    </row>
    <row r="1900" spans="1:9">
      <c r="A1900" s="1" t="s">
        <v>257</v>
      </c>
      <c r="B1900" s="1" t="s">
        <v>10</v>
      </c>
      <c r="C1900" s="1" t="s">
        <v>6865</v>
      </c>
      <c r="D1900" s="1" t="s">
        <v>6866</v>
      </c>
      <c r="E1900" s="1" t="s">
        <v>5118</v>
      </c>
      <c r="F1900" s="1" t="s">
        <v>81</v>
      </c>
      <c r="G1900" s="1" t="s">
        <v>6867</v>
      </c>
      <c r="H1900" s="1" t="s">
        <v>83</v>
      </c>
      <c r="I1900" t="b">
        <f>COUNTIF(Estadísticas!I:I,'Centraldecomunicacion.es'!H1900)&gt;0</f>
        <v>0</v>
      </c>
    </row>
    <row r="1901" spans="1:9">
      <c r="A1901" s="1" t="s">
        <v>6868</v>
      </c>
      <c r="B1901" s="1" t="s">
        <v>10</v>
      </c>
      <c r="C1901" s="1" t="s">
        <v>6869</v>
      </c>
      <c r="D1901" s="1" t="s">
        <v>5433</v>
      </c>
      <c r="E1901" s="1" t="s">
        <v>5118</v>
      </c>
      <c r="F1901" s="1" t="s">
        <v>23</v>
      </c>
      <c r="G1901" s="1" t="s">
        <v>6870</v>
      </c>
      <c r="H1901" s="1" t="s">
        <v>15</v>
      </c>
      <c r="I1901" t="b">
        <f>COUNTIF(Estadísticas!I:I,'Centraldecomunicacion.es'!H1901)&gt;0</f>
        <v>0</v>
      </c>
    </row>
    <row r="1902" spans="1:9">
      <c r="A1902" s="1" t="s">
        <v>6871</v>
      </c>
      <c r="B1902" s="1" t="s">
        <v>10</v>
      </c>
      <c r="C1902" s="1" t="s">
        <v>6872</v>
      </c>
      <c r="D1902" s="1" t="s">
        <v>6783</v>
      </c>
      <c r="E1902" s="1" t="s">
        <v>5118</v>
      </c>
      <c r="F1902" s="1" t="s">
        <v>6873</v>
      </c>
      <c r="G1902" s="1" t="s">
        <v>6874</v>
      </c>
      <c r="H1902" s="1" t="s">
        <v>6875</v>
      </c>
      <c r="I1902" t="b">
        <f>COUNTIF(Estadísticas!I:I,'Centraldecomunicacion.es'!H1902)&gt;0</f>
        <v>0</v>
      </c>
    </row>
    <row r="1903" spans="1:9">
      <c r="A1903" s="1" t="s">
        <v>6876</v>
      </c>
      <c r="B1903" s="1" t="s">
        <v>10</v>
      </c>
      <c r="C1903" s="1" t="s">
        <v>6877</v>
      </c>
      <c r="D1903" s="1" t="s">
        <v>5433</v>
      </c>
      <c r="E1903" s="1" t="s">
        <v>5118</v>
      </c>
      <c r="F1903" s="1" t="s">
        <v>6878</v>
      </c>
      <c r="G1903" s="1" t="s">
        <v>6879</v>
      </c>
      <c r="H1903" s="1" t="s">
        <v>6880</v>
      </c>
      <c r="I1903" t="b">
        <f>COUNTIF(Estadísticas!I:I,'Centraldecomunicacion.es'!H1903)&gt;0</f>
        <v>1</v>
      </c>
    </row>
    <row r="1904" spans="1:9">
      <c r="A1904" s="1" t="s">
        <v>6881</v>
      </c>
      <c r="B1904" s="1" t="s">
        <v>10</v>
      </c>
      <c r="C1904" s="1" t="s">
        <v>6882</v>
      </c>
      <c r="D1904" s="1" t="s">
        <v>5433</v>
      </c>
      <c r="E1904" s="1" t="s">
        <v>5118</v>
      </c>
      <c r="F1904" s="1" t="s">
        <v>23</v>
      </c>
      <c r="G1904" s="1" t="s">
        <v>6883</v>
      </c>
      <c r="H1904" s="1" t="s">
        <v>15</v>
      </c>
      <c r="I1904" t="b">
        <f>COUNTIF(Estadísticas!I:I,'Centraldecomunicacion.es'!H1904)&gt;0</f>
        <v>0</v>
      </c>
    </row>
    <row r="1905" spans="1:9">
      <c r="A1905" s="1" t="s">
        <v>6884</v>
      </c>
      <c r="B1905" s="1" t="s">
        <v>10</v>
      </c>
      <c r="C1905" s="1" t="s">
        <v>6885</v>
      </c>
      <c r="D1905" s="1" t="s">
        <v>6886</v>
      </c>
      <c r="E1905" s="1" t="s">
        <v>5118</v>
      </c>
      <c r="F1905" s="1" t="s">
        <v>23</v>
      </c>
      <c r="G1905" s="1" t="s">
        <v>6887</v>
      </c>
      <c r="H1905" s="1" t="s">
        <v>15</v>
      </c>
      <c r="I1905" t="b">
        <f>COUNTIF(Estadísticas!I:I,'Centraldecomunicacion.es'!H1905)&gt;0</f>
        <v>0</v>
      </c>
    </row>
    <row r="1906" spans="1:9">
      <c r="A1906" s="1" t="s">
        <v>6888</v>
      </c>
      <c r="B1906" s="1" t="s">
        <v>10</v>
      </c>
      <c r="C1906" s="1" t="s">
        <v>6889</v>
      </c>
      <c r="D1906" s="1" t="s">
        <v>6845</v>
      </c>
      <c r="E1906" s="1" t="s">
        <v>5118</v>
      </c>
      <c r="F1906" s="1" t="s">
        <v>23</v>
      </c>
      <c r="G1906" s="1" t="s">
        <v>6890</v>
      </c>
      <c r="H1906" s="1" t="s">
        <v>15</v>
      </c>
      <c r="I1906" t="b">
        <f>COUNTIF(Estadísticas!I:I,'Centraldecomunicacion.es'!H1906)&gt;0</f>
        <v>0</v>
      </c>
    </row>
    <row r="1907" spans="1:9">
      <c r="A1907" s="1" t="s">
        <v>6891</v>
      </c>
      <c r="B1907" s="1" t="s">
        <v>10</v>
      </c>
      <c r="C1907" s="1" t="s">
        <v>6892</v>
      </c>
      <c r="D1907" s="1" t="s">
        <v>5433</v>
      </c>
      <c r="E1907" s="1" t="s">
        <v>5118</v>
      </c>
      <c r="F1907" s="1" t="s">
        <v>23</v>
      </c>
      <c r="G1907" s="1" t="s">
        <v>6893</v>
      </c>
      <c r="H1907" s="1" t="s">
        <v>15</v>
      </c>
      <c r="I1907" t="b">
        <f>COUNTIF(Estadísticas!I:I,'Centraldecomunicacion.es'!H1907)&gt;0</f>
        <v>0</v>
      </c>
    </row>
    <row r="1908" spans="1:9">
      <c r="A1908" s="1" t="s">
        <v>6894</v>
      </c>
      <c r="B1908" s="1" t="s">
        <v>10</v>
      </c>
      <c r="C1908" s="1" t="s">
        <v>6895</v>
      </c>
      <c r="D1908" s="1" t="s">
        <v>6896</v>
      </c>
      <c r="E1908" s="1" t="s">
        <v>5118</v>
      </c>
      <c r="F1908" s="1" t="s">
        <v>6897</v>
      </c>
      <c r="G1908" s="1" t="s">
        <v>6898</v>
      </c>
      <c r="H1908" s="1" t="s">
        <v>15</v>
      </c>
      <c r="I1908" t="b">
        <f>COUNTIF(Estadísticas!I:I,'Centraldecomunicacion.es'!H1908)&gt;0</f>
        <v>0</v>
      </c>
    </row>
    <row r="1909" spans="1:9">
      <c r="A1909" s="1" t="s">
        <v>6899</v>
      </c>
      <c r="B1909" s="1" t="s">
        <v>10</v>
      </c>
      <c r="C1909" s="1" t="s">
        <v>6900</v>
      </c>
      <c r="D1909" s="1" t="s">
        <v>6886</v>
      </c>
      <c r="E1909" s="1" t="s">
        <v>5118</v>
      </c>
      <c r="F1909" s="1" t="s">
        <v>23</v>
      </c>
      <c r="G1909" s="1" t="s">
        <v>6901</v>
      </c>
      <c r="H1909" s="1" t="s">
        <v>15</v>
      </c>
      <c r="I1909" t="b">
        <f>COUNTIF(Estadísticas!I:I,'Centraldecomunicacion.es'!H1909)&gt;0</f>
        <v>0</v>
      </c>
    </row>
    <row r="1910" spans="1:9">
      <c r="A1910" s="1" t="s">
        <v>6876</v>
      </c>
      <c r="B1910" s="1" t="s">
        <v>10</v>
      </c>
      <c r="C1910" s="1" t="s">
        <v>6902</v>
      </c>
      <c r="D1910" s="1" t="s">
        <v>5433</v>
      </c>
      <c r="E1910" s="1" t="s">
        <v>5118</v>
      </c>
      <c r="F1910" s="1" t="s">
        <v>6878</v>
      </c>
      <c r="G1910" s="1" t="s">
        <v>6903</v>
      </c>
      <c r="H1910" s="1" t="s">
        <v>6880</v>
      </c>
      <c r="I1910" t="b">
        <f>COUNTIF(Estadísticas!I:I,'Centraldecomunicacion.es'!H1910)&gt;0</f>
        <v>1</v>
      </c>
    </row>
    <row r="1911" spans="1:9">
      <c r="A1911" s="1" t="s">
        <v>6904</v>
      </c>
      <c r="B1911" s="1" t="s">
        <v>10</v>
      </c>
      <c r="C1911" s="1" t="s">
        <v>6905</v>
      </c>
      <c r="D1911" s="1" t="s">
        <v>6906</v>
      </c>
      <c r="E1911" s="1" t="s">
        <v>5118</v>
      </c>
      <c r="F1911" s="1" t="s">
        <v>6907</v>
      </c>
      <c r="G1911" s="1" t="s">
        <v>6908</v>
      </c>
      <c r="H1911" s="1" t="s">
        <v>15</v>
      </c>
      <c r="I1911" t="b">
        <f>COUNTIF(Estadísticas!I:I,'Centraldecomunicacion.es'!H1911)&gt;0</f>
        <v>0</v>
      </c>
    </row>
    <row r="1912" spans="1:9">
      <c r="A1912" s="1" t="s">
        <v>6909</v>
      </c>
      <c r="B1912" s="1" t="s">
        <v>10</v>
      </c>
      <c r="C1912" s="1" t="s">
        <v>6910</v>
      </c>
      <c r="D1912" s="1" t="s">
        <v>6911</v>
      </c>
      <c r="E1912" s="1" t="s">
        <v>5118</v>
      </c>
      <c r="F1912" s="1" t="s">
        <v>23</v>
      </c>
      <c r="G1912" s="1" t="s">
        <v>23</v>
      </c>
      <c r="H1912" s="1" t="s">
        <v>15</v>
      </c>
      <c r="I1912" t="b">
        <f>COUNTIF(Estadísticas!I:I,'Centraldecomunicacion.es'!H1912)&gt;0</f>
        <v>0</v>
      </c>
    </row>
    <row r="1913" spans="1:9">
      <c r="A1913" s="1" t="s">
        <v>6912</v>
      </c>
      <c r="B1913" s="1" t="s">
        <v>10</v>
      </c>
      <c r="C1913" s="1" t="s">
        <v>6913</v>
      </c>
      <c r="D1913" s="1" t="s">
        <v>5433</v>
      </c>
      <c r="E1913" s="1" t="s">
        <v>5118</v>
      </c>
      <c r="F1913" s="1" t="s">
        <v>6914</v>
      </c>
      <c r="G1913" s="1" t="s">
        <v>6915</v>
      </c>
      <c r="H1913" s="1" t="s">
        <v>6916</v>
      </c>
      <c r="I1913" t="b">
        <f>COUNTIF(Estadísticas!I:I,'Centraldecomunicacion.es'!H1913)&gt;0</f>
        <v>0</v>
      </c>
    </row>
    <row r="1914" spans="1:9">
      <c r="A1914" s="1" t="s">
        <v>6917</v>
      </c>
      <c r="B1914" s="1" t="s">
        <v>10</v>
      </c>
      <c r="C1914" s="1" t="s">
        <v>6918</v>
      </c>
      <c r="D1914" s="1" t="s">
        <v>6919</v>
      </c>
      <c r="E1914" s="1" t="s">
        <v>5118</v>
      </c>
      <c r="F1914" s="1" t="s">
        <v>6897</v>
      </c>
      <c r="G1914" s="1" t="s">
        <v>6920</v>
      </c>
      <c r="H1914" s="1" t="s">
        <v>15</v>
      </c>
      <c r="I1914" t="b">
        <f>COUNTIF(Estadísticas!I:I,'Centraldecomunicacion.es'!H1914)&gt;0</f>
        <v>0</v>
      </c>
    </row>
    <row r="1915" spans="1:9">
      <c r="A1915" s="1" t="s">
        <v>6921</v>
      </c>
      <c r="B1915" s="1" t="s">
        <v>10</v>
      </c>
      <c r="C1915" s="1" t="s">
        <v>6922</v>
      </c>
      <c r="D1915" s="1" t="s">
        <v>5433</v>
      </c>
      <c r="E1915" s="1" t="s">
        <v>5118</v>
      </c>
      <c r="F1915" s="1" t="s">
        <v>6923</v>
      </c>
      <c r="G1915" s="1" t="s">
        <v>6924</v>
      </c>
      <c r="H1915" s="1" t="s">
        <v>6925</v>
      </c>
      <c r="I1915" t="b">
        <f>COUNTIF(Estadísticas!I:I,'Centraldecomunicacion.es'!H1915)&gt;0</f>
        <v>1</v>
      </c>
    </row>
    <row r="1916" spans="1:9">
      <c r="A1916" s="1" t="s">
        <v>6926</v>
      </c>
      <c r="B1916" s="1" t="s">
        <v>10</v>
      </c>
      <c r="C1916" s="1" t="s">
        <v>6927</v>
      </c>
      <c r="D1916" s="1" t="s">
        <v>5433</v>
      </c>
      <c r="E1916" s="1" t="s">
        <v>5118</v>
      </c>
      <c r="F1916" s="1" t="s">
        <v>6928</v>
      </c>
      <c r="G1916" s="1" t="s">
        <v>6929</v>
      </c>
      <c r="H1916" s="1" t="s">
        <v>6930</v>
      </c>
      <c r="I1916" t="b">
        <f>COUNTIF(Estadísticas!I:I,'Centraldecomunicacion.es'!H1916)&gt;0</f>
        <v>0</v>
      </c>
    </row>
    <row r="1917" spans="1:9">
      <c r="A1917" s="1" t="s">
        <v>6931</v>
      </c>
      <c r="B1917" s="1" t="s">
        <v>10</v>
      </c>
      <c r="C1917" s="1" t="s">
        <v>6932</v>
      </c>
      <c r="D1917" s="1" t="s">
        <v>5433</v>
      </c>
      <c r="E1917" s="1" t="s">
        <v>5118</v>
      </c>
      <c r="F1917" s="1" t="s">
        <v>23</v>
      </c>
      <c r="G1917" s="1" t="s">
        <v>6893</v>
      </c>
      <c r="H1917" s="1" t="s">
        <v>15</v>
      </c>
      <c r="I1917" t="b">
        <f>COUNTIF(Estadísticas!I:I,'Centraldecomunicacion.es'!H1917)&gt;0</f>
        <v>0</v>
      </c>
    </row>
    <row r="1918" spans="1:9">
      <c r="A1918" s="1" t="s">
        <v>6933</v>
      </c>
      <c r="B1918" s="1" t="s">
        <v>10</v>
      </c>
      <c r="C1918" s="1" t="s">
        <v>6934</v>
      </c>
      <c r="D1918" s="1" t="s">
        <v>6836</v>
      </c>
      <c r="E1918" s="1" t="s">
        <v>5118</v>
      </c>
      <c r="F1918" s="1" t="s">
        <v>6935</v>
      </c>
      <c r="G1918" s="1" t="s">
        <v>6936</v>
      </c>
      <c r="H1918" s="1" t="s">
        <v>6937</v>
      </c>
      <c r="I1918" t="b">
        <f>COUNTIF(Estadísticas!I:I,'Centraldecomunicacion.es'!H1918)&gt;0</f>
        <v>0</v>
      </c>
    </row>
    <row r="1919" spans="1:9">
      <c r="A1919" s="1" t="s">
        <v>6838</v>
      </c>
      <c r="B1919" s="1" t="s">
        <v>10</v>
      </c>
      <c r="C1919" s="1" t="s">
        <v>6938</v>
      </c>
      <c r="D1919" s="1" t="s">
        <v>5433</v>
      </c>
      <c r="E1919" s="1" t="s">
        <v>5118</v>
      </c>
      <c r="F1919" s="1" t="s">
        <v>6840</v>
      </c>
      <c r="G1919" s="1" t="s">
        <v>6939</v>
      </c>
      <c r="H1919" s="1" t="s">
        <v>6842</v>
      </c>
      <c r="I1919" t="b">
        <f>COUNTIF(Estadísticas!I:I,'Centraldecomunicacion.es'!H1919)&gt;0</f>
        <v>0</v>
      </c>
    </row>
    <row r="1920" spans="1:9">
      <c r="A1920" s="1" t="s">
        <v>6940</v>
      </c>
      <c r="B1920" s="1" t="s">
        <v>10</v>
      </c>
      <c r="C1920" s="1" t="s">
        <v>6941</v>
      </c>
      <c r="D1920" s="1" t="s">
        <v>6783</v>
      </c>
      <c r="E1920" s="1" t="s">
        <v>5118</v>
      </c>
      <c r="F1920" s="1" t="s">
        <v>23</v>
      </c>
      <c r="G1920" s="1" t="s">
        <v>6942</v>
      </c>
      <c r="H1920" s="1" t="s">
        <v>15</v>
      </c>
      <c r="I1920" t="b">
        <f>COUNTIF(Estadísticas!I:I,'Centraldecomunicacion.es'!H1920)&gt;0</f>
        <v>0</v>
      </c>
    </row>
    <row r="1921" spans="1:9">
      <c r="A1921" s="1" t="s">
        <v>6943</v>
      </c>
      <c r="B1921" s="1" t="s">
        <v>10</v>
      </c>
      <c r="C1921" s="1" t="s">
        <v>6944</v>
      </c>
      <c r="D1921" s="1" t="s">
        <v>5433</v>
      </c>
      <c r="E1921" s="1" t="s">
        <v>5118</v>
      </c>
      <c r="F1921" s="1" t="s">
        <v>23</v>
      </c>
      <c r="G1921" s="1" t="s">
        <v>6945</v>
      </c>
      <c r="H1921" s="1" t="s">
        <v>15</v>
      </c>
      <c r="I1921" t="b">
        <f>COUNTIF(Estadísticas!I:I,'Centraldecomunicacion.es'!H1921)&gt;0</f>
        <v>0</v>
      </c>
    </row>
    <row r="1922" spans="1:9">
      <c r="A1922" s="1" t="s">
        <v>6946</v>
      </c>
      <c r="B1922" s="1" t="s">
        <v>10</v>
      </c>
      <c r="C1922" s="1" t="s">
        <v>6947</v>
      </c>
      <c r="D1922" s="1" t="s">
        <v>3435</v>
      </c>
      <c r="E1922" s="1" t="s">
        <v>693</v>
      </c>
      <c r="F1922" s="1" t="s">
        <v>23</v>
      </c>
      <c r="G1922" s="1" t="s">
        <v>6948</v>
      </c>
      <c r="H1922" s="1" t="s">
        <v>15</v>
      </c>
      <c r="I1922" t="b">
        <f>COUNTIF(Estadísticas!I:I,'Centraldecomunicacion.es'!H1922)&gt;0</f>
        <v>0</v>
      </c>
    </row>
    <row r="1923" spans="1:9">
      <c r="A1923" s="1" t="s">
        <v>6949</v>
      </c>
      <c r="B1923" s="1" t="s">
        <v>10</v>
      </c>
      <c r="C1923" s="1" t="s">
        <v>6950</v>
      </c>
      <c r="D1923" s="1" t="s">
        <v>693</v>
      </c>
      <c r="E1923" s="1" t="s">
        <v>693</v>
      </c>
      <c r="F1923" s="1" t="s">
        <v>811</v>
      </c>
      <c r="G1923" s="1" t="s">
        <v>6951</v>
      </c>
      <c r="H1923" s="1" t="s">
        <v>15</v>
      </c>
      <c r="I1923" t="b">
        <f>COUNTIF(Estadísticas!I:I,'Centraldecomunicacion.es'!H1923)&gt;0</f>
        <v>0</v>
      </c>
    </row>
    <row r="1924" spans="1:9">
      <c r="A1924" s="1" t="s">
        <v>6952</v>
      </c>
      <c r="B1924" s="1" t="s">
        <v>10</v>
      </c>
      <c r="C1924" s="1" t="s">
        <v>6953</v>
      </c>
      <c r="D1924" s="1" t="s">
        <v>693</v>
      </c>
      <c r="E1924" s="1" t="s">
        <v>693</v>
      </c>
      <c r="F1924" s="1" t="s">
        <v>6954</v>
      </c>
      <c r="G1924" s="1" t="s">
        <v>6955</v>
      </c>
      <c r="H1924" s="1" t="s">
        <v>15</v>
      </c>
      <c r="I1924" t="b">
        <f>COUNTIF(Estadísticas!I:I,'Centraldecomunicacion.es'!H1924)&gt;0</f>
        <v>0</v>
      </c>
    </row>
    <row r="1925" spans="1:9">
      <c r="A1925" s="1" t="s">
        <v>6956</v>
      </c>
      <c r="B1925" s="1" t="s">
        <v>10</v>
      </c>
      <c r="C1925" s="1" t="s">
        <v>6957</v>
      </c>
      <c r="D1925" s="1" t="s">
        <v>6958</v>
      </c>
      <c r="E1925" s="1" t="s">
        <v>693</v>
      </c>
      <c r="F1925" s="1" t="s">
        <v>6959</v>
      </c>
      <c r="G1925" s="1" t="s">
        <v>6960</v>
      </c>
      <c r="H1925" s="1" t="s">
        <v>6961</v>
      </c>
      <c r="I1925" t="b">
        <f>COUNTIF(Estadísticas!I:I,'Centraldecomunicacion.es'!H1925)&gt;0</f>
        <v>0</v>
      </c>
    </row>
    <row r="1926" spans="1:9">
      <c r="A1926" s="1" t="s">
        <v>6962</v>
      </c>
      <c r="B1926" s="1" t="s">
        <v>10</v>
      </c>
      <c r="C1926" s="1" t="s">
        <v>6963</v>
      </c>
      <c r="D1926" s="1" t="s">
        <v>6964</v>
      </c>
      <c r="E1926" s="1" t="s">
        <v>2002</v>
      </c>
      <c r="F1926" s="1" t="s">
        <v>6965</v>
      </c>
      <c r="G1926" s="1" t="s">
        <v>6966</v>
      </c>
      <c r="H1926" s="1" t="s">
        <v>15</v>
      </c>
      <c r="I1926" t="b">
        <f>COUNTIF(Estadísticas!I:I,'Centraldecomunicacion.es'!H1926)&gt;0</f>
        <v>0</v>
      </c>
    </row>
    <row r="1927" spans="1:9">
      <c r="A1927" s="1" t="s">
        <v>6967</v>
      </c>
      <c r="B1927" s="1" t="s">
        <v>10</v>
      </c>
      <c r="C1927" s="1" t="s">
        <v>6968</v>
      </c>
      <c r="D1927" s="1" t="s">
        <v>3844</v>
      </c>
      <c r="E1927" s="1" t="s">
        <v>3845</v>
      </c>
      <c r="F1927" s="1" t="s">
        <v>23</v>
      </c>
      <c r="G1927" s="1" t="s">
        <v>6969</v>
      </c>
      <c r="H1927" s="1" t="s">
        <v>15</v>
      </c>
      <c r="I1927" t="b">
        <f>COUNTIF(Estadísticas!I:I,'Centraldecomunicacion.es'!H1927)&gt;0</f>
        <v>0</v>
      </c>
    </row>
    <row r="1928" spans="1:9">
      <c r="A1928" s="1" t="s">
        <v>6970</v>
      </c>
      <c r="B1928" s="1" t="s">
        <v>10</v>
      </c>
      <c r="C1928" s="1" t="s">
        <v>6971</v>
      </c>
      <c r="D1928" s="1" t="s">
        <v>3844</v>
      </c>
      <c r="E1928" s="1" t="s">
        <v>3845</v>
      </c>
      <c r="F1928" s="1" t="s">
        <v>1655</v>
      </c>
      <c r="G1928" s="1" t="s">
        <v>6972</v>
      </c>
      <c r="H1928" s="1" t="s">
        <v>1657</v>
      </c>
      <c r="I1928" t="b">
        <f>COUNTIF(Estadísticas!I:I,'Centraldecomunicacion.es'!H1928)&gt;0</f>
        <v>0</v>
      </c>
    </row>
    <row r="1929" spans="1:9">
      <c r="A1929" s="1" t="s">
        <v>6973</v>
      </c>
      <c r="B1929" s="1" t="s">
        <v>10</v>
      </c>
      <c r="C1929" s="1" t="s">
        <v>6974</v>
      </c>
      <c r="D1929" s="1" t="s">
        <v>3844</v>
      </c>
      <c r="E1929" s="1" t="s">
        <v>3845</v>
      </c>
      <c r="F1929" s="1" t="s">
        <v>6975</v>
      </c>
      <c r="G1929" s="1" t="s">
        <v>6976</v>
      </c>
      <c r="H1929" s="1" t="s">
        <v>6977</v>
      </c>
      <c r="I1929" t="b">
        <f>COUNTIF(Estadísticas!I:I,'Centraldecomunicacion.es'!H1929)&gt;0</f>
        <v>1</v>
      </c>
    </row>
    <row r="1930" spans="1:9">
      <c r="A1930" s="1" t="s">
        <v>6978</v>
      </c>
      <c r="B1930" s="1" t="s">
        <v>10</v>
      </c>
      <c r="C1930" s="1" t="s">
        <v>6979</v>
      </c>
      <c r="D1930" s="1" t="s">
        <v>3491</v>
      </c>
      <c r="E1930" s="1" t="s">
        <v>693</v>
      </c>
      <c r="F1930" s="1" t="s">
        <v>23</v>
      </c>
      <c r="G1930" s="1" t="s">
        <v>6980</v>
      </c>
      <c r="H1930" s="1" t="s">
        <v>15</v>
      </c>
      <c r="I1930" t="b">
        <f>COUNTIF(Estadísticas!I:I,'Centraldecomunicacion.es'!H1930)&gt;0</f>
        <v>0</v>
      </c>
    </row>
    <row r="1931" spans="1:9">
      <c r="A1931" s="1" t="s">
        <v>6981</v>
      </c>
      <c r="B1931" s="1" t="s">
        <v>10</v>
      </c>
      <c r="C1931" s="1" t="s">
        <v>6982</v>
      </c>
      <c r="D1931" s="1" t="s">
        <v>3844</v>
      </c>
      <c r="E1931" s="1" t="s">
        <v>3845</v>
      </c>
      <c r="F1931" s="1" t="s">
        <v>6983</v>
      </c>
      <c r="G1931" s="1" t="s">
        <v>6984</v>
      </c>
      <c r="H1931" s="1" t="s">
        <v>15</v>
      </c>
      <c r="I1931" t="b">
        <f>COUNTIF(Estadísticas!I:I,'Centraldecomunicacion.es'!H1931)&gt;0</f>
        <v>0</v>
      </c>
    </row>
    <row r="1932" spans="1:9">
      <c r="A1932" s="1" t="s">
        <v>6985</v>
      </c>
      <c r="B1932" s="1" t="s">
        <v>10</v>
      </c>
      <c r="C1932" s="1" t="s">
        <v>6986</v>
      </c>
      <c r="D1932" s="1" t="s">
        <v>3844</v>
      </c>
      <c r="E1932" s="1" t="s">
        <v>3845</v>
      </c>
      <c r="F1932" s="1" t="s">
        <v>23</v>
      </c>
      <c r="G1932" s="1" t="s">
        <v>6987</v>
      </c>
      <c r="H1932" s="1" t="s">
        <v>15</v>
      </c>
      <c r="I1932" t="b">
        <f>COUNTIF(Estadísticas!I:I,'Centraldecomunicacion.es'!H1932)&gt;0</f>
        <v>0</v>
      </c>
    </row>
    <row r="1933" spans="1:9">
      <c r="A1933" s="1" t="s">
        <v>6988</v>
      </c>
      <c r="B1933" s="1" t="s">
        <v>10</v>
      </c>
      <c r="C1933" s="1" t="s">
        <v>6989</v>
      </c>
      <c r="D1933" s="1" t="s">
        <v>6990</v>
      </c>
      <c r="E1933" s="1" t="s">
        <v>3845</v>
      </c>
      <c r="F1933" s="1" t="s">
        <v>23</v>
      </c>
      <c r="G1933" s="1" t="s">
        <v>6991</v>
      </c>
      <c r="H1933" s="1" t="s">
        <v>15</v>
      </c>
      <c r="I1933" t="b">
        <f>COUNTIF(Estadísticas!I:I,'Centraldecomunicacion.es'!H1933)&gt;0</f>
        <v>0</v>
      </c>
    </row>
    <row r="1934" spans="1:9">
      <c r="A1934" s="1" t="s">
        <v>6992</v>
      </c>
      <c r="B1934" s="1" t="s">
        <v>10</v>
      </c>
      <c r="C1934" s="1" t="s">
        <v>6993</v>
      </c>
      <c r="D1934" s="1" t="s">
        <v>3844</v>
      </c>
      <c r="E1934" s="1" t="s">
        <v>3845</v>
      </c>
      <c r="F1934" s="1" t="s">
        <v>6994</v>
      </c>
      <c r="G1934" s="1" t="s">
        <v>6995</v>
      </c>
      <c r="H1934" s="1" t="s">
        <v>6996</v>
      </c>
      <c r="I1934" t="b">
        <f>COUNTIF(Estadísticas!I:I,'Centraldecomunicacion.es'!H1934)&gt;0</f>
        <v>1</v>
      </c>
    </row>
    <row r="1935" spans="1:9">
      <c r="A1935" s="1" t="s">
        <v>6997</v>
      </c>
      <c r="B1935" s="1" t="s">
        <v>10</v>
      </c>
      <c r="C1935" s="1" t="s">
        <v>6998</v>
      </c>
      <c r="D1935" s="1" t="s">
        <v>3844</v>
      </c>
      <c r="E1935" s="1" t="s">
        <v>3845</v>
      </c>
      <c r="F1935" s="1" t="s">
        <v>23</v>
      </c>
      <c r="G1935" s="1" t="s">
        <v>6999</v>
      </c>
      <c r="H1935" s="1" t="s">
        <v>15</v>
      </c>
      <c r="I1935" t="b">
        <f>COUNTIF(Estadísticas!I:I,'Centraldecomunicacion.es'!H1935)&gt;0</f>
        <v>0</v>
      </c>
    </row>
    <row r="1936" spans="1:9">
      <c r="A1936" s="1" t="s">
        <v>7000</v>
      </c>
      <c r="B1936" s="1" t="s">
        <v>10</v>
      </c>
      <c r="C1936" s="1" t="s">
        <v>7001</v>
      </c>
      <c r="D1936" s="1" t="s">
        <v>3844</v>
      </c>
      <c r="E1936" s="1" t="s">
        <v>3845</v>
      </c>
      <c r="F1936" s="1" t="s">
        <v>23</v>
      </c>
      <c r="G1936" s="1" t="s">
        <v>7002</v>
      </c>
      <c r="H1936" s="1" t="s">
        <v>15</v>
      </c>
      <c r="I1936" t="b">
        <f>COUNTIF(Estadísticas!I:I,'Centraldecomunicacion.es'!H1936)&gt;0</f>
        <v>0</v>
      </c>
    </row>
    <row r="1937" spans="1:9">
      <c r="A1937" s="1" t="s">
        <v>7003</v>
      </c>
      <c r="B1937" s="1" t="s">
        <v>10</v>
      </c>
      <c r="C1937" s="1" t="s">
        <v>7004</v>
      </c>
      <c r="D1937" s="1" t="s">
        <v>3844</v>
      </c>
      <c r="E1937" s="1" t="s">
        <v>3845</v>
      </c>
      <c r="F1937" s="1" t="s">
        <v>23</v>
      </c>
      <c r="G1937" s="1" t="s">
        <v>7005</v>
      </c>
      <c r="H1937" s="1" t="s">
        <v>15</v>
      </c>
      <c r="I1937" t="b">
        <f>COUNTIF(Estadísticas!I:I,'Centraldecomunicacion.es'!H1937)&gt;0</f>
        <v>0</v>
      </c>
    </row>
    <row r="1938" spans="1:9">
      <c r="A1938" s="1" t="s">
        <v>7006</v>
      </c>
      <c r="B1938" s="1" t="s">
        <v>10</v>
      </c>
      <c r="C1938" s="1" t="s">
        <v>7007</v>
      </c>
      <c r="D1938" s="1" t="s">
        <v>7008</v>
      </c>
      <c r="E1938" s="1" t="s">
        <v>3845</v>
      </c>
      <c r="F1938" s="1" t="s">
        <v>23</v>
      </c>
      <c r="G1938" s="1" t="s">
        <v>7009</v>
      </c>
      <c r="H1938" s="1" t="s">
        <v>15</v>
      </c>
      <c r="I1938" t="b">
        <f>COUNTIF(Estadísticas!I:I,'Centraldecomunicacion.es'!H1938)&gt;0</f>
        <v>0</v>
      </c>
    </row>
    <row r="1939" spans="1:9">
      <c r="A1939" s="1" t="s">
        <v>7010</v>
      </c>
      <c r="B1939" s="1" t="s">
        <v>10</v>
      </c>
      <c r="C1939" s="1" t="s">
        <v>7011</v>
      </c>
      <c r="D1939" s="1" t="s">
        <v>3844</v>
      </c>
      <c r="E1939" s="1" t="s">
        <v>3845</v>
      </c>
      <c r="F1939" s="1" t="s">
        <v>964</v>
      </c>
      <c r="G1939" s="1" t="s">
        <v>7012</v>
      </c>
      <c r="H1939" s="1" t="s">
        <v>966</v>
      </c>
      <c r="I1939" t="b">
        <f>COUNTIF(Estadísticas!I:I,'Centraldecomunicacion.es'!H1939)&gt;0</f>
        <v>0</v>
      </c>
    </row>
    <row r="1940" spans="1:9">
      <c r="A1940" s="1" t="s">
        <v>321</v>
      </c>
      <c r="B1940" s="1" t="s">
        <v>10</v>
      </c>
      <c r="C1940" s="1" t="s">
        <v>7013</v>
      </c>
      <c r="D1940" s="1" t="s">
        <v>3844</v>
      </c>
      <c r="E1940" s="1" t="s">
        <v>3845</v>
      </c>
      <c r="F1940" s="1" t="s">
        <v>323</v>
      </c>
      <c r="G1940" s="1" t="s">
        <v>7014</v>
      </c>
      <c r="H1940" s="1" t="s">
        <v>325</v>
      </c>
      <c r="I1940" t="b">
        <f>COUNTIF(Estadísticas!I:I,'Centraldecomunicacion.es'!H1940)&gt;0</f>
        <v>0</v>
      </c>
    </row>
    <row r="1941" spans="1:9">
      <c r="A1941" s="1" t="s">
        <v>7015</v>
      </c>
      <c r="B1941" s="1" t="s">
        <v>10</v>
      </c>
      <c r="C1941" s="1" t="s">
        <v>7016</v>
      </c>
      <c r="D1941" s="1" t="s">
        <v>7008</v>
      </c>
      <c r="E1941" s="1" t="s">
        <v>3845</v>
      </c>
      <c r="F1941" s="1" t="s">
        <v>23</v>
      </c>
      <c r="G1941" s="1" t="s">
        <v>7017</v>
      </c>
      <c r="H1941" s="1" t="s">
        <v>15</v>
      </c>
      <c r="I1941" t="b">
        <f>COUNTIF(Estadísticas!I:I,'Centraldecomunicacion.es'!H1941)&gt;0</f>
        <v>0</v>
      </c>
    </row>
    <row r="1942" spans="1:9">
      <c r="A1942" s="1" t="s">
        <v>7018</v>
      </c>
      <c r="B1942" s="1" t="s">
        <v>10</v>
      </c>
      <c r="C1942" s="1" t="s">
        <v>7019</v>
      </c>
      <c r="D1942" s="1" t="s">
        <v>3844</v>
      </c>
      <c r="E1942" s="1" t="s">
        <v>3845</v>
      </c>
      <c r="F1942" s="1" t="s">
        <v>7020</v>
      </c>
      <c r="G1942" s="1" t="s">
        <v>7021</v>
      </c>
      <c r="H1942" s="1" t="s">
        <v>7022</v>
      </c>
      <c r="I1942" t="b">
        <f>COUNTIF(Estadísticas!I:I,'Centraldecomunicacion.es'!H1942)&gt;0</f>
        <v>1</v>
      </c>
    </row>
    <row r="1943" spans="1:9">
      <c r="A1943" s="1" t="s">
        <v>7023</v>
      </c>
      <c r="B1943" s="1" t="s">
        <v>10</v>
      </c>
      <c r="C1943" s="1" t="s">
        <v>7024</v>
      </c>
      <c r="D1943" s="1" t="s">
        <v>6990</v>
      </c>
      <c r="E1943" s="1" t="s">
        <v>3845</v>
      </c>
      <c r="F1943" s="1" t="s">
        <v>23</v>
      </c>
      <c r="G1943" s="1" t="s">
        <v>7025</v>
      </c>
      <c r="H1943" s="1" t="s">
        <v>15</v>
      </c>
      <c r="I1943" t="b">
        <f>COUNTIF(Estadísticas!I:I,'Centraldecomunicacion.es'!H1943)&gt;0</f>
        <v>0</v>
      </c>
    </row>
    <row r="1944" spans="1:9">
      <c r="A1944" s="1" t="s">
        <v>7026</v>
      </c>
      <c r="B1944" s="1" t="s">
        <v>10</v>
      </c>
      <c r="C1944" s="1" t="s">
        <v>7027</v>
      </c>
      <c r="D1944" s="1" t="s">
        <v>7028</v>
      </c>
      <c r="E1944" s="1" t="s">
        <v>7029</v>
      </c>
      <c r="F1944" s="1" t="s">
        <v>7030</v>
      </c>
      <c r="G1944" s="1" t="s">
        <v>7031</v>
      </c>
      <c r="H1944" s="1" t="s">
        <v>7032</v>
      </c>
      <c r="I1944" t="b">
        <f>COUNTIF(Estadísticas!I:I,'Centraldecomunicacion.es'!H1944)&gt;0</f>
        <v>0</v>
      </c>
    </row>
    <row r="1945" spans="1:9">
      <c r="A1945" s="1" t="s">
        <v>7033</v>
      </c>
      <c r="B1945" s="1" t="s">
        <v>10</v>
      </c>
      <c r="C1945" s="1" t="s">
        <v>7034</v>
      </c>
      <c r="D1945" s="1" t="s">
        <v>7035</v>
      </c>
      <c r="E1945" s="1" t="s">
        <v>1631</v>
      </c>
      <c r="F1945" s="1" t="s">
        <v>23</v>
      </c>
      <c r="G1945" s="1" t="s">
        <v>23</v>
      </c>
      <c r="H1945" s="1" t="s">
        <v>15</v>
      </c>
      <c r="I1945" t="b">
        <f>COUNTIF(Estadísticas!I:I,'Centraldecomunicacion.es'!H1945)&gt;0</f>
        <v>0</v>
      </c>
    </row>
    <row r="1946" spans="1:9">
      <c r="A1946" s="1" t="s">
        <v>7036</v>
      </c>
      <c r="B1946" s="1" t="s">
        <v>10</v>
      </c>
      <c r="C1946" s="1" t="s">
        <v>7037</v>
      </c>
      <c r="D1946" s="1" t="s">
        <v>3844</v>
      </c>
      <c r="E1946" s="1" t="s">
        <v>3845</v>
      </c>
      <c r="F1946" s="1" t="s">
        <v>7038</v>
      </c>
      <c r="G1946" s="1" t="s">
        <v>7039</v>
      </c>
      <c r="H1946" s="1" t="s">
        <v>7040</v>
      </c>
      <c r="I1946" t="b">
        <f>COUNTIF(Estadísticas!I:I,'Centraldecomunicacion.es'!H1946)&gt;0</f>
        <v>1</v>
      </c>
    </row>
    <row r="1947" spans="1:9">
      <c r="A1947" s="1" t="s">
        <v>7041</v>
      </c>
      <c r="B1947" s="1" t="s">
        <v>10</v>
      </c>
      <c r="C1947" s="1" t="s">
        <v>7042</v>
      </c>
      <c r="D1947" s="1" t="s">
        <v>3844</v>
      </c>
      <c r="E1947" s="1" t="s">
        <v>3845</v>
      </c>
      <c r="F1947" s="1" t="s">
        <v>7043</v>
      </c>
      <c r="G1947" s="1" t="s">
        <v>7044</v>
      </c>
      <c r="H1947" s="1" t="s">
        <v>7045</v>
      </c>
      <c r="I1947" t="b">
        <f>COUNTIF(Estadísticas!I:I,'Centraldecomunicacion.es'!H1947)&gt;0</f>
        <v>0</v>
      </c>
    </row>
    <row r="1948" spans="1:9">
      <c r="A1948" s="1" t="s">
        <v>7046</v>
      </c>
      <c r="B1948" s="1" t="s">
        <v>10</v>
      </c>
      <c r="C1948" s="1" t="s">
        <v>7047</v>
      </c>
      <c r="D1948" s="1" t="s">
        <v>7048</v>
      </c>
      <c r="E1948" s="1" t="s">
        <v>7049</v>
      </c>
      <c r="F1948" s="1" t="s">
        <v>23</v>
      </c>
      <c r="G1948" s="1" t="s">
        <v>7050</v>
      </c>
      <c r="H1948" s="1" t="s">
        <v>15</v>
      </c>
      <c r="I1948" t="b">
        <f>COUNTIF(Estadísticas!I:I,'Centraldecomunicacion.es'!H1948)&gt;0</f>
        <v>0</v>
      </c>
    </row>
    <row r="1949" spans="1:9">
      <c r="A1949" s="1" t="s">
        <v>7051</v>
      </c>
      <c r="B1949" s="1" t="s">
        <v>10</v>
      </c>
      <c r="C1949" s="1" t="s">
        <v>7052</v>
      </c>
      <c r="D1949" s="1" t="s">
        <v>7028</v>
      </c>
      <c r="E1949" s="1" t="s">
        <v>7029</v>
      </c>
      <c r="F1949" s="1" t="s">
        <v>81</v>
      </c>
      <c r="G1949" s="1" t="s">
        <v>7053</v>
      </c>
      <c r="H1949" s="1" t="s">
        <v>83</v>
      </c>
      <c r="I1949" t="b">
        <f>COUNTIF(Estadísticas!I:I,'Centraldecomunicacion.es'!H1949)&gt;0</f>
        <v>0</v>
      </c>
    </row>
    <row r="1950" spans="1:9">
      <c r="A1950" s="1" t="s">
        <v>7054</v>
      </c>
      <c r="B1950" s="1" t="s">
        <v>10</v>
      </c>
      <c r="C1950" s="1" t="s">
        <v>7055</v>
      </c>
      <c r="D1950" s="1" t="s">
        <v>3844</v>
      </c>
      <c r="E1950" s="1" t="s">
        <v>3845</v>
      </c>
      <c r="F1950" s="1" t="s">
        <v>23</v>
      </c>
      <c r="G1950" s="1" t="s">
        <v>7056</v>
      </c>
      <c r="H1950" s="1" t="s">
        <v>15</v>
      </c>
      <c r="I1950" t="b">
        <f>COUNTIF(Estadísticas!I:I,'Centraldecomunicacion.es'!H1950)&gt;0</f>
        <v>0</v>
      </c>
    </row>
    <row r="1951" spans="1:9">
      <c r="A1951" s="1" t="s">
        <v>7057</v>
      </c>
      <c r="B1951" s="1" t="s">
        <v>10</v>
      </c>
      <c r="C1951" s="1" t="s">
        <v>7058</v>
      </c>
      <c r="D1951" s="1" t="s">
        <v>7059</v>
      </c>
      <c r="E1951" s="1" t="s">
        <v>1631</v>
      </c>
      <c r="F1951" s="1" t="s">
        <v>7060</v>
      </c>
      <c r="G1951" s="1" t="s">
        <v>7061</v>
      </c>
      <c r="H1951" s="1" t="s">
        <v>7062</v>
      </c>
      <c r="I1951" t="b">
        <f>COUNTIF(Estadísticas!I:I,'Centraldecomunicacion.es'!H1951)&gt;0</f>
        <v>0</v>
      </c>
    </row>
    <row r="1952" spans="1:9">
      <c r="A1952" s="1" t="s">
        <v>7063</v>
      </c>
      <c r="B1952" s="1" t="s">
        <v>10</v>
      </c>
      <c r="C1952" s="1" t="s">
        <v>7064</v>
      </c>
      <c r="D1952" s="1" t="s">
        <v>7065</v>
      </c>
      <c r="E1952" s="1" t="s">
        <v>1631</v>
      </c>
      <c r="F1952" s="1" t="s">
        <v>23</v>
      </c>
      <c r="G1952" s="1" t="s">
        <v>7066</v>
      </c>
      <c r="H1952" s="1" t="s">
        <v>15</v>
      </c>
      <c r="I1952" t="b">
        <f>COUNTIF(Estadísticas!I:I,'Centraldecomunicacion.es'!H1952)&gt;0</f>
        <v>0</v>
      </c>
    </row>
    <row r="1953" spans="1:9">
      <c r="A1953" s="1" t="s">
        <v>7067</v>
      </c>
      <c r="B1953" s="1" t="s">
        <v>10</v>
      </c>
      <c r="C1953" s="1" t="s">
        <v>7068</v>
      </c>
      <c r="D1953" s="1" t="s">
        <v>7069</v>
      </c>
      <c r="E1953" s="1" t="s">
        <v>7069</v>
      </c>
      <c r="F1953" s="1" t="s">
        <v>703</v>
      </c>
      <c r="G1953" s="1" t="s">
        <v>7070</v>
      </c>
      <c r="H1953" s="1" t="s">
        <v>15</v>
      </c>
      <c r="I1953" t="b">
        <f>COUNTIF(Estadísticas!I:I,'Centraldecomunicacion.es'!H1953)&gt;0</f>
        <v>0</v>
      </c>
    </row>
    <row r="1954" spans="1:9">
      <c r="A1954" s="1" t="s">
        <v>7071</v>
      </c>
      <c r="B1954" s="1" t="s">
        <v>10</v>
      </c>
      <c r="C1954" s="1" t="s">
        <v>7072</v>
      </c>
      <c r="D1954" s="1" t="s">
        <v>7069</v>
      </c>
      <c r="E1954" s="1" t="s">
        <v>7069</v>
      </c>
      <c r="F1954" s="1" t="s">
        <v>23</v>
      </c>
      <c r="G1954" s="1" t="s">
        <v>7073</v>
      </c>
      <c r="H1954" s="1" t="s">
        <v>15</v>
      </c>
      <c r="I1954" t="b">
        <f>COUNTIF(Estadísticas!I:I,'Centraldecomunicacion.es'!H1954)&gt;0</f>
        <v>0</v>
      </c>
    </row>
    <row r="1955" spans="1:9">
      <c r="A1955" s="1" t="s">
        <v>7074</v>
      </c>
      <c r="B1955" s="1" t="s">
        <v>10</v>
      </c>
      <c r="C1955" s="1" t="s">
        <v>7075</v>
      </c>
      <c r="D1955" s="1" t="s">
        <v>7069</v>
      </c>
      <c r="E1955" s="1" t="s">
        <v>7069</v>
      </c>
      <c r="F1955" s="1" t="s">
        <v>7076</v>
      </c>
      <c r="G1955" s="1" t="s">
        <v>7077</v>
      </c>
      <c r="H1955" s="1" t="s">
        <v>7078</v>
      </c>
      <c r="I1955" t="b">
        <f>COUNTIF(Estadísticas!I:I,'Centraldecomunicacion.es'!H1955)&gt;0</f>
        <v>0</v>
      </c>
    </row>
    <row r="1956" spans="1:9">
      <c r="A1956" s="1" t="s">
        <v>7079</v>
      </c>
      <c r="B1956" s="1" t="s">
        <v>10</v>
      </c>
      <c r="C1956" s="1" t="s">
        <v>7080</v>
      </c>
      <c r="D1956" s="1" t="s">
        <v>7069</v>
      </c>
      <c r="E1956" s="1" t="s">
        <v>7069</v>
      </c>
      <c r="F1956" s="1" t="s">
        <v>23</v>
      </c>
      <c r="G1956" s="1" t="s">
        <v>7081</v>
      </c>
      <c r="H1956" s="1" t="s">
        <v>15</v>
      </c>
      <c r="I1956" t="b">
        <f>COUNTIF(Estadísticas!I:I,'Centraldecomunicacion.es'!H1956)&gt;0</f>
        <v>0</v>
      </c>
    </row>
    <row r="1957" spans="1:9">
      <c r="A1957" s="1" t="s">
        <v>7082</v>
      </c>
      <c r="B1957" s="1" t="s">
        <v>10</v>
      </c>
      <c r="C1957" s="1" t="s">
        <v>7083</v>
      </c>
      <c r="D1957" s="1" t="s">
        <v>7069</v>
      </c>
      <c r="E1957" s="1" t="s">
        <v>7069</v>
      </c>
      <c r="F1957" s="1" t="s">
        <v>23</v>
      </c>
      <c r="G1957" s="1" t="s">
        <v>7084</v>
      </c>
      <c r="H1957" s="1" t="s">
        <v>15</v>
      </c>
      <c r="I1957" t="b">
        <f>COUNTIF(Estadísticas!I:I,'Centraldecomunicacion.es'!H1957)&gt;0</f>
        <v>0</v>
      </c>
    </row>
    <row r="1958" spans="1:9">
      <c r="A1958" s="1" t="s">
        <v>7085</v>
      </c>
      <c r="B1958" s="1" t="s">
        <v>10</v>
      </c>
      <c r="C1958" s="1" t="s">
        <v>7086</v>
      </c>
      <c r="D1958" s="1" t="s">
        <v>5107</v>
      </c>
      <c r="E1958" s="1" t="s">
        <v>5107</v>
      </c>
      <c r="F1958" s="1" t="s">
        <v>23</v>
      </c>
      <c r="G1958" s="1" t="s">
        <v>7087</v>
      </c>
      <c r="H1958" s="1" t="s">
        <v>15</v>
      </c>
      <c r="I1958" t="b">
        <f>COUNTIF(Estadísticas!I:I,'Centraldecomunicacion.es'!H1958)&gt;0</f>
        <v>0</v>
      </c>
    </row>
    <row r="1959" spans="1:9">
      <c r="A1959" s="1" t="s">
        <v>7088</v>
      </c>
      <c r="B1959" s="1" t="s">
        <v>10</v>
      </c>
      <c r="C1959" s="1" t="s">
        <v>7089</v>
      </c>
      <c r="D1959" s="1" t="s">
        <v>5107</v>
      </c>
      <c r="E1959" s="1" t="s">
        <v>5107</v>
      </c>
      <c r="F1959" s="1" t="s">
        <v>1655</v>
      </c>
      <c r="G1959" s="1" t="s">
        <v>7090</v>
      </c>
      <c r="H1959" s="1" t="s">
        <v>1657</v>
      </c>
      <c r="I1959" t="b">
        <f>COUNTIF(Estadísticas!I:I,'Centraldecomunicacion.es'!H1959)&gt;0</f>
        <v>0</v>
      </c>
    </row>
    <row r="1960" spans="1:9">
      <c r="A1960" s="1" t="s">
        <v>7091</v>
      </c>
      <c r="B1960" s="1" t="s">
        <v>10</v>
      </c>
      <c r="C1960" s="1" t="s">
        <v>7092</v>
      </c>
      <c r="D1960" s="1" t="s">
        <v>5107</v>
      </c>
      <c r="E1960" s="1" t="s">
        <v>5107</v>
      </c>
      <c r="F1960" s="1" t="s">
        <v>7093</v>
      </c>
      <c r="G1960" s="1" t="s">
        <v>7094</v>
      </c>
      <c r="H1960" s="1" t="s">
        <v>7095</v>
      </c>
      <c r="I1960" t="b">
        <f>COUNTIF(Estadísticas!I:I,'Centraldecomunicacion.es'!H1960)&gt;0</f>
        <v>0</v>
      </c>
    </row>
    <row r="1961" spans="1:9">
      <c r="A1961" s="1" t="s">
        <v>7096</v>
      </c>
      <c r="B1961" s="1" t="s">
        <v>10</v>
      </c>
      <c r="C1961" s="1" t="s">
        <v>7097</v>
      </c>
      <c r="D1961" s="1" t="s">
        <v>5107</v>
      </c>
      <c r="E1961" s="1" t="s">
        <v>5107</v>
      </c>
      <c r="F1961" s="1" t="s">
        <v>23</v>
      </c>
      <c r="G1961" s="1" t="s">
        <v>7098</v>
      </c>
      <c r="H1961" s="1" t="s">
        <v>15</v>
      </c>
      <c r="I1961" t="b">
        <f>COUNTIF(Estadísticas!I:I,'Centraldecomunicacion.es'!H1961)&gt;0</f>
        <v>0</v>
      </c>
    </row>
    <row r="1962" spans="1:9">
      <c r="A1962" s="1" t="s">
        <v>7099</v>
      </c>
      <c r="B1962" s="1" t="s">
        <v>10</v>
      </c>
      <c r="C1962" s="1" t="s">
        <v>7100</v>
      </c>
      <c r="D1962" s="1" t="s">
        <v>5107</v>
      </c>
      <c r="E1962" s="1" t="s">
        <v>5107</v>
      </c>
      <c r="F1962" s="1" t="s">
        <v>23</v>
      </c>
      <c r="G1962" s="1" t="s">
        <v>7101</v>
      </c>
      <c r="H1962" s="1" t="s">
        <v>15</v>
      </c>
      <c r="I1962" t="b">
        <f>COUNTIF(Estadísticas!I:I,'Centraldecomunicacion.es'!H1962)&gt;0</f>
        <v>0</v>
      </c>
    </row>
    <row r="1963" spans="1:9">
      <c r="A1963" s="1" t="s">
        <v>7102</v>
      </c>
      <c r="B1963" s="1" t="s">
        <v>10</v>
      </c>
      <c r="C1963" s="1" t="s">
        <v>7103</v>
      </c>
      <c r="D1963" s="1" t="s">
        <v>5107</v>
      </c>
      <c r="E1963" s="1" t="s">
        <v>5107</v>
      </c>
      <c r="F1963" s="1" t="s">
        <v>7104</v>
      </c>
      <c r="G1963" s="1" t="s">
        <v>7105</v>
      </c>
      <c r="H1963" s="1" t="s">
        <v>7106</v>
      </c>
      <c r="I1963" t="b">
        <f>COUNTIF(Estadísticas!I:I,'Centraldecomunicacion.es'!H1963)&gt;0</f>
        <v>1</v>
      </c>
    </row>
    <row r="1964" spans="1:9">
      <c r="A1964" s="1" t="s">
        <v>3596</v>
      </c>
      <c r="B1964" s="1" t="s">
        <v>10</v>
      </c>
      <c r="C1964" s="1" t="s">
        <v>7107</v>
      </c>
      <c r="D1964" s="1" t="s">
        <v>5107</v>
      </c>
      <c r="E1964" s="1" t="s">
        <v>5107</v>
      </c>
      <c r="F1964" s="1" t="s">
        <v>7108</v>
      </c>
      <c r="G1964" s="1" t="s">
        <v>7109</v>
      </c>
      <c r="H1964" s="1" t="s">
        <v>15</v>
      </c>
      <c r="I1964" t="b">
        <f>COUNTIF(Estadísticas!I:I,'Centraldecomunicacion.es'!H1964)&gt;0</f>
        <v>0</v>
      </c>
    </row>
    <row r="1965" spans="1:9">
      <c r="A1965" s="1" t="s">
        <v>4715</v>
      </c>
      <c r="B1965" s="1" t="s">
        <v>10</v>
      </c>
      <c r="C1965" s="1" t="s">
        <v>7110</v>
      </c>
      <c r="D1965" s="1" t="s">
        <v>5107</v>
      </c>
      <c r="E1965" s="1" t="s">
        <v>5107</v>
      </c>
      <c r="F1965" s="1" t="s">
        <v>23</v>
      </c>
      <c r="G1965" s="1" t="s">
        <v>7111</v>
      </c>
      <c r="H1965" s="1" t="s">
        <v>15</v>
      </c>
      <c r="I1965" t="b">
        <f>COUNTIF(Estadísticas!I:I,'Centraldecomunicacion.es'!H1965)&gt;0</f>
        <v>0</v>
      </c>
    </row>
    <row r="1966" spans="1:9">
      <c r="A1966" s="1" t="s">
        <v>7112</v>
      </c>
      <c r="B1966" s="1" t="s">
        <v>10</v>
      </c>
      <c r="C1966" s="1" t="s">
        <v>7113</v>
      </c>
      <c r="D1966" s="1" t="s">
        <v>5107</v>
      </c>
      <c r="E1966" s="1" t="s">
        <v>5107</v>
      </c>
      <c r="F1966" s="1" t="s">
        <v>964</v>
      </c>
      <c r="G1966" s="1" t="s">
        <v>7114</v>
      </c>
      <c r="H1966" s="1" t="s">
        <v>966</v>
      </c>
      <c r="I1966" t="b">
        <f>COUNTIF(Estadísticas!I:I,'Centraldecomunicacion.es'!H1966)&gt;0</f>
        <v>0</v>
      </c>
    </row>
    <row r="1967" spans="1:9">
      <c r="A1967" s="1" t="s">
        <v>7115</v>
      </c>
      <c r="B1967" s="1" t="s">
        <v>10</v>
      </c>
      <c r="C1967" s="1" t="s">
        <v>7116</v>
      </c>
      <c r="D1967" s="1" t="s">
        <v>5107</v>
      </c>
      <c r="E1967" s="1" t="s">
        <v>5107</v>
      </c>
      <c r="F1967" s="1" t="s">
        <v>23</v>
      </c>
      <c r="G1967" s="1" t="s">
        <v>7117</v>
      </c>
      <c r="H1967" s="1" t="s">
        <v>15</v>
      </c>
      <c r="I1967" t="b">
        <f>COUNTIF(Estadísticas!I:I,'Centraldecomunicacion.es'!H1967)&gt;0</f>
        <v>0</v>
      </c>
    </row>
    <row r="1968" spans="1:9">
      <c r="A1968" s="1" t="s">
        <v>7118</v>
      </c>
      <c r="B1968" s="1" t="s">
        <v>10</v>
      </c>
      <c r="C1968" s="1" t="s">
        <v>7119</v>
      </c>
      <c r="D1968" s="1" t="s">
        <v>5107</v>
      </c>
      <c r="E1968" s="1" t="s">
        <v>5107</v>
      </c>
      <c r="F1968" s="1" t="s">
        <v>7120</v>
      </c>
      <c r="G1968" s="1" t="s">
        <v>7121</v>
      </c>
      <c r="H1968" s="1" t="s">
        <v>7122</v>
      </c>
      <c r="I1968" t="b">
        <f>COUNTIF(Estadísticas!I:I,'Centraldecomunicacion.es'!H1968)&gt;0</f>
        <v>0</v>
      </c>
    </row>
    <row r="1969" spans="1:9">
      <c r="A1969" s="1" t="s">
        <v>7123</v>
      </c>
      <c r="B1969" s="1" t="s">
        <v>10</v>
      </c>
      <c r="C1969" s="1" t="s">
        <v>7124</v>
      </c>
      <c r="D1969" s="1" t="s">
        <v>5107</v>
      </c>
      <c r="E1969" s="1" t="s">
        <v>5107</v>
      </c>
      <c r="F1969" s="1" t="s">
        <v>23</v>
      </c>
      <c r="G1969" s="1" t="s">
        <v>7125</v>
      </c>
      <c r="H1969" s="1" t="s">
        <v>15</v>
      </c>
      <c r="I1969" t="b">
        <f>COUNTIF(Estadísticas!I:I,'Centraldecomunicacion.es'!H1969)&gt;0</f>
        <v>0</v>
      </c>
    </row>
    <row r="1970" spans="1:9">
      <c r="A1970" s="1" t="s">
        <v>7126</v>
      </c>
      <c r="B1970" s="1" t="s">
        <v>10</v>
      </c>
      <c r="C1970" s="1" t="s">
        <v>7127</v>
      </c>
      <c r="D1970" s="1" t="s">
        <v>5107</v>
      </c>
      <c r="E1970" s="1" t="s">
        <v>5107</v>
      </c>
      <c r="F1970" s="1" t="s">
        <v>7128</v>
      </c>
      <c r="G1970" s="1" t="s">
        <v>7129</v>
      </c>
      <c r="H1970" s="1" t="s">
        <v>7130</v>
      </c>
      <c r="I1970" t="b">
        <f>COUNTIF(Estadísticas!I:I,'Centraldecomunicacion.es'!H1970)&gt;0</f>
        <v>0</v>
      </c>
    </row>
    <row r="1971" spans="1:9">
      <c r="A1971" s="1" t="s">
        <v>5605</v>
      </c>
      <c r="B1971" s="1" t="s">
        <v>10</v>
      </c>
      <c r="C1971" s="1" t="s">
        <v>7131</v>
      </c>
      <c r="D1971" s="1" t="s">
        <v>5107</v>
      </c>
      <c r="E1971" s="1" t="s">
        <v>5107</v>
      </c>
      <c r="F1971" s="1" t="s">
        <v>23</v>
      </c>
      <c r="G1971" s="1" t="s">
        <v>7132</v>
      </c>
      <c r="H1971" s="1" t="s">
        <v>15</v>
      </c>
      <c r="I1971" t="b">
        <f>COUNTIF(Estadísticas!I:I,'Centraldecomunicacion.es'!H1971)&gt;0</f>
        <v>0</v>
      </c>
    </row>
    <row r="1972" spans="1:9">
      <c r="A1972" s="1" t="s">
        <v>2784</v>
      </c>
      <c r="B1972" s="1" t="s">
        <v>10</v>
      </c>
      <c r="C1972" s="1" t="s">
        <v>7133</v>
      </c>
      <c r="D1972" s="1" t="s">
        <v>5107</v>
      </c>
      <c r="E1972" s="1" t="s">
        <v>5107</v>
      </c>
      <c r="F1972" s="1" t="s">
        <v>23</v>
      </c>
      <c r="G1972" s="1" t="s">
        <v>7134</v>
      </c>
      <c r="H1972" s="1" t="s">
        <v>15</v>
      </c>
      <c r="I1972" t="b">
        <f>COUNTIF(Estadísticas!I:I,'Centraldecomunicacion.es'!H1972)&gt;0</f>
        <v>0</v>
      </c>
    </row>
    <row r="1973" spans="1:9">
      <c r="A1973" s="1" t="s">
        <v>7135</v>
      </c>
      <c r="B1973" s="1" t="s">
        <v>10</v>
      </c>
      <c r="C1973" s="1" t="s">
        <v>7136</v>
      </c>
      <c r="D1973" s="1" t="s">
        <v>5107</v>
      </c>
      <c r="E1973" s="1" t="s">
        <v>5107</v>
      </c>
      <c r="F1973" s="1" t="s">
        <v>7137</v>
      </c>
      <c r="G1973" s="1" t="s">
        <v>7138</v>
      </c>
      <c r="H1973" s="1" t="s">
        <v>7139</v>
      </c>
      <c r="I1973" t="b">
        <f>COUNTIF(Estadísticas!I:I,'Centraldecomunicacion.es'!H1973)&gt;0</f>
        <v>0</v>
      </c>
    </row>
    <row r="1974" spans="1:9">
      <c r="A1974" s="1" t="s">
        <v>7140</v>
      </c>
      <c r="B1974" s="1" t="s">
        <v>10</v>
      </c>
      <c r="C1974" s="1" t="s">
        <v>7141</v>
      </c>
      <c r="D1974" s="1" t="s">
        <v>5107</v>
      </c>
      <c r="E1974" s="1" t="s">
        <v>5107</v>
      </c>
      <c r="F1974" s="1" t="s">
        <v>23</v>
      </c>
      <c r="G1974" s="1" t="s">
        <v>7142</v>
      </c>
      <c r="H1974" s="1" t="s">
        <v>15</v>
      </c>
      <c r="I1974" t="b">
        <f>COUNTIF(Estadísticas!I:I,'Centraldecomunicacion.es'!H1974)&gt;0</f>
        <v>0</v>
      </c>
    </row>
    <row r="1975" spans="1:9">
      <c r="A1975" s="1" t="s">
        <v>7143</v>
      </c>
      <c r="B1975" s="1" t="s">
        <v>10</v>
      </c>
      <c r="C1975" s="1" t="s">
        <v>7144</v>
      </c>
      <c r="D1975" s="1" t="s">
        <v>5107</v>
      </c>
      <c r="E1975" s="1" t="s">
        <v>5107</v>
      </c>
      <c r="F1975" s="1" t="s">
        <v>23</v>
      </c>
      <c r="G1975" s="1" t="s">
        <v>7145</v>
      </c>
      <c r="H1975" s="1" t="s">
        <v>15</v>
      </c>
      <c r="I1975" t="b">
        <f>COUNTIF(Estadísticas!I:I,'Centraldecomunicacion.es'!H1975)&gt;0</f>
        <v>0</v>
      </c>
    </row>
    <row r="1976" spans="1:9">
      <c r="A1976" s="1" t="s">
        <v>7146</v>
      </c>
      <c r="B1976" s="1" t="s">
        <v>10</v>
      </c>
      <c r="C1976" s="1" t="s">
        <v>23</v>
      </c>
      <c r="D1976" s="1" t="s">
        <v>7147</v>
      </c>
      <c r="E1976" s="1" t="s">
        <v>23</v>
      </c>
      <c r="F1976" s="1" t="s">
        <v>23</v>
      </c>
      <c r="G1976" s="1" t="s">
        <v>7148</v>
      </c>
      <c r="H1976" s="1" t="s">
        <v>15</v>
      </c>
      <c r="I1976" t="b">
        <f>COUNTIF(Estadísticas!I:I,'Centraldecomunicacion.es'!H1976)&gt;0</f>
        <v>0</v>
      </c>
    </row>
    <row r="1977" spans="1:9">
      <c r="A1977" s="1" t="s">
        <v>7149</v>
      </c>
      <c r="B1977" s="1" t="s">
        <v>10</v>
      </c>
      <c r="C1977" s="1" t="s">
        <v>23</v>
      </c>
      <c r="D1977" s="1" t="s">
        <v>7147</v>
      </c>
      <c r="E1977" s="1" t="s">
        <v>23</v>
      </c>
      <c r="F1977" s="1" t="s">
        <v>7150</v>
      </c>
      <c r="G1977" s="1" t="s">
        <v>7151</v>
      </c>
      <c r="H1977" s="1" t="s">
        <v>7152</v>
      </c>
      <c r="I1977" t="b">
        <f>COUNTIF(Estadísticas!I:I,'Centraldecomunicacion.es'!H1977)&gt;0</f>
        <v>0</v>
      </c>
    </row>
    <row r="1978" spans="1:9">
      <c r="A1978" s="1" t="s">
        <v>7153</v>
      </c>
      <c r="B1978" s="1" t="s">
        <v>10</v>
      </c>
      <c r="C1978" s="1" t="s">
        <v>7154</v>
      </c>
      <c r="D1978" s="1" t="s">
        <v>5107</v>
      </c>
      <c r="E1978" s="1" t="s">
        <v>5107</v>
      </c>
      <c r="F1978" s="1" t="s">
        <v>23</v>
      </c>
      <c r="G1978" s="1" t="s">
        <v>7155</v>
      </c>
      <c r="H1978" s="1" t="s">
        <v>15</v>
      </c>
      <c r="I1978" t="b">
        <f>COUNTIF(Estadísticas!I:I,'Centraldecomunicacion.es'!H1978)&gt;0</f>
        <v>0</v>
      </c>
    </row>
    <row r="1979" spans="1:9">
      <c r="A1979" s="1" t="s">
        <v>7156</v>
      </c>
      <c r="B1979" s="1" t="s">
        <v>10</v>
      </c>
      <c r="C1979" s="1" t="s">
        <v>7157</v>
      </c>
      <c r="D1979" s="1" t="s">
        <v>5107</v>
      </c>
      <c r="E1979" s="1" t="s">
        <v>5107</v>
      </c>
      <c r="F1979" s="1" t="s">
        <v>7120</v>
      </c>
      <c r="G1979" s="1" t="s">
        <v>7121</v>
      </c>
      <c r="H1979" s="1" t="s">
        <v>7122</v>
      </c>
      <c r="I1979" t="b">
        <f>COUNTIF(Estadísticas!I:I,'Centraldecomunicacion.es'!H1979)&gt;0</f>
        <v>0</v>
      </c>
    </row>
    <row r="1980" spans="1:9">
      <c r="A1980" s="1" t="s">
        <v>7158</v>
      </c>
      <c r="B1980" s="1" t="s">
        <v>10</v>
      </c>
      <c r="C1980" s="1" t="s">
        <v>7159</v>
      </c>
      <c r="D1980" s="1" t="s">
        <v>5107</v>
      </c>
      <c r="E1980" s="1" t="s">
        <v>5107</v>
      </c>
      <c r="F1980" s="1" t="s">
        <v>23</v>
      </c>
      <c r="G1980" s="1" t="s">
        <v>23</v>
      </c>
      <c r="H1980" s="1" t="s">
        <v>15</v>
      </c>
      <c r="I1980" t="b">
        <f>COUNTIF(Estadísticas!I:I,'Centraldecomunicacion.es'!H1980)&gt;0</f>
        <v>0</v>
      </c>
    </row>
    <row r="1981" spans="1:9">
      <c r="A1981" s="1" t="s">
        <v>7160</v>
      </c>
      <c r="B1981" s="1" t="s">
        <v>10</v>
      </c>
      <c r="C1981" s="1" t="s">
        <v>7161</v>
      </c>
      <c r="D1981" s="1" t="s">
        <v>5107</v>
      </c>
      <c r="E1981" s="1" t="s">
        <v>5107</v>
      </c>
      <c r="F1981" s="1" t="s">
        <v>23</v>
      </c>
      <c r="G1981" s="1" t="s">
        <v>7162</v>
      </c>
      <c r="H1981" s="1" t="s">
        <v>15</v>
      </c>
      <c r="I1981" t="b">
        <f>COUNTIF(Estadísticas!I:I,'Centraldecomunicacion.es'!H1981)&gt;0</f>
        <v>0</v>
      </c>
    </row>
    <row r="1982" spans="1:9">
      <c r="A1982" s="1" t="s">
        <v>7163</v>
      </c>
      <c r="B1982" s="1" t="s">
        <v>10</v>
      </c>
      <c r="C1982" s="1" t="s">
        <v>7164</v>
      </c>
      <c r="D1982" s="1" t="s">
        <v>5107</v>
      </c>
      <c r="E1982" s="1" t="s">
        <v>5107</v>
      </c>
      <c r="F1982" s="1" t="s">
        <v>7165</v>
      </c>
      <c r="G1982" s="1" t="s">
        <v>7166</v>
      </c>
      <c r="H1982" s="1" t="s">
        <v>7167</v>
      </c>
      <c r="I1982" t="b">
        <f>COUNTIF(Estadísticas!I:I,'Centraldecomunicacion.es'!H1982)&gt;0</f>
        <v>0</v>
      </c>
    </row>
    <row r="1983" spans="1:9">
      <c r="A1983" s="1" t="s">
        <v>7168</v>
      </c>
      <c r="B1983" s="1" t="s">
        <v>10</v>
      </c>
      <c r="C1983" s="1" t="s">
        <v>7169</v>
      </c>
      <c r="D1983" s="1" t="s">
        <v>5107</v>
      </c>
      <c r="E1983" s="1" t="s">
        <v>5107</v>
      </c>
      <c r="F1983" s="1" t="s">
        <v>7170</v>
      </c>
      <c r="G1983" s="1" t="s">
        <v>7171</v>
      </c>
      <c r="H1983" s="1" t="s">
        <v>15</v>
      </c>
      <c r="I1983" t="b">
        <f>COUNTIF(Estadísticas!I:I,'Centraldecomunicacion.es'!H1983)&gt;0</f>
        <v>0</v>
      </c>
    </row>
    <row r="1984" spans="1:9">
      <c r="A1984" s="1" t="s">
        <v>7172</v>
      </c>
      <c r="B1984" s="1" t="s">
        <v>10</v>
      </c>
      <c r="C1984" s="1" t="s">
        <v>7173</v>
      </c>
      <c r="D1984" s="1" t="s">
        <v>7147</v>
      </c>
      <c r="E1984" s="1" t="s">
        <v>7174</v>
      </c>
      <c r="F1984" s="1" t="s">
        <v>23</v>
      </c>
      <c r="G1984" s="1" t="s">
        <v>7175</v>
      </c>
      <c r="H1984" s="1" t="s">
        <v>15</v>
      </c>
      <c r="I1984" t="b">
        <f>COUNTIF(Estadísticas!I:I,'Centraldecomunicacion.es'!H1984)&gt;0</f>
        <v>0</v>
      </c>
    </row>
    <row r="1985" spans="1:9">
      <c r="A1985" s="1" t="s">
        <v>7176</v>
      </c>
      <c r="B1985" s="1" t="s">
        <v>10</v>
      </c>
      <c r="C1985" s="1" t="s">
        <v>7177</v>
      </c>
      <c r="D1985" s="1" t="s">
        <v>7178</v>
      </c>
      <c r="E1985" s="1" t="s">
        <v>5107</v>
      </c>
      <c r="F1985" s="1" t="s">
        <v>23</v>
      </c>
      <c r="G1985" s="1" t="s">
        <v>7179</v>
      </c>
      <c r="H1985" s="1" t="s">
        <v>15</v>
      </c>
      <c r="I1985" t="b">
        <f>COUNTIF(Estadísticas!I:I,'Centraldecomunicacion.es'!H1985)&gt;0</f>
        <v>0</v>
      </c>
    </row>
    <row r="1986" spans="1:9">
      <c r="A1986" s="1" t="s">
        <v>7180</v>
      </c>
      <c r="B1986" s="1" t="s">
        <v>10</v>
      </c>
      <c r="C1986" s="1" t="s">
        <v>7181</v>
      </c>
      <c r="D1986" s="1" t="s">
        <v>5107</v>
      </c>
      <c r="E1986" s="1" t="s">
        <v>5107</v>
      </c>
      <c r="F1986" s="1" t="s">
        <v>7182</v>
      </c>
      <c r="G1986" s="1" t="s">
        <v>7183</v>
      </c>
      <c r="H1986" s="1" t="s">
        <v>15</v>
      </c>
      <c r="I1986" t="b">
        <f>COUNTIF(Estadísticas!I:I,'Centraldecomunicacion.es'!H1986)&gt;0</f>
        <v>0</v>
      </c>
    </row>
    <row r="1987" spans="1:9">
      <c r="A1987" s="1" t="s">
        <v>7184</v>
      </c>
      <c r="B1987" s="1" t="s">
        <v>10</v>
      </c>
      <c r="C1987" s="1" t="s">
        <v>7185</v>
      </c>
      <c r="D1987" s="1" t="s">
        <v>5107</v>
      </c>
      <c r="E1987" s="1" t="s">
        <v>5107</v>
      </c>
      <c r="F1987" s="1" t="s">
        <v>23</v>
      </c>
      <c r="G1987" s="1" t="s">
        <v>7186</v>
      </c>
      <c r="H1987" s="1" t="s">
        <v>15</v>
      </c>
      <c r="I1987" t="b">
        <f>COUNTIF(Estadísticas!I:I,'Centraldecomunicacion.es'!H1987)&gt;0</f>
        <v>0</v>
      </c>
    </row>
    <row r="1988" spans="1:9">
      <c r="A1988" s="1" t="s">
        <v>7187</v>
      </c>
      <c r="B1988" s="1" t="s">
        <v>10</v>
      </c>
      <c r="C1988" s="1" t="s">
        <v>7188</v>
      </c>
      <c r="D1988" s="1" t="s">
        <v>5107</v>
      </c>
      <c r="E1988" s="1" t="s">
        <v>5107</v>
      </c>
      <c r="F1988" s="1" t="s">
        <v>23</v>
      </c>
      <c r="G1988" s="1" t="s">
        <v>7179</v>
      </c>
      <c r="H1988" s="1" t="s">
        <v>15</v>
      </c>
      <c r="I1988" t="b">
        <f>COUNTIF(Estadísticas!I:I,'Centraldecomunicacion.es'!H1988)&gt;0</f>
        <v>0</v>
      </c>
    </row>
    <row r="1989" spans="1:9">
      <c r="A1989" s="1" t="s">
        <v>7189</v>
      </c>
      <c r="B1989" s="1" t="s">
        <v>10</v>
      </c>
      <c r="C1989" s="1" t="s">
        <v>7190</v>
      </c>
      <c r="D1989" s="1" t="s">
        <v>5107</v>
      </c>
      <c r="E1989" s="1" t="s">
        <v>5107</v>
      </c>
      <c r="F1989" s="1" t="s">
        <v>7191</v>
      </c>
      <c r="G1989" s="1" t="s">
        <v>7192</v>
      </c>
      <c r="H1989" s="1" t="s">
        <v>7193</v>
      </c>
      <c r="I1989" t="b">
        <f>COUNTIF(Estadísticas!I:I,'Centraldecomunicacion.es'!H1989)&gt;0</f>
        <v>0</v>
      </c>
    </row>
    <row r="1990" spans="1:9">
      <c r="A1990" s="1" t="s">
        <v>7194</v>
      </c>
      <c r="B1990" s="1" t="s">
        <v>10</v>
      </c>
      <c r="C1990" s="1" t="s">
        <v>7195</v>
      </c>
      <c r="D1990" s="1" t="s">
        <v>7196</v>
      </c>
      <c r="E1990" s="1" t="s">
        <v>5107</v>
      </c>
      <c r="F1990" s="1" t="s">
        <v>7197</v>
      </c>
      <c r="G1990" s="1" t="s">
        <v>7198</v>
      </c>
      <c r="H1990" s="1" t="s">
        <v>15</v>
      </c>
      <c r="I1990" t="b">
        <f>COUNTIF(Estadísticas!I:I,'Centraldecomunicacion.es'!H1990)&gt;0</f>
        <v>0</v>
      </c>
    </row>
    <row r="1991" spans="1:9">
      <c r="A1991" s="1" t="s">
        <v>7199</v>
      </c>
      <c r="B1991" s="1" t="s">
        <v>10</v>
      </c>
      <c r="C1991" s="1" t="s">
        <v>7200</v>
      </c>
      <c r="D1991" s="1" t="s">
        <v>5107</v>
      </c>
      <c r="E1991" s="1" t="s">
        <v>5107</v>
      </c>
      <c r="F1991" s="1" t="s">
        <v>23</v>
      </c>
      <c r="G1991" s="1" t="s">
        <v>7201</v>
      </c>
      <c r="H1991" s="1" t="s">
        <v>15</v>
      </c>
      <c r="I1991" t="b">
        <f>COUNTIF(Estadísticas!I:I,'Centraldecomunicacion.es'!H1991)&gt;0</f>
        <v>0</v>
      </c>
    </row>
    <row r="1992" spans="1:9">
      <c r="A1992" s="1" t="s">
        <v>7202</v>
      </c>
      <c r="B1992" s="1" t="s">
        <v>10</v>
      </c>
      <c r="C1992" s="1" t="s">
        <v>7203</v>
      </c>
      <c r="D1992" s="1" t="s">
        <v>7204</v>
      </c>
      <c r="E1992" s="1" t="s">
        <v>5107</v>
      </c>
      <c r="F1992" s="1" t="s">
        <v>23</v>
      </c>
      <c r="G1992" s="1" t="s">
        <v>23</v>
      </c>
      <c r="H1992" s="1" t="s">
        <v>15</v>
      </c>
      <c r="I1992" t="b">
        <f>COUNTIF(Estadísticas!I:I,'Centraldecomunicacion.es'!H1992)&gt;0</f>
        <v>0</v>
      </c>
    </row>
    <row r="1993" spans="1:9">
      <c r="A1993" s="1" t="s">
        <v>7205</v>
      </c>
      <c r="B1993" s="1" t="s">
        <v>10</v>
      </c>
      <c r="C1993" s="1" t="s">
        <v>7206</v>
      </c>
      <c r="D1993" s="1" t="s">
        <v>7207</v>
      </c>
      <c r="E1993" s="1" t="s">
        <v>5107</v>
      </c>
      <c r="F1993" s="1" t="s">
        <v>23</v>
      </c>
      <c r="G1993" s="1" t="s">
        <v>7208</v>
      </c>
      <c r="H1993" s="1" t="s">
        <v>15</v>
      </c>
      <c r="I1993" t="b">
        <f>COUNTIF(Estadísticas!I:I,'Centraldecomunicacion.es'!H1993)&gt;0</f>
        <v>0</v>
      </c>
    </row>
    <row r="1994" spans="1:9">
      <c r="A1994" s="1" t="s">
        <v>7209</v>
      </c>
      <c r="B1994" s="1" t="s">
        <v>10</v>
      </c>
      <c r="C1994" s="1" t="s">
        <v>7210</v>
      </c>
      <c r="D1994" s="1" t="s">
        <v>7204</v>
      </c>
      <c r="E1994" s="1" t="s">
        <v>5107</v>
      </c>
      <c r="F1994" s="1" t="s">
        <v>23</v>
      </c>
      <c r="G1994" s="1" t="s">
        <v>7211</v>
      </c>
      <c r="H1994" s="1" t="s">
        <v>15</v>
      </c>
      <c r="I1994" t="b">
        <f>COUNTIF(Estadísticas!I:I,'Centraldecomunicacion.es'!H1994)&gt;0</f>
        <v>0</v>
      </c>
    </row>
    <row r="1995" spans="1:9">
      <c r="A1995" s="1" t="s">
        <v>7212</v>
      </c>
      <c r="B1995" s="1" t="s">
        <v>10</v>
      </c>
      <c r="C1995" s="1" t="s">
        <v>7213</v>
      </c>
      <c r="D1995" s="1" t="s">
        <v>7214</v>
      </c>
      <c r="E1995" s="1" t="s">
        <v>5107</v>
      </c>
      <c r="F1995" s="1" t="s">
        <v>7215</v>
      </c>
      <c r="G1995" s="1" t="s">
        <v>7216</v>
      </c>
      <c r="H1995" s="1" t="s">
        <v>7217</v>
      </c>
      <c r="I1995" t="b">
        <f>COUNTIF(Estadísticas!I:I,'Centraldecomunicacion.es'!H1995)&gt;0</f>
        <v>1</v>
      </c>
    </row>
    <row r="1996" spans="1:9">
      <c r="A1996" s="1" t="s">
        <v>7218</v>
      </c>
      <c r="B1996" s="1" t="s">
        <v>10</v>
      </c>
      <c r="C1996" s="1" t="s">
        <v>7219</v>
      </c>
      <c r="D1996" s="1" t="s">
        <v>5107</v>
      </c>
      <c r="E1996" s="1" t="s">
        <v>5107</v>
      </c>
      <c r="F1996" s="1" t="s">
        <v>23</v>
      </c>
      <c r="G1996" s="1" t="s">
        <v>7220</v>
      </c>
      <c r="H1996" s="1" t="s">
        <v>15</v>
      </c>
      <c r="I1996" t="b">
        <f>COUNTIF(Estadísticas!I:I,'Centraldecomunicacion.es'!H1996)&gt;0</f>
        <v>0</v>
      </c>
    </row>
    <row r="1997" spans="1:9">
      <c r="A1997" s="1" t="s">
        <v>7221</v>
      </c>
      <c r="B1997" s="1" t="s">
        <v>10</v>
      </c>
      <c r="C1997" s="1" t="s">
        <v>7222</v>
      </c>
      <c r="D1997" s="1" t="s">
        <v>5107</v>
      </c>
      <c r="E1997" s="1" t="s">
        <v>5107</v>
      </c>
      <c r="F1997" s="1" t="s">
        <v>7223</v>
      </c>
      <c r="G1997" s="1" t="s">
        <v>7224</v>
      </c>
      <c r="H1997" s="1" t="s">
        <v>7225</v>
      </c>
      <c r="I1997" t="b">
        <f>COUNTIF(Estadísticas!I:I,'Centraldecomunicacion.es'!H1997)&gt;0</f>
        <v>0</v>
      </c>
    </row>
    <row r="1998" spans="1:9">
      <c r="A1998" s="1" t="s">
        <v>7194</v>
      </c>
      <c r="B1998" s="1" t="s">
        <v>10</v>
      </c>
      <c r="C1998" s="1" t="s">
        <v>7226</v>
      </c>
      <c r="D1998" s="1" t="s">
        <v>7227</v>
      </c>
      <c r="E1998" s="1" t="s">
        <v>5107</v>
      </c>
      <c r="F1998" s="1" t="s">
        <v>7197</v>
      </c>
      <c r="G1998" s="1" t="s">
        <v>7228</v>
      </c>
      <c r="H1998" s="1" t="s">
        <v>15</v>
      </c>
      <c r="I1998" t="b">
        <f>COUNTIF(Estadísticas!I:I,'Centraldecomunicacion.es'!H1998)&gt;0</f>
        <v>0</v>
      </c>
    </row>
    <row r="1999" spans="1:9">
      <c r="A1999" s="1" t="s">
        <v>7229</v>
      </c>
      <c r="B1999" s="1" t="s">
        <v>10</v>
      </c>
      <c r="C1999" s="1" t="s">
        <v>7230</v>
      </c>
      <c r="D1999" s="1" t="s">
        <v>7231</v>
      </c>
      <c r="E1999" s="1" t="s">
        <v>5107</v>
      </c>
      <c r="F1999" s="1" t="s">
        <v>23</v>
      </c>
      <c r="G1999" s="1" t="s">
        <v>7232</v>
      </c>
      <c r="H1999" s="1" t="s">
        <v>15</v>
      </c>
      <c r="I1999" t="b">
        <f>COUNTIF(Estadísticas!I:I,'Centraldecomunicacion.es'!H1999)&gt;0</f>
        <v>0</v>
      </c>
    </row>
    <row r="2000" spans="1:9">
      <c r="A2000" s="1" t="s">
        <v>7233</v>
      </c>
      <c r="B2000" s="1" t="s">
        <v>10</v>
      </c>
      <c r="C2000" s="1" t="s">
        <v>7234</v>
      </c>
      <c r="D2000" s="1" t="s">
        <v>7231</v>
      </c>
      <c r="E2000" s="1" t="s">
        <v>5107</v>
      </c>
      <c r="F2000" s="1" t="s">
        <v>23</v>
      </c>
      <c r="G2000" s="1" t="s">
        <v>7235</v>
      </c>
      <c r="H2000" s="1" t="s">
        <v>15</v>
      </c>
      <c r="I2000" t="b">
        <f>COUNTIF(Estadísticas!I:I,'Centraldecomunicacion.es'!H2000)&gt;0</f>
        <v>0</v>
      </c>
    </row>
    <row r="2001" spans="1:9">
      <c r="A2001" s="1" t="s">
        <v>7236</v>
      </c>
      <c r="B2001" s="1" t="s">
        <v>10</v>
      </c>
      <c r="C2001" s="1" t="s">
        <v>7237</v>
      </c>
      <c r="D2001" s="1" t="s">
        <v>7238</v>
      </c>
      <c r="E2001" s="1" t="s">
        <v>5107</v>
      </c>
      <c r="F2001" s="1" t="s">
        <v>7239</v>
      </c>
      <c r="G2001" s="1" t="s">
        <v>7240</v>
      </c>
      <c r="H2001" s="1" t="s">
        <v>7241</v>
      </c>
      <c r="I2001" t="b">
        <f>COUNTIF(Estadísticas!I:I,'Centraldecomunicacion.es'!H2001)&gt;0</f>
        <v>0</v>
      </c>
    </row>
    <row r="2002" spans="1:9">
      <c r="A2002" s="1" t="s">
        <v>7242</v>
      </c>
      <c r="B2002" s="1" t="s">
        <v>10</v>
      </c>
      <c r="C2002" s="1" t="s">
        <v>7243</v>
      </c>
      <c r="D2002" s="1" t="s">
        <v>7231</v>
      </c>
      <c r="E2002" s="1" t="s">
        <v>5107</v>
      </c>
      <c r="F2002" s="1" t="s">
        <v>7244</v>
      </c>
      <c r="G2002" s="1" t="s">
        <v>7245</v>
      </c>
      <c r="H2002" s="1" t="s">
        <v>15</v>
      </c>
      <c r="I2002" t="b">
        <f>COUNTIF(Estadísticas!I:I,'Centraldecomunicacion.es'!H2002)&gt;0</f>
        <v>0</v>
      </c>
    </row>
    <row r="2003" spans="1:9">
      <c r="A2003" s="1" t="s">
        <v>7246</v>
      </c>
      <c r="B2003" s="1" t="s">
        <v>10</v>
      </c>
      <c r="C2003" s="1" t="s">
        <v>7247</v>
      </c>
      <c r="D2003" s="1" t="s">
        <v>7248</v>
      </c>
      <c r="E2003" s="1" t="s">
        <v>5107</v>
      </c>
      <c r="F2003" s="1" t="s">
        <v>23</v>
      </c>
      <c r="G2003" s="1" t="s">
        <v>7249</v>
      </c>
      <c r="H2003" s="1" t="s">
        <v>15</v>
      </c>
      <c r="I2003" t="b">
        <f>COUNTIF(Estadísticas!I:I,'Centraldecomunicacion.es'!H2003)&gt;0</f>
        <v>0</v>
      </c>
    </row>
    <row r="2004" spans="1:9">
      <c r="A2004" s="1" t="s">
        <v>7250</v>
      </c>
      <c r="B2004" s="1" t="s">
        <v>10</v>
      </c>
      <c r="C2004" s="1" t="s">
        <v>7251</v>
      </c>
      <c r="D2004" s="1" t="s">
        <v>7231</v>
      </c>
      <c r="E2004" s="1" t="s">
        <v>5107</v>
      </c>
      <c r="F2004" s="1" t="s">
        <v>23</v>
      </c>
      <c r="G2004" s="1" t="s">
        <v>7252</v>
      </c>
      <c r="H2004" s="1" t="s">
        <v>15</v>
      </c>
      <c r="I2004" t="b">
        <f>COUNTIF(Estadísticas!I:I,'Centraldecomunicacion.es'!H2004)&gt;0</f>
        <v>0</v>
      </c>
    </row>
    <row r="2005" spans="1:9">
      <c r="A2005" s="1" t="s">
        <v>7253</v>
      </c>
      <c r="B2005" s="1" t="s">
        <v>10</v>
      </c>
      <c r="C2005" s="1" t="s">
        <v>7254</v>
      </c>
      <c r="D2005" s="1" t="s">
        <v>7248</v>
      </c>
      <c r="E2005" s="1" t="s">
        <v>5107</v>
      </c>
      <c r="F2005" s="1" t="s">
        <v>7255</v>
      </c>
      <c r="G2005" s="1" t="s">
        <v>7256</v>
      </c>
      <c r="H2005" s="1" t="s">
        <v>7257</v>
      </c>
      <c r="I2005" t="b">
        <f>COUNTIF(Estadísticas!I:I,'Centraldecomunicacion.es'!H2005)&gt;0</f>
        <v>0</v>
      </c>
    </row>
    <row r="2006" spans="1:9">
      <c r="A2006" s="1" t="s">
        <v>7258</v>
      </c>
      <c r="B2006" s="1" t="s">
        <v>10</v>
      </c>
      <c r="C2006" s="1" t="s">
        <v>7259</v>
      </c>
      <c r="D2006" s="1" t="s">
        <v>7260</v>
      </c>
      <c r="E2006" s="1" t="s">
        <v>5107</v>
      </c>
      <c r="F2006" s="1" t="s">
        <v>23</v>
      </c>
      <c r="G2006" s="1" t="s">
        <v>23</v>
      </c>
      <c r="H2006" s="1" t="s">
        <v>15</v>
      </c>
      <c r="I2006" t="b">
        <f>COUNTIF(Estadísticas!I:I,'Centraldecomunicacion.es'!H2006)&gt;0</f>
        <v>0</v>
      </c>
    </row>
    <row r="2007" spans="1:9">
      <c r="A2007" s="1" t="s">
        <v>7261</v>
      </c>
      <c r="B2007" s="1" t="s">
        <v>10</v>
      </c>
      <c r="C2007" s="1" t="s">
        <v>7243</v>
      </c>
      <c r="D2007" s="1" t="s">
        <v>7231</v>
      </c>
      <c r="E2007" s="1" t="s">
        <v>5107</v>
      </c>
      <c r="F2007" s="1" t="s">
        <v>7262</v>
      </c>
      <c r="G2007" s="1" t="s">
        <v>7263</v>
      </c>
      <c r="H2007" s="1" t="s">
        <v>15</v>
      </c>
      <c r="I2007" t="b">
        <f>COUNTIF(Estadísticas!I:I,'Centraldecomunicacion.es'!H2007)&gt;0</f>
        <v>0</v>
      </c>
    </row>
    <row r="2008" spans="1:9">
      <c r="A2008" s="1" t="s">
        <v>7264</v>
      </c>
      <c r="B2008" s="1" t="s">
        <v>10</v>
      </c>
      <c r="C2008" s="1" t="s">
        <v>7265</v>
      </c>
      <c r="D2008" s="1" t="s">
        <v>7248</v>
      </c>
      <c r="E2008" s="1" t="s">
        <v>5107</v>
      </c>
      <c r="F2008" s="1" t="s">
        <v>23</v>
      </c>
      <c r="G2008" s="1" t="s">
        <v>7266</v>
      </c>
      <c r="H2008" s="1" t="s">
        <v>15</v>
      </c>
      <c r="I2008" t="b">
        <f>COUNTIF(Estadísticas!I:I,'Centraldecomunicacion.es'!H2008)&gt;0</f>
        <v>0</v>
      </c>
    </row>
    <row r="2009" spans="1:9">
      <c r="A2009" s="1" t="s">
        <v>7267</v>
      </c>
      <c r="B2009" s="1" t="s">
        <v>10</v>
      </c>
      <c r="C2009" s="1" t="s">
        <v>7268</v>
      </c>
      <c r="D2009" s="1" t="s">
        <v>7260</v>
      </c>
      <c r="E2009" s="1" t="s">
        <v>5107</v>
      </c>
      <c r="F2009" s="1" t="s">
        <v>23</v>
      </c>
      <c r="G2009" s="1" t="s">
        <v>7269</v>
      </c>
      <c r="H2009" s="1" t="s">
        <v>15</v>
      </c>
      <c r="I2009" t="b">
        <f>COUNTIF(Estadísticas!I:I,'Centraldecomunicacion.es'!H2009)&gt;0</f>
        <v>0</v>
      </c>
    </row>
    <row r="2010" spans="1:9">
      <c r="A2010" s="1" t="s">
        <v>7270</v>
      </c>
      <c r="B2010" s="1" t="s">
        <v>10</v>
      </c>
      <c r="C2010" s="1" t="s">
        <v>7271</v>
      </c>
      <c r="D2010" s="1" t="s">
        <v>7272</v>
      </c>
      <c r="E2010" s="1" t="s">
        <v>5107</v>
      </c>
      <c r="F2010" s="1" t="s">
        <v>23</v>
      </c>
      <c r="G2010" s="1" t="s">
        <v>7273</v>
      </c>
      <c r="H2010" s="1" t="s">
        <v>15</v>
      </c>
      <c r="I2010" t="b">
        <f>COUNTIF(Estadísticas!I:I,'Centraldecomunicacion.es'!H2010)&gt;0</f>
        <v>0</v>
      </c>
    </row>
    <row r="2011" spans="1:9">
      <c r="A2011" s="1" t="s">
        <v>7194</v>
      </c>
      <c r="B2011" s="1" t="s">
        <v>10</v>
      </c>
      <c r="C2011" s="1" t="s">
        <v>7274</v>
      </c>
      <c r="D2011" s="1" t="s">
        <v>7248</v>
      </c>
      <c r="E2011" s="1" t="s">
        <v>5107</v>
      </c>
      <c r="F2011" s="1" t="s">
        <v>7197</v>
      </c>
      <c r="G2011" s="1" t="s">
        <v>7275</v>
      </c>
      <c r="H2011" s="1" t="s">
        <v>15</v>
      </c>
      <c r="I2011" t="b">
        <f>COUNTIF(Estadísticas!I:I,'Centraldecomunicacion.es'!H2011)&gt;0</f>
        <v>0</v>
      </c>
    </row>
    <row r="2012" spans="1:9">
      <c r="A2012" s="1" t="s">
        <v>1061</v>
      </c>
      <c r="B2012" s="1" t="s">
        <v>10</v>
      </c>
      <c r="C2012" s="1" t="s">
        <v>7276</v>
      </c>
      <c r="D2012" s="1" t="s">
        <v>7272</v>
      </c>
      <c r="E2012" s="1" t="s">
        <v>5107</v>
      </c>
      <c r="F2012" s="1" t="s">
        <v>7277</v>
      </c>
      <c r="G2012" s="1" t="s">
        <v>7278</v>
      </c>
      <c r="H2012" s="1" t="s">
        <v>7279</v>
      </c>
      <c r="I2012" t="b">
        <f>COUNTIF(Estadísticas!I:I,'Centraldecomunicacion.es'!H2012)&gt;0</f>
        <v>0</v>
      </c>
    </row>
    <row r="2013" spans="1:9">
      <c r="A2013" s="1" t="s">
        <v>7280</v>
      </c>
      <c r="B2013" s="1" t="s">
        <v>10</v>
      </c>
      <c r="C2013" s="1" t="s">
        <v>7281</v>
      </c>
      <c r="D2013" s="1" t="s">
        <v>7272</v>
      </c>
      <c r="E2013" s="1" t="s">
        <v>5107</v>
      </c>
      <c r="F2013" s="1" t="s">
        <v>7282</v>
      </c>
      <c r="G2013" s="1" t="s">
        <v>7283</v>
      </c>
      <c r="H2013" s="1" t="s">
        <v>1091</v>
      </c>
      <c r="I2013" t="b">
        <f>COUNTIF(Estadísticas!I:I,'Centraldecomunicacion.es'!H2013)&gt;0</f>
        <v>0</v>
      </c>
    </row>
    <row r="2014" spans="1:9">
      <c r="A2014" s="1" t="s">
        <v>7284</v>
      </c>
      <c r="B2014" s="1" t="s">
        <v>10</v>
      </c>
      <c r="C2014" s="1" t="s">
        <v>7285</v>
      </c>
      <c r="D2014" s="1" t="s">
        <v>7286</v>
      </c>
      <c r="E2014" s="1" t="s">
        <v>5107</v>
      </c>
      <c r="F2014" s="1" t="s">
        <v>23</v>
      </c>
      <c r="G2014" s="1" t="s">
        <v>7287</v>
      </c>
      <c r="H2014" s="1" t="s">
        <v>15</v>
      </c>
      <c r="I2014" t="b">
        <f>COUNTIF(Estadísticas!I:I,'Centraldecomunicacion.es'!H2014)&gt;0</f>
        <v>0</v>
      </c>
    </row>
    <row r="2015" spans="1:9">
      <c r="A2015" s="1" t="s">
        <v>7288</v>
      </c>
      <c r="B2015" s="1" t="s">
        <v>10</v>
      </c>
      <c r="C2015" s="1" t="s">
        <v>7289</v>
      </c>
      <c r="D2015" s="1" t="s">
        <v>7290</v>
      </c>
      <c r="E2015" s="1" t="s">
        <v>5107</v>
      </c>
      <c r="F2015" s="1" t="s">
        <v>23</v>
      </c>
      <c r="G2015" s="1" t="s">
        <v>7291</v>
      </c>
      <c r="H2015" s="1" t="s">
        <v>15</v>
      </c>
      <c r="I2015" t="b">
        <f>COUNTIF(Estadísticas!I:I,'Centraldecomunicacion.es'!H2015)&gt;0</f>
        <v>0</v>
      </c>
    </row>
    <row r="2016" spans="1:9">
      <c r="A2016" s="1" t="s">
        <v>7292</v>
      </c>
      <c r="B2016" s="1" t="s">
        <v>10</v>
      </c>
      <c r="C2016" s="1" t="s">
        <v>7293</v>
      </c>
      <c r="D2016" s="1" t="s">
        <v>7294</v>
      </c>
      <c r="E2016" s="1" t="s">
        <v>5107</v>
      </c>
      <c r="F2016" s="1" t="s">
        <v>23</v>
      </c>
      <c r="G2016" s="1" t="s">
        <v>7295</v>
      </c>
      <c r="H2016" s="1" t="s">
        <v>15</v>
      </c>
      <c r="I2016" t="b">
        <f>COUNTIF(Estadísticas!I:I,'Centraldecomunicacion.es'!H2016)&gt;0</f>
        <v>0</v>
      </c>
    </row>
    <row r="2017" spans="1:9">
      <c r="A2017" s="1" t="s">
        <v>7296</v>
      </c>
      <c r="B2017" s="1" t="s">
        <v>10</v>
      </c>
      <c r="C2017" s="1" t="s">
        <v>7297</v>
      </c>
      <c r="D2017" s="1" t="s">
        <v>7298</v>
      </c>
      <c r="E2017" s="1" t="s">
        <v>5107</v>
      </c>
      <c r="F2017" s="1" t="s">
        <v>7299</v>
      </c>
      <c r="G2017" s="1" t="s">
        <v>7300</v>
      </c>
      <c r="H2017" s="1" t="s">
        <v>7301</v>
      </c>
      <c r="I2017" t="b">
        <f>COUNTIF(Estadísticas!I:I,'Centraldecomunicacion.es'!H2017)&gt;0</f>
        <v>0</v>
      </c>
    </row>
    <row r="2018" spans="1:9">
      <c r="A2018" s="1" t="s">
        <v>7302</v>
      </c>
      <c r="B2018" s="1" t="s">
        <v>10</v>
      </c>
      <c r="C2018" s="1" t="s">
        <v>7303</v>
      </c>
      <c r="D2018" s="1" t="s">
        <v>7304</v>
      </c>
      <c r="E2018" s="1" t="s">
        <v>5107</v>
      </c>
      <c r="F2018" s="1" t="s">
        <v>23</v>
      </c>
      <c r="G2018" s="1" t="s">
        <v>7305</v>
      </c>
      <c r="H2018" s="1" t="s">
        <v>15</v>
      </c>
      <c r="I2018" t="b">
        <f>COUNTIF(Estadísticas!I:I,'Centraldecomunicacion.es'!H2018)&gt;0</f>
        <v>0</v>
      </c>
    </row>
    <row r="2019" spans="1:9">
      <c r="A2019" s="1" t="s">
        <v>7306</v>
      </c>
      <c r="B2019" s="1" t="s">
        <v>10</v>
      </c>
      <c r="C2019" s="1" t="s">
        <v>7307</v>
      </c>
      <c r="D2019" s="1" t="s">
        <v>7308</v>
      </c>
      <c r="E2019" s="1" t="s">
        <v>5107</v>
      </c>
      <c r="F2019" s="1" t="s">
        <v>7309</v>
      </c>
      <c r="G2019" s="1" t="s">
        <v>7310</v>
      </c>
      <c r="H2019" s="1" t="s">
        <v>7311</v>
      </c>
      <c r="I2019" t="b">
        <f>COUNTIF(Estadísticas!I:I,'Centraldecomunicacion.es'!H2019)&gt;0</f>
        <v>0</v>
      </c>
    </row>
    <row r="2020" spans="1:9">
      <c r="A2020" s="1" t="s">
        <v>7312</v>
      </c>
      <c r="B2020" s="1" t="s">
        <v>10</v>
      </c>
      <c r="C2020" s="1" t="s">
        <v>7313</v>
      </c>
      <c r="D2020" s="1" t="s">
        <v>7314</v>
      </c>
      <c r="E2020" s="1" t="s">
        <v>5107</v>
      </c>
      <c r="F2020" s="1" t="s">
        <v>23</v>
      </c>
      <c r="G2020" s="1" t="s">
        <v>7315</v>
      </c>
      <c r="H2020" s="1" t="s">
        <v>15</v>
      </c>
      <c r="I2020" t="b">
        <f>COUNTIF(Estadísticas!I:I,'Centraldecomunicacion.es'!H2020)&gt;0</f>
        <v>0</v>
      </c>
    </row>
    <row r="2021" spans="1:9">
      <c r="A2021" s="1" t="s">
        <v>7316</v>
      </c>
      <c r="B2021" s="1" t="s">
        <v>10</v>
      </c>
      <c r="C2021" s="1" t="s">
        <v>7317</v>
      </c>
      <c r="D2021" s="1" t="s">
        <v>7318</v>
      </c>
      <c r="E2021" s="1" t="s">
        <v>5107</v>
      </c>
      <c r="F2021" s="1" t="s">
        <v>23</v>
      </c>
      <c r="G2021" s="1" t="s">
        <v>7319</v>
      </c>
      <c r="H2021" s="1" t="s">
        <v>15</v>
      </c>
      <c r="I2021" t="b">
        <f>COUNTIF(Estadísticas!I:I,'Centraldecomunicacion.es'!H2021)&gt;0</f>
        <v>0</v>
      </c>
    </row>
    <row r="2022" spans="1:9">
      <c r="A2022" s="1" t="s">
        <v>7320</v>
      </c>
      <c r="B2022" s="1" t="s">
        <v>10</v>
      </c>
      <c r="C2022" s="1" t="s">
        <v>7321</v>
      </c>
      <c r="D2022" s="1" t="s">
        <v>7322</v>
      </c>
      <c r="E2022" s="1" t="s">
        <v>5107</v>
      </c>
      <c r="F2022" s="1" t="s">
        <v>7323</v>
      </c>
      <c r="G2022" s="1" t="s">
        <v>7324</v>
      </c>
      <c r="H2022" s="1" t="s">
        <v>7325</v>
      </c>
      <c r="I2022" t="b">
        <f>COUNTIF(Estadísticas!I:I,'Centraldecomunicacion.es'!H2022)&gt;0</f>
        <v>0</v>
      </c>
    </row>
    <row r="2023" spans="1:9">
      <c r="A2023" s="1" t="s">
        <v>7326</v>
      </c>
      <c r="B2023" s="1" t="s">
        <v>10</v>
      </c>
      <c r="C2023" s="1" t="s">
        <v>7327</v>
      </c>
      <c r="D2023" s="1" t="s">
        <v>7328</v>
      </c>
      <c r="E2023" s="1" t="s">
        <v>5107</v>
      </c>
      <c r="F2023" s="1" t="s">
        <v>7329</v>
      </c>
      <c r="G2023" s="1" t="s">
        <v>7330</v>
      </c>
      <c r="H2023" s="1" t="s">
        <v>7331</v>
      </c>
      <c r="I2023" t="b">
        <f>COUNTIF(Estadísticas!I:I,'Centraldecomunicacion.es'!H2023)&gt;0</f>
        <v>0</v>
      </c>
    </row>
    <row r="2024" spans="1:9">
      <c r="A2024" s="1" t="s">
        <v>7332</v>
      </c>
      <c r="B2024" s="1" t="s">
        <v>10</v>
      </c>
      <c r="C2024" s="1" t="s">
        <v>7333</v>
      </c>
      <c r="D2024" s="1" t="s">
        <v>7334</v>
      </c>
      <c r="E2024" s="1" t="s">
        <v>5107</v>
      </c>
      <c r="F2024" s="1" t="s">
        <v>7335</v>
      </c>
      <c r="G2024" s="1" t="s">
        <v>23</v>
      </c>
      <c r="H2024" s="1" t="s">
        <v>7336</v>
      </c>
      <c r="I2024" t="b">
        <f>COUNTIF(Estadísticas!I:I,'Centraldecomunicacion.es'!H2024)&gt;0</f>
        <v>0</v>
      </c>
    </row>
    <row r="2025" spans="1:9">
      <c r="A2025" s="1" t="s">
        <v>1845</v>
      </c>
      <c r="B2025" s="1" t="s">
        <v>10</v>
      </c>
      <c r="C2025" s="1" t="s">
        <v>7337</v>
      </c>
      <c r="D2025" s="1" t="s">
        <v>7314</v>
      </c>
      <c r="E2025" s="1" t="s">
        <v>5107</v>
      </c>
      <c r="F2025" s="1" t="s">
        <v>7338</v>
      </c>
      <c r="G2025" s="1" t="s">
        <v>7339</v>
      </c>
      <c r="H2025" s="1" t="s">
        <v>15</v>
      </c>
      <c r="I2025" t="b">
        <f>COUNTIF(Estadísticas!I:I,'Centraldecomunicacion.es'!H2025)&gt;0</f>
        <v>0</v>
      </c>
    </row>
    <row r="2026" spans="1:9">
      <c r="A2026" s="1" t="s">
        <v>7340</v>
      </c>
      <c r="B2026" s="1" t="s">
        <v>10</v>
      </c>
      <c r="C2026" s="1" t="s">
        <v>7341</v>
      </c>
      <c r="D2026" s="1" t="s">
        <v>7308</v>
      </c>
      <c r="E2026" s="1" t="s">
        <v>5107</v>
      </c>
      <c r="F2026" s="1" t="s">
        <v>7342</v>
      </c>
      <c r="G2026" s="1" t="s">
        <v>7343</v>
      </c>
      <c r="H2026" s="1" t="s">
        <v>15</v>
      </c>
      <c r="I2026" t="b">
        <f>COUNTIF(Estadísticas!I:I,'Centraldecomunicacion.es'!H2026)&gt;0</f>
        <v>0</v>
      </c>
    </row>
    <row r="2027" spans="1:9">
      <c r="A2027" s="1" t="s">
        <v>1653</v>
      </c>
      <c r="B2027" s="1" t="s">
        <v>10</v>
      </c>
      <c r="C2027" s="1" t="s">
        <v>7344</v>
      </c>
      <c r="D2027" s="1" t="s">
        <v>7345</v>
      </c>
      <c r="E2027" s="1" t="s">
        <v>5107</v>
      </c>
      <c r="F2027" s="1" t="s">
        <v>1655</v>
      </c>
      <c r="G2027" s="1" t="s">
        <v>7346</v>
      </c>
      <c r="H2027" s="1" t="s">
        <v>1657</v>
      </c>
      <c r="I2027" t="b">
        <f>COUNTIF(Estadísticas!I:I,'Centraldecomunicacion.es'!H2027)&gt;0</f>
        <v>0</v>
      </c>
    </row>
    <row r="2028" spans="1:9">
      <c r="A2028" s="1" t="s">
        <v>7347</v>
      </c>
      <c r="B2028" s="1" t="s">
        <v>10</v>
      </c>
      <c r="C2028" s="1" t="s">
        <v>7348</v>
      </c>
      <c r="D2028" s="1" t="s">
        <v>7349</v>
      </c>
      <c r="E2028" s="1" t="s">
        <v>5107</v>
      </c>
      <c r="F2028" s="1" t="s">
        <v>23</v>
      </c>
      <c r="G2028" s="1" t="s">
        <v>7350</v>
      </c>
      <c r="H2028" s="1" t="s">
        <v>15</v>
      </c>
      <c r="I2028" t="b">
        <f>COUNTIF(Estadísticas!I:I,'Centraldecomunicacion.es'!H2028)&gt;0</f>
        <v>0</v>
      </c>
    </row>
    <row r="2029" spans="1:9">
      <c r="A2029" s="1" t="s">
        <v>7351</v>
      </c>
      <c r="B2029" s="1" t="s">
        <v>10</v>
      </c>
      <c r="C2029" s="1" t="s">
        <v>7352</v>
      </c>
      <c r="D2029" s="1" t="s">
        <v>7345</v>
      </c>
      <c r="E2029" s="1" t="s">
        <v>5107</v>
      </c>
      <c r="F2029" s="1" t="s">
        <v>23</v>
      </c>
      <c r="G2029" s="1" t="s">
        <v>7353</v>
      </c>
      <c r="H2029" s="1" t="s">
        <v>15</v>
      </c>
      <c r="I2029" t="b">
        <f>COUNTIF(Estadísticas!I:I,'Centraldecomunicacion.es'!H2029)&gt;0</f>
        <v>0</v>
      </c>
    </row>
    <row r="2030" spans="1:9">
      <c r="A2030" s="1" t="s">
        <v>7354</v>
      </c>
      <c r="B2030" s="1" t="s">
        <v>10</v>
      </c>
      <c r="C2030" s="1" t="s">
        <v>7355</v>
      </c>
      <c r="D2030" s="1" t="s">
        <v>7345</v>
      </c>
      <c r="E2030" s="1" t="s">
        <v>5107</v>
      </c>
      <c r="F2030" s="1" t="s">
        <v>7356</v>
      </c>
      <c r="G2030" s="1" t="s">
        <v>7357</v>
      </c>
      <c r="H2030" s="1" t="s">
        <v>15</v>
      </c>
      <c r="I2030" t="b">
        <f>COUNTIF(Estadísticas!I:I,'Centraldecomunicacion.es'!H2030)&gt;0</f>
        <v>0</v>
      </c>
    </row>
    <row r="2031" spans="1:9">
      <c r="A2031" s="1" t="s">
        <v>7358</v>
      </c>
      <c r="B2031" s="1" t="s">
        <v>10</v>
      </c>
      <c r="C2031" s="1" t="s">
        <v>7359</v>
      </c>
      <c r="D2031" s="1" t="s">
        <v>7360</v>
      </c>
      <c r="E2031" s="1" t="s">
        <v>5107</v>
      </c>
      <c r="F2031" s="1" t="s">
        <v>23</v>
      </c>
      <c r="G2031" s="1" t="s">
        <v>7361</v>
      </c>
      <c r="H2031" s="1" t="s">
        <v>15</v>
      </c>
      <c r="I2031" t="b">
        <f>COUNTIF(Estadísticas!I:I,'Centraldecomunicacion.es'!H2031)&gt;0</f>
        <v>0</v>
      </c>
    </row>
    <row r="2032" spans="1:9">
      <c r="A2032" s="1" t="s">
        <v>7362</v>
      </c>
      <c r="B2032" s="1" t="s">
        <v>10</v>
      </c>
      <c r="C2032" s="1" t="s">
        <v>7363</v>
      </c>
      <c r="D2032" s="1" t="s">
        <v>7345</v>
      </c>
      <c r="E2032" s="1" t="s">
        <v>5107</v>
      </c>
      <c r="F2032" s="1" t="s">
        <v>23</v>
      </c>
      <c r="G2032" s="1" t="s">
        <v>7364</v>
      </c>
      <c r="H2032" s="1" t="s">
        <v>15</v>
      </c>
      <c r="I2032" t="b">
        <f>COUNTIF(Estadísticas!I:I,'Centraldecomunicacion.es'!H2032)&gt;0</f>
        <v>0</v>
      </c>
    </row>
    <row r="2033" spans="1:9">
      <c r="A2033" s="1" t="s">
        <v>7365</v>
      </c>
      <c r="B2033" s="1" t="s">
        <v>10</v>
      </c>
      <c r="C2033" s="1" t="s">
        <v>7366</v>
      </c>
      <c r="D2033" s="1" t="s">
        <v>7345</v>
      </c>
      <c r="E2033" s="1" t="s">
        <v>7345</v>
      </c>
      <c r="F2033" s="1" t="s">
        <v>23</v>
      </c>
      <c r="G2033" s="1" t="s">
        <v>7367</v>
      </c>
      <c r="H2033" s="1" t="s">
        <v>15</v>
      </c>
      <c r="I2033" t="b">
        <f>COUNTIF(Estadísticas!I:I,'Centraldecomunicacion.es'!H2033)&gt;0</f>
        <v>0</v>
      </c>
    </row>
    <row r="2034" spans="1:9">
      <c r="A2034" s="1" t="s">
        <v>7368</v>
      </c>
      <c r="B2034" s="1" t="s">
        <v>10</v>
      </c>
      <c r="C2034" s="1" t="s">
        <v>7369</v>
      </c>
      <c r="D2034" s="1" t="s">
        <v>7334</v>
      </c>
      <c r="E2034" s="1" t="s">
        <v>5107</v>
      </c>
      <c r="F2034" s="1" t="s">
        <v>23</v>
      </c>
      <c r="G2034" s="1" t="s">
        <v>7370</v>
      </c>
      <c r="H2034" s="1" t="s">
        <v>15</v>
      </c>
      <c r="I2034" t="b">
        <f>COUNTIF(Estadísticas!I:I,'Centraldecomunicacion.es'!H2034)&gt;0</f>
        <v>0</v>
      </c>
    </row>
    <row r="2035" spans="1:9">
      <c r="A2035" s="1" t="s">
        <v>7371</v>
      </c>
      <c r="B2035" s="1" t="s">
        <v>10</v>
      </c>
      <c r="C2035" s="1" t="s">
        <v>7372</v>
      </c>
      <c r="D2035" s="1" t="s">
        <v>7314</v>
      </c>
      <c r="E2035" s="1" t="s">
        <v>5107</v>
      </c>
      <c r="F2035" s="1" t="s">
        <v>2911</v>
      </c>
      <c r="G2035" s="1" t="s">
        <v>7373</v>
      </c>
      <c r="H2035" s="1" t="s">
        <v>15</v>
      </c>
      <c r="I2035" t="b">
        <f>COUNTIF(Estadísticas!I:I,'Centraldecomunicacion.es'!H2035)&gt;0</f>
        <v>0</v>
      </c>
    </row>
    <row r="2036" spans="1:9">
      <c r="A2036" s="1" t="s">
        <v>7374</v>
      </c>
      <c r="B2036" s="1" t="s">
        <v>10</v>
      </c>
      <c r="C2036" s="1" t="s">
        <v>7375</v>
      </c>
      <c r="D2036" s="1" t="s">
        <v>7376</v>
      </c>
      <c r="E2036" s="1" t="s">
        <v>5107</v>
      </c>
      <c r="F2036" s="1" t="s">
        <v>7377</v>
      </c>
      <c r="G2036" s="1" t="s">
        <v>7378</v>
      </c>
      <c r="H2036" s="1" t="s">
        <v>7379</v>
      </c>
      <c r="I2036" t="b">
        <f>COUNTIF(Estadísticas!I:I,'Centraldecomunicacion.es'!H2036)&gt;0</f>
        <v>1</v>
      </c>
    </row>
    <row r="2037" spans="1:9">
      <c r="A2037" s="1" t="s">
        <v>7380</v>
      </c>
      <c r="B2037" s="1" t="s">
        <v>10</v>
      </c>
      <c r="C2037" s="1" t="s">
        <v>7381</v>
      </c>
      <c r="D2037" s="1" t="s">
        <v>7382</v>
      </c>
      <c r="E2037" s="1" t="s">
        <v>5107</v>
      </c>
      <c r="F2037" s="1" t="s">
        <v>7383</v>
      </c>
      <c r="G2037" s="1" t="s">
        <v>7384</v>
      </c>
      <c r="H2037" s="1" t="s">
        <v>7385</v>
      </c>
      <c r="I2037" t="b">
        <f>COUNTIF(Estadísticas!I:I,'Centraldecomunicacion.es'!H2037)&gt;0</f>
        <v>1</v>
      </c>
    </row>
    <row r="2038" spans="1:9">
      <c r="A2038" s="1" t="s">
        <v>7386</v>
      </c>
      <c r="B2038" s="1" t="s">
        <v>10</v>
      </c>
      <c r="C2038" s="1" t="s">
        <v>7387</v>
      </c>
      <c r="D2038" s="1" t="s">
        <v>7382</v>
      </c>
      <c r="E2038" s="1" t="s">
        <v>5107</v>
      </c>
      <c r="F2038" s="1" t="s">
        <v>23</v>
      </c>
      <c r="G2038" s="1" t="s">
        <v>7388</v>
      </c>
      <c r="H2038" s="1" t="s">
        <v>15</v>
      </c>
      <c r="I2038" t="b">
        <f>COUNTIF(Estadísticas!I:I,'Centraldecomunicacion.es'!H2038)&gt;0</f>
        <v>0</v>
      </c>
    </row>
    <row r="2039" spans="1:9">
      <c r="A2039" s="1" t="s">
        <v>7389</v>
      </c>
      <c r="B2039" s="1" t="s">
        <v>10</v>
      </c>
      <c r="C2039" s="1" t="s">
        <v>23</v>
      </c>
      <c r="D2039" s="1" t="s">
        <v>7147</v>
      </c>
      <c r="E2039" s="1" t="s">
        <v>23</v>
      </c>
      <c r="F2039" s="1" t="s">
        <v>7390</v>
      </c>
      <c r="G2039" s="1" t="s">
        <v>7391</v>
      </c>
      <c r="H2039" s="1" t="s">
        <v>15</v>
      </c>
      <c r="I2039" t="b">
        <f>COUNTIF(Estadísticas!I:I,'Centraldecomunicacion.es'!H2039)&gt;0</f>
        <v>0</v>
      </c>
    </row>
    <row r="2040" spans="1:9">
      <c r="A2040" s="1" t="s">
        <v>7392</v>
      </c>
      <c r="B2040" s="1" t="s">
        <v>10</v>
      </c>
      <c r="C2040" s="1" t="s">
        <v>7393</v>
      </c>
      <c r="D2040" s="1" t="s">
        <v>7394</v>
      </c>
      <c r="E2040" s="1" t="s">
        <v>5107</v>
      </c>
      <c r="F2040" s="1" t="s">
        <v>23</v>
      </c>
      <c r="G2040" s="1" t="s">
        <v>7395</v>
      </c>
      <c r="H2040" s="1" t="s">
        <v>15</v>
      </c>
      <c r="I2040" t="b">
        <f>COUNTIF(Estadísticas!I:I,'Centraldecomunicacion.es'!H2040)&gt;0</f>
        <v>0</v>
      </c>
    </row>
    <row r="2041" spans="1:9">
      <c r="A2041" s="1" t="s">
        <v>7396</v>
      </c>
      <c r="B2041" s="1" t="s">
        <v>10</v>
      </c>
      <c r="C2041" s="1" t="s">
        <v>7397</v>
      </c>
      <c r="D2041" s="1" t="s">
        <v>7398</v>
      </c>
      <c r="E2041" s="1" t="s">
        <v>5107</v>
      </c>
      <c r="F2041" s="1" t="s">
        <v>23</v>
      </c>
      <c r="G2041" s="1" t="s">
        <v>7399</v>
      </c>
      <c r="H2041" s="1" t="s">
        <v>15</v>
      </c>
      <c r="I2041" t="b">
        <f>COUNTIF(Estadísticas!I:I,'Centraldecomunicacion.es'!H2041)&gt;0</f>
        <v>0</v>
      </c>
    </row>
    <row r="2042" spans="1:9">
      <c r="A2042" s="1" t="s">
        <v>7400</v>
      </c>
      <c r="B2042" s="1" t="s">
        <v>10</v>
      </c>
      <c r="C2042" s="1" t="s">
        <v>7401</v>
      </c>
      <c r="D2042" s="1" t="s">
        <v>7394</v>
      </c>
      <c r="E2042" s="1" t="s">
        <v>5107</v>
      </c>
      <c r="F2042" s="1" t="s">
        <v>23</v>
      </c>
      <c r="G2042" s="1" t="s">
        <v>7402</v>
      </c>
      <c r="H2042" s="1" t="s">
        <v>15</v>
      </c>
      <c r="I2042" t="b">
        <f>COUNTIF(Estadísticas!I:I,'Centraldecomunicacion.es'!H2042)&gt;0</f>
        <v>0</v>
      </c>
    </row>
    <row r="2043" spans="1:9">
      <c r="A2043" s="1" t="s">
        <v>7403</v>
      </c>
      <c r="B2043" s="1" t="s">
        <v>10</v>
      </c>
      <c r="C2043" s="1" t="s">
        <v>7404</v>
      </c>
      <c r="D2043" s="1" t="s">
        <v>7394</v>
      </c>
      <c r="E2043" s="1" t="s">
        <v>5107</v>
      </c>
      <c r="F2043" s="1" t="s">
        <v>5530</v>
      </c>
      <c r="G2043" s="1" t="s">
        <v>7405</v>
      </c>
      <c r="H2043" s="1" t="s">
        <v>5531</v>
      </c>
      <c r="I2043" t="b">
        <f>COUNTIF(Estadísticas!I:I,'Centraldecomunicacion.es'!H2043)&gt;0</f>
        <v>0</v>
      </c>
    </row>
    <row r="2044" spans="1:9">
      <c r="A2044" s="1" t="s">
        <v>7406</v>
      </c>
      <c r="B2044" s="1" t="s">
        <v>10</v>
      </c>
      <c r="C2044" s="1" t="s">
        <v>7407</v>
      </c>
      <c r="D2044" s="1" t="s">
        <v>7408</v>
      </c>
      <c r="E2044" s="1" t="s">
        <v>1995</v>
      </c>
      <c r="F2044" s="1" t="s">
        <v>7409</v>
      </c>
      <c r="G2044" s="1" t="s">
        <v>7410</v>
      </c>
      <c r="H2044" s="1" t="s">
        <v>15</v>
      </c>
      <c r="I2044" t="b">
        <f>COUNTIF(Estadísticas!I:I,'Centraldecomunicacion.es'!H2044)&gt;0</f>
        <v>0</v>
      </c>
    </row>
    <row r="2045" spans="1:9">
      <c r="A2045" s="1" t="s">
        <v>7411</v>
      </c>
      <c r="B2045" s="1" t="s">
        <v>10</v>
      </c>
      <c r="C2045" s="1" t="s">
        <v>7412</v>
      </c>
      <c r="D2045" s="1" t="s">
        <v>1630</v>
      </c>
      <c r="E2045" s="1" t="s">
        <v>1631</v>
      </c>
      <c r="F2045" s="1" t="s">
        <v>7413</v>
      </c>
      <c r="G2045" s="1" t="s">
        <v>7414</v>
      </c>
      <c r="H2045" s="1" t="s">
        <v>15</v>
      </c>
      <c r="I2045" t="b">
        <f>COUNTIF(Estadísticas!I:I,'Centraldecomunicacion.es'!H2045)&gt;0</f>
        <v>0</v>
      </c>
    </row>
    <row r="2046" spans="1:9">
      <c r="A2046" s="1" t="s">
        <v>7415</v>
      </c>
      <c r="B2046" s="1" t="s">
        <v>10</v>
      </c>
      <c r="C2046" s="1" t="s">
        <v>7416</v>
      </c>
      <c r="D2046" s="1" t="s">
        <v>7417</v>
      </c>
      <c r="E2046" s="1" t="s">
        <v>1631</v>
      </c>
      <c r="F2046" s="1" t="s">
        <v>7418</v>
      </c>
      <c r="G2046" s="1" t="s">
        <v>7419</v>
      </c>
      <c r="H2046" s="1" t="s">
        <v>7420</v>
      </c>
      <c r="I2046" t="b">
        <f>COUNTIF(Estadísticas!I:I,'Centraldecomunicacion.es'!H2046)&gt;0</f>
        <v>0</v>
      </c>
    </row>
    <row r="2047" spans="1:9">
      <c r="A2047" s="1" t="s">
        <v>7421</v>
      </c>
      <c r="B2047" s="1" t="s">
        <v>10</v>
      </c>
      <c r="C2047" s="1" t="s">
        <v>7422</v>
      </c>
      <c r="D2047" s="1" t="s">
        <v>1630</v>
      </c>
      <c r="E2047" s="1" t="s">
        <v>1631</v>
      </c>
      <c r="F2047" s="1" t="s">
        <v>23</v>
      </c>
      <c r="G2047" s="1" t="s">
        <v>7423</v>
      </c>
      <c r="H2047" s="1" t="s">
        <v>15</v>
      </c>
      <c r="I2047" t="b">
        <f>COUNTIF(Estadísticas!I:I,'Centraldecomunicacion.es'!H2047)&gt;0</f>
        <v>0</v>
      </c>
    </row>
    <row r="2048" spans="1:9">
      <c r="A2048" s="1" t="s">
        <v>7424</v>
      </c>
      <c r="B2048" s="1" t="s">
        <v>10</v>
      </c>
      <c r="C2048" s="1" t="s">
        <v>7425</v>
      </c>
      <c r="D2048" s="1" t="s">
        <v>1630</v>
      </c>
      <c r="E2048" s="1" t="s">
        <v>1631</v>
      </c>
      <c r="F2048" s="1" t="s">
        <v>23</v>
      </c>
      <c r="G2048" s="1" t="s">
        <v>7426</v>
      </c>
      <c r="H2048" s="1" t="s">
        <v>15</v>
      </c>
      <c r="I2048" t="b">
        <f>COUNTIF(Estadísticas!I:I,'Centraldecomunicacion.es'!H2048)&gt;0</f>
        <v>0</v>
      </c>
    </row>
    <row r="2049" spans="1:9">
      <c r="A2049" s="1" t="s">
        <v>7427</v>
      </c>
      <c r="B2049" s="1" t="s">
        <v>10</v>
      </c>
      <c r="C2049" s="1" t="s">
        <v>7428</v>
      </c>
      <c r="D2049" s="1" t="s">
        <v>1630</v>
      </c>
      <c r="E2049" s="1" t="s">
        <v>1631</v>
      </c>
      <c r="F2049" s="1" t="s">
        <v>23</v>
      </c>
      <c r="G2049" s="1" t="s">
        <v>7429</v>
      </c>
      <c r="H2049" s="1" t="s">
        <v>15</v>
      </c>
      <c r="I2049" t="b">
        <f>COUNTIF(Estadísticas!I:I,'Centraldecomunicacion.es'!H2049)&gt;0</f>
        <v>0</v>
      </c>
    </row>
    <row r="2050" spans="1:9">
      <c r="A2050" s="1" t="s">
        <v>7430</v>
      </c>
      <c r="B2050" s="1" t="s">
        <v>10</v>
      </c>
      <c r="C2050" s="1" t="s">
        <v>7431</v>
      </c>
      <c r="D2050" s="1" t="s">
        <v>1630</v>
      </c>
      <c r="E2050" s="1" t="s">
        <v>1631</v>
      </c>
      <c r="F2050" s="1" t="s">
        <v>23</v>
      </c>
      <c r="G2050" s="1" t="s">
        <v>7432</v>
      </c>
      <c r="H2050" s="1" t="s">
        <v>15</v>
      </c>
      <c r="I2050" t="b">
        <f>COUNTIF(Estadísticas!I:I,'Centraldecomunicacion.es'!H2050)&gt;0</f>
        <v>0</v>
      </c>
    </row>
    <row r="2051" spans="1:9">
      <c r="A2051" s="1" t="s">
        <v>257</v>
      </c>
      <c r="B2051" s="1" t="s">
        <v>10</v>
      </c>
      <c r="C2051" s="1" t="s">
        <v>7425</v>
      </c>
      <c r="D2051" s="1" t="s">
        <v>1630</v>
      </c>
      <c r="E2051" s="1" t="s">
        <v>1631</v>
      </c>
      <c r="F2051" s="1" t="s">
        <v>81</v>
      </c>
      <c r="G2051" s="1" t="s">
        <v>7426</v>
      </c>
      <c r="H2051" s="1" t="s">
        <v>83</v>
      </c>
      <c r="I2051" t="b">
        <f>COUNTIF(Estadísticas!I:I,'Centraldecomunicacion.es'!H2051)&gt;0</f>
        <v>0</v>
      </c>
    </row>
    <row r="2052" spans="1:9">
      <c r="A2052" s="1" t="s">
        <v>7433</v>
      </c>
      <c r="B2052" s="1" t="s">
        <v>10</v>
      </c>
      <c r="C2052" s="1" t="s">
        <v>7434</v>
      </c>
      <c r="D2052" s="1" t="s">
        <v>7065</v>
      </c>
      <c r="E2052" s="1" t="s">
        <v>1631</v>
      </c>
      <c r="F2052" s="1" t="s">
        <v>23</v>
      </c>
      <c r="G2052" s="1" t="s">
        <v>7435</v>
      </c>
      <c r="H2052" s="1" t="s">
        <v>15</v>
      </c>
      <c r="I2052" t="b">
        <f>COUNTIF(Estadísticas!I:I,'Centraldecomunicacion.es'!H2052)&gt;0</f>
        <v>0</v>
      </c>
    </row>
    <row r="2053" spans="1:9">
      <c r="A2053" s="1" t="s">
        <v>7436</v>
      </c>
      <c r="B2053" s="1" t="s">
        <v>10</v>
      </c>
      <c r="C2053" s="1" t="s">
        <v>7437</v>
      </c>
      <c r="D2053" s="1" t="s">
        <v>7438</v>
      </c>
      <c r="E2053" s="1" t="s">
        <v>1631</v>
      </c>
      <c r="F2053" s="1" t="s">
        <v>7439</v>
      </c>
      <c r="G2053" s="1" t="s">
        <v>7440</v>
      </c>
      <c r="H2053" s="1" t="s">
        <v>7441</v>
      </c>
      <c r="I2053" t="b">
        <f>COUNTIF(Estadísticas!I:I,'Centraldecomunicacion.es'!H2053)&gt;0</f>
        <v>1</v>
      </c>
    </row>
    <row r="2054" spans="1:9">
      <c r="A2054" s="1" t="s">
        <v>7442</v>
      </c>
      <c r="B2054" s="1" t="s">
        <v>10</v>
      </c>
      <c r="C2054" s="1" t="s">
        <v>7443</v>
      </c>
      <c r="D2054" s="1" t="s">
        <v>1630</v>
      </c>
      <c r="E2054" s="1" t="s">
        <v>1631</v>
      </c>
      <c r="F2054" s="1" t="s">
        <v>23</v>
      </c>
      <c r="G2054" s="1" t="s">
        <v>7444</v>
      </c>
      <c r="H2054" s="1" t="s">
        <v>15</v>
      </c>
      <c r="I2054" t="b">
        <f>COUNTIF(Estadísticas!I:I,'Centraldecomunicacion.es'!H2054)&gt;0</f>
        <v>0</v>
      </c>
    </row>
    <row r="2055" spans="1:9">
      <c r="A2055" s="1" t="s">
        <v>7445</v>
      </c>
      <c r="B2055" s="1" t="s">
        <v>10</v>
      </c>
      <c r="C2055" s="1" t="s">
        <v>7446</v>
      </c>
      <c r="D2055" s="1" t="s">
        <v>1630</v>
      </c>
      <c r="E2055" s="1" t="s">
        <v>1631</v>
      </c>
      <c r="F2055" s="1" t="s">
        <v>23</v>
      </c>
      <c r="G2055" s="1" t="s">
        <v>7447</v>
      </c>
      <c r="H2055" s="1" t="s">
        <v>15</v>
      </c>
      <c r="I2055" t="b">
        <f>COUNTIF(Estadísticas!I:I,'Centraldecomunicacion.es'!H2055)&gt;0</f>
        <v>0</v>
      </c>
    </row>
    <row r="2056" spans="1:9">
      <c r="A2056" s="1" t="s">
        <v>7448</v>
      </c>
      <c r="B2056" s="1" t="s">
        <v>10</v>
      </c>
      <c r="C2056" s="1" t="s">
        <v>7449</v>
      </c>
      <c r="D2056" s="1" t="s">
        <v>1630</v>
      </c>
      <c r="E2056" s="1" t="s">
        <v>1631</v>
      </c>
      <c r="F2056" s="1" t="s">
        <v>23</v>
      </c>
      <c r="G2056" s="1" t="s">
        <v>7450</v>
      </c>
      <c r="H2056" s="1" t="s">
        <v>15</v>
      </c>
      <c r="I2056" t="b">
        <f>COUNTIF(Estadísticas!I:I,'Centraldecomunicacion.es'!H2056)&gt;0</f>
        <v>0</v>
      </c>
    </row>
    <row r="2057" spans="1:9">
      <c r="A2057" s="1" t="s">
        <v>7451</v>
      </c>
      <c r="B2057" s="1" t="s">
        <v>10</v>
      </c>
      <c r="C2057" s="1" t="s">
        <v>7452</v>
      </c>
      <c r="D2057" s="1" t="s">
        <v>7453</v>
      </c>
      <c r="E2057" s="1" t="s">
        <v>1631</v>
      </c>
      <c r="F2057" s="1" t="s">
        <v>23</v>
      </c>
      <c r="G2057" s="1" t="s">
        <v>7454</v>
      </c>
      <c r="H2057" s="1" t="s">
        <v>15</v>
      </c>
      <c r="I2057" t="b">
        <f>COUNTIF(Estadísticas!I:I,'Centraldecomunicacion.es'!H2057)&gt;0</f>
        <v>0</v>
      </c>
    </row>
    <row r="2058" spans="1:9">
      <c r="A2058" s="1" t="s">
        <v>7455</v>
      </c>
      <c r="B2058" s="1" t="s">
        <v>10</v>
      </c>
      <c r="C2058" s="1" t="s">
        <v>7456</v>
      </c>
      <c r="D2058" s="1" t="s">
        <v>1630</v>
      </c>
      <c r="E2058" s="1" t="s">
        <v>1631</v>
      </c>
      <c r="F2058" s="1" t="s">
        <v>23</v>
      </c>
      <c r="G2058" s="1" t="s">
        <v>7457</v>
      </c>
      <c r="H2058" s="1" t="s">
        <v>15</v>
      </c>
      <c r="I2058" t="b">
        <f>COUNTIF(Estadísticas!I:I,'Centraldecomunicacion.es'!H2058)&gt;0</f>
        <v>0</v>
      </c>
    </row>
    <row r="2059" spans="1:9">
      <c r="A2059" s="1" t="s">
        <v>7458</v>
      </c>
      <c r="B2059" s="1" t="s">
        <v>10</v>
      </c>
      <c r="C2059" s="1" t="s">
        <v>7459</v>
      </c>
      <c r="D2059" s="1" t="s">
        <v>1630</v>
      </c>
      <c r="E2059" s="1" t="s">
        <v>1631</v>
      </c>
      <c r="F2059" s="1" t="s">
        <v>7460</v>
      </c>
      <c r="G2059" s="1" t="s">
        <v>7461</v>
      </c>
      <c r="H2059" s="1" t="s">
        <v>7462</v>
      </c>
      <c r="I2059" t="b">
        <f>COUNTIF(Estadísticas!I:I,'Centraldecomunicacion.es'!H2059)&gt;0</f>
        <v>1</v>
      </c>
    </row>
    <row r="2060" spans="1:9">
      <c r="A2060" s="1" t="s">
        <v>7463</v>
      </c>
      <c r="B2060" s="1" t="s">
        <v>10</v>
      </c>
      <c r="C2060" s="1" t="s">
        <v>7464</v>
      </c>
      <c r="D2060" s="1" t="s">
        <v>1630</v>
      </c>
      <c r="E2060" s="1" t="s">
        <v>1631</v>
      </c>
      <c r="F2060" s="1" t="s">
        <v>23</v>
      </c>
      <c r="G2060" s="1" t="s">
        <v>7465</v>
      </c>
      <c r="H2060" s="1" t="s">
        <v>15</v>
      </c>
      <c r="I2060" t="b">
        <f>COUNTIF(Estadísticas!I:I,'Centraldecomunicacion.es'!H2060)&gt;0</f>
        <v>0</v>
      </c>
    </row>
    <row r="2061" spans="1:9">
      <c r="A2061" s="1" t="s">
        <v>7466</v>
      </c>
      <c r="B2061" s="1" t="s">
        <v>10</v>
      </c>
      <c r="C2061" s="1" t="s">
        <v>7467</v>
      </c>
      <c r="D2061" s="1" t="s">
        <v>7438</v>
      </c>
      <c r="E2061" s="1" t="s">
        <v>1631</v>
      </c>
      <c r="F2061" s="1" t="s">
        <v>7468</v>
      </c>
      <c r="G2061" s="1" t="s">
        <v>7469</v>
      </c>
      <c r="H2061" s="1" t="s">
        <v>7470</v>
      </c>
      <c r="I2061" t="b">
        <f>COUNTIF(Estadísticas!I:I,'Centraldecomunicacion.es'!H2061)&gt;0</f>
        <v>1</v>
      </c>
    </row>
    <row r="2062" spans="1:9">
      <c r="A2062" s="1" t="s">
        <v>7471</v>
      </c>
      <c r="B2062" s="1" t="s">
        <v>10</v>
      </c>
      <c r="C2062" s="1" t="s">
        <v>7472</v>
      </c>
      <c r="D2062" s="1" t="s">
        <v>1630</v>
      </c>
      <c r="E2062" s="1" t="s">
        <v>1631</v>
      </c>
      <c r="F2062" s="1" t="s">
        <v>23</v>
      </c>
      <c r="G2062" s="1" t="s">
        <v>7473</v>
      </c>
      <c r="H2062" s="1" t="s">
        <v>15</v>
      </c>
      <c r="I2062" t="b">
        <f>COUNTIF(Estadísticas!I:I,'Centraldecomunicacion.es'!H2062)&gt;0</f>
        <v>0</v>
      </c>
    </row>
    <row r="2063" spans="1:9">
      <c r="A2063" s="1" t="s">
        <v>7474</v>
      </c>
      <c r="B2063" s="1" t="s">
        <v>10</v>
      </c>
      <c r="C2063" s="1" t="s">
        <v>7475</v>
      </c>
      <c r="D2063" s="1" t="s">
        <v>7438</v>
      </c>
      <c r="E2063" s="1" t="s">
        <v>1631</v>
      </c>
      <c r="F2063" s="1" t="s">
        <v>81</v>
      </c>
      <c r="G2063" s="1" t="s">
        <v>7476</v>
      </c>
      <c r="H2063" s="1" t="s">
        <v>83</v>
      </c>
      <c r="I2063" t="b">
        <f>COUNTIF(Estadísticas!I:I,'Centraldecomunicacion.es'!H2063)&gt;0</f>
        <v>0</v>
      </c>
    </row>
    <row r="2064" spans="1:9">
      <c r="A2064" s="1" t="s">
        <v>7477</v>
      </c>
      <c r="B2064" s="1" t="s">
        <v>10</v>
      </c>
      <c r="C2064" s="1" t="s">
        <v>7478</v>
      </c>
      <c r="D2064" s="1" t="s">
        <v>1630</v>
      </c>
      <c r="E2064" s="1" t="s">
        <v>1631</v>
      </c>
      <c r="F2064" s="1" t="s">
        <v>23</v>
      </c>
      <c r="G2064" s="1" t="s">
        <v>7479</v>
      </c>
      <c r="H2064" s="1" t="s">
        <v>15</v>
      </c>
      <c r="I2064" t="b">
        <f>COUNTIF(Estadísticas!I:I,'Centraldecomunicacion.es'!H2064)&gt;0</f>
        <v>0</v>
      </c>
    </row>
    <row r="2065" spans="1:9">
      <c r="A2065" s="1" t="s">
        <v>7480</v>
      </c>
      <c r="B2065" s="1" t="s">
        <v>10</v>
      </c>
      <c r="C2065" s="1" t="s">
        <v>7481</v>
      </c>
      <c r="D2065" s="1" t="s">
        <v>7482</v>
      </c>
      <c r="E2065" s="1" t="s">
        <v>1631</v>
      </c>
      <c r="F2065" s="1" t="s">
        <v>23</v>
      </c>
      <c r="G2065" s="1" t="s">
        <v>23</v>
      </c>
      <c r="H2065" s="1" t="s">
        <v>15</v>
      </c>
      <c r="I2065" t="b">
        <f>COUNTIF(Estadísticas!I:I,'Centraldecomunicacion.es'!H2065)&gt;0</f>
        <v>0</v>
      </c>
    </row>
    <row r="2066" spans="1:9">
      <c r="A2066" s="1" t="s">
        <v>7483</v>
      </c>
      <c r="B2066" s="1" t="s">
        <v>10</v>
      </c>
      <c r="C2066" s="1" t="s">
        <v>7484</v>
      </c>
      <c r="D2066" s="1" t="s">
        <v>1630</v>
      </c>
      <c r="E2066" s="1" t="s">
        <v>1631</v>
      </c>
      <c r="F2066" s="1" t="s">
        <v>7485</v>
      </c>
      <c r="G2066" s="1" t="s">
        <v>7486</v>
      </c>
      <c r="H2066" s="1" t="s">
        <v>7487</v>
      </c>
      <c r="I2066" t="b">
        <f>COUNTIF(Estadísticas!I:I,'Centraldecomunicacion.es'!H2066)&gt;0</f>
        <v>0</v>
      </c>
    </row>
    <row r="2067" spans="1:9">
      <c r="A2067" s="1" t="s">
        <v>7488</v>
      </c>
      <c r="B2067" s="1" t="s">
        <v>10</v>
      </c>
      <c r="C2067" s="1" t="s">
        <v>7489</v>
      </c>
      <c r="D2067" s="1" t="s">
        <v>1630</v>
      </c>
      <c r="E2067" s="1" t="s">
        <v>1631</v>
      </c>
      <c r="F2067" s="1" t="s">
        <v>23</v>
      </c>
      <c r="G2067" s="1" t="s">
        <v>7490</v>
      </c>
      <c r="H2067" s="1" t="s">
        <v>15</v>
      </c>
      <c r="I2067" t="b">
        <f>COUNTIF(Estadísticas!I:I,'Centraldecomunicacion.es'!H2067)&gt;0</f>
        <v>0</v>
      </c>
    </row>
    <row r="2068" spans="1:9">
      <c r="A2068" s="1" t="s">
        <v>7491</v>
      </c>
      <c r="B2068" s="1" t="s">
        <v>10</v>
      </c>
      <c r="C2068" s="1" t="s">
        <v>7492</v>
      </c>
      <c r="D2068" s="1" t="s">
        <v>7493</v>
      </c>
      <c r="E2068" s="1" t="s">
        <v>7494</v>
      </c>
      <c r="F2068" s="1" t="s">
        <v>23</v>
      </c>
      <c r="G2068" s="1" t="s">
        <v>7495</v>
      </c>
      <c r="H2068" s="1" t="s">
        <v>15</v>
      </c>
      <c r="I2068" t="b">
        <f>COUNTIF(Estadísticas!I:I,'Centraldecomunicacion.es'!H2068)&gt;0</f>
        <v>0</v>
      </c>
    </row>
    <row r="2069" spans="1:9">
      <c r="A2069" s="1" t="s">
        <v>308</v>
      </c>
      <c r="B2069" s="1" t="s">
        <v>10</v>
      </c>
      <c r="C2069" s="1" t="s">
        <v>7475</v>
      </c>
      <c r="D2069" s="1" t="s">
        <v>7438</v>
      </c>
      <c r="E2069" s="1" t="s">
        <v>1631</v>
      </c>
      <c r="F2069" s="1" t="s">
        <v>7496</v>
      </c>
      <c r="G2069" s="1" t="s">
        <v>7497</v>
      </c>
      <c r="H2069" s="1" t="s">
        <v>7498</v>
      </c>
      <c r="I2069" t="b">
        <f>COUNTIF(Estadísticas!I:I,'Centraldecomunicacion.es'!H2069)&gt;0</f>
        <v>0</v>
      </c>
    </row>
    <row r="2070" spans="1:9">
      <c r="A2070" s="1" t="s">
        <v>7499</v>
      </c>
      <c r="B2070" s="1" t="s">
        <v>10</v>
      </c>
      <c r="C2070" s="1" t="s">
        <v>7500</v>
      </c>
      <c r="D2070" s="1" t="s">
        <v>7501</v>
      </c>
      <c r="E2070" s="1" t="s">
        <v>7494</v>
      </c>
      <c r="F2070" s="1" t="s">
        <v>7502</v>
      </c>
      <c r="G2070" s="1" t="s">
        <v>7503</v>
      </c>
      <c r="H2070" s="1" t="s">
        <v>15</v>
      </c>
      <c r="I2070" t="b">
        <f>COUNTIF(Estadísticas!I:I,'Centraldecomunicacion.es'!H2070)&gt;0</f>
        <v>0</v>
      </c>
    </row>
    <row r="2071" spans="1:9">
      <c r="A2071" s="1" t="s">
        <v>3134</v>
      </c>
      <c r="B2071" s="1" t="s">
        <v>10</v>
      </c>
      <c r="C2071" s="1" t="s">
        <v>7504</v>
      </c>
      <c r="D2071" s="1" t="s">
        <v>7505</v>
      </c>
      <c r="E2071" s="1" t="s">
        <v>1631</v>
      </c>
      <c r="F2071" s="1" t="s">
        <v>23</v>
      </c>
      <c r="G2071" s="1" t="s">
        <v>7506</v>
      </c>
      <c r="H2071" s="1" t="s">
        <v>15</v>
      </c>
      <c r="I2071" t="b">
        <f>COUNTIF(Estadísticas!I:I,'Centraldecomunicacion.es'!H2071)&gt;0</f>
        <v>0</v>
      </c>
    </row>
    <row r="2072" spans="1:9">
      <c r="A2072" s="1" t="s">
        <v>7507</v>
      </c>
      <c r="B2072" s="1" t="s">
        <v>10</v>
      </c>
      <c r="C2072" s="1" t="s">
        <v>7508</v>
      </c>
      <c r="D2072" s="1" t="s">
        <v>1630</v>
      </c>
      <c r="E2072" s="1" t="s">
        <v>1631</v>
      </c>
      <c r="F2072" s="1" t="s">
        <v>23</v>
      </c>
      <c r="G2072" s="1" t="s">
        <v>7509</v>
      </c>
      <c r="H2072" s="1" t="s">
        <v>15</v>
      </c>
      <c r="I2072" t="b">
        <f>COUNTIF(Estadísticas!I:I,'Centraldecomunicacion.es'!H2072)&gt;0</f>
        <v>0</v>
      </c>
    </row>
    <row r="2073" spans="1:9">
      <c r="A2073" s="1" t="s">
        <v>7510</v>
      </c>
      <c r="B2073" s="1" t="s">
        <v>10</v>
      </c>
      <c r="C2073" s="1" t="s">
        <v>7511</v>
      </c>
      <c r="D2073" s="1" t="s">
        <v>1630</v>
      </c>
      <c r="E2073" s="1" t="s">
        <v>1631</v>
      </c>
      <c r="F2073" s="1" t="s">
        <v>7512</v>
      </c>
      <c r="G2073" s="1" t="s">
        <v>7513</v>
      </c>
      <c r="H2073" s="1" t="s">
        <v>7514</v>
      </c>
      <c r="I2073" t="b">
        <f>COUNTIF(Estadísticas!I:I,'Centraldecomunicacion.es'!H2073)&gt;0</f>
        <v>1</v>
      </c>
    </row>
    <row r="2074" spans="1:9">
      <c r="A2074" s="1" t="s">
        <v>2098</v>
      </c>
      <c r="B2074" s="1" t="s">
        <v>10</v>
      </c>
      <c r="C2074" s="1" t="s">
        <v>7515</v>
      </c>
      <c r="D2074" s="1" t="s">
        <v>1630</v>
      </c>
      <c r="E2074" s="1" t="s">
        <v>1631</v>
      </c>
      <c r="F2074" s="1" t="s">
        <v>964</v>
      </c>
      <c r="G2074" s="1" t="s">
        <v>7516</v>
      </c>
      <c r="H2074" s="1" t="s">
        <v>966</v>
      </c>
      <c r="I2074" t="b">
        <f>COUNTIF(Estadísticas!I:I,'Centraldecomunicacion.es'!H2074)&gt;0</f>
        <v>0</v>
      </c>
    </row>
    <row r="2075" spans="1:9">
      <c r="A2075" s="1" t="s">
        <v>3014</v>
      </c>
      <c r="B2075" s="1" t="s">
        <v>10</v>
      </c>
      <c r="C2075" s="1" t="s">
        <v>7517</v>
      </c>
      <c r="D2075" s="1" t="s">
        <v>7518</v>
      </c>
      <c r="E2075" s="1" t="s">
        <v>1631</v>
      </c>
      <c r="F2075" s="1" t="s">
        <v>23</v>
      </c>
      <c r="G2075" s="1" t="s">
        <v>7519</v>
      </c>
      <c r="H2075" s="1" t="s">
        <v>15</v>
      </c>
      <c r="I2075" t="b">
        <f>COUNTIF(Estadísticas!I:I,'Centraldecomunicacion.es'!H2075)&gt;0</f>
        <v>0</v>
      </c>
    </row>
    <row r="2076" spans="1:9">
      <c r="A2076" s="1" t="s">
        <v>7520</v>
      </c>
      <c r="B2076" s="1" t="s">
        <v>10</v>
      </c>
      <c r="C2076" s="1" t="s">
        <v>7521</v>
      </c>
      <c r="D2076" s="1" t="s">
        <v>7522</v>
      </c>
      <c r="E2076" s="1" t="s">
        <v>1631</v>
      </c>
      <c r="F2076" s="1" t="s">
        <v>23</v>
      </c>
      <c r="G2076" s="1" t="s">
        <v>7523</v>
      </c>
      <c r="H2076" s="1" t="s">
        <v>15</v>
      </c>
      <c r="I2076" t="b">
        <f>COUNTIF(Estadísticas!I:I,'Centraldecomunicacion.es'!H2076)&gt;0</f>
        <v>0</v>
      </c>
    </row>
    <row r="2077" spans="1:9">
      <c r="A2077" s="1" t="s">
        <v>7524</v>
      </c>
      <c r="B2077" s="1" t="s">
        <v>10</v>
      </c>
      <c r="C2077" s="1" t="s">
        <v>7525</v>
      </c>
      <c r="D2077" s="1" t="s">
        <v>7505</v>
      </c>
      <c r="E2077" s="1" t="s">
        <v>1631</v>
      </c>
      <c r="F2077" s="1" t="s">
        <v>23</v>
      </c>
      <c r="G2077" s="1" t="s">
        <v>7526</v>
      </c>
      <c r="H2077" s="1" t="s">
        <v>15</v>
      </c>
      <c r="I2077" t="b">
        <f>COUNTIF(Estadísticas!I:I,'Centraldecomunicacion.es'!H2077)&gt;0</f>
        <v>0</v>
      </c>
    </row>
    <row r="2078" spans="1:9">
      <c r="A2078" s="1" t="s">
        <v>7527</v>
      </c>
      <c r="B2078" s="1" t="s">
        <v>10</v>
      </c>
      <c r="C2078" s="1" t="s">
        <v>7528</v>
      </c>
      <c r="D2078" s="1" t="s">
        <v>1630</v>
      </c>
      <c r="E2078" s="1" t="s">
        <v>1630</v>
      </c>
      <c r="F2078" s="1" t="s">
        <v>23</v>
      </c>
      <c r="G2078" s="1" t="s">
        <v>7529</v>
      </c>
      <c r="H2078" s="1" t="s">
        <v>15</v>
      </c>
      <c r="I2078" t="b">
        <f>COUNTIF(Estadísticas!I:I,'Centraldecomunicacion.es'!H2078)&gt;0</f>
        <v>0</v>
      </c>
    </row>
    <row r="2079" spans="1:9">
      <c r="A2079" s="1" t="s">
        <v>7530</v>
      </c>
      <c r="B2079" s="1" t="s">
        <v>10</v>
      </c>
      <c r="C2079" s="1" t="s">
        <v>7531</v>
      </c>
      <c r="D2079" s="1" t="s">
        <v>1630</v>
      </c>
      <c r="E2079" s="1" t="s">
        <v>1631</v>
      </c>
      <c r="F2079" s="1" t="s">
        <v>23</v>
      </c>
      <c r="G2079" s="1" t="s">
        <v>7532</v>
      </c>
      <c r="H2079" s="1" t="s">
        <v>15</v>
      </c>
      <c r="I2079" t="b">
        <f>COUNTIF(Estadísticas!I:I,'Centraldecomunicacion.es'!H2079)&gt;0</f>
        <v>0</v>
      </c>
    </row>
    <row r="2080" spans="1:9">
      <c r="A2080" s="1" t="s">
        <v>7533</v>
      </c>
      <c r="B2080" s="1" t="s">
        <v>10</v>
      </c>
      <c r="C2080" s="1" t="s">
        <v>7534</v>
      </c>
      <c r="D2080" s="1" t="s">
        <v>7535</v>
      </c>
      <c r="E2080" s="1" t="s">
        <v>1631</v>
      </c>
      <c r="F2080" s="1" t="s">
        <v>23</v>
      </c>
      <c r="G2080" s="1" t="s">
        <v>7536</v>
      </c>
      <c r="H2080" s="1" t="s">
        <v>15</v>
      </c>
      <c r="I2080" t="b">
        <f>COUNTIF(Estadísticas!I:I,'Centraldecomunicacion.es'!H2080)&gt;0</f>
        <v>0</v>
      </c>
    </row>
    <row r="2081" spans="1:9">
      <c r="A2081" s="1" t="s">
        <v>7537</v>
      </c>
      <c r="B2081" s="1" t="s">
        <v>10</v>
      </c>
      <c r="C2081" s="1" t="s">
        <v>7538</v>
      </c>
      <c r="D2081" s="1" t="s">
        <v>1630</v>
      </c>
      <c r="E2081" s="1" t="s">
        <v>1631</v>
      </c>
      <c r="F2081" s="1" t="s">
        <v>23</v>
      </c>
      <c r="G2081" s="1" t="s">
        <v>7539</v>
      </c>
      <c r="H2081" s="1" t="s">
        <v>15</v>
      </c>
      <c r="I2081" t="b">
        <f>COUNTIF(Estadísticas!I:I,'Centraldecomunicacion.es'!H2081)&gt;0</f>
        <v>0</v>
      </c>
    </row>
    <row r="2082" spans="1:9">
      <c r="A2082" s="1" t="s">
        <v>7540</v>
      </c>
      <c r="B2082" s="1" t="s">
        <v>10</v>
      </c>
      <c r="C2082" s="1" t="s">
        <v>7541</v>
      </c>
      <c r="D2082" s="1" t="s">
        <v>7542</v>
      </c>
      <c r="E2082" s="1" t="s">
        <v>1631</v>
      </c>
      <c r="F2082" s="1" t="s">
        <v>23</v>
      </c>
      <c r="G2082" s="1" t="s">
        <v>7543</v>
      </c>
      <c r="H2082" s="1" t="s">
        <v>15</v>
      </c>
      <c r="I2082" t="b">
        <f>COUNTIF(Estadísticas!I:I,'Centraldecomunicacion.es'!H2082)&gt;0</f>
        <v>0</v>
      </c>
    </row>
    <row r="2083" spans="1:9">
      <c r="A2083" s="1" t="s">
        <v>7544</v>
      </c>
      <c r="B2083" s="1" t="s">
        <v>10</v>
      </c>
      <c r="C2083" s="1" t="s">
        <v>7545</v>
      </c>
      <c r="D2083" s="1" t="s">
        <v>1630</v>
      </c>
      <c r="E2083" s="1" t="s">
        <v>1631</v>
      </c>
      <c r="F2083" s="1" t="s">
        <v>23</v>
      </c>
      <c r="G2083" s="1" t="s">
        <v>7546</v>
      </c>
      <c r="H2083" s="1" t="s">
        <v>15</v>
      </c>
      <c r="I2083" t="b">
        <f>COUNTIF(Estadísticas!I:I,'Centraldecomunicacion.es'!H2083)&gt;0</f>
        <v>0</v>
      </c>
    </row>
    <row r="2084" spans="1:9">
      <c r="A2084" s="1" t="s">
        <v>7547</v>
      </c>
      <c r="B2084" s="1" t="s">
        <v>10</v>
      </c>
      <c r="C2084" s="1" t="s">
        <v>7548</v>
      </c>
      <c r="D2084" s="1" t="s">
        <v>7549</v>
      </c>
      <c r="E2084" s="1" t="s">
        <v>1631</v>
      </c>
      <c r="F2084" s="1" t="s">
        <v>23</v>
      </c>
      <c r="G2084" s="1" t="s">
        <v>7550</v>
      </c>
      <c r="H2084" s="1" t="s">
        <v>15</v>
      </c>
      <c r="I2084" t="b">
        <f>COUNTIF(Estadísticas!I:I,'Centraldecomunicacion.es'!H2084)&gt;0</f>
        <v>0</v>
      </c>
    </row>
    <row r="2085" spans="1:9">
      <c r="A2085" s="1" t="s">
        <v>7551</v>
      </c>
      <c r="B2085" s="1" t="s">
        <v>10</v>
      </c>
      <c r="C2085" s="1" t="s">
        <v>7552</v>
      </c>
      <c r="D2085" s="1" t="s">
        <v>7549</v>
      </c>
      <c r="E2085" s="1" t="s">
        <v>1631</v>
      </c>
      <c r="F2085" s="1" t="s">
        <v>7553</v>
      </c>
      <c r="G2085" s="1" t="s">
        <v>7554</v>
      </c>
      <c r="H2085" s="1" t="s">
        <v>7555</v>
      </c>
      <c r="I2085" t="b">
        <f>COUNTIF(Estadísticas!I:I,'Centraldecomunicacion.es'!H2085)&gt;0</f>
        <v>1</v>
      </c>
    </row>
    <row r="2086" spans="1:9">
      <c r="A2086" s="1" t="s">
        <v>7556</v>
      </c>
      <c r="B2086" s="1" t="s">
        <v>10</v>
      </c>
      <c r="C2086" s="1" t="s">
        <v>7557</v>
      </c>
      <c r="D2086" s="1" t="s">
        <v>1630</v>
      </c>
      <c r="E2086" s="1" t="s">
        <v>1631</v>
      </c>
      <c r="F2086" s="1" t="s">
        <v>23</v>
      </c>
      <c r="G2086" s="1" t="s">
        <v>7558</v>
      </c>
      <c r="H2086" s="1" t="s">
        <v>15</v>
      </c>
      <c r="I2086" t="b">
        <f>COUNTIF(Estadísticas!I:I,'Centraldecomunicacion.es'!H2086)&gt;0</f>
        <v>0</v>
      </c>
    </row>
    <row r="2087" spans="1:9">
      <c r="A2087" s="1" t="s">
        <v>7559</v>
      </c>
      <c r="B2087" s="1" t="s">
        <v>10</v>
      </c>
      <c r="C2087" s="1" t="s">
        <v>7560</v>
      </c>
      <c r="D2087" s="1" t="s">
        <v>7561</v>
      </c>
      <c r="E2087" s="1" t="s">
        <v>1631</v>
      </c>
      <c r="F2087" s="1" t="s">
        <v>23</v>
      </c>
      <c r="G2087" s="1" t="s">
        <v>7562</v>
      </c>
      <c r="H2087" s="1" t="s">
        <v>15</v>
      </c>
      <c r="I2087" t="b">
        <f>COUNTIF(Estadísticas!I:I,'Centraldecomunicacion.es'!H2087)&gt;0</f>
        <v>0</v>
      </c>
    </row>
    <row r="2088" spans="1:9">
      <c r="A2088" s="1" t="s">
        <v>7563</v>
      </c>
      <c r="B2088" s="1" t="s">
        <v>10</v>
      </c>
      <c r="C2088" s="1" t="s">
        <v>7564</v>
      </c>
      <c r="D2088" s="1" t="s">
        <v>7565</v>
      </c>
      <c r="E2088" s="1" t="s">
        <v>1631</v>
      </c>
      <c r="F2088" s="1" t="s">
        <v>7566</v>
      </c>
      <c r="G2088" s="1" t="s">
        <v>7567</v>
      </c>
      <c r="H2088" s="1" t="s">
        <v>7568</v>
      </c>
      <c r="I2088" t="b">
        <f>COUNTIF(Estadísticas!I:I,'Centraldecomunicacion.es'!H2088)&gt;0</f>
        <v>0</v>
      </c>
    </row>
    <row r="2089" spans="1:9">
      <c r="A2089" s="1" t="s">
        <v>7569</v>
      </c>
      <c r="B2089" s="1" t="s">
        <v>10</v>
      </c>
      <c r="C2089" s="1" t="s">
        <v>7570</v>
      </c>
      <c r="D2089" s="1" t="s">
        <v>4175</v>
      </c>
      <c r="E2089" s="1" t="s">
        <v>1631</v>
      </c>
      <c r="F2089" s="1" t="s">
        <v>23</v>
      </c>
      <c r="G2089" s="1" t="s">
        <v>23</v>
      </c>
      <c r="H2089" s="1" t="s">
        <v>15</v>
      </c>
      <c r="I2089" t="b">
        <f>COUNTIF(Estadísticas!I:I,'Centraldecomunicacion.es'!H2089)&gt;0</f>
        <v>0</v>
      </c>
    </row>
    <row r="2090" spans="1:9">
      <c r="A2090" s="1" t="s">
        <v>7571</v>
      </c>
      <c r="B2090" s="1" t="s">
        <v>10</v>
      </c>
      <c r="C2090" s="1" t="s">
        <v>7572</v>
      </c>
      <c r="D2090" s="1" t="s">
        <v>7573</v>
      </c>
      <c r="E2090" s="1" t="s">
        <v>1631</v>
      </c>
      <c r="F2090" s="1" t="s">
        <v>23</v>
      </c>
      <c r="G2090" s="1" t="s">
        <v>23</v>
      </c>
      <c r="H2090" s="1" t="s">
        <v>15</v>
      </c>
      <c r="I2090" t="b">
        <f>COUNTIF(Estadísticas!I:I,'Centraldecomunicacion.es'!H2090)&gt;0</f>
        <v>0</v>
      </c>
    </row>
    <row r="2091" spans="1:9">
      <c r="A2091" s="1" t="s">
        <v>7574</v>
      </c>
      <c r="B2091" s="1" t="s">
        <v>10</v>
      </c>
      <c r="C2091" s="1" t="s">
        <v>7575</v>
      </c>
      <c r="D2091" s="1" t="s">
        <v>7576</v>
      </c>
      <c r="E2091" s="1" t="s">
        <v>1631</v>
      </c>
      <c r="F2091" s="1" t="s">
        <v>7577</v>
      </c>
      <c r="G2091" s="1" t="s">
        <v>7578</v>
      </c>
      <c r="H2091" s="1" t="s">
        <v>15</v>
      </c>
      <c r="I2091" t="b">
        <f>COUNTIF(Estadísticas!I:I,'Centraldecomunicacion.es'!H2091)&gt;0</f>
        <v>0</v>
      </c>
    </row>
    <row r="2092" spans="1:9">
      <c r="A2092" s="1" t="s">
        <v>7579</v>
      </c>
      <c r="B2092" s="1" t="s">
        <v>10</v>
      </c>
      <c r="C2092" s="1" t="s">
        <v>7580</v>
      </c>
      <c r="D2092" s="1" t="s">
        <v>1630</v>
      </c>
      <c r="E2092" s="1" t="s">
        <v>1631</v>
      </c>
      <c r="F2092" s="1" t="s">
        <v>23</v>
      </c>
      <c r="G2092" s="1" t="s">
        <v>7581</v>
      </c>
      <c r="H2092" s="1" t="s">
        <v>15</v>
      </c>
      <c r="I2092" t="b">
        <f>COUNTIF(Estadísticas!I:I,'Centraldecomunicacion.es'!H2092)&gt;0</f>
        <v>0</v>
      </c>
    </row>
    <row r="2093" spans="1:9">
      <c r="A2093" s="1" t="s">
        <v>7582</v>
      </c>
      <c r="B2093" s="1" t="s">
        <v>10</v>
      </c>
      <c r="C2093" s="1" t="s">
        <v>7583</v>
      </c>
      <c r="D2093" s="1" t="s">
        <v>7561</v>
      </c>
      <c r="E2093" s="1" t="s">
        <v>1631</v>
      </c>
      <c r="F2093" s="1" t="s">
        <v>23</v>
      </c>
      <c r="G2093" s="1" t="s">
        <v>7584</v>
      </c>
      <c r="H2093" s="1" t="s">
        <v>15</v>
      </c>
      <c r="I2093" t="b">
        <f>COUNTIF(Estadísticas!I:I,'Centraldecomunicacion.es'!H2093)&gt;0</f>
        <v>0</v>
      </c>
    </row>
    <row r="2094" spans="1:9">
      <c r="A2094" s="1" t="s">
        <v>7585</v>
      </c>
      <c r="B2094" s="1" t="s">
        <v>10</v>
      </c>
      <c r="C2094" s="1" t="s">
        <v>7586</v>
      </c>
      <c r="D2094" s="1" t="s">
        <v>7587</v>
      </c>
      <c r="E2094" s="1" t="s">
        <v>1631</v>
      </c>
      <c r="F2094" s="1" t="s">
        <v>7588</v>
      </c>
      <c r="G2094" s="1" t="s">
        <v>7589</v>
      </c>
      <c r="H2094" s="1" t="s">
        <v>7590</v>
      </c>
      <c r="I2094" t="b">
        <f>COUNTIF(Estadísticas!I:I,'Centraldecomunicacion.es'!H2094)&gt;0</f>
        <v>0</v>
      </c>
    </row>
    <row r="2095" spans="1:9">
      <c r="A2095" s="1" t="s">
        <v>7591</v>
      </c>
      <c r="B2095" s="1" t="s">
        <v>10</v>
      </c>
      <c r="C2095" s="1" t="s">
        <v>7592</v>
      </c>
      <c r="D2095" s="1" t="s">
        <v>1630</v>
      </c>
      <c r="E2095" s="1" t="s">
        <v>1631</v>
      </c>
      <c r="F2095" s="1" t="s">
        <v>7593</v>
      </c>
      <c r="G2095" s="1" t="s">
        <v>7594</v>
      </c>
      <c r="H2095" s="1" t="s">
        <v>7595</v>
      </c>
      <c r="I2095" t="b">
        <f>COUNTIF(Estadísticas!I:I,'Centraldecomunicacion.es'!H2095)&gt;0</f>
        <v>0</v>
      </c>
    </row>
    <row r="2096" spans="1:9">
      <c r="A2096" s="1" t="s">
        <v>1197</v>
      </c>
      <c r="B2096" s="1" t="s">
        <v>10</v>
      </c>
      <c r="C2096" s="1" t="s">
        <v>7596</v>
      </c>
      <c r="D2096" s="1" t="s">
        <v>1630</v>
      </c>
      <c r="E2096" s="1" t="s">
        <v>1631</v>
      </c>
      <c r="F2096" s="1" t="s">
        <v>7597</v>
      </c>
      <c r="G2096" s="1" t="s">
        <v>7598</v>
      </c>
      <c r="H2096" s="1" t="s">
        <v>7599</v>
      </c>
      <c r="I2096" t="b">
        <f>COUNTIF(Estadísticas!I:I,'Centraldecomunicacion.es'!H2096)&gt;0</f>
        <v>1</v>
      </c>
    </row>
    <row r="2097" spans="1:9">
      <c r="A2097" s="1" t="s">
        <v>7600</v>
      </c>
      <c r="B2097" s="1" t="s">
        <v>10</v>
      </c>
      <c r="C2097" s="1" t="s">
        <v>7601</v>
      </c>
      <c r="D2097" s="1" t="s">
        <v>7602</v>
      </c>
      <c r="E2097" s="1" t="s">
        <v>1631</v>
      </c>
      <c r="F2097" s="1" t="s">
        <v>23</v>
      </c>
      <c r="G2097" s="1" t="s">
        <v>7603</v>
      </c>
      <c r="H2097" s="1" t="s">
        <v>15</v>
      </c>
      <c r="I2097" t="b">
        <f>COUNTIF(Estadísticas!I:I,'Centraldecomunicacion.es'!H2097)&gt;0</f>
        <v>0</v>
      </c>
    </row>
    <row r="2098" spans="1:9">
      <c r="A2098" s="1" t="s">
        <v>7604</v>
      </c>
      <c r="B2098" s="1" t="s">
        <v>10</v>
      </c>
      <c r="C2098" s="1" t="s">
        <v>7605</v>
      </c>
      <c r="D2098" s="1" t="s">
        <v>3844</v>
      </c>
      <c r="E2098" s="1" t="s">
        <v>3845</v>
      </c>
      <c r="F2098" s="1" t="s">
        <v>23</v>
      </c>
      <c r="G2098" s="1" t="s">
        <v>7606</v>
      </c>
      <c r="H2098" s="1" t="s">
        <v>15</v>
      </c>
      <c r="I2098" t="b">
        <f>COUNTIF(Estadísticas!I:I,'Centraldecomunicacion.es'!H2098)&gt;0</f>
        <v>0</v>
      </c>
    </row>
    <row r="2099" spans="1:9">
      <c r="A2099" s="1" t="s">
        <v>7607</v>
      </c>
      <c r="B2099" s="1" t="s">
        <v>10</v>
      </c>
      <c r="C2099" s="1" t="s">
        <v>7608</v>
      </c>
      <c r="D2099" s="1" t="s">
        <v>5427</v>
      </c>
      <c r="E2099" s="1" t="s">
        <v>3189</v>
      </c>
      <c r="F2099" s="1" t="s">
        <v>23</v>
      </c>
      <c r="G2099" s="1" t="s">
        <v>7609</v>
      </c>
      <c r="H2099" s="1" t="s">
        <v>15</v>
      </c>
      <c r="I2099" t="b">
        <f>COUNTIF(Estadísticas!I:I,'Centraldecomunicacion.es'!H2099)&gt;0</f>
        <v>0</v>
      </c>
    </row>
    <row r="2100" spans="1:9">
      <c r="A2100" s="1" t="s">
        <v>7610</v>
      </c>
      <c r="B2100" s="1" t="s">
        <v>10</v>
      </c>
      <c r="C2100" s="1" t="s">
        <v>7611</v>
      </c>
      <c r="D2100" s="1" t="s">
        <v>5427</v>
      </c>
      <c r="E2100" s="1" t="s">
        <v>3197</v>
      </c>
      <c r="F2100" s="1" t="s">
        <v>7612</v>
      </c>
      <c r="G2100" s="1" t="s">
        <v>7613</v>
      </c>
      <c r="H2100" s="1" t="s">
        <v>15</v>
      </c>
      <c r="I2100" t="b">
        <f>COUNTIF(Estadísticas!I:I,'Centraldecomunicacion.es'!H2100)&gt;0</f>
        <v>0</v>
      </c>
    </row>
    <row r="2101" spans="1:9">
      <c r="A2101" s="1" t="s">
        <v>7614</v>
      </c>
      <c r="B2101" s="1" t="s">
        <v>10</v>
      </c>
      <c r="C2101" s="1" t="s">
        <v>7615</v>
      </c>
      <c r="D2101" s="1" t="s">
        <v>5427</v>
      </c>
      <c r="E2101" s="1" t="s">
        <v>3189</v>
      </c>
      <c r="F2101" s="1" t="s">
        <v>1655</v>
      </c>
      <c r="G2101" s="1" t="s">
        <v>7616</v>
      </c>
      <c r="H2101" s="1" t="s">
        <v>1657</v>
      </c>
      <c r="I2101" t="b">
        <f>COUNTIF(Estadísticas!I:I,'Centraldecomunicacion.es'!H2101)&gt;0</f>
        <v>0</v>
      </c>
    </row>
    <row r="2102" spans="1:9">
      <c r="A2102" s="1" t="s">
        <v>7617</v>
      </c>
      <c r="B2102" s="1" t="s">
        <v>10</v>
      </c>
      <c r="C2102" s="1" t="s">
        <v>7618</v>
      </c>
      <c r="D2102" s="1" t="s">
        <v>5427</v>
      </c>
      <c r="E2102" s="1" t="s">
        <v>3189</v>
      </c>
      <c r="F2102" s="1" t="s">
        <v>81</v>
      </c>
      <c r="G2102" s="1" t="s">
        <v>7619</v>
      </c>
      <c r="H2102" s="1" t="s">
        <v>83</v>
      </c>
      <c r="I2102" t="b">
        <f>COUNTIF(Estadísticas!I:I,'Centraldecomunicacion.es'!H2102)&gt;0</f>
        <v>0</v>
      </c>
    </row>
    <row r="2103" spans="1:9">
      <c r="A2103" s="1" t="s">
        <v>7620</v>
      </c>
      <c r="B2103" s="1" t="s">
        <v>10</v>
      </c>
      <c r="C2103" s="1" t="s">
        <v>7621</v>
      </c>
      <c r="D2103" s="1" t="s">
        <v>5427</v>
      </c>
      <c r="E2103" s="1" t="s">
        <v>3189</v>
      </c>
      <c r="F2103" s="1" t="s">
        <v>7622</v>
      </c>
      <c r="G2103" s="1" t="s">
        <v>7623</v>
      </c>
      <c r="H2103" s="1" t="s">
        <v>15</v>
      </c>
      <c r="I2103" t="b">
        <f>COUNTIF(Estadísticas!I:I,'Centraldecomunicacion.es'!H2103)&gt;0</f>
        <v>0</v>
      </c>
    </row>
    <row r="2104" spans="1:9">
      <c r="A2104" s="1" t="s">
        <v>7607</v>
      </c>
      <c r="B2104" s="1" t="s">
        <v>10</v>
      </c>
      <c r="C2104" s="1" t="s">
        <v>7624</v>
      </c>
      <c r="D2104" s="1" t="s">
        <v>5427</v>
      </c>
      <c r="E2104" s="1" t="s">
        <v>3189</v>
      </c>
      <c r="F2104" s="1" t="s">
        <v>23</v>
      </c>
      <c r="G2104" s="1" t="s">
        <v>7625</v>
      </c>
      <c r="H2104" s="1" t="s">
        <v>15</v>
      </c>
      <c r="I2104" t="b">
        <f>COUNTIF(Estadísticas!I:I,'Centraldecomunicacion.es'!H2104)&gt;0</f>
        <v>0</v>
      </c>
    </row>
    <row r="2105" spans="1:9">
      <c r="A2105" s="1" t="s">
        <v>7626</v>
      </c>
      <c r="B2105" s="1" t="s">
        <v>10</v>
      </c>
      <c r="C2105" s="1" t="s">
        <v>7627</v>
      </c>
      <c r="D2105" s="1" t="s">
        <v>5427</v>
      </c>
      <c r="E2105" s="1" t="s">
        <v>3189</v>
      </c>
      <c r="F2105" s="1" t="s">
        <v>7622</v>
      </c>
      <c r="G2105" s="1" t="s">
        <v>7628</v>
      </c>
      <c r="H2105" s="1" t="s">
        <v>15</v>
      </c>
      <c r="I2105" t="b">
        <f>COUNTIF(Estadísticas!I:I,'Centraldecomunicacion.es'!H2105)&gt;0</f>
        <v>0</v>
      </c>
    </row>
    <row r="2106" spans="1:9">
      <c r="A2106" s="1" t="s">
        <v>7629</v>
      </c>
      <c r="B2106" s="1" t="s">
        <v>10</v>
      </c>
      <c r="C2106" s="1" t="s">
        <v>7630</v>
      </c>
      <c r="D2106" s="1" t="s">
        <v>7631</v>
      </c>
      <c r="E2106" s="1" t="s">
        <v>3197</v>
      </c>
      <c r="F2106" s="1" t="s">
        <v>23</v>
      </c>
      <c r="G2106" s="1" t="s">
        <v>7632</v>
      </c>
      <c r="H2106" s="1" t="s">
        <v>15</v>
      </c>
      <c r="I2106" t="b">
        <f>COUNTIF(Estadísticas!I:I,'Centraldecomunicacion.es'!H2106)&gt;0</f>
        <v>0</v>
      </c>
    </row>
    <row r="2107" spans="1:9">
      <c r="A2107" s="1" t="s">
        <v>7633</v>
      </c>
      <c r="B2107" s="1" t="s">
        <v>10</v>
      </c>
      <c r="C2107" s="1" t="s">
        <v>7634</v>
      </c>
      <c r="D2107" s="1" t="s">
        <v>3206</v>
      </c>
      <c r="E2107" s="1" t="s">
        <v>3189</v>
      </c>
      <c r="F2107" s="1" t="s">
        <v>23</v>
      </c>
      <c r="G2107" s="1" t="s">
        <v>7635</v>
      </c>
      <c r="H2107" s="1" t="s">
        <v>15</v>
      </c>
      <c r="I2107" t="b">
        <f>COUNTIF(Estadísticas!I:I,'Centraldecomunicacion.es'!H2107)&gt;0</f>
        <v>0</v>
      </c>
    </row>
    <row r="2108" spans="1:9">
      <c r="A2108" s="1" t="s">
        <v>7636</v>
      </c>
      <c r="B2108" s="1" t="s">
        <v>10</v>
      </c>
      <c r="C2108" s="1" t="s">
        <v>7637</v>
      </c>
      <c r="D2108" s="1" t="s">
        <v>5427</v>
      </c>
      <c r="E2108" s="1" t="s">
        <v>3197</v>
      </c>
      <c r="F2108" s="1" t="s">
        <v>7638</v>
      </c>
      <c r="G2108" s="1" t="s">
        <v>7639</v>
      </c>
      <c r="H2108" s="1" t="s">
        <v>15</v>
      </c>
      <c r="I2108" t="b">
        <f>COUNTIF(Estadísticas!I:I,'Centraldecomunicacion.es'!H2108)&gt;0</f>
        <v>0</v>
      </c>
    </row>
    <row r="2109" spans="1:9">
      <c r="A2109" s="1" t="s">
        <v>7640</v>
      </c>
      <c r="B2109" s="1" t="s">
        <v>10</v>
      </c>
      <c r="C2109" s="1" t="s">
        <v>7641</v>
      </c>
      <c r="D2109" s="1" t="s">
        <v>5427</v>
      </c>
      <c r="E2109" s="1" t="s">
        <v>3197</v>
      </c>
      <c r="F2109" s="1" t="s">
        <v>1655</v>
      </c>
      <c r="G2109" s="1" t="s">
        <v>7642</v>
      </c>
      <c r="H2109" s="1" t="s">
        <v>1657</v>
      </c>
      <c r="I2109" t="b">
        <f>COUNTIF(Estadísticas!I:I,'Centraldecomunicacion.es'!H2109)&gt;0</f>
        <v>0</v>
      </c>
    </row>
    <row r="2110" spans="1:9">
      <c r="A2110" s="1" t="s">
        <v>4975</v>
      </c>
      <c r="B2110" s="1" t="s">
        <v>10</v>
      </c>
      <c r="C2110" s="1" t="s">
        <v>7643</v>
      </c>
      <c r="D2110" s="1" t="s">
        <v>5427</v>
      </c>
      <c r="E2110" s="1" t="s">
        <v>3189</v>
      </c>
      <c r="F2110" s="1" t="s">
        <v>23</v>
      </c>
      <c r="G2110" s="1" t="s">
        <v>7644</v>
      </c>
      <c r="H2110" s="1" t="s">
        <v>15</v>
      </c>
      <c r="I2110" t="b">
        <f>COUNTIF(Estadísticas!I:I,'Centraldecomunicacion.es'!H2110)&gt;0</f>
        <v>0</v>
      </c>
    </row>
    <row r="2111" spans="1:9">
      <c r="A2111" s="1" t="s">
        <v>7645</v>
      </c>
      <c r="B2111" s="1" t="s">
        <v>10</v>
      </c>
      <c r="C2111" s="1" t="s">
        <v>7646</v>
      </c>
      <c r="D2111" s="1" t="s">
        <v>5427</v>
      </c>
      <c r="E2111" s="1" t="s">
        <v>3189</v>
      </c>
      <c r="F2111" s="1" t="s">
        <v>7647</v>
      </c>
      <c r="G2111" s="1" t="s">
        <v>7648</v>
      </c>
      <c r="H2111" s="1" t="s">
        <v>7649</v>
      </c>
      <c r="I2111" t="b">
        <f>COUNTIF(Estadísticas!I:I,'Centraldecomunicacion.es'!H2111)&gt;0</f>
        <v>1</v>
      </c>
    </row>
    <row r="2112" spans="1:9">
      <c r="A2112" s="1" t="s">
        <v>7650</v>
      </c>
      <c r="B2112" s="1" t="s">
        <v>10</v>
      </c>
      <c r="C2112" s="1" t="s">
        <v>7651</v>
      </c>
      <c r="D2112" s="1" t="s">
        <v>5427</v>
      </c>
      <c r="E2112" s="1" t="s">
        <v>3189</v>
      </c>
      <c r="F2112" s="1" t="s">
        <v>23</v>
      </c>
      <c r="G2112" s="1" t="s">
        <v>7652</v>
      </c>
      <c r="H2112" s="1" t="s">
        <v>15</v>
      </c>
      <c r="I2112" t="b">
        <f>COUNTIF(Estadísticas!I:I,'Centraldecomunicacion.es'!H2112)&gt;0</f>
        <v>0</v>
      </c>
    </row>
    <row r="2113" spans="1:9">
      <c r="A2113" s="1" t="s">
        <v>7653</v>
      </c>
      <c r="B2113" s="1" t="s">
        <v>10</v>
      </c>
      <c r="C2113" s="1" t="s">
        <v>7654</v>
      </c>
      <c r="D2113" s="1" t="s">
        <v>5427</v>
      </c>
      <c r="E2113" s="1" t="s">
        <v>3189</v>
      </c>
      <c r="F2113" s="1" t="s">
        <v>4080</v>
      </c>
      <c r="G2113" s="1" t="s">
        <v>7655</v>
      </c>
      <c r="H2113" s="1" t="s">
        <v>325</v>
      </c>
      <c r="I2113" t="b">
        <f>COUNTIF(Estadísticas!I:I,'Centraldecomunicacion.es'!H2113)&gt;0</f>
        <v>0</v>
      </c>
    </row>
    <row r="2114" spans="1:9">
      <c r="A2114" s="1" t="s">
        <v>7656</v>
      </c>
      <c r="B2114" s="1" t="s">
        <v>10</v>
      </c>
      <c r="C2114" s="1" t="s">
        <v>7657</v>
      </c>
      <c r="D2114" s="1" t="s">
        <v>7658</v>
      </c>
      <c r="E2114" s="1" t="s">
        <v>3189</v>
      </c>
      <c r="F2114" s="1" t="s">
        <v>23</v>
      </c>
      <c r="G2114" s="1" t="s">
        <v>7659</v>
      </c>
      <c r="H2114" s="1" t="s">
        <v>15</v>
      </c>
      <c r="I2114" t="b">
        <f>COUNTIF(Estadísticas!I:I,'Centraldecomunicacion.es'!H2114)&gt;0</f>
        <v>0</v>
      </c>
    </row>
    <row r="2115" spans="1:9">
      <c r="A2115" s="1" t="s">
        <v>7660</v>
      </c>
      <c r="B2115" s="1" t="s">
        <v>10</v>
      </c>
      <c r="C2115" s="1" t="s">
        <v>7661</v>
      </c>
      <c r="D2115" s="1" t="s">
        <v>3193</v>
      </c>
      <c r="E2115" s="1" t="s">
        <v>3189</v>
      </c>
      <c r="F2115" s="1" t="s">
        <v>23</v>
      </c>
      <c r="G2115" s="1" t="s">
        <v>7662</v>
      </c>
      <c r="H2115" s="1" t="s">
        <v>15</v>
      </c>
      <c r="I2115" t="b">
        <f>COUNTIF(Estadísticas!I:I,'Centraldecomunicacion.es'!H2115)&gt;0</f>
        <v>0</v>
      </c>
    </row>
    <row r="2116" spans="1:9">
      <c r="A2116" s="1" t="s">
        <v>7663</v>
      </c>
      <c r="B2116" s="1" t="s">
        <v>10</v>
      </c>
      <c r="C2116" s="1" t="s">
        <v>7664</v>
      </c>
      <c r="D2116" s="1" t="s">
        <v>5427</v>
      </c>
      <c r="E2116" s="1" t="s">
        <v>3189</v>
      </c>
      <c r="F2116" s="1" t="s">
        <v>23</v>
      </c>
      <c r="G2116" s="1" t="s">
        <v>7665</v>
      </c>
      <c r="H2116" s="1" t="s">
        <v>15</v>
      </c>
      <c r="I2116" t="b">
        <f>COUNTIF(Estadísticas!I:I,'Centraldecomunicacion.es'!H2116)&gt;0</f>
        <v>0</v>
      </c>
    </row>
    <row r="2117" spans="1:9">
      <c r="A2117" s="1" t="s">
        <v>7666</v>
      </c>
      <c r="B2117" s="1" t="s">
        <v>10</v>
      </c>
      <c r="C2117" s="1" t="s">
        <v>7667</v>
      </c>
      <c r="D2117" s="1" t="s">
        <v>7668</v>
      </c>
      <c r="E2117" s="1" t="s">
        <v>3189</v>
      </c>
      <c r="F2117" s="1" t="s">
        <v>23</v>
      </c>
      <c r="G2117" s="1" t="s">
        <v>7669</v>
      </c>
      <c r="H2117" s="1" t="s">
        <v>15</v>
      </c>
      <c r="I2117" t="b">
        <f>COUNTIF(Estadísticas!I:I,'Centraldecomunicacion.es'!H2117)&gt;0</f>
        <v>0</v>
      </c>
    </row>
    <row r="2118" spans="1:9">
      <c r="A2118" s="1" t="s">
        <v>7670</v>
      </c>
      <c r="B2118" s="1" t="s">
        <v>10</v>
      </c>
      <c r="C2118" s="1" t="s">
        <v>7671</v>
      </c>
      <c r="D2118" s="1" t="s">
        <v>5427</v>
      </c>
      <c r="E2118" s="1" t="s">
        <v>3189</v>
      </c>
      <c r="F2118" s="1" t="s">
        <v>23</v>
      </c>
      <c r="G2118" s="1" t="s">
        <v>7672</v>
      </c>
      <c r="H2118" s="1" t="s">
        <v>15</v>
      </c>
      <c r="I2118" t="b">
        <f>COUNTIF(Estadísticas!I:I,'Centraldecomunicacion.es'!H2118)&gt;0</f>
        <v>0</v>
      </c>
    </row>
    <row r="2119" spans="1:9">
      <c r="A2119" s="1" t="s">
        <v>7673</v>
      </c>
      <c r="B2119" s="1" t="s">
        <v>10</v>
      </c>
      <c r="C2119" s="1" t="s">
        <v>7674</v>
      </c>
      <c r="D2119" s="1" t="s">
        <v>7675</v>
      </c>
      <c r="E2119" s="1" t="s">
        <v>3189</v>
      </c>
      <c r="F2119" s="1" t="s">
        <v>23</v>
      </c>
      <c r="G2119" s="1" t="s">
        <v>7676</v>
      </c>
      <c r="H2119" s="1" t="s">
        <v>15</v>
      </c>
      <c r="I2119" t="b">
        <f>COUNTIF(Estadísticas!I:I,'Centraldecomunicacion.es'!H2119)&gt;0</f>
        <v>0</v>
      </c>
    </row>
    <row r="2120" spans="1:9">
      <c r="A2120" s="1" t="s">
        <v>7677</v>
      </c>
      <c r="B2120" s="1" t="s">
        <v>10</v>
      </c>
      <c r="C2120" s="1" t="s">
        <v>7678</v>
      </c>
      <c r="D2120" s="1" t="s">
        <v>7679</v>
      </c>
      <c r="E2120" s="1" t="s">
        <v>3189</v>
      </c>
      <c r="F2120" s="1" t="s">
        <v>23</v>
      </c>
      <c r="G2120" s="1" t="s">
        <v>7680</v>
      </c>
      <c r="H2120" s="1" t="s">
        <v>15</v>
      </c>
      <c r="I2120" t="b">
        <f>COUNTIF(Estadísticas!I:I,'Centraldecomunicacion.es'!H2120)&gt;0</f>
        <v>0</v>
      </c>
    </row>
    <row r="2121" spans="1:9">
      <c r="A2121" s="1" t="s">
        <v>7681</v>
      </c>
      <c r="B2121" s="1" t="s">
        <v>10</v>
      </c>
      <c r="C2121" s="1" t="s">
        <v>7682</v>
      </c>
      <c r="D2121" s="1" t="s">
        <v>7683</v>
      </c>
      <c r="E2121" s="1" t="s">
        <v>3189</v>
      </c>
      <c r="F2121" s="1" t="s">
        <v>23</v>
      </c>
      <c r="G2121" s="1" t="s">
        <v>7684</v>
      </c>
      <c r="H2121" s="1" t="s">
        <v>15</v>
      </c>
      <c r="I2121" t="b">
        <f>COUNTIF(Estadísticas!I:I,'Centraldecomunicacion.es'!H2121)&gt;0</f>
        <v>0</v>
      </c>
    </row>
    <row r="2122" spans="1:9">
      <c r="A2122" s="1" t="s">
        <v>7685</v>
      </c>
      <c r="B2122" s="1" t="s">
        <v>10</v>
      </c>
      <c r="C2122" s="1" t="s">
        <v>7686</v>
      </c>
      <c r="D2122" s="1" t="s">
        <v>7658</v>
      </c>
      <c r="E2122" s="1" t="s">
        <v>3189</v>
      </c>
      <c r="F2122" s="1" t="s">
        <v>23</v>
      </c>
      <c r="G2122" s="1" t="s">
        <v>7687</v>
      </c>
      <c r="H2122" s="1" t="s">
        <v>15</v>
      </c>
      <c r="I2122" t="b">
        <f>COUNTIF(Estadísticas!I:I,'Centraldecomunicacion.es'!H2122)&gt;0</f>
        <v>0</v>
      </c>
    </row>
    <row r="2123" spans="1:9">
      <c r="A2123" s="1" t="s">
        <v>7688</v>
      </c>
      <c r="B2123" s="1" t="s">
        <v>10</v>
      </c>
      <c r="C2123" s="1" t="s">
        <v>7689</v>
      </c>
      <c r="D2123" s="1" t="s">
        <v>7683</v>
      </c>
      <c r="E2123" s="1" t="s">
        <v>3189</v>
      </c>
      <c r="F2123" s="1" t="s">
        <v>23</v>
      </c>
      <c r="G2123" s="1" t="s">
        <v>7690</v>
      </c>
      <c r="H2123" s="1" t="s">
        <v>15</v>
      </c>
      <c r="I2123" t="b">
        <f>COUNTIF(Estadísticas!I:I,'Centraldecomunicacion.es'!H2123)&gt;0</f>
        <v>0</v>
      </c>
    </row>
    <row r="2124" spans="1:9">
      <c r="A2124" s="1" t="s">
        <v>7691</v>
      </c>
      <c r="B2124" s="1" t="s">
        <v>10</v>
      </c>
      <c r="C2124" s="1" t="s">
        <v>7692</v>
      </c>
      <c r="D2124" s="1" t="s">
        <v>3221</v>
      </c>
      <c r="E2124" s="1" t="s">
        <v>3189</v>
      </c>
      <c r="F2124" s="1" t="s">
        <v>7693</v>
      </c>
      <c r="G2124" s="1" t="s">
        <v>7694</v>
      </c>
      <c r="H2124" s="1" t="s">
        <v>7695</v>
      </c>
      <c r="I2124" t="b">
        <f>COUNTIF(Estadísticas!I:I,'Centraldecomunicacion.es'!H2124)&gt;0</f>
        <v>0</v>
      </c>
    </row>
    <row r="2125" spans="1:9">
      <c r="A2125" s="1" t="s">
        <v>257</v>
      </c>
      <c r="B2125" s="1" t="s">
        <v>10</v>
      </c>
      <c r="C2125" s="1" t="s">
        <v>7696</v>
      </c>
      <c r="D2125" s="1" t="s">
        <v>5427</v>
      </c>
      <c r="E2125" s="1" t="s">
        <v>3189</v>
      </c>
      <c r="F2125" s="1" t="s">
        <v>81</v>
      </c>
      <c r="G2125" s="1" t="s">
        <v>7697</v>
      </c>
      <c r="H2125" s="1" t="s">
        <v>83</v>
      </c>
      <c r="I2125" t="b">
        <f>COUNTIF(Estadísticas!I:I,'Centraldecomunicacion.es'!H2125)&gt;0</f>
        <v>0</v>
      </c>
    </row>
    <row r="2126" spans="1:9">
      <c r="A2126" s="1" t="s">
        <v>7698</v>
      </c>
      <c r="B2126" s="1" t="s">
        <v>10</v>
      </c>
      <c r="C2126" s="1" t="s">
        <v>7699</v>
      </c>
      <c r="D2126" s="1" t="s">
        <v>5427</v>
      </c>
      <c r="E2126" s="1" t="s">
        <v>3189</v>
      </c>
      <c r="F2126" s="1" t="s">
        <v>7700</v>
      </c>
      <c r="G2126" s="1" t="s">
        <v>7701</v>
      </c>
      <c r="H2126" s="1" t="s">
        <v>7702</v>
      </c>
      <c r="I2126" t="b">
        <f>COUNTIF(Estadísticas!I:I,'Centraldecomunicacion.es'!H2126)&gt;0</f>
        <v>0</v>
      </c>
    </row>
    <row r="2127" spans="1:9">
      <c r="A2127" s="1" t="s">
        <v>7703</v>
      </c>
      <c r="B2127" s="1" t="s">
        <v>10</v>
      </c>
      <c r="C2127" s="1" t="s">
        <v>7704</v>
      </c>
      <c r="D2127" s="1" t="s">
        <v>7705</v>
      </c>
      <c r="E2127" s="1" t="s">
        <v>3189</v>
      </c>
      <c r="F2127" s="1" t="s">
        <v>23</v>
      </c>
      <c r="G2127" s="1" t="s">
        <v>7706</v>
      </c>
      <c r="H2127" s="1" t="s">
        <v>15</v>
      </c>
      <c r="I2127" t="b">
        <f>COUNTIF(Estadísticas!I:I,'Centraldecomunicacion.es'!H2127)&gt;0</f>
        <v>0</v>
      </c>
    </row>
    <row r="2128" spans="1:9">
      <c r="A2128" s="1" t="s">
        <v>7707</v>
      </c>
      <c r="B2128" s="1" t="s">
        <v>10</v>
      </c>
      <c r="C2128" s="1" t="s">
        <v>7708</v>
      </c>
      <c r="D2128" s="1" t="s">
        <v>7709</v>
      </c>
      <c r="E2128" s="1" t="s">
        <v>3189</v>
      </c>
      <c r="F2128" s="1" t="s">
        <v>23</v>
      </c>
      <c r="G2128" s="1" t="s">
        <v>7710</v>
      </c>
      <c r="H2128" s="1" t="s">
        <v>15</v>
      </c>
      <c r="I2128" t="b">
        <f>COUNTIF(Estadísticas!I:I,'Centraldecomunicacion.es'!H2128)&gt;0</f>
        <v>0</v>
      </c>
    </row>
    <row r="2129" spans="1:9">
      <c r="A2129" s="1" t="s">
        <v>7711</v>
      </c>
      <c r="B2129" s="1" t="s">
        <v>10</v>
      </c>
      <c r="C2129" s="1" t="s">
        <v>7712</v>
      </c>
      <c r="D2129" s="1" t="s">
        <v>7679</v>
      </c>
      <c r="E2129" s="1" t="s">
        <v>3197</v>
      </c>
      <c r="F2129" s="1" t="s">
        <v>23</v>
      </c>
      <c r="G2129" s="1" t="s">
        <v>7713</v>
      </c>
      <c r="H2129" s="1" t="s">
        <v>15</v>
      </c>
      <c r="I2129" t="b">
        <f>COUNTIF(Estadísticas!I:I,'Centraldecomunicacion.es'!H2129)&gt;0</f>
        <v>0</v>
      </c>
    </row>
    <row r="2130" spans="1:9">
      <c r="A2130" s="1" t="s">
        <v>7714</v>
      </c>
      <c r="B2130" s="1" t="s">
        <v>10</v>
      </c>
      <c r="C2130" s="1" t="s">
        <v>7715</v>
      </c>
      <c r="D2130" s="1" t="s">
        <v>7716</v>
      </c>
      <c r="E2130" s="1" t="s">
        <v>3189</v>
      </c>
      <c r="F2130" s="1" t="s">
        <v>7717</v>
      </c>
      <c r="G2130" s="1" t="s">
        <v>7718</v>
      </c>
      <c r="H2130" s="1" t="s">
        <v>15</v>
      </c>
      <c r="I2130" t="b">
        <f>COUNTIF(Estadísticas!I:I,'Centraldecomunicacion.es'!H2130)&gt;0</f>
        <v>0</v>
      </c>
    </row>
    <row r="2131" spans="1:9">
      <c r="A2131" s="1" t="s">
        <v>7719</v>
      </c>
      <c r="B2131" s="1" t="s">
        <v>10</v>
      </c>
      <c r="C2131" s="1" t="s">
        <v>7720</v>
      </c>
      <c r="D2131" s="1" t="s">
        <v>3193</v>
      </c>
      <c r="E2131" s="1" t="s">
        <v>3189</v>
      </c>
      <c r="F2131" s="1" t="s">
        <v>23</v>
      </c>
      <c r="G2131" s="1" t="s">
        <v>7721</v>
      </c>
      <c r="H2131" s="1" t="s">
        <v>15</v>
      </c>
      <c r="I2131" t="b">
        <f>COUNTIF(Estadísticas!I:I,'Centraldecomunicacion.es'!H2131)&gt;0</f>
        <v>0</v>
      </c>
    </row>
    <row r="2132" spans="1:9">
      <c r="A2132" s="1" t="s">
        <v>7722</v>
      </c>
      <c r="B2132" s="1" t="s">
        <v>10</v>
      </c>
      <c r="C2132" s="1" t="s">
        <v>7723</v>
      </c>
      <c r="D2132" s="1" t="s">
        <v>5427</v>
      </c>
      <c r="E2132" s="1" t="s">
        <v>3197</v>
      </c>
      <c r="F2132" s="1" t="s">
        <v>7724</v>
      </c>
      <c r="G2132" s="1" t="s">
        <v>7725</v>
      </c>
      <c r="H2132" s="1" t="s">
        <v>7726</v>
      </c>
      <c r="I2132" t="b">
        <f>COUNTIF(Estadísticas!I:I,'Centraldecomunicacion.es'!H2132)&gt;0</f>
        <v>1</v>
      </c>
    </row>
    <row r="2133" spans="1:9">
      <c r="A2133" s="1" t="s">
        <v>7727</v>
      </c>
      <c r="B2133" s="1" t="s">
        <v>10</v>
      </c>
      <c r="C2133" s="1" t="s">
        <v>7728</v>
      </c>
      <c r="D2133" s="1" t="s">
        <v>5427</v>
      </c>
      <c r="E2133" s="1" t="s">
        <v>3197</v>
      </c>
      <c r="F2133" s="1" t="s">
        <v>23</v>
      </c>
      <c r="G2133" s="1" t="s">
        <v>7729</v>
      </c>
      <c r="H2133" s="1" t="s">
        <v>15</v>
      </c>
      <c r="I2133" t="b">
        <f>COUNTIF(Estadísticas!I:I,'Centraldecomunicacion.es'!H2133)&gt;0</f>
        <v>0</v>
      </c>
    </row>
    <row r="2134" spans="1:9">
      <c r="A2134" s="1" t="s">
        <v>7730</v>
      </c>
      <c r="B2134" s="1" t="s">
        <v>10</v>
      </c>
      <c r="C2134" s="1" t="s">
        <v>7731</v>
      </c>
      <c r="D2134" s="1" t="s">
        <v>3221</v>
      </c>
      <c r="E2134" s="1" t="s">
        <v>3189</v>
      </c>
      <c r="F2134" s="1" t="s">
        <v>7732</v>
      </c>
      <c r="G2134" s="1" t="s">
        <v>7733</v>
      </c>
      <c r="H2134" s="1" t="s">
        <v>7734</v>
      </c>
      <c r="I2134" t="b">
        <f>COUNTIF(Estadísticas!I:I,'Centraldecomunicacion.es'!H2134)&gt;0</f>
        <v>1</v>
      </c>
    </row>
    <row r="2135" spans="1:9">
      <c r="A2135" s="1" t="s">
        <v>7735</v>
      </c>
      <c r="B2135" s="1" t="s">
        <v>10</v>
      </c>
      <c r="C2135" s="1" t="s">
        <v>7736</v>
      </c>
      <c r="D2135" s="1" t="s">
        <v>5427</v>
      </c>
      <c r="E2135" s="1" t="s">
        <v>3197</v>
      </c>
      <c r="F2135" s="1" t="s">
        <v>23</v>
      </c>
      <c r="G2135" s="1" t="s">
        <v>7737</v>
      </c>
      <c r="H2135" s="1" t="s">
        <v>15</v>
      </c>
      <c r="I2135" t="b">
        <f>COUNTIF(Estadísticas!I:I,'Centraldecomunicacion.es'!H2135)&gt;0</f>
        <v>0</v>
      </c>
    </row>
    <row r="2136" spans="1:9">
      <c r="A2136" s="1" t="s">
        <v>6788</v>
      </c>
      <c r="B2136" s="1" t="s">
        <v>10</v>
      </c>
      <c r="C2136" s="1" t="s">
        <v>7738</v>
      </c>
      <c r="D2136" s="1" t="s">
        <v>5427</v>
      </c>
      <c r="E2136" s="1" t="s">
        <v>3197</v>
      </c>
      <c r="F2136" s="1" t="s">
        <v>23</v>
      </c>
      <c r="G2136" s="1" t="s">
        <v>7739</v>
      </c>
      <c r="H2136" s="1" t="s">
        <v>15</v>
      </c>
      <c r="I2136" t="b">
        <f>COUNTIF(Estadísticas!I:I,'Centraldecomunicacion.es'!H2136)&gt;0</f>
        <v>0</v>
      </c>
    </row>
    <row r="2137" spans="1:9">
      <c r="A2137" s="1" t="s">
        <v>7740</v>
      </c>
      <c r="B2137" s="1" t="s">
        <v>10</v>
      </c>
      <c r="C2137" s="1" t="s">
        <v>7741</v>
      </c>
      <c r="D2137" s="1" t="s">
        <v>7679</v>
      </c>
      <c r="E2137" s="1" t="s">
        <v>3189</v>
      </c>
      <c r="F2137" s="1" t="s">
        <v>23</v>
      </c>
      <c r="G2137" s="1" t="s">
        <v>7742</v>
      </c>
      <c r="H2137" s="1" t="s">
        <v>15</v>
      </c>
      <c r="I2137" t="b">
        <f>COUNTIF(Estadísticas!I:I,'Centraldecomunicacion.es'!H2137)&gt;0</f>
        <v>0</v>
      </c>
    </row>
    <row r="2138" spans="1:9">
      <c r="A2138" s="1" t="s">
        <v>321</v>
      </c>
      <c r="B2138" s="1" t="s">
        <v>10</v>
      </c>
      <c r="C2138" s="1" t="s">
        <v>7743</v>
      </c>
      <c r="D2138" s="1" t="s">
        <v>7744</v>
      </c>
      <c r="E2138" s="1" t="s">
        <v>3189</v>
      </c>
      <c r="F2138" s="1" t="s">
        <v>323</v>
      </c>
      <c r="G2138" s="1" t="s">
        <v>7745</v>
      </c>
      <c r="H2138" s="1" t="s">
        <v>325</v>
      </c>
      <c r="I2138" t="b">
        <f>COUNTIF(Estadísticas!I:I,'Centraldecomunicacion.es'!H2138)&gt;0</f>
        <v>0</v>
      </c>
    </row>
    <row r="2139" spans="1:9">
      <c r="A2139" s="1" t="s">
        <v>7746</v>
      </c>
      <c r="B2139" s="1" t="s">
        <v>10</v>
      </c>
      <c r="C2139" s="1" t="s">
        <v>7747</v>
      </c>
      <c r="D2139" s="1" t="s">
        <v>7748</v>
      </c>
      <c r="E2139" s="1" t="s">
        <v>3189</v>
      </c>
      <c r="F2139" s="1" t="s">
        <v>23</v>
      </c>
      <c r="G2139" s="1" t="s">
        <v>7749</v>
      </c>
      <c r="H2139" s="1" t="s">
        <v>15</v>
      </c>
      <c r="I2139" t="b">
        <f>COUNTIF(Estadísticas!I:I,'Centraldecomunicacion.es'!H2139)&gt;0</f>
        <v>0</v>
      </c>
    </row>
    <row r="2140" spans="1:9">
      <c r="A2140" s="1" t="s">
        <v>7750</v>
      </c>
      <c r="B2140" s="1" t="s">
        <v>10</v>
      </c>
      <c r="C2140" s="1" t="s">
        <v>7751</v>
      </c>
      <c r="D2140" s="1" t="s">
        <v>7752</v>
      </c>
      <c r="E2140" s="1" t="s">
        <v>3197</v>
      </c>
      <c r="F2140" s="1" t="s">
        <v>7753</v>
      </c>
      <c r="G2140" s="1" t="s">
        <v>7754</v>
      </c>
      <c r="H2140" s="1" t="s">
        <v>7755</v>
      </c>
      <c r="I2140" t="b">
        <f>COUNTIF(Estadísticas!I:I,'Centraldecomunicacion.es'!H2140)&gt;0</f>
        <v>0</v>
      </c>
    </row>
    <row r="2141" spans="1:9">
      <c r="A2141" s="1" t="s">
        <v>7756</v>
      </c>
      <c r="B2141" s="1" t="s">
        <v>10</v>
      </c>
      <c r="C2141" s="1" t="s">
        <v>7757</v>
      </c>
      <c r="D2141" s="1" t="s">
        <v>7758</v>
      </c>
      <c r="E2141" s="1" t="s">
        <v>3197</v>
      </c>
      <c r="F2141" s="1" t="s">
        <v>7759</v>
      </c>
      <c r="G2141" s="1" t="s">
        <v>7760</v>
      </c>
      <c r="H2141" s="1" t="s">
        <v>7761</v>
      </c>
      <c r="I2141" t="b">
        <f>COUNTIF(Estadísticas!I:I,'Centraldecomunicacion.es'!H2141)&gt;0</f>
        <v>1</v>
      </c>
    </row>
    <row r="2142" spans="1:9">
      <c r="A2142" s="1" t="s">
        <v>7762</v>
      </c>
      <c r="B2142" s="1" t="s">
        <v>10</v>
      </c>
      <c r="C2142" s="1" t="s">
        <v>7763</v>
      </c>
      <c r="D2142" s="1" t="s">
        <v>7764</v>
      </c>
      <c r="E2142" s="1" t="s">
        <v>3189</v>
      </c>
      <c r="F2142" s="1" t="s">
        <v>23</v>
      </c>
      <c r="G2142" s="1" t="s">
        <v>7765</v>
      </c>
      <c r="H2142" s="1" t="s">
        <v>15</v>
      </c>
      <c r="I2142" t="b">
        <f>COUNTIF(Estadísticas!I:I,'Centraldecomunicacion.es'!H2142)&gt;0</f>
        <v>0</v>
      </c>
    </row>
    <row r="2143" spans="1:9">
      <c r="A2143" s="1" t="s">
        <v>7766</v>
      </c>
      <c r="B2143" s="1" t="s">
        <v>10</v>
      </c>
      <c r="C2143" s="1" t="s">
        <v>7767</v>
      </c>
      <c r="D2143" s="1" t="s">
        <v>5427</v>
      </c>
      <c r="E2143" s="1" t="s">
        <v>3189</v>
      </c>
      <c r="F2143" s="1" t="s">
        <v>23</v>
      </c>
      <c r="G2143" s="1" t="s">
        <v>7768</v>
      </c>
      <c r="H2143" s="1" t="s">
        <v>15</v>
      </c>
      <c r="I2143" t="b">
        <f>COUNTIF(Estadísticas!I:I,'Centraldecomunicacion.es'!H2143)&gt;0</f>
        <v>0</v>
      </c>
    </row>
    <row r="2144" spans="1:9">
      <c r="A2144" s="1" t="s">
        <v>7769</v>
      </c>
      <c r="B2144" s="1" t="s">
        <v>10</v>
      </c>
      <c r="C2144" s="1" t="s">
        <v>7770</v>
      </c>
      <c r="D2144" s="1" t="s">
        <v>7716</v>
      </c>
      <c r="E2144" s="1" t="s">
        <v>3189</v>
      </c>
      <c r="F2144" s="1" t="s">
        <v>23</v>
      </c>
      <c r="G2144" s="1" t="s">
        <v>7771</v>
      </c>
      <c r="H2144" s="1" t="s">
        <v>15</v>
      </c>
      <c r="I2144" t="b">
        <f>COUNTIF(Estadísticas!I:I,'Centraldecomunicacion.es'!H2144)&gt;0</f>
        <v>0</v>
      </c>
    </row>
    <row r="2145" spans="1:9">
      <c r="A2145" s="1" t="s">
        <v>7772</v>
      </c>
      <c r="B2145" s="1" t="s">
        <v>10</v>
      </c>
      <c r="C2145" s="1" t="s">
        <v>7773</v>
      </c>
      <c r="D2145" s="1" t="s">
        <v>7774</v>
      </c>
      <c r="E2145" s="1" t="s">
        <v>3197</v>
      </c>
      <c r="F2145" s="1" t="s">
        <v>23</v>
      </c>
      <c r="G2145" s="1" t="s">
        <v>7775</v>
      </c>
      <c r="H2145" s="1" t="s">
        <v>15</v>
      </c>
      <c r="I2145" t="b">
        <f>COUNTIF(Estadísticas!I:I,'Centraldecomunicacion.es'!H2145)&gt;0</f>
        <v>0</v>
      </c>
    </row>
    <row r="2146" spans="1:9">
      <c r="A2146" s="1" t="s">
        <v>7776</v>
      </c>
      <c r="B2146" s="1" t="s">
        <v>10</v>
      </c>
      <c r="C2146" s="1" t="s">
        <v>7777</v>
      </c>
      <c r="D2146" s="1" t="s">
        <v>7679</v>
      </c>
      <c r="E2146" s="1" t="s">
        <v>3189</v>
      </c>
      <c r="F2146" s="1" t="s">
        <v>23</v>
      </c>
      <c r="G2146" s="1" t="s">
        <v>7778</v>
      </c>
      <c r="H2146" s="1" t="s">
        <v>15</v>
      </c>
      <c r="I2146" t="b">
        <f>COUNTIF(Estadísticas!I:I,'Centraldecomunicacion.es'!H2146)&gt;0</f>
        <v>0</v>
      </c>
    </row>
    <row r="2147" spans="1:9">
      <c r="A2147" s="1" t="s">
        <v>7636</v>
      </c>
      <c r="B2147" s="1" t="s">
        <v>10</v>
      </c>
      <c r="C2147" s="1" t="s">
        <v>7779</v>
      </c>
      <c r="D2147" s="1" t="s">
        <v>7780</v>
      </c>
      <c r="E2147" s="1" t="s">
        <v>3189</v>
      </c>
      <c r="F2147" s="1" t="s">
        <v>7638</v>
      </c>
      <c r="G2147" s="1" t="s">
        <v>7781</v>
      </c>
      <c r="H2147" s="1" t="s">
        <v>15</v>
      </c>
      <c r="I2147" t="b">
        <f>COUNTIF(Estadísticas!I:I,'Centraldecomunicacion.es'!H2147)&gt;0</f>
        <v>0</v>
      </c>
    </row>
    <row r="2148" spans="1:9">
      <c r="A2148" s="1" t="s">
        <v>7782</v>
      </c>
      <c r="B2148" s="1" t="s">
        <v>10</v>
      </c>
      <c r="C2148" s="1" t="s">
        <v>7783</v>
      </c>
      <c r="D2148" s="1" t="s">
        <v>5427</v>
      </c>
      <c r="E2148" s="1" t="s">
        <v>3189</v>
      </c>
      <c r="F2148" s="1" t="s">
        <v>7784</v>
      </c>
      <c r="G2148" s="1" t="s">
        <v>7785</v>
      </c>
      <c r="H2148" s="1" t="s">
        <v>7786</v>
      </c>
      <c r="I2148" t="b">
        <f>COUNTIF(Estadísticas!I:I,'Centraldecomunicacion.es'!H2148)&gt;0</f>
        <v>0</v>
      </c>
    </row>
    <row r="2149" spans="1:9">
      <c r="A2149" s="1" t="s">
        <v>7787</v>
      </c>
      <c r="B2149" s="1" t="s">
        <v>10</v>
      </c>
      <c r="C2149" s="1" t="s">
        <v>7788</v>
      </c>
      <c r="D2149" s="1" t="s">
        <v>7789</v>
      </c>
      <c r="E2149" s="1" t="s">
        <v>3189</v>
      </c>
      <c r="F2149" s="1" t="s">
        <v>23</v>
      </c>
      <c r="G2149" s="1" t="s">
        <v>23</v>
      </c>
      <c r="H2149" s="1" t="s">
        <v>15</v>
      </c>
      <c r="I2149" t="b">
        <f>COUNTIF(Estadísticas!I:I,'Centraldecomunicacion.es'!H2149)&gt;0</f>
        <v>0</v>
      </c>
    </row>
    <row r="2150" spans="1:9">
      <c r="A2150" s="1" t="s">
        <v>7790</v>
      </c>
      <c r="B2150" s="1" t="s">
        <v>10</v>
      </c>
      <c r="C2150" s="1" t="s">
        <v>7791</v>
      </c>
      <c r="D2150" s="1" t="s">
        <v>7679</v>
      </c>
      <c r="E2150" s="1" t="s">
        <v>3197</v>
      </c>
      <c r="F2150" s="1" t="s">
        <v>7792</v>
      </c>
      <c r="G2150" s="1" t="s">
        <v>7793</v>
      </c>
      <c r="H2150" s="1" t="s">
        <v>7794</v>
      </c>
      <c r="I2150" t="b">
        <f>COUNTIF(Estadísticas!I:I,'Centraldecomunicacion.es'!H2150)&gt;0</f>
        <v>1</v>
      </c>
    </row>
    <row r="2151" spans="1:9">
      <c r="A2151" s="1" t="s">
        <v>7795</v>
      </c>
      <c r="B2151" s="1" t="s">
        <v>10</v>
      </c>
      <c r="C2151" s="1" t="s">
        <v>7796</v>
      </c>
      <c r="D2151" s="1" t="s">
        <v>7797</v>
      </c>
      <c r="E2151" s="1" t="s">
        <v>3197</v>
      </c>
      <c r="F2151" s="1" t="s">
        <v>23</v>
      </c>
      <c r="G2151" s="1" t="s">
        <v>23</v>
      </c>
      <c r="H2151" s="1" t="s">
        <v>15</v>
      </c>
      <c r="I2151" t="b">
        <f>COUNTIF(Estadísticas!I:I,'Centraldecomunicacion.es'!H2151)&gt;0</f>
        <v>0</v>
      </c>
    </row>
    <row r="2152" spans="1:9">
      <c r="A2152" s="1" t="s">
        <v>7798</v>
      </c>
      <c r="B2152" s="1" t="s">
        <v>10</v>
      </c>
      <c r="C2152" s="1" t="s">
        <v>7799</v>
      </c>
      <c r="D2152" s="1" t="s">
        <v>7683</v>
      </c>
      <c r="E2152" s="1" t="s">
        <v>3189</v>
      </c>
      <c r="F2152" s="1" t="s">
        <v>7800</v>
      </c>
      <c r="G2152" s="1" t="s">
        <v>7801</v>
      </c>
      <c r="H2152" s="1" t="s">
        <v>15</v>
      </c>
      <c r="I2152" t="b">
        <f>COUNTIF(Estadísticas!I:I,'Centraldecomunicacion.es'!H2152)&gt;0</f>
        <v>0</v>
      </c>
    </row>
    <row r="2153" spans="1:9">
      <c r="A2153" s="1" t="s">
        <v>7802</v>
      </c>
      <c r="B2153" s="1" t="s">
        <v>10</v>
      </c>
      <c r="C2153" s="1" t="s">
        <v>7803</v>
      </c>
      <c r="D2153" s="1" t="s">
        <v>7716</v>
      </c>
      <c r="E2153" s="1" t="s">
        <v>3189</v>
      </c>
      <c r="F2153" s="1" t="s">
        <v>23</v>
      </c>
      <c r="G2153" s="1" t="s">
        <v>7804</v>
      </c>
      <c r="H2153" s="1" t="s">
        <v>15</v>
      </c>
      <c r="I2153" t="b">
        <f>COUNTIF(Estadísticas!I:I,'Centraldecomunicacion.es'!H2153)&gt;0</f>
        <v>0</v>
      </c>
    </row>
    <row r="2154" spans="1:9">
      <c r="A2154" s="1" t="s">
        <v>7805</v>
      </c>
      <c r="B2154" s="1" t="s">
        <v>10</v>
      </c>
      <c r="C2154" s="1" t="s">
        <v>7806</v>
      </c>
      <c r="D2154" s="1" t="s">
        <v>3221</v>
      </c>
      <c r="E2154" s="1" t="s">
        <v>3189</v>
      </c>
      <c r="F2154" s="1" t="s">
        <v>23</v>
      </c>
      <c r="G2154" s="1" t="s">
        <v>7807</v>
      </c>
      <c r="H2154" s="1" t="s">
        <v>15</v>
      </c>
      <c r="I2154" t="b">
        <f>COUNTIF(Estadísticas!I:I,'Centraldecomunicacion.es'!H2154)&gt;0</f>
        <v>0</v>
      </c>
    </row>
    <row r="2155" spans="1:9">
      <c r="A2155" s="1" t="s">
        <v>7808</v>
      </c>
      <c r="B2155" s="1" t="s">
        <v>10</v>
      </c>
      <c r="C2155" s="1" t="s">
        <v>7678</v>
      </c>
      <c r="D2155" s="1" t="s">
        <v>7679</v>
      </c>
      <c r="E2155" s="1" t="s">
        <v>3189</v>
      </c>
      <c r="F2155" s="1" t="s">
        <v>23</v>
      </c>
      <c r="G2155" s="1" t="s">
        <v>7680</v>
      </c>
      <c r="H2155" s="1" t="s">
        <v>15</v>
      </c>
      <c r="I2155" t="b">
        <f>COUNTIF(Estadísticas!I:I,'Centraldecomunicacion.es'!H2155)&gt;0</f>
        <v>0</v>
      </c>
    </row>
    <row r="2156" spans="1:9">
      <c r="A2156" s="1" t="s">
        <v>7809</v>
      </c>
      <c r="B2156" s="1" t="s">
        <v>10</v>
      </c>
      <c r="C2156" s="1" t="s">
        <v>7810</v>
      </c>
      <c r="D2156" s="1" t="s">
        <v>7811</v>
      </c>
      <c r="E2156" s="1" t="s">
        <v>3189</v>
      </c>
      <c r="F2156" s="1" t="s">
        <v>23</v>
      </c>
      <c r="G2156" s="1" t="s">
        <v>7812</v>
      </c>
      <c r="H2156" s="1" t="s">
        <v>15</v>
      </c>
      <c r="I2156" t="b">
        <f>COUNTIF(Estadísticas!I:I,'Centraldecomunicacion.es'!H2156)&gt;0</f>
        <v>0</v>
      </c>
    </row>
    <row r="2157" spans="1:9">
      <c r="A2157" s="1" t="s">
        <v>7813</v>
      </c>
      <c r="B2157" s="1" t="s">
        <v>10</v>
      </c>
      <c r="C2157" s="1" t="s">
        <v>7814</v>
      </c>
      <c r="D2157" s="1" t="s">
        <v>5427</v>
      </c>
      <c r="E2157" s="1" t="s">
        <v>3189</v>
      </c>
      <c r="F2157" s="1" t="s">
        <v>7815</v>
      </c>
      <c r="G2157" s="1" t="s">
        <v>7816</v>
      </c>
      <c r="H2157" s="1" t="s">
        <v>1600</v>
      </c>
      <c r="I2157" t="b">
        <f>COUNTIF(Estadísticas!I:I,'Centraldecomunicacion.es'!H2157)&gt;0</f>
        <v>0</v>
      </c>
    </row>
    <row r="2158" spans="1:9">
      <c r="A2158" s="1" t="s">
        <v>7817</v>
      </c>
      <c r="B2158" s="1" t="s">
        <v>10</v>
      </c>
      <c r="C2158" s="1" t="s">
        <v>7818</v>
      </c>
      <c r="D2158" s="1" t="s">
        <v>7819</v>
      </c>
      <c r="E2158" s="1" t="s">
        <v>3189</v>
      </c>
      <c r="F2158" s="1" t="s">
        <v>23</v>
      </c>
      <c r="G2158" s="1" t="s">
        <v>7820</v>
      </c>
      <c r="H2158" s="1" t="s">
        <v>15</v>
      </c>
      <c r="I2158" t="b">
        <f>COUNTIF(Estadísticas!I:I,'Centraldecomunicacion.es'!H2158)&gt;0</f>
        <v>0</v>
      </c>
    </row>
    <row r="2159" spans="1:9">
      <c r="A2159" s="1" t="s">
        <v>7821</v>
      </c>
      <c r="B2159" s="1" t="s">
        <v>10</v>
      </c>
      <c r="C2159" s="1" t="s">
        <v>7822</v>
      </c>
      <c r="D2159" s="1" t="s">
        <v>3221</v>
      </c>
      <c r="E2159" s="1" t="s">
        <v>3189</v>
      </c>
      <c r="F2159" s="1" t="s">
        <v>7792</v>
      </c>
      <c r="G2159" s="1" t="s">
        <v>7823</v>
      </c>
      <c r="H2159" s="1" t="s">
        <v>7794</v>
      </c>
      <c r="I2159" t="b">
        <f>COUNTIF(Estadísticas!I:I,'Centraldecomunicacion.es'!H2159)&gt;0</f>
        <v>1</v>
      </c>
    </row>
    <row r="2160" spans="1:9">
      <c r="A2160" s="1" t="s">
        <v>7824</v>
      </c>
      <c r="B2160" s="1" t="s">
        <v>10</v>
      </c>
      <c r="C2160" s="1" t="s">
        <v>7825</v>
      </c>
      <c r="D2160" s="1" t="s">
        <v>7668</v>
      </c>
      <c r="E2160" s="1" t="s">
        <v>3189</v>
      </c>
      <c r="F2160" s="1" t="s">
        <v>23</v>
      </c>
      <c r="G2160" s="1" t="s">
        <v>7826</v>
      </c>
      <c r="H2160" s="1" t="s">
        <v>15</v>
      </c>
      <c r="I2160" t="b">
        <f>COUNTIF(Estadísticas!I:I,'Centraldecomunicacion.es'!H2160)&gt;0</f>
        <v>0</v>
      </c>
    </row>
    <row r="2161" spans="1:9">
      <c r="A2161" s="1" t="s">
        <v>7827</v>
      </c>
      <c r="B2161" s="1" t="s">
        <v>10</v>
      </c>
      <c r="C2161" s="1" t="s">
        <v>7828</v>
      </c>
      <c r="D2161" s="1" t="s">
        <v>7829</v>
      </c>
      <c r="E2161" s="1" t="s">
        <v>3189</v>
      </c>
      <c r="F2161" s="1" t="s">
        <v>964</v>
      </c>
      <c r="G2161" s="1" t="s">
        <v>7830</v>
      </c>
      <c r="H2161" s="1" t="s">
        <v>966</v>
      </c>
      <c r="I2161" t="b">
        <f>COUNTIF(Estadísticas!I:I,'Centraldecomunicacion.es'!H2161)&gt;0</f>
        <v>0</v>
      </c>
    </row>
    <row r="2162" spans="1:9">
      <c r="A2162" s="1" t="s">
        <v>7831</v>
      </c>
      <c r="B2162" s="1" t="s">
        <v>10</v>
      </c>
      <c r="C2162" s="1" t="s">
        <v>23</v>
      </c>
      <c r="D2162" s="1" t="s">
        <v>7631</v>
      </c>
      <c r="E2162" s="1" t="s">
        <v>23</v>
      </c>
      <c r="F2162" s="1" t="s">
        <v>7832</v>
      </c>
      <c r="G2162" s="1" t="s">
        <v>23</v>
      </c>
      <c r="H2162" s="1" t="s">
        <v>7833</v>
      </c>
      <c r="I2162" t="b">
        <f>COUNTIF(Estadísticas!I:I,'Centraldecomunicacion.es'!H2162)&gt;0</f>
        <v>1</v>
      </c>
    </row>
    <row r="2163" spans="1:9">
      <c r="A2163" s="1" t="s">
        <v>5166</v>
      </c>
      <c r="B2163" s="1" t="s">
        <v>10</v>
      </c>
      <c r="C2163" s="1" t="s">
        <v>7834</v>
      </c>
      <c r="D2163" s="1" t="s">
        <v>7811</v>
      </c>
      <c r="E2163" s="1" t="s">
        <v>3189</v>
      </c>
      <c r="F2163" s="1" t="s">
        <v>23</v>
      </c>
      <c r="G2163" s="1" t="s">
        <v>7835</v>
      </c>
      <c r="H2163" s="1" t="s">
        <v>15</v>
      </c>
      <c r="I2163" t="b">
        <f>COUNTIF(Estadísticas!I:I,'Centraldecomunicacion.es'!H2163)&gt;0</f>
        <v>0</v>
      </c>
    </row>
    <row r="2164" spans="1:9">
      <c r="A2164" s="1" t="s">
        <v>7836</v>
      </c>
      <c r="B2164" s="1" t="s">
        <v>10</v>
      </c>
      <c r="C2164" s="1" t="s">
        <v>7837</v>
      </c>
      <c r="D2164" s="1" t="s">
        <v>7716</v>
      </c>
      <c r="E2164" s="1" t="s">
        <v>3197</v>
      </c>
      <c r="F2164" s="1" t="s">
        <v>23</v>
      </c>
      <c r="G2164" s="1" t="s">
        <v>7838</v>
      </c>
      <c r="H2164" s="1" t="s">
        <v>15</v>
      </c>
      <c r="I2164" t="b">
        <f>COUNTIF(Estadísticas!I:I,'Centraldecomunicacion.es'!H2164)&gt;0</f>
        <v>0</v>
      </c>
    </row>
    <row r="2165" spans="1:9">
      <c r="A2165" s="1" t="s">
        <v>7839</v>
      </c>
      <c r="B2165" s="1" t="s">
        <v>10</v>
      </c>
      <c r="C2165" s="1" t="s">
        <v>7840</v>
      </c>
      <c r="D2165" s="1" t="s">
        <v>7716</v>
      </c>
      <c r="E2165" s="1" t="s">
        <v>3189</v>
      </c>
      <c r="F2165" s="1" t="s">
        <v>23</v>
      </c>
      <c r="G2165" s="1" t="s">
        <v>7841</v>
      </c>
      <c r="H2165" s="1" t="s">
        <v>15</v>
      </c>
      <c r="I2165" t="b">
        <f>COUNTIF(Estadísticas!I:I,'Centraldecomunicacion.es'!H2165)&gt;0</f>
        <v>0</v>
      </c>
    </row>
    <row r="2166" spans="1:9">
      <c r="A2166" s="1" t="s">
        <v>7842</v>
      </c>
      <c r="B2166" s="1" t="s">
        <v>10</v>
      </c>
      <c r="C2166" s="1" t="s">
        <v>7843</v>
      </c>
      <c r="D2166" s="1" t="s">
        <v>5427</v>
      </c>
      <c r="E2166" s="1" t="s">
        <v>3189</v>
      </c>
      <c r="F2166" s="1" t="s">
        <v>23</v>
      </c>
      <c r="G2166" s="1" t="s">
        <v>7844</v>
      </c>
      <c r="H2166" s="1" t="s">
        <v>15</v>
      </c>
      <c r="I2166" t="b">
        <f>COUNTIF(Estadísticas!I:I,'Centraldecomunicacion.es'!H2166)&gt;0</f>
        <v>0</v>
      </c>
    </row>
    <row r="2167" spans="1:9">
      <c r="A2167" s="1" t="s">
        <v>986</v>
      </c>
      <c r="B2167" s="1" t="s">
        <v>10</v>
      </c>
      <c r="C2167" s="1" t="s">
        <v>7845</v>
      </c>
      <c r="D2167" s="1" t="s">
        <v>5427</v>
      </c>
      <c r="E2167" s="1" t="s">
        <v>3189</v>
      </c>
      <c r="F2167" s="1" t="s">
        <v>23</v>
      </c>
      <c r="G2167" s="1" t="s">
        <v>7846</v>
      </c>
      <c r="H2167" s="1" t="s">
        <v>15</v>
      </c>
      <c r="I2167" t="b">
        <f>COUNTIF(Estadísticas!I:I,'Centraldecomunicacion.es'!H2167)&gt;0</f>
        <v>0</v>
      </c>
    </row>
    <row r="2168" spans="1:9">
      <c r="A2168" s="1" t="s">
        <v>7626</v>
      </c>
      <c r="B2168" s="1" t="s">
        <v>10</v>
      </c>
      <c r="C2168" s="1" t="s">
        <v>7847</v>
      </c>
      <c r="D2168" s="1" t="s">
        <v>7780</v>
      </c>
      <c r="E2168" s="1" t="s">
        <v>7848</v>
      </c>
      <c r="F2168" s="1" t="s">
        <v>23</v>
      </c>
      <c r="G2168" s="1" t="s">
        <v>7849</v>
      </c>
      <c r="H2168" s="1" t="s">
        <v>15</v>
      </c>
      <c r="I2168" t="b">
        <f>COUNTIF(Estadísticas!I:I,'Centraldecomunicacion.es'!H2168)&gt;0</f>
        <v>0</v>
      </c>
    </row>
    <row r="2169" spans="1:9">
      <c r="A2169" s="1" t="s">
        <v>7850</v>
      </c>
      <c r="B2169" s="1" t="s">
        <v>10</v>
      </c>
      <c r="C2169" s="1" t="s">
        <v>7851</v>
      </c>
      <c r="D2169" s="1" t="s">
        <v>7852</v>
      </c>
      <c r="E2169" s="1" t="s">
        <v>3189</v>
      </c>
      <c r="F2169" s="1" t="s">
        <v>23</v>
      </c>
      <c r="G2169" s="1" t="s">
        <v>7853</v>
      </c>
      <c r="H2169" s="1" t="s">
        <v>15</v>
      </c>
      <c r="I2169" t="b">
        <f>COUNTIF(Estadísticas!I:I,'Centraldecomunicacion.es'!H2169)&gt;0</f>
        <v>0</v>
      </c>
    </row>
    <row r="2170" spans="1:9">
      <c r="A2170" s="1" t="s">
        <v>7854</v>
      </c>
      <c r="B2170" s="1" t="s">
        <v>10</v>
      </c>
      <c r="C2170" s="1" t="s">
        <v>7855</v>
      </c>
      <c r="D2170" s="1" t="s">
        <v>7856</v>
      </c>
      <c r="E2170" s="1" t="s">
        <v>3197</v>
      </c>
      <c r="F2170" s="1" t="s">
        <v>7857</v>
      </c>
      <c r="G2170" s="1" t="s">
        <v>7858</v>
      </c>
      <c r="H2170" s="1" t="s">
        <v>7859</v>
      </c>
      <c r="I2170" t="b">
        <f>COUNTIF(Estadísticas!I:I,'Centraldecomunicacion.es'!H2170)&gt;0</f>
        <v>1</v>
      </c>
    </row>
    <row r="2171" spans="1:9">
      <c r="A2171" s="1" t="s">
        <v>7860</v>
      </c>
      <c r="B2171" s="1" t="s">
        <v>10</v>
      </c>
      <c r="C2171" s="1" t="s">
        <v>7861</v>
      </c>
      <c r="D2171" s="1" t="s">
        <v>3221</v>
      </c>
      <c r="E2171" s="1" t="s">
        <v>3189</v>
      </c>
      <c r="F2171" s="1" t="s">
        <v>23</v>
      </c>
      <c r="G2171" s="1" t="s">
        <v>7862</v>
      </c>
      <c r="H2171" s="1" t="s">
        <v>15</v>
      </c>
      <c r="I2171" t="b">
        <f>COUNTIF(Estadísticas!I:I,'Centraldecomunicacion.es'!H2171)&gt;0</f>
        <v>0</v>
      </c>
    </row>
    <row r="2172" spans="1:9">
      <c r="A2172" s="1" t="s">
        <v>10</v>
      </c>
      <c r="B2172" s="1" t="s">
        <v>10</v>
      </c>
      <c r="C2172" s="1" t="s">
        <v>7863</v>
      </c>
      <c r="D2172" s="1" t="s">
        <v>3193</v>
      </c>
      <c r="E2172" s="1" t="s">
        <v>7848</v>
      </c>
      <c r="F2172" s="1" t="s">
        <v>23</v>
      </c>
      <c r="G2172" s="1" t="s">
        <v>23</v>
      </c>
      <c r="H2172" s="1" t="s">
        <v>15</v>
      </c>
      <c r="I2172" t="b">
        <f>COUNTIF(Estadísticas!I:I,'Centraldecomunicacion.es'!H2172)&gt;0</f>
        <v>0</v>
      </c>
    </row>
    <row r="2173" spans="1:9">
      <c r="A2173" s="1" t="s">
        <v>7864</v>
      </c>
      <c r="B2173" s="1" t="s">
        <v>10</v>
      </c>
      <c r="C2173" s="1" t="s">
        <v>7865</v>
      </c>
      <c r="D2173" s="1" t="s">
        <v>7866</v>
      </c>
      <c r="E2173" s="1" t="s">
        <v>3189</v>
      </c>
      <c r="F2173" s="1" t="s">
        <v>23</v>
      </c>
      <c r="G2173" s="1" t="s">
        <v>7867</v>
      </c>
      <c r="H2173" s="1" t="s">
        <v>15</v>
      </c>
      <c r="I2173" t="b">
        <f>COUNTIF(Estadísticas!I:I,'Centraldecomunicacion.es'!H2173)&gt;0</f>
        <v>0</v>
      </c>
    </row>
    <row r="2174" spans="1:9">
      <c r="A2174" s="1" t="s">
        <v>7868</v>
      </c>
      <c r="B2174" s="1" t="s">
        <v>10</v>
      </c>
      <c r="C2174" s="1" t="s">
        <v>7869</v>
      </c>
      <c r="D2174" s="1" t="s">
        <v>3206</v>
      </c>
      <c r="E2174" s="1" t="s">
        <v>3197</v>
      </c>
      <c r="F2174" s="1" t="s">
        <v>23</v>
      </c>
      <c r="G2174" s="1" t="s">
        <v>7870</v>
      </c>
      <c r="H2174" s="1" t="s">
        <v>15</v>
      </c>
      <c r="I2174" t="b">
        <f>COUNTIF(Estadísticas!I:I,'Centraldecomunicacion.es'!H2174)&gt;0</f>
        <v>0</v>
      </c>
    </row>
    <row r="2175" spans="1:9">
      <c r="A2175" s="1" t="s">
        <v>7871</v>
      </c>
      <c r="B2175" s="1" t="s">
        <v>10</v>
      </c>
      <c r="C2175" s="1" t="s">
        <v>7872</v>
      </c>
      <c r="D2175" s="1" t="s">
        <v>5427</v>
      </c>
      <c r="E2175" s="1" t="s">
        <v>3189</v>
      </c>
      <c r="F2175" s="1" t="s">
        <v>23</v>
      </c>
      <c r="G2175" s="1" t="s">
        <v>7873</v>
      </c>
      <c r="H2175" s="1" t="s">
        <v>15</v>
      </c>
      <c r="I2175" t="b">
        <f>COUNTIF(Estadísticas!I:I,'Centraldecomunicacion.es'!H2175)&gt;0</f>
        <v>0</v>
      </c>
    </row>
    <row r="2176" spans="1:9">
      <c r="A2176" s="1" t="s">
        <v>7874</v>
      </c>
      <c r="B2176" s="1" t="s">
        <v>10</v>
      </c>
      <c r="C2176" s="1" t="s">
        <v>7875</v>
      </c>
      <c r="D2176" s="1" t="s">
        <v>5427</v>
      </c>
      <c r="E2176" s="1" t="s">
        <v>3189</v>
      </c>
      <c r="F2176" s="1" t="s">
        <v>7876</v>
      </c>
      <c r="G2176" s="1" t="s">
        <v>7877</v>
      </c>
      <c r="H2176" s="1" t="s">
        <v>7878</v>
      </c>
      <c r="I2176" t="b">
        <f>COUNTIF(Estadísticas!I:I,'Centraldecomunicacion.es'!H2176)&gt;0</f>
        <v>0</v>
      </c>
    </row>
    <row r="2177" spans="1:9">
      <c r="A2177" s="1" t="s">
        <v>7879</v>
      </c>
      <c r="B2177" s="1" t="s">
        <v>10</v>
      </c>
      <c r="C2177" s="1" t="s">
        <v>7880</v>
      </c>
      <c r="D2177" s="1" t="s">
        <v>7856</v>
      </c>
      <c r="E2177" s="1" t="s">
        <v>3189</v>
      </c>
      <c r="F2177" s="1" t="s">
        <v>811</v>
      </c>
      <c r="G2177" s="1" t="s">
        <v>7881</v>
      </c>
      <c r="H2177" s="1" t="s">
        <v>15</v>
      </c>
      <c r="I2177" t="b">
        <f>COUNTIF(Estadísticas!I:I,'Centraldecomunicacion.es'!H2177)&gt;0</f>
        <v>0</v>
      </c>
    </row>
    <row r="2178" spans="1:9">
      <c r="A2178" s="1" t="s">
        <v>7882</v>
      </c>
      <c r="B2178" s="1" t="s">
        <v>10</v>
      </c>
      <c r="C2178" s="1" t="s">
        <v>7883</v>
      </c>
      <c r="D2178" s="1" t="s">
        <v>7884</v>
      </c>
      <c r="E2178" s="1" t="s">
        <v>7029</v>
      </c>
      <c r="F2178" s="1" t="s">
        <v>7885</v>
      </c>
      <c r="G2178" s="1" t="s">
        <v>7886</v>
      </c>
      <c r="H2178" s="1" t="s">
        <v>15</v>
      </c>
      <c r="I2178" t="b">
        <f>COUNTIF(Estadísticas!I:I,'Centraldecomunicacion.es'!H2178)&gt;0</f>
        <v>0</v>
      </c>
    </row>
    <row r="2179" spans="1:9">
      <c r="A2179" s="1" t="s">
        <v>7887</v>
      </c>
      <c r="B2179" s="1" t="s">
        <v>10</v>
      </c>
      <c r="C2179" s="1" t="s">
        <v>7888</v>
      </c>
      <c r="D2179" s="1" t="s">
        <v>7889</v>
      </c>
      <c r="E2179" s="1" t="s">
        <v>7890</v>
      </c>
      <c r="F2179" s="1" t="s">
        <v>23</v>
      </c>
      <c r="G2179" s="1" t="s">
        <v>7891</v>
      </c>
      <c r="H2179" s="1" t="s">
        <v>15</v>
      </c>
      <c r="I2179" t="b">
        <f>COUNTIF(Estadísticas!I:I,'Centraldecomunicacion.es'!H2179)&gt;0</f>
        <v>0</v>
      </c>
    </row>
    <row r="2180" spans="1:9">
      <c r="A2180" s="1" t="s">
        <v>7892</v>
      </c>
      <c r="B2180" s="1" t="s">
        <v>10</v>
      </c>
      <c r="C2180" s="1" t="s">
        <v>7893</v>
      </c>
      <c r="D2180" s="1" t="s">
        <v>7894</v>
      </c>
      <c r="E2180" s="1" t="s">
        <v>7890</v>
      </c>
      <c r="F2180" s="1" t="s">
        <v>23</v>
      </c>
      <c r="G2180" s="1" t="s">
        <v>7895</v>
      </c>
      <c r="H2180" s="1" t="s">
        <v>15</v>
      </c>
      <c r="I2180" t="b">
        <f>COUNTIF(Estadísticas!I:I,'Centraldecomunicacion.es'!H2180)&gt;0</f>
        <v>0</v>
      </c>
    </row>
    <row r="2181" spans="1:9">
      <c r="A2181" s="1" t="s">
        <v>7896</v>
      </c>
      <c r="B2181" s="1" t="s">
        <v>10</v>
      </c>
      <c r="C2181" s="1" t="s">
        <v>7897</v>
      </c>
      <c r="D2181" s="1" t="s">
        <v>7898</v>
      </c>
      <c r="E2181" s="1" t="s">
        <v>7890</v>
      </c>
      <c r="F2181" s="1" t="s">
        <v>23</v>
      </c>
      <c r="G2181" s="1" t="s">
        <v>7899</v>
      </c>
      <c r="H2181" s="1" t="s">
        <v>15</v>
      </c>
      <c r="I2181" t="b">
        <f>COUNTIF(Estadísticas!I:I,'Centraldecomunicacion.es'!H2181)&gt;0</f>
        <v>0</v>
      </c>
    </row>
    <row r="2182" spans="1:9">
      <c r="A2182" s="1" t="s">
        <v>7900</v>
      </c>
      <c r="B2182" s="1" t="s">
        <v>10</v>
      </c>
      <c r="C2182" s="1" t="s">
        <v>7901</v>
      </c>
      <c r="D2182" s="1" t="s">
        <v>7902</v>
      </c>
      <c r="E2182" s="1" t="s">
        <v>7890</v>
      </c>
      <c r="F2182" s="1" t="s">
        <v>7903</v>
      </c>
      <c r="G2182" s="1" t="s">
        <v>7904</v>
      </c>
      <c r="H2182" s="1" t="s">
        <v>7905</v>
      </c>
      <c r="I2182" t="b">
        <f>COUNTIF(Estadísticas!I:I,'Centraldecomunicacion.es'!H2182)&gt;0</f>
        <v>0</v>
      </c>
    </row>
    <row r="2183" spans="1:9">
      <c r="A2183" s="1" t="s">
        <v>7906</v>
      </c>
      <c r="B2183" s="1" t="s">
        <v>10</v>
      </c>
      <c r="C2183" s="1" t="s">
        <v>7907</v>
      </c>
      <c r="D2183" s="1" t="s">
        <v>7902</v>
      </c>
      <c r="E2183" s="1" t="s">
        <v>7890</v>
      </c>
      <c r="F2183" s="1" t="s">
        <v>23</v>
      </c>
      <c r="G2183" s="1" t="s">
        <v>7908</v>
      </c>
      <c r="H2183" s="1" t="s">
        <v>15</v>
      </c>
      <c r="I2183" t="b">
        <f>COUNTIF(Estadísticas!I:I,'Centraldecomunicacion.es'!H2183)&gt;0</f>
        <v>0</v>
      </c>
    </row>
    <row r="2184" spans="1:9">
      <c r="A2184" s="1" t="s">
        <v>7909</v>
      </c>
      <c r="B2184" s="1" t="s">
        <v>10</v>
      </c>
      <c r="C2184" s="1" t="s">
        <v>7910</v>
      </c>
      <c r="D2184" s="1" t="s">
        <v>7911</v>
      </c>
      <c r="E2184" s="1" t="s">
        <v>7890</v>
      </c>
      <c r="F2184" s="1" t="s">
        <v>23</v>
      </c>
      <c r="G2184" s="1" t="s">
        <v>7912</v>
      </c>
      <c r="H2184" s="1" t="s">
        <v>15</v>
      </c>
      <c r="I2184" t="b">
        <f>COUNTIF(Estadísticas!I:I,'Centraldecomunicacion.es'!H2184)&gt;0</f>
        <v>0</v>
      </c>
    </row>
    <row r="2185" spans="1:9">
      <c r="A2185" s="1" t="s">
        <v>7913</v>
      </c>
      <c r="B2185" s="1" t="s">
        <v>10</v>
      </c>
      <c r="C2185" s="1" t="s">
        <v>7914</v>
      </c>
      <c r="D2185" s="1" t="s">
        <v>7915</v>
      </c>
      <c r="E2185" s="1" t="s">
        <v>7890</v>
      </c>
      <c r="F2185" s="1" t="s">
        <v>23</v>
      </c>
      <c r="G2185" s="1" t="s">
        <v>7916</v>
      </c>
      <c r="H2185" s="1" t="s">
        <v>15</v>
      </c>
      <c r="I2185" t="b">
        <f>COUNTIF(Estadísticas!I:I,'Centraldecomunicacion.es'!H2185)&gt;0</f>
        <v>0</v>
      </c>
    </row>
    <row r="2186" spans="1:9">
      <c r="A2186" s="1" t="s">
        <v>7917</v>
      </c>
      <c r="B2186" s="1" t="s">
        <v>10</v>
      </c>
      <c r="C2186" s="1" t="s">
        <v>7918</v>
      </c>
      <c r="D2186" s="1" t="s">
        <v>7919</v>
      </c>
      <c r="E2186" s="1" t="s">
        <v>7890</v>
      </c>
      <c r="F2186" s="1" t="s">
        <v>23</v>
      </c>
      <c r="G2186" s="1" t="s">
        <v>7920</v>
      </c>
      <c r="H2186" s="1" t="s">
        <v>15</v>
      </c>
      <c r="I2186" t="b">
        <f>COUNTIF(Estadísticas!I:I,'Centraldecomunicacion.es'!H2186)&gt;0</f>
        <v>0</v>
      </c>
    </row>
    <row r="2187" spans="1:9">
      <c r="A2187" s="1" t="s">
        <v>7921</v>
      </c>
      <c r="B2187" s="1" t="s">
        <v>10</v>
      </c>
      <c r="C2187" s="1" t="s">
        <v>7922</v>
      </c>
      <c r="D2187" s="1" t="s">
        <v>7028</v>
      </c>
      <c r="E2187" s="1" t="s">
        <v>7029</v>
      </c>
      <c r="F2187" s="1" t="s">
        <v>23</v>
      </c>
      <c r="G2187" s="1" t="s">
        <v>7923</v>
      </c>
      <c r="H2187" s="1" t="s">
        <v>15</v>
      </c>
      <c r="I2187" t="b">
        <f>COUNTIF(Estadísticas!I:I,'Centraldecomunicacion.es'!H2187)&gt;0</f>
        <v>0</v>
      </c>
    </row>
    <row r="2188" spans="1:9">
      <c r="A2188" s="1" t="s">
        <v>7924</v>
      </c>
      <c r="B2188" s="1" t="s">
        <v>10</v>
      </c>
      <c r="C2188" s="1" t="s">
        <v>7925</v>
      </c>
      <c r="D2188" s="1" t="s">
        <v>7028</v>
      </c>
      <c r="E2188" s="1" t="s">
        <v>7029</v>
      </c>
      <c r="F2188" s="1" t="s">
        <v>23</v>
      </c>
      <c r="G2188" s="1" t="s">
        <v>7926</v>
      </c>
      <c r="H2188" s="1" t="s">
        <v>15</v>
      </c>
      <c r="I2188" t="b">
        <f>COUNTIF(Estadísticas!I:I,'Centraldecomunicacion.es'!H2188)&gt;0</f>
        <v>0</v>
      </c>
    </row>
    <row r="2189" spans="1:9">
      <c r="A2189" s="1" t="s">
        <v>7927</v>
      </c>
      <c r="B2189" s="1" t="s">
        <v>10</v>
      </c>
      <c r="C2189" s="1" t="s">
        <v>7928</v>
      </c>
      <c r="D2189" s="1" t="s">
        <v>7028</v>
      </c>
      <c r="E2189" s="1" t="s">
        <v>7049</v>
      </c>
      <c r="F2189" s="1" t="s">
        <v>23</v>
      </c>
      <c r="G2189" s="1" t="s">
        <v>7929</v>
      </c>
      <c r="H2189" s="1" t="s">
        <v>15</v>
      </c>
      <c r="I2189" t="b">
        <f>COUNTIF(Estadísticas!I:I,'Centraldecomunicacion.es'!H2189)&gt;0</f>
        <v>0</v>
      </c>
    </row>
    <row r="2190" spans="1:9">
      <c r="A2190" s="1" t="s">
        <v>7930</v>
      </c>
      <c r="B2190" s="1" t="s">
        <v>10</v>
      </c>
      <c r="C2190" s="1" t="s">
        <v>7931</v>
      </c>
      <c r="D2190" s="1" t="s">
        <v>7028</v>
      </c>
      <c r="E2190" s="1" t="s">
        <v>7049</v>
      </c>
      <c r="F2190" s="1" t="s">
        <v>23</v>
      </c>
      <c r="G2190" s="1" t="s">
        <v>7923</v>
      </c>
      <c r="H2190" s="1" t="s">
        <v>15</v>
      </c>
      <c r="I2190" t="b">
        <f>COUNTIF(Estadísticas!I:I,'Centraldecomunicacion.es'!H2190)&gt;0</f>
        <v>0</v>
      </c>
    </row>
    <row r="2191" spans="1:9">
      <c r="A2191" s="1" t="s">
        <v>7932</v>
      </c>
      <c r="B2191" s="1" t="s">
        <v>10</v>
      </c>
      <c r="C2191" s="1" t="s">
        <v>7933</v>
      </c>
      <c r="D2191" s="1" t="s">
        <v>7028</v>
      </c>
      <c r="E2191" s="1" t="s">
        <v>7029</v>
      </c>
      <c r="F2191" s="1" t="s">
        <v>23</v>
      </c>
      <c r="G2191" s="1" t="s">
        <v>7934</v>
      </c>
      <c r="H2191" s="1" t="s">
        <v>15</v>
      </c>
      <c r="I2191" t="b">
        <f>COUNTIF(Estadísticas!I:I,'Centraldecomunicacion.es'!H2191)&gt;0</f>
        <v>0</v>
      </c>
    </row>
    <row r="2192" spans="1:9">
      <c r="A2192" s="1" t="s">
        <v>7935</v>
      </c>
      <c r="B2192" s="1" t="s">
        <v>10</v>
      </c>
      <c r="C2192" s="1" t="s">
        <v>7936</v>
      </c>
      <c r="D2192" s="1" t="s">
        <v>7028</v>
      </c>
      <c r="E2192" s="1" t="s">
        <v>7049</v>
      </c>
      <c r="F2192" s="1" t="s">
        <v>7937</v>
      </c>
      <c r="G2192" s="1" t="s">
        <v>7938</v>
      </c>
      <c r="H2192" s="1" t="s">
        <v>7939</v>
      </c>
      <c r="I2192" t="b">
        <f>COUNTIF(Estadísticas!I:I,'Centraldecomunicacion.es'!H2192)&gt;0</f>
        <v>0</v>
      </c>
    </row>
    <row r="2193" spans="1:9">
      <c r="A2193" s="1" t="s">
        <v>7940</v>
      </c>
      <c r="B2193" s="1" t="s">
        <v>10</v>
      </c>
      <c r="C2193" s="1" t="s">
        <v>7941</v>
      </c>
      <c r="D2193" s="1" t="s">
        <v>7028</v>
      </c>
      <c r="E2193" s="1" t="s">
        <v>7029</v>
      </c>
      <c r="F2193" s="1" t="s">
        <v>7942</v>
      </c>
      <c r="G2193" s="1" t="s">
        <v>7943</v>
      </c>
      <c r="H2193" s="1" t="s">
        <v>7944</v>
      </c>
      <c r="I2193" t="b">
        <f>COUNTIF(Estadísticas!I:I,'Centraldecomunicacion.es'!H2193)&gt;0</f>
        <v>0</v>
      </c>
    </row>
    <row r="2194" spans="1:9">
      <c r="A2194" s="1" t="s">
        <v>7945</v>
      </c>
      <c r="B2194" s="1" t="s">
        <v>10</v>
      </c>
      <c r="C2194" s="1" t="s">
        <v>7946</v>
      </c>
      <c r="D2194" s="1" t="s">
        <v>7028</v>
      </c>
      <c r="E2194" s="1" t="s">
        <v>7029</v>
      </c>
      <c r="F2194" s="1" t="s">
        <v>23</v>
      </c>
      <c r="G2194" s="1" t="s">
        <v>7947</v>
      </c>
      <c r="H2194" s="1" t="s">
        <v>15</v>
      </c>
      <c r="I2194" t="b">
        <f>COUNTIF(Estadísticas!I:I,'Centraldecomunicacion.es'!H2194)&gt;0</f>
        <v>0</v>
      </c>
    </row>
    <row r="2195" spans="1:9">
      <c r="A2195" s="1" t="s">
        <v>7948</v>
      </c>
      <c r="B2195" s="1" t="s">
        <v>10</v>
      </c>
      <c r="C2195" s="1" t="s">
        <v>7949</v>
      </c>
      <c r="D2195" s="1" t="s">
        <v>7950</v>
      </c>
      <c r="E2195" s="1" t="s">
        <v>7890</v>
      </c>
      <c r="F2195" s="1" t="s">
        <v>7951</v>
      </c>
      <c r="G2195" s="1" t="s">
        <v>23</v>
      </c>
      <c r="H2195" s="1" t="s">
        <v>7952</v>
      </c>
      <c r="I2195" t="b">
        <f>COUNTIF(Estadísticas!I:I,'Centraldecomunicacion.es'!H2195)&gt;0</f>
        <v>0</v>
      </c>
    </row>
    <row r="2196" spans="1:9">
      <c r="A2196" s="1" t="s">
        <v>7948</v>
      </c>
      <c r="B2196" s="1" t="s">
        <v>10</v>
      </c>
      <c r="C2196" s="1" t="s">
        <v>7953</v>
      </c>
      <c r="D2196" s="1" t="s">
        <v>7950</v>
      </c>
      <c r="E2196" s="1" t="s">
        <v>7890</v>
      </c>
      <c r="F2196" s="1" t="s">
        <v>23</v>
      </c>
      <c r="G2196" s="1" t="s">
        <v>7954</v>
      </c>
      <c r="H2196" s="1" t="s">
        <v>15</v>
      </c>
      <c r="I2196" t="b">
        <f>COUNTIF(Estadísticas!I:I,'Centraldecomunicacion.es'!H2196)&gt;0</f>
        <v>0</v>
      </c>
    </row>
    <row r="2197" spans="1:9">
      <c r="A2197" s="1" t="s">
        <v>7955</v>
      </c>
      <c r="B2197" s="1" t="s">
        <v>10</v>
      </c>
      <c r="C2197" s="1" t="s">
        <v>7956</v>
      </c>
      <c r="D2197" s="1" t="s">
        <v>7028</v>
      </c>
      <c r="E2197" s="1" t="s">
        <v>7049</v>
      </c>
      <c r="F2197" s="1" t="s">
        <v>7957</v>
      </c>
      <c r="G2197" s="1" t="s">
        <v>7958</v>
      </c>
      <c r="H2197" s="1" t="s">
        <v>7959</v>
      </c>
      <c r="I2197" t="b">
        <f>COUNTIF(Estadísticas!I:I,'Centraldecomunicacion.es'!H2197)&gt;0</f>
        <v>0</v>
      </c>
    </row>
    <row r="2198" spans="1:9">
      <c r="A2198" s="1" t="s">
        <v>7960</v>
      </c>
      <c r="B2198" s="1" t="s">
        <v>10</v>
      </c>
      <c r="C2198" s="1" t="s">
        <v>7961</v>
      </c>
      <c r="D2198" s="1" t="s">
        <v>7962</v>
      </c>
      <c r="E2198" s="1" t="s">
        <v>7890</v>
      </c>
      <c r="F2198" s="1" t="s">
        <v>7963</v>
      </c>
      <c r="G2198" s="1" t="s">
        <v>7964</v>
      </c>
      <c r="H2198" s="1" t="s">
        <v>15</v>
      </c>
      <c r="I2198" t="b">
        <f>COUNTIF(Estadísticas!I:I,'Centraldecomunicacion.es'!H2198)&gt;0</f>
        <v>0</v>
      </c>
    </row>
    <row r="2199" spans="1:9">
      <c r="A2199" s="1" t="s">
        <v>7965</v>
      </c>
      <c r="B2199" s="1" t="s">
        <v>10</v>
      </c>
      <c r="C2199" s="1" t="s">
        <v>7966</v>
      </c>
      <c r="D2199" s="1" t="s">
        <v>7962</v>
      </c>
      <c r="E2199" s="1" t="s">
        <v>7890</v>
      </c>
      <c r="F2199" s="1" t="s">
        <v>23</v>
      </c>
      <c r="G2199" s="1" t="s">
        <v>7967</v>
      </c>
      <c r="H2199" s="1" t="s">
        <v>15</v>
      </c>
      <c r="I2199" t="b">
        <f>COUNTIF(Estadísticas!I:I,'Centraldecomunicacion.es'!H2199)&gt;0</f>
        <v>0</v>
      </c>
    </row>
    <row r="2200" spans="1:9">
      <c r="A2200" s="1" t="s">
        <v>7968</v>
      </c>
      <c r="B2200" s="1" t="s">
        <v>10</v>
      </c>
      <c r="C2200" s="1" t="s">
        <v>7969</v>
      </c>
      <c r="D2200" s="1" t="s">
        <v>7970</v>
      </c>
      <c r="E2200" s="1" t="s">
        <v>7890</v>
      </c>
      <c r="F2200" s="1" t="s">
        <v>7971</v>
      </c>
      <c r="G2200" s="1" t="s">
        <v>7972</v>
      </c>
      <c r="H2200" s="1" t="s">
        <v>15</v>
      </c>
      <c r="I2200" t="b">
        <f>COUNTIF(Estadísticas!I:I,'Centraldecomunicacion.es'!H2200)&gt;0</f>
        <v>0</v>
      </c>
    </row>
    <row r="2201" spans="1:9">
      <c r="A2201" s="1" t="s">
        <v>7973</v>
      </c>
      <c r="B2201" s="1" t="s">
        <v>10</v>
      </c>
      <c r="C2201" s="1" t="s">
        <v>7974</v>
      </c>
      <c r="D2201" s="1" t="s">
        <v>7962</v>
      </c>
      <c r="E2201" s="1" t="s">
        <v>7890</v>
      </c>
      <c r="F2201" s="1" t="s">
        <v>7975</v>
      </c>
      <c r="G2201" s="1" t="s">
        <v>7976</v>
      </c>
      <c r="H2201" s="1" t="s">
        <v>15</v>
      </c>
      <c r="I2201" t="b">
        <f>COUNTIF(Estadísticas!I:I,'Centraldecomunicacion.es'!H2201)&gt;0</f>
        <v>0</v>
      </c>
    </row>
    <row r="2202" spans="1:9">
      <c r="A2202" s="1" t="s">
        <v>7977</v>
      </c>
      <c r="B2202" s="1" t="s">
        <v>10</v>
      </c>
      <c r="C2202" s="1" t="s">
        <v>7978</v>
      </c>
      <c r="D2202" s="1" t="s">
        <v>7962</v>
      </c>
      <c r="E2202" s="1" t="s">
        <v>7890</v>
      </c>
      <c r="F2202" s="1" t="s">
        <v>23</v>
      </c>
      <c r="G2202" s="1" t="s">
        <v>7979</v>
      </c>
      <c r="H2202" s="1" t="s">
        <v>15</v>
      </c>
      <c r="I2202" t="b">
        <f>COUNTIF(Estadísticas!I:I,'Centraldecomunicacion.es'!H2202)&gt;0</f>
        <v>0</v>
      </c>
    </row>
    <row r="2203" spans="1:9">
      <c r="A2203" s="1" t="s">
        <v>7980</v>
      </c>
      <c r="B2203" s="1" t="s">
        <v>10</v>
      </c>
      <c r="C2203" s="1" t="s">
        <v>7981</v>
      </c>
      <c r="D2203" s="1" t="s">
        <v>7982</v>
      </c>
      <c r="E2203" s="1" t="s">
        <v>7890</v>
      </c>
      <c r="F2203" s="1" t="s">
        <v>23</v>
      </c>
      <c r="G2203" s="1" t="s">
        <v>7983</v>
      </c>
      <c r="H2203" s="1" t="s">
        <v>15</v>
      </c>
      <c r="I2203" t="b">
        <f>COUNTIF(Estadísticas!I:I,'Centraldecomunicacion.es'!H2203)&gt;0</f>
        <v>0</v>
      </c>
    </row>
    <row r="2204" spans="1:9">
      <c r="A2204" s="1" t="s">
        <v>7984</v>
      </c>
      <c r="B2204" s="1" t="s">
        <v>10</v>
      </c>
      <c r="C2204" s="1" t="s">
        <v>7985</v>
      </c>
      <c r="D2204" s="1" t="s">
        <v>7986</v>
      </c>
      <c r="E2204" s="1" t="s">
        <v>7890</v>
      </c>
      <c r="F2204" s="1" t="s">
        <v>23</v>
      </c>
      <c r="G2204" s="1" t="s">
        <v>7987</v>
      </c>
      <c r="H2204" s="1" t="s">
        <v>15</v>
      </c>
      <c r="I2204" t="b">
        <f>COUNTIF(Estadísticas!I:I,'Centraldecomunicacion.es'!H2204)&gt;0</f>
        <v>0</v>
      </c>
    </row>
    <row r="2205" spans="1:9">
      <c r="A2205" s="1" t="s">
        <v>7988</v>
      </c>
      <c r="B2205" s="1" t="s">
        <v>10</v>
      </c>
      <c r="C2205" s="1" t="s">
        <v>7989</v>
      </c>
      <c r="D2205" s="1" t="s">
        <v>7990</v>
      </c>
      <c r="E2205" s="1" t="s">
        <v>7890</v>
      </c>
      <c r="F2205" s="1" t="s">
        <v>7991</v>
      </c>
      <c r="G2205" s="1" t="s">
        <v>7992</v>
      </c>
      <c r="H2205" s="1" t="s">
        <v>7993</v>
      </c>
      <c r="I2205" t="b">
        <f>COUNTIF(Estadísticas!I:I,'Centraldecomunicacion.es'!H2205)&gt;0</f>
        <v>0</v>
      </c>
    </row>
    <row r="2206" spans="1:9">
      <c r="A2206" s="1" t="s">
        <v>7994</v>
      </c>
      <c r="B2206" s="1" t="s">
        <v>10</v>
      </c>
      <c r="C2206" s="1" t="s">
        <v>7995</v>
      </c>
      <c r="D2206" s="1" t="s">
        <v>7986</v>
      </c>
      <c r="E2206" s="1" t="s">
        <v>7890</v>
      </c>
      <c r="F2206" s="1" t="s">
        <v>23</v>
      </c>
      <c r="G2206" s="1" t="s">
        <v>7996</v>
      </c>
      <c r="H2206" s="1" t="s">
        <v>15</v>
      </c>
      <c r="I2206" t="b">
        <f>COUNTIF(Estadísticas!I:I,'Centraldecomunicacion.es'!H2206)&gt;0</f>
        <v>0</v>
      </c>
    </row>
    <row r="2207" spans="1:9">
      <c r="A2207" s="1" t="s">
        <v>7997</v>
      </c>
      <c r="B2207" s="1" t="s">
        <v>10</v>
      </c>
      <c r="C2207" s="1" t="s">
        <v>7998</v>
      </c>
      <c r="D2207" s="1" t="s">
        <v>7962</v>
      </c>
      <c r="E2207" s="1" t="s">
        <v>7890</v>
      </c>
      <c r="F2207" s="1" t="s">
        <v>23</v>
      </c>
      <c r="G2207" s="1" t="s">
        <v>7999</v>
      </c>
      <c r="H2207" s="1" t="s">
        <v>15</v>
      </c>
      <c r="I2207" t="b">
        <f>COUNTIF(Estadísticas!I:I,'Centraldecomunicacion.es'!H2207)&gt;0</f>
        <v>0</v>
      </c>
    </row>
    <row r="2208" spans="1:9">
      <c r="A2208" s="1" t="s">
        <v>8000</v>
      </c>
      <c r="B2208" s="1" t="s">
        <v>10</v>
      </c>
      <c r="C2208" s="1" t="s">
        <v>8001</v>
      </c>
      <c r="D2208" s="1" t="s">
        <v>7986</v>
      </c>
      <c r="E2208" s="1" t="s">
        <v>7890</v>
      </c>
      <c r="F2208" s="1" t="s">
        <v>81</v>
      </c>
      <c r="G2208" s="1" t="s">
        <v>8002</v>
      </c>
      <c r="H2208" s="1" t="s">
        <v>83</v>
      </c>
      <c r="I2208" t="b">
        <f>COUNTIF(Estadísticas!I:I,'Centraldecomunicacion.es'!H2208)&gt;0</f>
        <v>0</v>
      </c>
    </row>
    <row r="2209" spans="1:9">
      <c r="A2209" s="1" t="s">
        <v>8003</v>
      </c>
      <c r="B2209" s="1" t="s">
        <v>10</v>
      </c>
      <c r="C2209" s="1" t="s">
        <v>8004</v>
      </c>
      <c r="D2209" s="1" t="s">
        <v>7962</v>
      </c>
      <c r="E2209" s="1" t="s">
        <v>7890</v>
      </c>
      <c r="F2209" s="1" t="s">
        <v>23</v>
      </c>
      <c r="G2209" s="1" t="s">
        <v>8005</v>
      </c>
      <c r="H2209" s="1" t="s">
        <v>15</v>
      </c>
      <c r="I2209" t="b">
        <f>COUNTIF(Estadísticas!I:I,'Centraldecomunicacion.es'!H2209)&gt;0</f>
        <v>0</v>
      </c>
    </row>
    <row r="2210" spans="1:9">
      <c r="A2210" s="1" t="s">
        <v>8006</v>
      </c>
      <c r="B2210" s="1" t="s">
        <v>10</v>
      </c>
      <c r="C2210" s="1" t="s">
        <v>8007</v>
      </c>
      <c r="D2210" s="1" t="s">
        <v>7962</v>
      </c>
      <c r="E2210" s="1" t="s">
        <v>7890</v>
      </c>
      <c r="F2210" s="1" t="s">
        <v>8008</v>
      </c>
      <c r="G2210" s="1" t="s">
        <v>8009</v>
      </c>
      <c r="H2210" s="1" t="s">
        <v>8010</v>
      </c>
      <c r="I2210" t="b">
        <f>COUNTIF(Estadísticas!I:I,'Centraldecomunicacion.es'!H2210)&gt;0</f>
        <v>0</v>
      </c>
    </row>
    <row r="2211" spans="1:9">
      <c r="A2211" s="1" t="s">
        <v>8011</v>
      </c>
      <c r="B2211" s="1" t="s">
        <v>10</v>
      </c>
      <c r="C2211" s="1" t="s">
        <v>8012</v>
      </c>
      <c r="D2211" s="1" t="s">
        <v>7990</v>
      </c>
      <c r="E2211" s="1" t="s">
        <v>7890</v>
      </c>
      <c r="F2211" s="1" t="s">
        <v>8013</v>
      </c>
      <c r="G2211" s="1" t="s">
        <v>8014</v>
      </c>
      <c r="H2211" s="1" t="s">
        <v>15</v>
      </c>
      <c r="I2211" t="b">
        <f>COUNTIF(Estadísticas!I:I,'Centraldecomunicacion.es'!H2211)&gt;0</f>
        <v>0</v>
      </c>
    </row>
    <row r="2212" spans="1:9">
      <c r="A2212" s="1" t="s">
        <v>8015</v>
      </c>
      <c r="B2212" s="1" t="s">
        <v>10</v>
      </c>
      <c r="C2212" s="1" t="s">
        <v>8016</v>
      </c>
      <c r="D2212" s="1" t="s">
        <v>7970</v>
      </c>
      <c r="E2212" s="1" t="s">
        <v>7890</v>
      </c>
      <c r="F2212" s="1" t="s">
        <v>23</v>
      </c>
      <c r="G2212" s="1" t="s">
        <v>8017</v>
      </c>
      <c r="H2212" s="1" t="s">
        <v>15</v>
      </c>
      <c r="I2212" t="b">
        <f>COUNTIF(Estadísticas!I:I,'Centraldecomunicacion.es'!H2212)&gt;0</f>
        <v>0</v>
      </c>
    </row>
    <row r="2213" spans="1:9">
      <c r="A2213" s="1" t="s">
        <v>8018</v>
      </c>
      <c r="B2213" s="1" t="s">
        <v>10</v>
      </c>
      <c r="C2213" s="1" t="s">
        <v>8019</v>
      </c>
      <c r="D2213" s="1" t="s">
        <v>7982</v>
      </c>
      <c r="E2213" s="1" t="s">
        <v>7890</v>
      </c>
      <c r="F2213" s="1" t="s">
        <v>23</v>
      </c>
      <c r="G2213" s="1" t="s">
        <v>8020</v>
      </c>
      <c r="H2213" s="1" t="s">
        <v>15</v>
      </c>
      <c r="I2213" t="b">
        <f>COUNTIF(Estadísticas!I:I,'Centraldecomunicacion.es'!H2213)&gt;0</f>
        <v>0</v>
      </c>
    </row>
    <row r="2214" spans="1:9">
      <c r="A2214" s="1" t="s">
        <v>8021</v>
      </c>
      <c r="B2214" s="1" t="s">
        <v>10</v>
      </c>
      <c r="C2214" s="1" t="s">
        <v>8022</v>
      </c>
      <c r="D2214" s="1" t="s">
        <v>7962</v>
      </c>
      <c r="E2214" s="1" t="s">
        <v>7890</v>
      </c>
      <c r="F2214" s="1" t="s">
        <v>23</v>
      </c>
      <c r="G2214" s="1" t="s">
        <v>8023</v>
      </c>
      <c r="H2214" s="1" t="s">
        <v>15</v>
      </c>
      <c r="I2214" t="b">
        <f>COUNTIF(Estadísticas!I:I,'Centraldecomunicacion.es'!H2214)&gt;0</f>
        <v>0</v>
      </c>
    </row>
    <row r="2215" spans="1:9">
      <c r="A2215" s="1" t="s">
        <v>8024</v>
      </c>
      <c r="B2215" s="1" t="s">
        <v>10</v>
      </c>
      <c r="C2215" s="1" t="s">
        <v>8025</v>
      </c>
      <c r="D2215" s="1" t="s">
        <v>8026</v>
      </c>
      <c r="E2215" s="1" t="s">
        <v>7890</v>
      </c>
      <c r="F2215" s="1" t="s">
        <v>8027</v>
      </c>
      <c r="G2215" s="1" t="s">
        <v>8028</v>
      </c>
      <c r="H2215" s="1" t="s">
        <v>8029</v>
      </c>
      <c r="I2215" t="b">
        <f>COUNTIF(Estadísticas!I:I,'Centraldecomunicacion.es'!H2215)&gt;0</f>
        <v>0</v>
      </c>
    </row>
    <row r="2216" spans="1:9">
      <c r="A2216" s="1" t="s">
        <v>8030</v>
      </c>
      <c r="B2216" s="1" t="s">
        <v>10</v>
      </c>
      <c r="C2216" s="1" t="s">
        <v>8031</v>
      </c>
      <c r="D2216" s="1" t="s">
        <v>8032</v>
      </c>
      <c r="E2216" s="1" t="s">
        <v>7890</v>
      </c>
      <c r="F2216" s="1" t="s">
        <v>23</v>
      </c>
      <c r="G2216" s="1" t="s">
        <v>8033</v>
      </c>
      <c r="H2216" s="1" t="s">
        <v>15</v>
      </c>
      <c r="I2216" t="b">
        <f>COUNTIF(Estadísticas!I:I,'Centraldecomunicacion.es'!H2216)&gt;0</f>
        <v>0</v>
      </c>
    </row>
    <row r="2217" spans="1:9">
      <c r="A2217" s="1" t="s">
        <v>8034</v>
      </c>
      <c r="B2217" s="1" t="s">
        <v>10</v>
      </c>
      <c r="C2217" s="1" t="s">
        <v>8035</v>
      </c>
      <c r="D2217" s="1" t="s">
        <v>8036</v>
      </c>
      <c r="E2217" s="1" t="s">
        <v>7890</v>
      </c>
      <c r="F2217" s="1" t="s">
        <v>8037</v>
      </c>
      <c r="G2217" s="1" t="s">
        <v>8038</v>
      </c>
      <c r="H2217" s="1" t="s">
        <v>15</v>
      </c>
      <c r="I2217" t="b">
        <f>COUNTIF(Estadísticas!I:I,'Centraldecomunicacion.es'!H2217)&gt;0</f>
        <v>0</v>
      </c>
    </row>
    <row r="2218" spans="1:9">
      <c r="A2218" s="1" t="s">
        <v>8039</v>
      </c>
      <c r="B2218" s="1" t="s">
        <v>10</v>
      </c>
      <c r="C2218" s="1" t="s">
        <v>8040</v>
      </c>
      <c r="D2218" s="1" t="s">
        <v>7962</v>
      </c>
      <c r="E2218" s="1" t="s">
        <v>7890</v>
      </c>
      <c r="F2218" s="1" t="s">
        <v>8041</v>
      </c>
      <c r="G2218" s="1" t="s">
        <v>8042</v>
      </c>
      <c r="H2218" s="1" t="s">
        <v>8043</v>
      </c>
      <c r="I2218" t="b">
        <f>COUNTIF(Estadísticas!I:I,'Centraldecomunicacion.es'!H2218)&gt;0</f>
        <v>1</v>
      </c>
    </row>
    <row r="2219" spans="1:9">
      <c r="A2219" s="1" t="s">
        <v>8044</v>
      </c>
      <c r="B2219" s="1" t="s">
        <v>10</v>
      </c>
      <c r="C2219" s="1" t="s">
        <v>8045</v>
      </c>
      <c r="D2219" s="1" t="s">
        <v>7982</v>
      </c>
      <c r="E2219" s="1" t="s">
        <v>7890</v>
      </c>
      <c r="F2219" s="1" t="s">
        <v>23</v>
      </c>
      <c r="G2219" s="1" t="s">
        <v>23</v>
      </c>
      <c r="H2219" s="1" t="s">
        <v>15</v>
      </c>
      <c r="I2219" t="b">
        <f>COUNTIF(Estadísticas!I:I,'Centraldecomunicacion.es'!H2219)&gt;0</f>
        <v>0</v>
      </c>
    </row>
    <row r="2220" spans="1:9">
      <c r="A2220" s="1" t="s">
        <v>8046</v>
      </c>
      <c r="B2220" s="1" t="s">
        <v>10</v>
      </c>
      <c r="C2220" s="1" t="s">
        <v>8047</v>
      </c>
      <c r="D2220" s="1" t="s">
        <v>8048</v>
      </c>
      <c r="E2220" s="1" t="s">
        <v>7890</v>
      </c>
      <c r="F2220" s="1" t="s">
        <v>23</v>
      </c>
      <c r="G2220" s="1" t="s">
        <v>8049</v>
      </c>
      <c r="H2220" s="1" t="s">
        <v>15</v>
      </c>
      <c r="I2220" t="b">
        <f>COUNTIF(Estadísticas!I:I,'Centraldecomunicacion.es'!H2220)&gt;0</f>
        <v>0</v>
      </c>
    </row>
    <row r="2221" spans="1:9">
      <c r="A2221" s="1" t="s">
        <v>8050</v>
      </c>
      <c r="B2221" s="1" t="s">
        <v>10</v>
      </c>
      <c r="C2221" s="1" t="s">
        <v>8051</v>
      </c>
      <c r="D2221" s="1" t="s">
        <v>8052</v>
      </c>
      <c r="E2221" s="1" t="s">
        <v>7890</v>
      </c>
      <c r="F2221" s="1" t="s">
        <v>23</v>
      </c>
      <c r="G2221" s="1" t="s">
        <v>8053</v>
      </c>
      <c r="H2221" s="1" t="s">
        <v>15</v>
      </c>
      <c r="I2221" t="b">
        <f>COUNTIF(Estadísticas!I:I,'Centraldecomunicacion.es'!H2221)&gt;0</f>
        <v>0</v>
      </c>
    </row>
    <row r="2222" spans="1:9">
      <c r="A2222" s="1" t="s">
        <v>8006</v>
      </c>
      <c r="B2222" s="1" t="s">
        <v>10</v>
      </c>
      <c r="C2222" s="1" t="s">
        <v>8054</v>
      </c>
      <c r="D2222" s="1" t="s">
        <v>7962</v>
      </c>
      <c r="E2222" s="1" t="s">
        <v>7890</v>
      </c>
      <c r="F2222" s="1" t="s">
        <v>8008</v>
      </c>
      <c r="G2222" s="1" t="s">
        <v>8055</v>
      </c>
      <c r="H2222" s="1" t="s">
        <v>8010</v>
      </c>
      <c r="I2222" t="b">
        <f>COUNTIF(Estadísticas!I:I,'Centraldecomunicacion.es'!H2222)&gt;0</f>
        <v>0</v>
      </c>
    </row>
    <row r="2223" spans="1:9">
      <c r="A2223" s="1" t="s">
        <v>8056</v>
      </c>
      <c r="B2223" s="1" t="s">
        <v>10</v>
      </c>
      <c r="C2223" s="1" t="s">
        <v>8057</v>
      </c>
      <c r="D2223" s="1" t="s">
        <v>8052</v>
      </c>
      <c r="E2223" s="1" t="s">
        <v>7890</v>
      </c>
      <c r="F2223" s="1" t="s">
        <v>23</v>
      </c>
      <c r="G2223" s="1" t="s">
        <v>8058</v>
      </c>
      <c r="H2223" s="1" t="s">
        <v>15</v>
      </c>
      <c r="I2223" t="b">
        <f>COUNTIF(Estadísticas!I:I,'Centraldecomunicacion.es'!H2223)&gt;0</f>
        <v>0</v>
      </c>
    </row>
    <row r="2224" spans="1:9">
      <c r="A2224" s="1" t="s">
        <v>8059</v>
      </c>
      <c r="B2224" s="1" t="s">
        <v>10</v>
      </c>
      <c r="C2224" s="1" t="s">
        <v>8060</v>
      </c>
      <c r="D2224" s="1" t="s">
        <v>7970</v>
      </c>
      <c r="E2224" s="1" t="s">
        <v>7890</v>
      </c>
      <c r="F2224" s="1" t="s">
        <v>23</v>
      </c>
      <c r="G2224" s="1" t="s">
        <v>8061</v>
      </c>
      <c r="H2224" s="1" t="s">
        <v>15</v>
      </c>
      <c r="I2224" t="b">
        <f>COUNTIF(Estadísticas!I:I,'Centraldecomunicacion.es'!H2224)&gt;0</f>
        <v>0</v>
      </c>
    </row>
    <row r="2225" spans="1:9">
      <c r="A2225" s="1" t="s">
        <v>308</v>
      </c>
      <c r="B2225" s="1" t="s">
        <v>10</v>
      </c>
      <c r="C2225" s="1" t="s">
        <v>8062</v>
      </c>
      <c r="D2225" s="1" t="s">
        <v>7962</v>
      </c>
      <c r="E2225" s="1" t="s">
        <v>7890</v>
      </c>
      <c r="F2225" s="1" t="s">
        <v>23</v>
      </c>
      <c r="G2225" s="1" t="s">
        <v>8063</v>
      </c>
      <c r="H2225" s="1" t="s">
        <v>15</v>
      </c>
      <c r="I2225" t="b">
        <f>COUNTIF(Estadísticas!I:I,'Centraldecomunicacion.es'!H2225)&gt;0</f>
        <v>0</v>
      </c>
    </row>
    <row r="2226" spans="1:9">
      <c r="A2226" s="1" t="s">
        <v>8064</v>
      </c>
      <c r="B2226" s="1" t="s">
        <v>10</v>
      </c>
      <c r="C2226" s="1" t="s">
        <v>8065</v>
      </c>
      <c r="D2226" s="1" t="s">
        <v>8066</v>
      </c>
      <c r="E2226" s="1" t="s">
        <v>7890</v>
      </c>
      <c r="F2226" s="1" t="s">
        <v>23</v>
      </c>
      <c r="G2226" s="1" t="s">
        <v>8067</v>
      </c>
      <c r="H2226" s="1" t="s">
        <v>15</v>
      </c>
      <c r="I2226" t="b">
        <f>COUNTIF(Estadísticas!I:I,'Centraldecomunicacion.es'!H2226)&gt;0</f>
        <v>0</v>
      </c>
    </row>
    <row r="2227" spans="1:9">
      <c r="A2227" s="1" t="s">
        <v>8068</v>
      </c>
      <c r="B2227" s="1" t="s">
        <v>10</v>
      </c>
      <c r="C2227" s="1" t="s">
        <v>8069</v>
      </c>
      <c r="D2227" s="1" t="s">
        <v>7962</v>
      </c>
      <c r="E2227" s="1" t="s">
        <v>7890</v>
      </c>
      <c r="F2227" s="1" t="s">
        <v>23</v>
      </c>
      <c r="G2227" s="1" t="s">
        <v>8070</v>
      </c>
      <c r="H2227" s="1" t="s">
        <v>15</v>
      </c>
      <c r="I2227" t="b">
        <f>COUNTIF(Estadísticas!I:I,'Centraldecomunicacion.es'!H2227)&gt;0</f>
        <v>0</v>
      </c>
    </row>
    <row r="2228" spans="1:9">
      <c r="A2228" s="1" t="s">
        <v>8071</v>
      </c>
      <c r="B2228" s="1" t="s">
        <v>10</v>
      </c>
      <c r="C2228" s="1" t="s">
        <v>8072</v>
      </c>
      <c r="D2228" s="1" t="s">
        <v>7962</v>
      </c>
      <c r="E2228" s="1" t="s">
        <v>7890</v>
      </c>
      <c r="F2228" s="1" t="s">
        <v>23</v>
      </c>
      <c r="G2228" s="1" t="s">
        <v>8073</v>
      </c>
      <c r="H2228" s="1" t="s">
        <v>15</v>
      </c>
      <c r="I2228" t="b">
        <f>COUNTIF(Estadísticas!I:I,'Centraldecomunicacion.es'!H2228)&gt;0</f>
        <v>0</v>
      </c>
    </row>
    <row r="2229" spans="1:9">
      <c r="A2229" s="1" t="s">
        <v>8074</v>
      </c>
      <c r="B2229" s="1" t="s">
        <v>10</v>
      </c>
      <c r="C2229" s="1" t="s">
        <v>8075</v>
      </c>
      <c r="D2229" s="1" t="s">
        <v>8076</v>
      </c>
      <c r="E2229" s="1" t="s">
        <v>7890</v>
      </c>
      <c r="F2229" s="1" t="s">
        <v>23</v>
      </c>
      <c r="G2229" s="1" t="s">
        <v>8077</v>
      </c>
      <c r="H2229" s="1" t="s">
        <v>15</v>
      </c>
      <c r="I2229" t="b">
        <f>COUNTIF(Estadísticas!I:I,'Centraldecomunicacion.es'!H2229)&gt;0</f>
        <v>0</v>
      </c>
    </row>
    <row r="2230" spans="1:9">
      <c r="A2230" s="1" t="s">
        <v>8078</v>
      </c>
      <c r="B2230" s="1" t="s">
        <v>10</v>
      </c>
      <c r="C2230" s="1" t="s">
        <v>8079</v>
      </c>
      <c r="D2230" s="1" t="s">
        <v>7970</v>
      </c>
      <c r="E2230" s="1" t="s">
        <v>7890</v>
      </c>
      <c r="F2230" s="1" t="s">
        <v>8080</v>
      </c>
      <c r="G2230" s="1" t="s">
        <v>8081</v>
      </c>
      <c r="H2230" s="1" t="s">
        <v>15</v>
      </c>
      <c r="I2230" t="b">
        <f>COUNTIF(Estadísticas!I:I,'Centraldecomunicacion.es'!H2230)&gt;0</f>
        <v>0</v>
      </c>
    </row>
    <row r="2231" spans="1:9">
      <c r="A2231" s="1" t="s">
        <v>8082</v>
      </c>
      <c r="B2231" s="1" t="s">
        <v>10</v>
      </c>
      <c r="C2231" s="1" t="s">
        <v>8083</v>
      </c>
      <c r="D2231" s="1" t="s">
        <v>8084</v>
      </c>
      <c r="E2231" s="1" t="s">
        <v>7890</v>
      </c>
      <c r="F2231" s="1" t="s">
        <v>23</v>
      </c>
      <c r="G2231" s="1" t="s">
        <v>8085</v>
      </c>
      <c r="H2231" s="1" t="s">
        <v>15</v>
      </c>
      <c r="I2231" t="b">
        <f>COUNTIF(Estadísticas!I:I,'Centraldecomunicacion.es'!H2231)&gt;0</f>
        <v>0</v>
      </c>
    </row>
    <row r="2232" spans="1:9">
      <c r="A2232" s="1" t="s">
        <v>8086</v>
      </c>
      <c r="B2232" s="1" t="s">
        <v>10</v>
      </c>
      <c r="C2232" s="1" t="s">
        <v>8087</v>
      </c>
      <c r="D2232" s="1" t="s">
        <v>8076</v>
      </c>
      <c r="E2232" s="1" t="s">
        <v>7890</v>
      </c>
      <c r="F2232" s="1" t="s">
        <v>8088</v>
      </c>
      <c r="G2232" s="1" t="s">
        <v>8089</v>
      </c>
      <c r="H2232" s="1" t="s">
        <v>8090</v>
      </c>
      <c r="I2232" t="b">
        <f>COUNTIF(Estadísticas!I:I,'Centraldecomunicacion.es'!H2232)&gt;0</f>
        <v>0</v>
      </c>
    </row>
    <row r="2233" spans="1:9">
      <c r="A2233" s="1" t="s">
        <v>8091</v>
      </c>
      <c r="B2233" s="1" t="s">
        <v>10</v>
      </c>
      <c r="C2233" s="1" t="s">
        <v>8092</v>
      </c>
      <c r="D2233" s="1" t="s">
        <v>8093</v>
      </c>
      <c r="E2233" s="1" t="s">
        <v>7890</v>
      </c>
      <c r="F2233" s="1" t="s">
        <v>23</v>
      </c>
      <c r="G2233" s="1" t="s">
        <v>8094</v>
      </c>
      <c r="H2233" s="1" t="s">
        <v>15</v>
      </c>
      <c r="I2233" t="b">
        <f>COUNTIF(Estadísticas!I:I,'Centraldecomunicacion.es'!H2233)&gt;0</f>
        <v>0</v>
      </c>
    </row>
    <row r="2234" spans="1:9">
      <c r="A2234" s="1" t="s">
        <v>8095</v>
      </c>
      <c r="B2234" s="1" t="s">
        <v>10</v>
      </c>
      <c r="C2234" s="1" t="s">
        <v>8096</v>
      </c>
      <c r="D2234" s="1" t="s">
        <v>7962</v>
      </c>
      <c r="E2234" s="1" t="s">
        <v>7890</v>
      </c>
      <c r="F2234" s="1" t="s">
        <v>23</v>
      </c>
      <c r="G2234" s="1" t="s">
        <v>23</v>
      </c>
      <c r="H2234" s="1" t="s">
        <v>15</v>
      </c>
      <c r="I2234" t="b">
        <f>COUNTIF(Estadísticas!I:I,'Centraldecomunicacion.es'!H2234)&gt;0</f>
        <v>0</v>
      </c>
    </row>
    <row r="2235" spans="1:9">
      <c r="A2235" s="1" t="s">
        <v>8097</v>
      </c>
      <c r="B2235" s="1" t="s">
        <v>10</v>
      </c>
      <c r="C2235" s="1" t="s">
        <v>8098</v>
      </c>
      <c r="D2235" s="1" t="s">
        <v>7950</v>
      </c>
      <c r="E2235" s="1" t="s">
        <v>7890</v>
      </c>
      <c r="F2235" s="1" t="s">
        <v>964</v>
      </c>
      <c r="G2235" s="1" t="s">
        <v>8099</v>
      </c>
      <c r="H2235" s="1" t="s">
        <v>966</v>
      </c>
      <c r="I2235" t="b">
        <f>COUNTIF(Estadísticas!I:I,'Centraldecomunicacion.es'!H2235)&gt;0</f>
        <v>0</v>
      </c>
    </row>
    <row r="2236" spans="1:9">
      <c r="A2236" s="1" t="s">
        <v>8100</v>
      </c>
      <c r="B2236" s="1" t="s">
        <v>10</v>
      </c>
      <c r="C2236" s="1" t="s">
        <v>8101</v>
      </c>
      <c r="D2236" s="1" t="s">
        <v>8102</v>
      </c>
      <c r="E2236" s="1" t="s">
        <v>7890</v>
      </c>
      <c r="F2236" s="1" t="s">
        <v>23</v>
      </c>
      <c r="G2236" s="1" t="s">
        <v>8103</v>
      </c>
      <c r="H2236" s="1" t="s">
        <v>15</v>
      </c>
      <c r="I2236" t="b">
        <f>COUNTIF(Estadísticas!I:I,'Centraldecomunicacion.es'!H2236)&gt;0</f>
        <v>0</v>
      </c>
    </row>
    <row r="2237" spans="1:9">
      <c r="A2237" s="1" t="s">
        <v>8104</v>
      </c>
      <c r="B2237" s="1" t="s">
        <v>10</v>
      </c>
      <c r="C2237" s="1" t="s">
        <v>8105</v>
      </c>
      <c r="D2237" s="1" t="s">
        <v>8084</v>
      </c>
      <c r="E2237" s="1" t="s">
        <v>7890</v>
      </c>
      <c r="F2237" s="1" t="s">
        <v>23</v>
      </c>
      <c r="G2237" s="1" t="s">
        <v>8106</v>
      </c>
      <c r="H2237" s="1" t="s">
        <v>15</v>
      </c>
      <c r="I2237" t="b">
        <f>COUNTIF(Estadísticas!I:I,'Centraldecomunicacion.es'!H2237)&gt;0</f>
        <v>0</v>
      </c>
    </row>
    <row r="2238" spans="1:9">
      <c r="A2238" s="1" t="s">
        <v>8107</v>
      </c>
      <c r="B2238" s="1" t="s">
        <v>10</v>
      </c>
      <c r="C2238" s="1" t="s">
        <v>8108</v>
      </c>
      <c r="D2238" s="1" t="s">
        <v>7919</v>
      </c>
      <c r="E2238" s="1" t="s">
        <v>7890</v>
      </c>
      <c r="F2238" s="1" t="s">
        <v>23</v>
      </c>
      <c r="G2238" s="1" t="s">
        <v>8109</v>
      </c>
      <c r="H2238" s="1" t="s">
        <v>15</v>
      </c>
      <c r="I2238" t="b">
        <f>COUNTIF(Estadísticas!I:I,'Centraldecomunicacion.es'!H2238)&gt;0</f>
        <v>0</v>
      </c>
    </row>
    <row r="2239" spans="1:9">
      <c r="A2239" s="1" t="s">
        <v>8110</v>
      </c>
      <c r="B2239" s="1" t="s">
        <v>10</v>
      </c>
      <c r="C2239" s="1" t="s">
        <v>8111</v>
      </c>
      <c r="D2239" s="1" t="s">
        <v>7889</v>
      </c>
      <c r="E2239" s="1" t="s">
        <v>7890</v>
      </c>
      <c r="F2239" s="1" t="s">
        <v>23</v>
      </c>
      <c r="G2239" s="1" t="s">
        <v>8112</v>
      </c>
      <c r="H2239" s="1" t="s">
        <v>15</v>
      </c>
      <c r="I2239" t="b">
        <f>COUNTIF(Estadísticas!I:I,'Centraldecomunicacion.es'!H2239)&gt;0</f>
        <v>0</v>
      </c>
    </row>
    <row r="2240" spans="1:9">
      <c r="A2240" s="1" t="s">
        <v>8113</v>
      </c>
      <c r="B2240" s="1" t="s">
        <v>10</v>
      </c>
      <c r="C2240" s="1" t="s">
        <v>8114</v>
      </c>
      <c r="D2240" s="1" t="s">
        <v>7982</v>
      </c>
      <c r="E2240" s="1" t="s">
        <v>7890</v>
      </c>
      <c r="F2240" s="1" t="s">
        <v>23</v>
      </c>
      <c r="G2240" s="1" t="s">
        <v>23</v>
      </c>
      <c r="H2240" s="1" t="s">
        <v>15</v>
      </c>
      <c r="I2240" t="b">
        <f>COUNTIF(Estadísticas!I:I,'Centraldecomunicacion.es'!H2240)&gt;0</f>
        <v>0</v>
      </c>
    </row>
    <row r="2241" spans="1:9">
      <c r="A2241" s="1" t="s">
        <v>8115</v>
      </c>
      <c r="B2241" s="1" t="s">
        <v>10</v>
      </c>
      <c r="C2241" s="1" t="s">
        <v>8116</v>
      </c>
      <c r="D2241" s="1" t="s">
        <v>8117</v>
      </c>
      <c r="E2241" s="1" t="s">
        <v>7890</v>
      </c>
      <c r="F2241" s="1" t="s">
        <v>23</v>
      </c>
      <c r="G2241" s="1" t="s">
        <v>8118</v>
      </c>
      <c r="H2241" s="1" t="s">
        <v>15</v>
      </c>
      <c r="I2241" t="b">
        <f>COUNTIF(Estadísticas!I:I,'Centraldecomunicacion.es'!H2241)&gt;0</f>
        <v>0</v>
      </c>
    </row>
    <row r="2242" spans="1:9">
      <c r="A2242" s="1" t="s">
        <v>8119</v>
      </c>
      <c r="B2242" s="1" t="s">
        <v>10</v>
      </c>
      <c r="C2242" s="1" t="s">
        <v>8120</v>
      </c>
      <c r="D2242" s="1" t="s">
        <v>7986</v>
      </c>
      <c r="E2242" s="1" t="s">
        <v>7890</v>
      </c>
      <c r="F2242" s="1" t="s">
        <v>23</v>
      </c>
      <c r="G2242" s="1" t="s">
        <v>8121</v>
      </c>
      <c r="H2242" s="1" t="s">
        <v>15</v>
      </c>
      <c r="I2242" t="b">
        <f>COUNTIF(Estadísticas!I:I,'Centraldecomunicacion.es'!H2242)&gt;0</f>
        <v>0</v>
      </c>
    </row>
    <row r="2243" spans="1:9">
      <c r="A2243" s="1" t="s">
        <v>8122</v>
      </c>
      <c r="B2243" s="1" t="s">
        <v>10</v>
      </c>
      <c r="C2243" s="1" t="s">
        <v>8123</v>
      </c>
      <c r="D2243" s="1" t="s">
        <v>8124</v>
      </c>
      <c r="E2243" s="1" t="s">
        <v>7890</v>
      </c>
      <c r="F2243" s="1" t="s">
        <v>23</v>
      </c>
      <c r="G2243" s="1" t="s">
        <v>8125</v>
      </c>
      <c r="H2243" s="1" t="s">
        <v>15</v>
      </c>
      <c r="I2243" t="b">
        <f>COUNTIF(Estadísticas!I:I,'Centraldecomunicacion.es'!H2243)&gt;0</f>
        <v>0</v>
      </c>
    </row>
    <row r="2244" spans="1:9">
      <c r="A2244" s="1" t="s">
        <v>8126</v>
      </c>
      <c r="B2244" s="1" t="s">
        <v>10</v>
      </c>
      <c r="C2244" s="1" t="s">
        <v>8127</v>
      </c>
      <c r="D2244" s="1" t="s">
        <v>8124</v>
      </c>
      <c r="E2244" s="1" t="s">
        <v>7890</v>
      </c>
      <c r="F2244" s="1" t="s">
        <v>23</v>
      </c>
      <c r="G2244" s="1" t="s">
        <v>23</v>
      </c>
      <c r="H2244" s="1" t="s">
        <v>15</v>
      </c>
      <c r="I2244" t="b">
        <f>COUNTIF(Estadísticas!I:I,'Centraldecomunicacion.es'!H2244)&gt;0</f>
        <v>0</v>
      </c>
    </row>
    <row r="2245" spans="1:9">
      <c r="A2245" s="1" t="s">
        <v>8128</v>
      </c>
      <c r="B2245" s="1" t="s">
        <v>10</v>
      </c>
      <c r="C2245" s="1" t="s">
        <v>8129</v>
      </c>
      <c r="D2245" s="1" t="s">
        <v>7962</v>
      </c>
      <c r="E2245" s="1" t="s">
        <v>7890</v>
      </c>
      <c r="F2245" s="1" t="s">
        <v>23</v>
      </c>
      <c r="G2245" s="1" t="s">
        <v>8130</v>
      </c>
      <c r="H2245" s="1" t="s">
        <v>15</v>
      </c>
      <c r="I2245" t="b">
        <f>COUNTIF(Estadísticas!I:I,'Centraldecomunicacion.es'!H2245)&gt;0</f>
        <v>0</v>
      </c>
    </row>
    <row r="2246" spans="1:9">
      <c r="A2246" s="1" t="s">
        <v>8131</v>
      </c>
      <c r="B2246" s="1" t="s">
        <v>10</v>
      </c>
      <c r="C2246" s="1" t="s">
        <v>8132</v>
      </c>
      <c r="D2246" s="1" t="s">
        <v>8076</v>
      </c>
      <c r="E2246" s="1" t="s">
        <v>7890</v>
      </c>
      <c r="F2246" s="1" t="s">
        <v>23</v>
      </c>
      <c r="G2246" s="1" t="s">
        <v>8133</v>
      </c>
      <c r="H2246" s="1" t="s">
        <v>15</v>
      </c>
      <c r="I2246" t="b">
        <f>COUNTIF(Estadísticas!I:I,'Centraldecomunicacion.es'!H2246)&gt;0</f>
        <v>0</v>
      </c>
    </row>
    <row r="2247" spans="1:9">
      <c r="A2247" s="1" t="s">
        <v>8134</v>
      </c>
      <c r="B2247" s="1" t="s">
        <v>10</v>
      </c>
      <c r="C2247" s="1" t="s">
        <v>8135</v>
      </c>
      <c r="D2247" s="1" t="s">
        <v>7986</v>
      </c>
      <c r="E2247" s="1" t="s">
        <v>7890</v>
      </c>
      <c r="F2247" s="1" t="s">
        <v>23</v>
      </c>
      <c r="G2247" s="1" t="s">
        <v>8136</v>
      </c>
      <c r="H2247" s="1" t="s">
        <v>15</v>
      </c>
      <c r="I2247" t="b">
        <f>COUNTIF(Estadísticas!I:I,'Centraldecomunicacion.es'!H2247)&gt;0</f>
        <v>0</v>
      </c>
    </row>
    <row r="2248" spans="1:9">
      <c r="A2248" s="1" t="s">
        <v>8137</v>
      </c>
      <c r="B2248" s="1" t="s">
        <v>10</v>
      </c>
      <c r="C2248" s="1" t="s">
        <v>8138</v>
      </c>
      <c r="D2248" s="1" t="s">
        <v>7986</v>
      </c>
      <c r="E2248" s="1" t="s">
        <v>7890</v>
      </c>
      <c r="F2248" s="1" t="s">
        <v>23</v>
      </c>
      <c r="G2248" s="1" t="s">
        <v>8139</v>
      </c>
      <c r="H2248" s="1" t="s">
        <v>15</v>
      </c>
      <c r="I2248" t="b">
        <f>COUNTIF(Estadísticas!I:I,'Centraldecomunicacion.es'!H2248)&gt;0</f>
        <v>0</v>
      </c>
    </row>
    <row r="2249" spans="1:9">
      <c r="A2249" s="1" t="s">
        <v>8140</v>
      </c>
      <c r="B2249" s="1" t="s">
        <v>10</v>
      </c>
      <c r="C2249" s="1" t="s">
        <v>8141</v>
      </c>
      <c r="D2249" s="1" t="s">
        <v>8142</v>
      </c>
      <c r="E2249" s="1" t="s">
        <v>7890</v>
      </c>
      <c r="F2249" s="1" t="s">
        <v>8143</v>
      </c>
      <c r="G2249" s="1" t="s">
        <v>8144</v>
      </c>
      <c r="H2249" s="1" t="s">
        <v>15</v>
      </c>
      <c r="I2249" t="b">
        <f>COUNTIF(Estadísticas!I:I,'Centraldecomunicacion.es'!H2249)&gt;0</f>
        <v>0</v>
      </c>
    </row>
    <row r="2250" spans="1:9">
      <c r="A2250" s="1" t="s">
        <v>8145</v>
      </c>
      <c r="B2250" s="1" t="s">
        <v>10</v>
      </c>
      <c r="C2250" s="1" t="s">
        <v>8146</v>
      </c>
      <c r="D2250" s="1" t="s">
        <v>7962</v>
      </c>
      <c r="E2250" s="1" t="s">
        <v>7890</v>
      </c>
      <c r="F2250" s="1" t="s">
        <v>23</v>
      </c>
      <c r="G2250" s="1" t="s">
        <v>23</v>
      </c>
      <c r="H2250" s="1" t="s">
        <v>15</v>
      </c>
      <c r="I2250" t="b">
        <f>COUNTIF(Estadísticas!I:I,'Centraldecomunicacion.es'!H2250)&gt;0</f>
        <v>0</v>
      </c>
    </row>
    <row r="2251" spans="1:9">
      <c r="A2251" s="1" t="s">
        <v>8147</v>
      </c>
      <c r="B2251" s="1" t="s">
        <v>10</v>
      </c>
      <c r="C2251" s="1" t="s">
        <v>8148</v>
      </c>
      <c r="D2251" s="1" t="s">
        <v>8052</v>
      </c>
      <c r="E2251" s="1" t="s">
        <v>7890</v>
      </c>
      <c r="F2251" s="1" t="s">
        <v>23</v>
      </c>
      <c r="G2251" s="1" t="s">
        <v>8149</v>
      </c>
      <c r="H2251" s="1" t="s">
        <v>15</v>
      </c>
      <c r="I2251" t="b">
        <f>COUNTIF(Estadísticas!I:I,'Centraldecomunicacion.es'!H2251)&gt;0</f>
        <v>0</v>
      </c>
    </row>
    <row r="2252" spans="1:9">
      <c r="A2252" s="1" t="s">
        <v>8150</v>
      </c>
      <c r="B2252" s="1" t="s">
        <v>10</v>
      </c>
      <c r="C2252" s="1" t="s">
        <v>8151</v>
      </c>
      <c r="D2252" s="1" t="s">
        <v>7915</v>
      </c>
      <c r="E2252" s="1" t="s">
        <v>7890</v>
      </c>
      <c r="F2252" s="1" t="s">
        <v>23</v>
      </c>
      <c r="G2252" s="1" t="s">
        <v>8152</v>
      </c>
      <c r="H2252" s="1" t="s">
        <v>15</v>
      </c>
      <c r="I2252" t="b">
        <f>COUNTIF(Estadísticas!I:I,'Centraldecomunicacion.es'!H2252)&gt;0</f>
        <v>0</v>
      </c>
    </row>
    <row r="2253" spans="1:9">
      <c r="A2253" s="1" t="s">
        <v>8153</v>
      </c>
      <c r="B2253" s="1" t="s">
        <v>10</v>
      </c>
      <c r="C2253" s="1" t="s">
        <v>8154</v>
      </c>
      <c r="D2253" s="1" t="s">
        <v>8102</v>
      </c>
      <c r="E2253" s="1" t="s">
        <v>7890</v>
      </c>
      <c r="F2253" s="1" t="s">
        <v>23</v>
      </c>
      <c r="G2253" s="1" t="s">
        <v>8103</v>
      </c>
      <c r="H2253" s="1" t="s">
        <v>15</v>
      </c>
      <c r="I2253" t="b">
        <f>COUNTIF(Estadísticas!I:I,'Centraldecomunicacion.es'!H2253)&gt;0</f>
        <v>0</v>
      </c>
    </row>
    <row r="2254" spans="1:9">
      <c r="A2254" s="1" t="s">
        <v>8155</v>
      </c>
      <c r="B2254" s="1" t="s">
        <v>10</v>
      </c>
      <c r="C2254" s="1" t="s">
        <v>8156</v>
      </c>
      <c r="D2254" s="1" t="s">
        <v>8117</v>
      </c>
      <c r="E2254" s="1" t="s">
        <v>7890</v>
      </c>
      <c r="F2254" s="1" t="s">
        <v>23</v>
      </c>
      <c r="G2254" s="1" t="s">
        <v>8157</v>
      </c>
      <c r="H2254" s="1" t="s">
        <v>15</v>
      </c>
      <c r="I2254" t="b">
        <f>COUNTIF(Estadísticas!I:I,'Centraldecomunicacion.es'!H2254)&gt;0</f>
        <v>0</v>
      </c>
    </row>
    <row r="2255" spans="1:9">
      <c r="A2255" s="1" t="s">
        <v>8158</v>
      </c>
      <c r="B2255" s="1" t="s">
        <v>10</v>
      </c>
      <c r="C2255" s="1" t="s">
        <v>8159</v>
      </c>
      <c r="D2255" s="1" t="s">
        <v>8048</v>
      </c>
      <c r="E2255" s="1" t="s">
        <v>7890</v>
      </c>
      <c r="F2255" s="1" t="s">
        <v>23</v>
      </c>
      <c r="G2255" s="1" t="s">
        <v>23</v>
      </c>
      <c r="H2255" s="1" t="s">
        <v>15</v>
      </c>
      <c r="I2255" t="b">
        <f>COUNTIF(Estadísticas!I:I,'Centraldecomunicacion.es'!H2255)&gt;0</f>
        <v>0</v>
      </c>
    </row>
    <row r="2256" spans="1:9">
      <c r="A2256" s="1" t="s">
        <v>8160</v>
      </c>
      <c r="B2256" s="1" t="s">
        <v>10</v>
      </c>
      <c r="C2256" s="1" t="s">
        <v>8161</v>
      </c>
      <c r="D2256" s="1" t="s">
        <v>7970</v>
      </c>
      <c r="E2256" s="1" t="s">
        <v>7890</v>
      </c>
      <c r="F2256" s="1" t="s">
        <v>23</v>
      </c>
      <c r="G2256" s="1" t="s">
        <v>8162</v>
      </c>
      <c r="H2256" s="1" t="s">
        <v>15</v>
      </c>
      <c r="I2256" t="b">
        <f>COUNTIF(Estadísticas!I:I,'Centraldecomunicacion.es'!H2256)&gt;0</f>
        <v>0</v>
      </c>
    </row>
    <row r="2257" spans="1:9">
      <c r="A2257" s="1" t="s">
        <v>8163</v>
      </c>
      <c r="B2257" s="1" t="s">
        <v>10</v>
      </c>
      <c r="C2257" s="1" t="s">
        <v>8164</v>
      </c>
      <c r="D2257" s="1" t="s">
        <v>7962</v>
      </c>
      <c r="E2257" s="1" t="s">
        <v>7890</v>
      </c>
      <c r="F2257" s="1" t="s">
        <v>23</v>
      </c>
      <c r="G2257" s="1" t="s">
        <v>8165</v>
      </c>
      <c r="H2257" s="1" t="s">
        <v>15</v>
      </c>
      <c r="I2257" t="b">
        <f>COUNTIF(Estadísticas!I:I,'Centraldecomunicacion.es'!H2257)&gt;0</f>
        <v>0</v>
      </c>
    </row>
    <row r="2258" spans="1:9">
      <c r="A2258" s="1" t="s">
        <v>8166</v>
      </c>
      <c r="B2258" s="1" t="s">
        <v>10</v>
      </c>
      <c r="C2258" s="1" t="s">
        <v>8167</v>
      </c>
      <c r="D2258" s="1" t="s">
        <v>8076</v>
      </c>
      <c r="E2258" s="1" t="s">
        <v>7890</v>
      </c>
      <c r="F2258" s="1" t="s">
        <v>8168</v>
      </c>
      <c r="G2258" s="1" t="s">
        <v>8169</v>
      </c>
      <c r="H2258" s="1" t="s">
        <v>15</v>
      </c>
      <c r="I2258" t="b">
        <f>COUNTIF(Estadísticas!I:I,'Centraldecomunicacion.es'!H2258)&gt;0</f>
        <v>0</v>
      </c>
    </row>
    <row r="2259" spans="1:9">
      <c r="A2259" s="1" t="s">
        <v>8170</v>
      </c>
      <c r="B2259" s="1" t="s">
        <v>10</v>
      </c>
      <c r="C2259" s="1" t="s">
        <v>8171</v>
      </c>
      <c r="D2259" s="1" t="s">
        <v>7962</v>
      </c>
      <c r="E2259" s="1" t="s">
        <v>7890</v>
      </c>
      <c r="F2259" s="1" t="s">
        <v>23</v>
      </c>
      <c r="G2259" s="1" t="s">
        <v>8172</v>
      </c>
      <c r="H2259" s="1" t="s">
        <v>15</v>
      </c>
      <c r="I2259" t="b">
        <f>COUNTIF(Estadísticas!I:I,'Centraldecomunicacion.es'!H2259)&gt;0</f>
        <v>0</v>
      </c>
    </row>
    <row r="2260" spans="1:9">
      <c r="A2260" s="1" t="s">
        <v>8173</v>
      </c>
      <c r="B2260" s="1" t="s">
        <v>10</v>
      </c>
      <c r="C2260" s="1" t="s">
        <v>8096</v>
      </c>
      <c r="D2260" s="1" t="s">
        <v>7962</v>
      </c>
      <c r="E2260" s="1" t="s">
        <v>7890</v>
      </c>
      <c r="F2260" s="1" t="s">
        <v>23</v>
      </c>
      <c r="G2260" s="1" t="s">
        <v>8174</v>
      </c>
      <c r="H2260" s="1" t="s">
        <v>15</v>
      </c>
      <c r="I2260" t="b">
        <f>COUNTIF(Estadísticas!I:I,'Centraldecomunicacion.es'!H2260)&gt;0</f>
        <v>0</v>
      </c>
    </row>
    <row r="2261" spans="1:9">
      <c r="A2261" s="1" t="s">
        <v>8175</v>
      </c>
      <c r="B2261" s="1" t="s">
        <v>10</v>
      </c>
      <c r="C2261" s="1" t="s">
        <v>8176</v>
      </c>
      <c r="D2261" s="1" t="s">
        <v>8177</v>
      </c>
      <c r="E2261" s="1" t="s">
        <v>7890</v>
      </c>
      <c r="F2261" s="1" t="s">
        <v>8178</v>
      </c>
      <c r="G2261" s="1" t="s">
        <v>8179</v>
      </c>
      <c r="H2261" s="1" t="s">
        <v>8180</v>
      </c>
      <c r="I2261" t="b">
        <f>COUNTIF(Estadísticas!I:I,'Centraldecomunicacion.es'!H2261)&gt;0</f>
        <v>1</v>
      </c>
    </row>
    <row r="2262" spans="1:9">
      <c r="A2262" s="1" t="s">
        <v>8181</v>
      </c>
      <c r="B2262" s="1" t="s">
        <v>10</v>
      </c>
      <c r="C2262" s="1" t="s">
        <v>8182</v>
      </c>
      <c r="D2262" s="1" t="s">
        <v>8183</v>
      </c>
      <c r="E2262" s="1" t="s">
        <v>7890</v>
      </c>
      <c r="F2262" s="1" t="s">
        <v>23</v>
      </c>
      <c r="G2262" s="1" t="s">
        <v>8184</v>
      </c>
      <c r="H2262" s="1" t="s">
        <v>15</v>
      </c>
      <c r="I2262" t="b">
        <f>COUNTIF(Estadísticas!I:I,'Centraldecomunicacion.es'!H2262)&gt;0</f>
        <v>0</v>
      </c>
    </row>
    <row r="2263" spans="1:9">
      <c r="A2263" s="1" t="s">
        <v>8185</v>
      </c>
      <c r="B2263" s="1" t="s">
        <v>10</v>
      </c>
      <c r="C2263" s="1" t="s">
        <v>8186</v>
      </c>
      <c r="D2263" s="1" t="s">
        <v>8052</v>
      </c>
      <c r="E2263" s="1" t="s">
        <v>7890</v>
      </c>
      <c r="F2263" s="1" t="s">
        <v>23</v>
      </c>
      <c r="G2263" s="1" t="s">
        <v>8187</v>
      </c>
      <c r="H2263" s="1" t="s">
        <v>15</v>
      </c>
      <c r="I2263" t="b">
        <f>COUNTIF(Estadísticas!I:I,'Centraldecomunicacion.es'!H2263)&gt;0</f>
        <v>0</v>
      </c>
    </row>
    <row r="2264" spans="1:9">
      <c r="A2264" s="1" t="s">
        <v>8188</v>
      </c>
      <c r="B2264" s="1" t="s">
        <v>10</v>
      </c>
      <c r="C2264" s="1" t="s">
        <v>8189</v>
      </c>
      <c r="D2264" s="1" t="s">
        <v>8190</v>
      </c>
      <c r="E2264" s="1" t="s">
        <v>7890</v>
      </c>
      <c r="F2264" s="1" t="s">
        <v>8191</v>
      </c>
      <c r="G2264" s="1" t="s">
        <v>8192</v>
      </c>
      <c r="H2264" s="1" t="s">
        <v>8193</v>
      </c>
      <c r="I2264" t="b">
        <f>COUNTIF(Estadísticas!I:I,'Centraldecomunicacion.es'!H2264)&gt;0</f>
        <v>0</v>
      </c>
    </row>
    <row r="2265" spans="1:9">
      <c r="A2265" s="1" t="s">
        <v>8194</v>
      </c>
      <c r="B2265" s="1" t="s">
        <v>10</v>
      </c>
      <c r="C2265" s="1" t="s">
        <v>8195</v>
      </c>
      <c r="D2265" s="1" t="s">
        <v>7889</v>
      </c>
      <c r="E2265" s="1" t="s">
        <v>7890</v>
      </c>
      <c r="F2265" s="1" t="s">
        <v>23</v>
      </c>
      <c r="G2265" s="1" t="s">
        <v>8196</v>
      </c>
      <c r="H2265" s="1" t="s">
        <v>15</v>
      </c>
      <c r="I2265" t="b">
        <f>COUNTIF(Estadísticas!I:I,'Centraldecomunicacion.es'!H2265)&gt;0</f>
        <v>0</v>
      </c>
    </row>
    <row r="2266" spans="1:9">
      <c r="A2266" s="1" t="s">
        <v>8197</v>
      </c>
      <c r="B2266" s="1" t="s">
        <v>10</v>
      </c>
      <c r="C2266" s="1" t="s">
        <v>8198</v>
      </c>
      <c r="D2266" s="1" t="s">
        <v>7962</v>
      </c>
      <c r="E2266" s="1" t="s">
        <v>7890</v>
      </c>
      <c r="F2266" s="1" t="s">
        <v>8199</v>
      </c>
      <c r="G2266" s="1" t="s">
        <v>8200</v>
      </c>
      <c r="H2266" s="1" t="s">
        <v>8201</v>
      </c>
      <c r="I2266" t="b">
        <f>COUNTIF(Estadísticas!I:I,'Centraldecomunicacion.es'!H2266)&gt;0</f>
        <v>0</v>
      </c>
    </row>
    <row r="2267" spans="1:9">
      <c r="A2267" s="1" t="s">
        <v>8202</v>
      </c>
      <c r="B2267" s="1" t="s">
        <v>10</v>
      </c>
      <c r="C2267" s="1" t="s">
        <v>8203</v>
      </c>
      <c r="D2267" s="1" t="s">
        <v>7962</v>
      </c>
      <c r="E2267" s="1" t="s">
        <v>7890</v>
      </c>
      <c r="F2267" s="1" t="s">
        <v>23</v>
      </c>
      <c r="G2267" s="1" t="s">
        <v>8204</v>
      </c>
      <c r="H2267" s="1" t="s">
        <v>15</v>
      </c>
      <c r="I2267" t="b">
        <f>COUNTIF(Estadísticas!I:I,'Centraldecomunicacion.es'!H2267)&gt;0</f>
        <v>0</v>
      </c>
    </row>
    <row r="2268" spans="1:9">
      <c r="A2268" s="1" t="s">
        <v>8205</v>
      </c>
      <c r="B2268" s="1" t="s">
        <v>10</v>
      </c>
      <c r="C2268" s="1" t="s">
        <v>8206</v>
      </c>
      <c r="D2268" s="1" t="s">
        <v>7919</v>
      </c>
      <c r="E2268" s="1" t="s">
        <v>7890</v>
      </c>
      <c r="F2268" s="1" t="s">
        <v>23</v>
      </c>
      <c r="G2268" s="1" t="s">
        <v>23</v>
      </c>
      <c r="H2268" s="1" t="s">
        <v>15</v>
      </c>
      <c r="I2268" t="b">
        <f>COUNTIF(Estadísticas!I:I,'Centraldecomunicacion.es'!H2268)&gt;0</f>
        <v>0</v>
      </c>
    </row>
    <row r="2269" spans="1:9">
      <c r="A2269" s="1" t="s">
        <v>8207</v>
      </c>
      <c r="B2269" s="1" t="s">
        <v>10</v>
      </c>
      <c r="C2269" s="1" t="s">
        <v>8208</v>
      </c>
      <c r="D2269" s="1" t="s">
        <v>8209</v>
      </c>
      <c r="E2269" s="1" t="s">
        <v>7890</v>
      </c>
      <c r="F2269" s="1" t="s">
        <v>23</v>
      </c>
      <c r="G2269" s="1" t="s">
        <v>8210</v>
      </c>
      <c r="H2269" s="1" t="s">
        <v>15</v>
      </c>
      <c r="I2269" t="b">
        <f>COUNTIF(Estadísticas!I:I,'Centraldecomunicacion.es'!H2269)&gt;0</f>
        <v>0</v>
      </c>
    </row>
    <row r="2270" spans="1:9">
      <c r="A2270" s="1" t="s">
        <v>8211</v>
      </c>
      <c r="B2270" s="1" t="s">
        <v>10</v>
      </c>
      <c r="C2270" s="1" t="s">
        <v>8212</v>
      </c>
      <c r="D2270" s="1" t="s">
        <v>8213</v>
      </c>
      <c r="E2270" s="1" t="s">
        <v>7890</v>
      </c>
      <c r="F2270" s="1" t="s">
        <v>23</v>
      </c>
      <c r="G2270" s="1" t="s">
        <v>8214</v>
      </c>
      <c r="H2270" s="1" t="s">
        <v>15</v>
      </c>
      <c r="I2270" t="b">
        <f>COUNTIF(Estadísticas!I:I,'Centraldecomunicacion.es'!H2270)&gt;0</f>
        <v>0</v>
      </c>
    </row>
    <row r="2271" spans="1:9">
      <c r="A2271" s="1" t="s">
        <v>8215</v>
      </c>
      <c r="B2271" s="1" t="s">
        <v>10</v>
      </c>
      <c r="C2271" s="1" t="s">
        <v>8216</v>
      </c>
      <c r="D2271" s="1" t="s">
        <v>7986</v>
      </c>
      <c r="E2271" s="1" t="s">
        <v>7890</v>
      </c>
      <c r="F2271" s="1" t="s">
        <v>23</v>
      </c>
      <c r="G2271" s="1" t="s">
        <v>8217</v>
      </c>
      <c r="H2271" s="1" t="s">
        <v>15</v>
      </c>
      <c r="I2271" t="b">
        <f>COUNTIF(Estadísticas!I:I,'Centraldecomunicacion.es'!H2271)&gt;0</f>
        <v>0</v>
      </c>
    </row>
    <row r="2272" spans="1:9">
      <c r="A2272" s="1" t="s">
        <v>8218</v>
      </c>
      <c r="B2272" s="1" t="s">
        <v>10</v>
      </c>
      <c r="C2272" s="1" t="s">
        <v>8219</v>
      </c>
      <c r="D2272" s="1" t="s">
        <v>7986</v>
      </c>
      <c r="E2272" s="1" t="s">
        <v>7890</v>
      </c>
      <c r="F2272" s="1" t="s">
        <v>8220</v>
      </c>
      <c r="G2272" s="1" t="s">
        <v>8221</v>
      </c>
      <c r="H2272" s="1" t="s">
        <v>15</v>
      </c>
      <c r="I2272" t="b">
        <f>COUNTIF(Estadísticas!I:I,'Centraldecomunicacion.es'!H2272)&gt;0</f>
        <v>0</v>
      </c>
    </row>
  </sheetData>
  <autoFilter ref="A1:P2272" xr:uid="{F6E705F8-CB4B-4733-8B11-6B17B9DC19FB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667B-F48B-4190-BC2D-8C4CFB2F37C1}">
  <dimension ref="A1:I393"/>
  <sheetViews>
    <sheetView topLeftCell="A96" workbookViewId="0">
      <selection activeCell="B105" sqref="B105"/>
    </sheetView>
  </sheetViews>
  <sheetFormatPr defaultColWidth="11.42578125" defaultRowHeight="14.45"/>
  <cols>
    <col min="1" max="1" width="21.7109375" customWidth="1"/>
    <col min="2" max="2" width="27.7109375" customWidth="1"/>
    <col min="3" max="3" width="16.5703125" customWidth="1"/>
    <col min="4" max="4" width="18.5703125" customWidth="1"/>
    <col min="5" max="5" width="25" customWidth="1"/>
    <col min="6" max="6" width="27" customWidth="1"/>
    <col min="7" max="7" width="19.7109375" customWidth="1"/>
    <col min="8" max="8" width="57.7109375" bestFit="1" customWidth="1"/>
    <col min="9" max="9" width="47.28515625" bestFit="1" customWidth="1"/>
  </cols>
  <sheetData>
    <row r="1" spans="1:9" s="4" customFormat="1">
      <c r="A1" s="4" t="s">
        <v>8222</v>
      </c>
      <c r="B1" s="4" t="s">
        <v>8223</v>
      </c>
      <c r="C1" s="4" t="s">
        <v>8224</v>
      </c>
      <c r="D1" s="4" t="s">
        <v>8225</v>
      </c>
      <c r="E1" s="4" t="s">
        <v>8226</v>
      </c>
      <c r="F1" s="4" t="s">
        <v>8227</v>
      </c>
      <c r="G1" s="4" t="s">
        <v>8228</v>
      </c>
      <c r="H1" s="4" t="s">
        <v>8229</v>
      </c>
      <c r="I1" s="4" t="s">
        <v>8230</v>
      </c>
    </row>
    <row r="2" spans="1:9" ht="15">
      <c r="A2">
        <f ca="1">COUNTIF('Centraldecomunicacion.es'!A2:'Centraldecomunicacion.es'!A19470,"*")</f>
        <v>2271</v>
      </c>
      <c r="B2">
        <f ca="1">COUNTIF('Centraldecomunicacion.es'!H2:'Centraldecomunicacion.es'!H19470,"*@*")</f>
        <v>580</v>
      </c>
      <c r="C2">
        <f ca="1">COUNTIF('Centraldecomunicacion.es'!F2:'Centraldecomunicacion.es'!F19470,"*.*")</f>
        <v>856</v>
      </c>
      <c r="D2">
        <f ca="1">COUNTIF('Centraldecomunicacion.es'!G2:'Centraldecomunicacion.es'!G19470,"6*")+COUNTIF('Centraldecomunicacion.es'!G2:'Centraldecomunicacion.es'!G19470,"9*")</f>
        <v>2057</v>
      </c>
      <c r="E2">
        <f ca="1">COUNTIF('Centraldecomunicacion.es'!G2:'Centraldecomunicacion.es'!G19470,"9*")</f>
        <v>1608</v>
      </c>
      <c r="F2">
        <f ca="1">COUNTIF('Centraldecomunicacion.es'!G2:'Centraldecomunicacion.es'!G19470,"6*")</f>
        <v>449</v>
      </c>
      <c r="G2" t="str" cm="1">
        <f t="array" aca="1" ref="G2:G3" ca="1">_xlfn.UNIQUE('Centraldecomunicacion.es'!B2:'Centraldecomunicacion.es'!B19470)</f>
        <v>Herbolario</v>
      </c>
      <c r="H2" t="str" cm="1">
        <f t="array" aca="1" ref="H2:H393" ca="1">_xlfn.UNIQUE('Centraldecomunicacion.es'!H2:'Centraldecomunicacion.es'!H19470)</f>
        <v>-</v>
      </c>
      <c r="I2" s="5" t="s">
        <v>439</v>
      </c>
    </row>
    <row r="3" spans="1:9" ht="15">
      <c r="G3">
        <f ca="1"/>
        <v>0</v>
      </c>
      <c r="H3" t="str">
        <f ca="1"/>
        <v>info@herbolarioelagape.es</v>
      </c>
      <c r="I3" s="5" t="s">
        <v>549</v>
      </c>
    </row>
    <row r="4" spans="1:9" ht="15">
      <c r="H4" t="str">
        <f ca="1"/>
        <v>Info@azalealives.com</v>
      </c>
      <c r="I4" s="5" t="s">
        <v>583</v>
      </c>
    </row>
    <row r="5" spans="1:9" ht="15">
      <c r="H5" t="str">
        <f ca="1"/>
        <v>contacto@laventananatural.com</v>
      </c>
      <c r="I5" s="5" t="s">
        <v>589</v>
      </c>
    </row>
    <row r="6" spans="1:9" ht="15">
      <c r="H6" t="str">
        <f ca="1"/>
        <v>info@herbolariomary.es</v>
      </c>
      <c r="I6" s="5" t="s">
        <v>661</v>
      </c>
    </row>
    <row r="7" spans="1:9" ht="15">
      <c r="H7" t="str">
        <f ca="1"/>
        <v>info@pharmaherbal.es</v>
      </c>
      <c r="I7" s="5" t="s">
        <v>712</v>
      </c>
    </row>
    <row r="8" spans="1:9" ht="15">
      <c r="H8" t="str">
        <f ca="1"/>
        <v>su@email.com</v>
      </c>
      <c r="I8" s="5" t="s">
        <v>855</v>
      </c>
    </row>
    <row r="9" spans="1:9" ht="15">
      <c r="H9" t="str">
        <f ca="1"/>
        <v>info@centrodieteticoviquez.com</v>
      </c>
      <c r="I9" s="5" t="s">
        <v>905</v>
      </c>
    </row>
    <row r="10" spans="1:9" ht="15">
      <c r="H10" t="str">
        <f ca="1"/>
        <v>info@amanecerdedia.com</v>
      </c>
      <c r="I10" s="5" t="s">
        <v>958</v>
      </c>
    </row>
    <row r="11" spans="1:9" ht="15">
      <c r="H11" t="str">
        <f ca="1"/>
        <v>contacto@ladespensadegaia.com</v>
      </c>
      <c r="I11" s="5" t="s">
        <v>971</v>
      </c>
    </row>
    <row r="12" spans="1:9" ht="15">
      <c r="H12" t="str">
        <f ca="1"/>
        <v>info@vidamassana.com</v>
      </c>
      <c r="I12" s="5" t="s">
        <v>981</v>
      </c>
    </row>
    <row r="13" spans="1:9" ht="15">
      <c r="H13" t="str">
        <f ca="1"/>
        <v>informacion@santiveri.es</v>
      </c>
      <c r="I13" s="5" t="s">
        <v>1327</v>
      </c>
    </row>
    <row r="14" spans="1:9" ht="15">
      <c r="H14" t="str">
        <f ca="1"/>
        <v>info@saludnaturalparati.com</v>
      </c>
      <c r="I14" s="5" t="s">
        <v>1367</v>
      </c>
    </row>
    <row r="15" spans="1:9" ht="15">
      <c r="H15" t="str">
        <f ca="1"/>
        <v>support@webnode.es</v>
      </c>
      <c r="I15" s="5" t="s">
        <v>1752</v>
      </c>
    </row>
    <row r="16" spans="1:9" ht="15">
      <c r="H16" t="str">
        <f ca="1"/>
        <v>santiverialgeciras@gmail.com</v>
      </c>
      <c r="I16" s="5" t="s">
        <v>1757</v>
      </c>
    </row>
    <row r="17" spans="8:9" ht="15">
      <c r="H17" t="str">
        <f ca="1"/>
        <v>info@puntosana.com</v>
      </c>
      <c r="I17" s="5" t="s">
        <v>1835</v>
      </c>
    </row>
    <row r="18" spans="8:9" ht="15">
      <c r="H18" t="str">
        <f ca="1"/>
        <v>info@herboristerialagloria.com</v>
      </c>
      <c r="I18" s="5" t="s">
        <v>1863</v>
      </c>
    </row>
    <row r="19" spans="8:9" ht="15">
      <c r="H19" t="str">
        <f ca="1"/>
        <v>web@dietisur.es</v>
      </c>
      <c r="I19" s="5" t="s">
        <v>1998</v>
      </c>
    </row>
    <row r="20" spans="8:9" ht="15">
      <c r="H20" t="str">
        <f ca="1"/>
        <v>info@herbolarioplantaviva.com</v>
      </c>
      <c r="I20" s="5" t="s">
        <v>2005</v>
      </c>
    </row>
    <row r="21" spans="8:9" ht="15">
      <c r="H21" t="str">
        <f ca="1"/>
        <v>herbsrafael@yahoo.es</v>
      </c>
      <c r="I21" s="5" t="s">
        <v>2040</v>
      </c>
    </row>
    <row r="22" spans="8:9" ht="15">
      <c r="H22" t="str">
        <f ca="1"/>
        <v>atencionalcliente@naturhouse.es</v>
      </c>
      <c r="I22" s="5" t="s">
        <v>2051</v>
      </c>
    </row>
    <row r="23" spans="8:9" ht="15">
      <c r="H23" t="str">
        <f ca="1"/>
        <v>mundoherbolariocordoba@gmail.com</v>
      </c>
      <c r="I23" s="5" t="s">
        <v>2064</v>
      </c>
    </row>
    <row r="24" spans="8:9" ht="15">
      <c r="H24" t="str">
        <f ca="1"/>
        <v>unnamed_x70@2x.png</v>
      </c>
      <c r="I24" s="5" t="s">
        <v>2240</v>
      </c>
    </row>
    <row r="25" spans="8:9" ht="15">
      <c r="H25" t="str">
        <f ca="1"/>
        <v>info@elherbolariodepilar.com</v>
      </c>
      <c r="I25" s="5" t="s">
        <v>2341</v>
      </c>
    </row>
    <row r="26" spans="8:9" ht="15">
      <c r="H26" t="str">
        <f ca="1"/>
        <v>service.consommateur@daregal.fr</v>
      </c>
      <c r="I26" s="5" t="s">
        <v>2728</v>
      </c>
    </row>
    <row r="27" spans="8:9" ht="15">
      <c r="H27" t="str">
        <f ca="1"/>
        <v>herbolariomontoro@casmasalud.es</v>
      </c>
      <c r="I27" s="5" t="s">
        <v>2740</v>
      </c>
    </row>
    <row r="28" spans="8:9" ht="15">
      <c r="H28" t="str">
        <f ca="1"/>
        <v>wordpress@example.com</v>
      </c>
      <c r="I28" s="5" t="s">
        <v>2793</v>
      </c>
    </row>
    <row r="29" spans="8:9" ht="15">
      <c r="H29" t="str">
        <f ca="1"/>
        <v>info@herbarmonia.com</v>
      </c>
      <c r="I29" s="5" t="s">
        <v>8231</v>
      </c>
    </row>
    <row r="30" spans="8:9" ht="15">
      <c r="H30" t="str">
        <f ca="1"/>
        <v>info@herbolarioencasa.com</v>
      </c>
      <c r="I30" s="5" t="s">
        <v>3007</v>
      </c>
    </row>
    <row r="31" spans="8:9" ht="15">
      <c r="H31" t="str">
        <f ca="1"/>
        <v>pedidos@aceitesansorena.com</v>
      </c>
      <c r="I31" s="5" t="s">
        <v>3020</v>
      </c>
    </row>
    <row r="32" spans="8:9" ht="15">
      <c r="H32" t="str">
        <f ca="1"/>
        <v>granadiet@granadiet.com</v>
      </c>
      <c r="I32" s="5" t="s">
        <v>3029</v>
      </c>
    </row>
    <row r="33" spans="8:9" ht="15">
      <c r="H33" t="str">
        <f ca="1"/>
        <v>consultas@herbolarioartemisa.es</v>
      </c>
      <c r="I33" s="5" t="s">
        <v>3059</v>
      </c>
    </row>
    <row r="34" spans="8:9" ht="15">
      <c r="H34" t="str">
        <f ca="1"/>
        <v>ecotienda@elpanaderoloco.com</v>
      </c>
      <c r="I34" s="5" t="s">
        <v>3100</v>
      </c>
    </row>
    <row r="35" spans="8:9" ht="15">
      <c r="H35" t="str">
        <f ca="1"/>
        <v>info@herbolariosdimam.es</v>
      </c>
      <c r="I35" s="5" t="s">
        <v>8232</v>
      </c>
    </row>
    <row r="36" spans="8:9" ht="15">
      <c r="H36" t="str">
        <f ca="1"/>
        <v>hola@herboristerialasalud.com</v>
      </c>
      <c r="I36" s="5" t="s">
        <v>3234</v>
      </c>
    </row>
    <row r="37" spans="8:9" ht="15">
      <c r="H37" t="str">
        <f ca="1"/>
        <v>info@herbolarioadara.es</v>
      </c>
      <c r="I37" s="5" t="s">
        <v>3312</v>
      </c>
    </row>
    <row r="38" spans="8:9" ht="15">
      <c r="H38" t="str">
        <f ca="1"/>
        <v>info@elherbolarioecologico.es</v>
      </c>
      <c r="I38" s="5" t="s">
        <v>3354</v>
      </c>
    </row>
    <row r="39" spans="8:9" ht="15">
      <c r="H39" t="str">
        <f ca="1"/>
        <v>info@almaytierra.com</v>
      </c>
      <c r="I39" s="5" t="s">
        <v>3398</v>
      </c>
    </row>
    <row r="40" spans="8:9" ht="15">
      <c r="H40" t="str">
        <f ca="1"/>
        <v>info@merloytorrente.es</v>
      </c>
      <c r="I40" s="5" t="s">
        <v>3505</v>
      </c>
    </row>
    <row r="41" spans="8:9" ht="15">
      <c r="H41" t="str">
        <f ca="1"/>
        <v>herbolarioespacionatura@gmail.com</v>
      </c>
      <c r="I41" s="5" t="s">
        <v>3534</v>
      </c>
    </row>
    <row r="42" spans="8:9" ht="15">
      <c r="H42" t="str">
        <f ca="1"/>
        <v>contacto@herbolariocarmen.es</v>
      </c>
      <c r="I42" s="5" t="s">
        <v>3573</v>
      </c>
    </row>
    <row r="43" spans="8:9" ht="15">
      <c r="H43" t="str">
        <f ca="1"/>
        <v>herbolariolaspezia@gmail.com</v>
      </c>
      <c r="I43" s="5" t="s">
        <v>3631</v>
      </c>
    </row>
    <row r="44" spans="8:9" ht="15">
      <c r="H44" t="str">
        <f ca="1"/>
        <v>franciscojose.moreno@gmail.com</v>
      </c>
      <c r="I44" s="5" t="s">
        <v>3700</v>
      </c>
    </row>
    <row r="45" spans="8:9" ht="15">
      <c r="H45" t="str">
        <f ca="1"/>
        <v>hola@centrodietetico.es</v>
      </c>
      <c r="I45" s="5" t="s">
        <v>3762</v>
      </c>
    </row>
    <row r="46" spans="8:9" ht="15">
      <c r="H46" t="str">
        <f ca="1"/>
        <v>natural@herbolariomadrenaturaleza.com</v>
      </c>
      <c r="I46" s="5" t="s">
        <v>3848</v>
      </c>
    </row>
    <row r="47" spans="8:9" ht="15">
      <c r="H47" t="str">
        <f ca="1"/>
        <v>info@planeta-farma.es</v>
      </c>
      <c r="I47" s="5" t="s">
        <v>4146</v>
      </c>
    </row>
    <row r="48" spans="8:9" ht="15">
      <c r="H48" t="str">
        <f ca="1"/>
        <v>centrointernacionaldedietetica@gmail.com</v>
      </c>
      <c r="I48" s="5" t="s">
        <v>4252</v>
      </c>
    </row>
    <row r="49" spans="8:9" ht="15">
      <c r="H49" t="str">
        <f ca="1"/>
        <v>info@bionaturaherbodietetica.com</v>
      </c>
      <c r="I49" s="5" t="s">
        <v>4353</v>
      </c>
    </row>
    <row r="50" spans="8:9" ht="15">
      <c r="H50" t="str">
        <f ca="1"/>
        <v>info@parafarmaciaaracena.com</v>
      </c>
      <c r="I50" s="5" t="s">
        <v>4495</v>
      </c>
    </row>
    <row r="51" spans="8:9" ht="15">
      <c r="H51" t="str">
        <f ca="1"/>
        <v>info@herbolarionaturaljaen.es</v>
      </c>
      <c r="I51" s="5" t="s">
        <v>4518</v>
      </c>
    </row>
    <row r="52" spans="8:9" ht="15">
      <c r="H52" t="str">
        <f ca="1"/>
        <v>core-js-bundle@3.2.1</v>
      </c>
      <c r="I52" s="5" t="s">
        <v>4562</v>
      </c>
    </row>
    <row r="53" spans="8:9" ht="15">
      <c r="H53" t="str">
        <f ca="1"/>
        <v>license@prestashop.com</v>
      </c>
      <c r="I53" s="5" t="s">
        <v>4603</v>
      </c>
    </row>
    <row r="54" spans="8:9" ht="15">
      <c r="H54" t="str">
        <f ca="1"/>
        <v>info@labuenahierba.es</v>
      </c>
      <c r="I54" s="5" t="s">
        <v>4644</v>
      </c>
    </row>
    <row r="55" spans="8:9" ht="15">
      <c r="H55" t="str">
        <f ca="1"/>
        <v>info@tomilloyromero.com</v>
      </c>
      <c r="I55" s="5" t="s">
        <v>4676</v>
      </c>
    </row>
    <row r="56" spans="8:9" ht="15">
      <c r="H56" t="str">
        <f ca="1"/>
        <v>teayudo@herboristeriamomaequilibrio.com</v>
      </c>
      <c r="I56" s="5" t="s">
        <v>4754</v>
      </c>
    </row>
    <row r="57" spans="8:9" ht="15">
      <c r="H57" t="str">
        <f ca="1"/>
        <v>info@chibas.es</v>
      </c>
      <c r="I57" s="5" t="s">
        <v>4762</v>
      </c>
    </row>
    <row r="58" spans="8:9" ht="15">
      <c r="H58" t="str">
        <f ca="1"/>
        <v>info@rosasilvestre.net</v>
      </c>
      <c r="I58" s="5" t="s">
        <v>4816</v>
      </c>
    </row>
    <row r="59" spans="8:9" ht="15">
      <c r="H59" t="str">
        <f ca="1"/>
        <v>info@cbweed.es</v>
      </c>
      <c r="I59" s="5" t="s">
        <v>5076</v>
      </c>
    </row>
    <row r="60" spans="8:9" ht="15">
      <c r="H60" t="str">
        <f ca="1"/>
        <v>isaana3@hotmail.com</v>
      </c>
      <c r="I60" s="5" t="s">
        <v>5121</v>
      </c>
    </row>
    <row r="61" spans="8:9" ht="15">
      <c r="H61" t="str">
        <f ca="1"/>
        <v>info@vientoagua.es</v>
      </c>
      <c r="I61" s="5" t="s">
        <v>5140</v>
      </c>
    </row>
    <row r="62" spans="8:9" ht="15">
      <c r="H62" t="str">
        <f ca="1"/>
        <v>info@herboristeriaaltea.es</v>
      </c>
      <c r="I62" s="5" t="s">
        <v>5280</v>
      </c>
    </row>
    <row r="63" spans="8:9" ht="15">
      <c r="H63" t="str">
        <f ca="1"/>
        <v>mercado@zurcanatural.com</v>
      </c>
      <c r="I63" s="5" t="s">
        <v>5566</v>
      </c>
    </row>
    <row r="64" spans="8:9" ht="15">
      <c r="H64" t="str">
        <f ca="1"/>
        <v>marisolesencia@gmail.com</v>
      </c>
      <c r="I64" s="5" t="s">
        <v>5661</v>
      </c>
    </row>
    <row r="65" spans="8:9" ht="15">
      <c r="H65" t="str">
        <f ca="1"/>
        <v>info@yocomproencoin.com</v>
      </c>
      <c r="I65" s="5" t="s">
        <v>5711</v>
      </c>
    </row>
    <row r="66" spans="8:9" ht="15">
      <c r="H66" t="str">
        <f ca="1"/>
        <v>hola@nuestroherbolario.es</v>
      </c>
      <c r="I66" s="5" t="s">
        <v>5887</v>
      </c>
    </row>
    <row r="67" spans="8:9" ht="15">
      <c r="H67" t="str">
        <f ca="1"/>
        <v>hola@dietisalud.com</v>
      </c>
      <c r="I67" s="5" t="s">
        <v>5906</v>
      </c>
    </row>
    <row r="68" spans="8:9" ht="15">
      <c r="H68" t="str">
        <f ca="1"/>
        <v>info@laherboristeriaonline.com</v>
      </c>
      <c r="I68" s="5" t="s">
        <v>5960</v>
      </c>
    </row>
    <row r="69" spans="8:9" ht="15">
      <c r="H69" t="str">
        <f ca="1"/>
        <v>info@herboristeriaconchi.com</v>
      </c>
      <c r="I69" s="5" t="s">
        <v>6000</v>
      </c>
    </row>
    <row r="70" spans="8:9" ht="15">
      <c r="H70" t="str">
        <f ca="1"/>
        <v>contacto@empresa.com</v>
      </c>
      <c r="I70" s="5" t="s">
        <v>6137</v>
      </c>
    </row>
    <row r="71" spans="8:9" ht="15">
      <c r="H71" t="str">
        <f ca="1"/>
        <v>info@sanctbernhard.es</v>
      </c>
      <c r="I71" s="5" t="s">
        <v>6314</v>
      </c>
    </row>
    <row r="72" spans="8:9" ht="15">
      <c r="H72" t="str">
        <f ca="1"/>
        <v>infom@herbolariotisana.com</v>
      </c>
      <c r="I72" s="5" t="s">
        <v>6404</v>
      </c>
    </row>
    <row r="73" spans="8:9" ht="15">
      <c r="H73" t="str">
        <f ca="1"/>
        <v>direccion@naturalfusion.es</v>
      </c>
      <c r="I73" s="5" t="s">
        <v>6561</v>
      </c>
    </row>
    <row r="74" spans="8:9" ht="15">
      <c r="H74" t="str">
        <f ca="1"/>
        <v>info@herboristeriairis.com</v>
      </c>
      <c r="I74" s="5" t="s">
        <v>6625</v>
      </c>
    </row>
    <row r="75" spans="8:9" ht="15">
      <c r="H75" t="str">
        <f ca="1"/>
        <v>info@althaea.es</v>
      </c>
      <c r="I75" s="5" t="s">
        <v>6639</v>
      </c>
    </row>
    <row r="76" spans="8:9" ht="15">
      <c r="H76" t="str">
        <f ca="1"/>
        <v>sanandajaca@yahoo.es</v>
      </c>
      <c r="I76" s="5" t="s">
        <v>6739</v>
      </c>
    </row>
    <row r="77" spans="8:9" ht="15">
      <c r="H77" t="str">
        <f ca="1"/>
        <v>a36b86319e6542838a534122c8870e3f@sentry.qdqmedia.com</v>
      </c>
      <c r="I77" s="5" t="s">
        <v>6759</v>
      </c>
    </row>
    <row r="78" spans="8:9" ht="15">
      <c r="H78" t="str">
        <f ca="1"/>
        <v>info@elherbolarioonline.es</v>
      </c>
      <c r="I78" s="5" t="s">
        <v>6880</v>
      </c>
    </row>
    <row r="79" spans="8:9" ht="15">
      <c r="H79" t="str">
        <f ca="1"/>
        <v>amparobono.aloevera@gmail.com</v>
      </c>
      <c r="I79" s="5" t="s">
        <v>6925</v>
      </c>
    </row>
    <row r="80" spans="8:9" ht="15">
      <c r="H80" t="str">
        <f ca="1"/>
        <v>info.web@herbolarionavarro.es</v>
      </c>
      <c r="I80" s="5" t="s">
        <v>6977</v>
      </c>
    </row>
    <row r="81" spans="8:9" ht="15">
      <c r="H81" t="str">
        <f ca="1"/>
        <v>info@centrodieteticoazahar.es</v>
      </c>
      <c r="I81" s="5" t="s">
        <v>6996</v>
      </c>
    </row>
    <row r="82" spans="8:9" ht="15">
      <c r="H82" t="str">
        <f ca="1"/>
        <v>info@yerbasalud.es</v>
      </c>
      <c r="I82" s="5" t="s">
        <v>7022</v>
      </c>
    </row>
    <row r="83" spans="8:9" ht="15">
      <c r="H83" t="str">
        <f ca="1"/>
        <v>info@herboristeriamaktub.es</v>
      </c>
      <c r="I83" s="5" t="s">
        <v>7040</v>
      </c>
    </row>
    <row r="84" spans="8:9" ht="15">
      <c r="H84" t="str">
        <f ca="1"/>
        <v>mapielena@hotmail.com</v>
      </c>
      <c r="I84" s="5" t="s">
        <v>7106</v>
      </c>
    </row>
    <row r="85" spans="8:9" ht="15">
      <c r="H85" t="str">
        <f ca="1"/>
        <v>naturalmente@naturalmentepolen.com</v>
      </c>
      <c r="I85" s="5" t="s">
        <v>7217</v>
      </c>
    </row>
    <row r="86" spans="8:9" ht="15">
      <c r="H86" t="str">
        <f ca="1"/>
        <v>contacto@herbodelicias.com</v>
      </c>
      <c r="I86" s="5" t="s">
        <v>7379</v>
      </c>
    </row>
    <row r="87" spans="8:9" ht="15">
      <c r="H87" t="str">
        <f ca="1"/>
        <v>info@centrodesaludintegral.es</v>
      </c>
      <c r="I87" s="5" t="s">
        <v>7385</v>
      </c>
    </row>
    <row r="88" spans="8:9" ht="15">
      <c r="H88" t="str">
        <f ca="1"/>
        <v>info@herboristerialadietetica.com</v>
      </c>
      <c r="I88" s="5" t="s">
        <v>7441</v>
      </c>
    </row>
    <row r="89" spans="8:9" ht="15">
      <c r="H89" t="str">
        <f ca="1"/>
        <v>info@natural100x100.com</v>
      </c>
      <c r="I89" s="5" t="s">
        <v>7462</v>
      </c>
    </row>
    <row r="90" spans="8:9" ht="15">
      <c r="H90" t="str">
        <f ca="1"/>
        <v>info@despensin.es</v>
      </c>
      <c r="I90" s="5" t="s">
        <v>7470</v>
      </c>
    </row>
    <row r="91" spans="8:9" ht="15">
      <c r="H91" t="str">
        <f ca="1"/>
        <v>bioglobal@bioglobal.es</v>
      </c>
      <c r="I91" s="5" t="s">
        <v>7514</v>
      </c>
    </row>
    <row r="92" spans="8:9" ht="15">
      <c r="H92" t="str">
        <f ca="1"/>
        <v>info@mividanatural.es</v>
      </c>
      <c r="I92" s="5" t="s">
        <v>7555</v>
      </c>
    </row>
    <row r="93" spans="8:9" ht="15">
      <c r="H93" t="str">
        <f ca="1"/>
        <v>pedidosdietassport@gmail.com</v>
      </c>
      <c r="I93" s="5" t="s">
        <v>7599</v>
      </c>
    </row>
    <row r="94" spans="8:9" ht="15">
      <c r="H94" t="str">
        <f ca="1"/>
        <v>tienda@azestaberda.com</v>
      </c>
      <c r="I94" s="5" t="s">
        <v>7649</v>
      </c>
    </row>
    <row r="95" spans="8:9" ht="15">
      <c r="H95" t="str">
        <f ca="1"/>
        <v>contacto@herboristerialasplantasnaturales.com</v>
      </c>
      <c r="I95" s="5" t="s">
        <v>7726</v>
      </c>
    </row>
    <row r="96" spans="8:9" ht="15">
      <c r="H96" t="str">
        <f ca="1"/>
        <v>u003eprivacy@afternic.com</v>
      </c>
      <c r="I96" s="5" t="s">
        <v>7734</v>
      </c>
    </row>
    <row r="97" spans="8:9" ht="15">
      <c r="H97" t="str">
        <f ca="1"/>
        <v>info@cbdsalud.pro</v>
      </c>
      <c r="I97" s="5" t="s">
        <v>7761</v>
      </c>
    </row>
    <row r="98" spans="8:9" ht="15">
      <c r="H98" t="str">
        <f ca="1"/>
        <v>hola@deherbolario.com</v>
      </c>
      <c r="I98" s="5" t="s">
        <v>7794</v>
      </c>
    </row>
    <row r="99" spans="8:9" ht="15">
      <c r="H99" t="str">
        <f ca="1"/>
        <v>herbosanz@herbosanz.com</v>
      </c>
      <c r="I99" s="5" t="s">
        <v>7833</v>
      </c>
    </row>
    <row r="100" spans="8:9" ht="15">
      <c r="H100" t="str">
        <f ca="1"/>
        <v>correoelectronico@espacionatura.es</v>
      </c>
      <c r="I100" s="5" t="s">
        <v>7859</v>
      </c>
    </row>
    <row r="101" spans="8:9" ht="15">
      <c r="H101" t="str">
        <f ca="1"/>
        <v>elantiguoherbolario@gmail.com</v>
      </c>
      <c r="I101" s="5" t="s">
        <v>8043</v>
      </c>
    </row>
    <row r="102" spans="8:9" ht="15">
      <c r="H102" t="str">
        <f ca="1"/>
        <v>ceresherbal@hotmail.com</v>
      </c>
      <c r="I102" s="5" t="s">
        <v>8180</v>
      </c>
    </row>
    <row r="103" spans="8:9">
      <c r="H103" t="str">
        <f ca="1"/>
        <v>info@herbolariosdoemi.com</v>
      </c>
    </row>
    <row r="104" spans="8:9">
      <c r="H104" t="str">
        <f ca="1"/>
        <v>info@anemonaherbolario.com</v>
      </c>
    </row>
    <row r="105" spans="8:9">
      <c r="H105" t="str">
        <f ca="1"/>
        <v>boticadecarmenoviedo@gmail.com</v>
      </c>
    </row>
    <row r="106" spans="8:9">
      <c r="H106" t="str">
        <f ca="1"/>
        <v>herbosura@gmail.com</v>
      </c>
    </row>
    <row r="107" spans="8:9">
      <c r="H107" t="str">
        <f ca="1"/>
        <v>herboristeriarobledo@hotmail.com</v>
      </c>
    </row>
    <row r="108" spans="8:9">
      <c r="H108" t="str">
        <f ca="1"/>
        <v>info@dieteticoastur.com</v>
      </c>
    </row>
    <row r="109" spans="8:9">
      <c r="H109" t="str">
        <f ca="1"/>
        <v>info@hierbabuenadiet.com</v>
      </c>
    </row>
    <row r="110" spans="8:9">
      <c r="H110" t="str">
        <f ca="1"/>
        <v>info@herbolarioelxabu.com</v>
      </c>
    </row>
    <row r="111" spans="8:9">
      <c r="H111" t="str">
        <f ca="1"/>
        <v>sanabel@sanabel.com.es</v>
      </c>
    </row>
    <row r="112" spans="8:9">
      <c r="H112" t="str">
        <f ca="1"/>
        <v>eltilar@herbolarioeltilar.com</v>
      </c>
    </row>
    <row r="113" spans="8:8">
      <c r="H113" t="str">
        <f ca="1"/>
        <v>press@google.com</v>
      </c>
    </row>
    <row r="114" spans="8:8">
      <c r="H114" t="str">
        <f ca="1"/>
        <v>info@plantasanagijon.com</v>
      </c>
    </row>
    <row r="115" spans="8:8">
      <c r="H115" t="str">
        <f ca="1"/>
        <v>realsellodeoro@gmail.com</v>
      </c>
    </row>
    <row r="116" spans="8:8">
      <c r="H116" t="str">
        <f ca="1"/>
        <v>espacio@espaciosano.es</v>
      </c>
    </row>
    <row r="117" spans="8:8">
      <c r="H117" t="str">
        <f ca="1"/>
        <v>info@creatusalud.es</v>
      </c>
    </row>
    <row r="118" spans="8:8">
      <c r="H118" t="str">
        <f ca="1"/>
        <v>info@drichstore.es</v>
      </c>
    </row>
    <row r="119" spans="8:8">
      <c r="H119" t="str">
        <f ca="1"/>
        <v>info@yerbabuena.com.es</v>
      </c>
    </row>
    <row r="120" spans="8:8">
      <c r="H120" t="str">
        <f ca="1"/>
        <v>distribuciones.josmer@gmail.com</v>
      </c>
    </row>
    <row r="121" spans="8:8">
      <c r="H121" t="str">
        <f ca="1"/>
        <v>hola@raicesherbolarioteteria.com</v>
      </c>
    </row>
    <row r="122" spans="8:8">
      <c r="H122" t="str">
        <f ca="1"/>
        <v>info@farmatural.com</v>
      </c>
    </row>
    <row r="123" spans="8:8">
      <c r="H123" t="str">
        <f ca="1"/>
        <v>info@santiverimallorca.es</v>
      </c>
    </row>
    <row r="124" spans="8:8">
      <c r="H124" t="str">
        <f ca="1"/>
        <v>info@fonollmari.com</v>
      </c>
    </row>
    <row r="125" spans="8:8">
      <c r="H125" t="str">
        <f ca="1"/>
        <v>info@herbolarioarboldete.com</v>
      </c>
    </row>
    <row r="126" spans="8:8">
      <c r="H126" t="str">
        <f ca="1"/>
        <v>naturosalud@yahoo.es</v>
      </c>
    </row>
    <row r="127" spans="8:8">
      <c r="H127" t="str">
        <f ca="1"/>
        <v>clientes@herbolariocanarias.com</v>
      </c>
    </row>
    <row r="128" spans="8:8">
      <c r="H128" t="str">
        <f ca="1"/>
        <v>sistemas@3commarketing.com</v>
      </c>
    </row>
    <row r="129" spans="8:8">
      <c r="H129" t="str">
        <f ca="1"/>
        <v>informacion@biodrago.com</v>
      </c>
    </row>
    <row r="130" spans="8:8">
      <c r="H130" t="str">
        <f ca="1"/>
        <v>info@herbolarioaguamar.com</v>
      </c>
    </row>
    <row r="131" spans="8:8">
      <c r="H131" t="str">
        <f ca="1"/>
        <v>info@elajonegroherbolarios.com</v>
      </c>
    </row>
    <row r="132" spans="8:8">
      <c r="H132" t="str">
        <f ca="1"/>
        <v>ecomarketnaturally@gmail.com</v>
      </c>
    </row>
    <row r="133" spans="8:8">
      <c r="H133" t="str">
        <f ca="1"/>
        <v>datos@herbolarioalquimista.com</v>
      </c>
    </row>
    <row r="134" spans="8:8">
      <c r="H134" t="str">
        <f ca="1"/>
        <v>herbolariogaroe@hotmail.es</v>
      </c>
    </row>
    <row r="135" spans="8:8">
      <c r="H135" t="str">
        <f ca="1"/>
        <v>info@hojasverdesdietetica.com</v>
      </c>
    </row>
    <row r="136" spans="8:8">
      <c r="H136" t="str">
        <f ca="1"/>
        <v>info@herbolariosandalo.com</v>
      </c>
    </row>
    <row r="137" spans="8:8">
      <c r="H137" t="str">
        <f ca="1"/>
        <v>clientes@tecuidanatura.com</v>
      </c>
    </row>
    <row r="138" spans="8:8">
      <c r="H138" t="str">
        <f ca="1"/>
        <v>info@mizonaecologica.es</v>
      </c>
    </row>
    <row r="139" spans="8:8">
      <c r="H139" t="str">
        <f ca="1"/>
        <v>web@hierbasycosas.es</v>
      </c>
    </row>
    <row r="140" spans="8:8">
      <c r="H140" t="str">
        <f ca="1"/>
        <v>info@aloeherbodietetica.com</v>
      </c>
    </row>
    <row r="141" spans="8:8">
      <c r="H141" t="str">
        <f ca="1"/>
        <v>THEWAY.2020PARAFARMACIAHERBOLARIO@HOTMAIL.COM</v>
      </c>
    </row>
    <row r="142" spans="8:8">
      <c r="H142" t="str">
        <f ca="1"/>
        <v>info@elcorazonverde.net</v>
      </c>
    </row>
    <row r="143" spans="8:8">
      <c r="H143" t="str">
        <f ca="1"/>
        <v>info@elherbolariodecandelaria.es</v>
      </c>
    </row>
    <row r="144" spans="8:8">
      <c r="H144" t="str">
        <f ca="1"/>
        <v>info@nature95.com</v>
      </c>
    </row>
    <row r="145" spans="8:8">
      <c r="H145" t="str">
        <f ca="1"/>
        <v>angel24hbl@gmail.com</v>
      </c>
    </row>
    <row r="146" spans="8:8">
      <c r="H146" t="str">
        <f ca="1"/>
        <v>pibotto@hotmail.com</v>
      </c>
    </row>
    <row r="147" spans="8:8">
      <c r="H147" t="str">
        <f ca="1"/>
        <v>cbherbal@hotmail.com</v>
      </c>
    </row>
    <row r="148" spans="8:8">
      <c r="H148" t="str">
        <f ca="1"/>
        <v>esperanzabergaz@hotmail.com</v>
      </c>
    </row>
    <row r="149" spans="8:8">
      <c r="H149" t="str">
        <f ca="1"/>
        <v>antonia_crespo_martin@hotmail.com</v>
      </c>
    </row>
    <row r="150" spans="8:8">
      <c r="H150" t="str">
        <f ca="1"/>
        <v>info@herbolariolaurel.com</v>
      </c>
    </row>
    <row r="151" spans="8:8">
      <c r="H151" t="str">
        <f ca="1"/>
        <v>info@direccion.es</v>
      </c>
    </row>
    <row r="152" spans="8:8">
      <c r="H152" t="str">
        <f ca="1"/>
        <v>maite.terapiasnaturales@hotmail.com</v>
      </c>
    </row>
    <row r="153" spans="8:8">
      <c r="H153" t="str">
        <f ca="1"/>
        <v>bantunaturales@gmail.com</v>
      </c>
    </row>
    <row r="154" spans="8:8">
      <c r="H154" t="str">
        <f ca="1"/>
        <v>Factorianatural@gmail.com</v>
      </c>
    </row>
    <row r="155" spans="8:8">
      <c r="H155" t="str">
        <f ca="1"/>
        <v>info@kenkoi.es</v>
      </c>
    </row>
    <row r="156" spans="8:8">
      <c r="H156" t="str">
        <f ca="1"/>
        <v>tienda@ecoherbolariomayor.com</v>
      </c>
    </row>
    <row r="157" spans="8:8">
      <c r="H157" t="str">
        <f ca="1"/>
        <v>info@herbolariosonia.com</v>
      </c>
    </row>
    <row r="158" spans="8:8">
      <c r="H158" t="str">
        <f ca="1"/>
        <v>mailtoinfo@herbolariosavia.com</v>
      </c>
    </row>
    <row r="159" spans="8:8">
      <c r="H159" t="str">
        <f ca="1"/>
        <v>tiendaonline@herbolariosolytierra.es</v>
      </c>
    </row>
    <row r="160" spans="8:8">
      <c r="H160" t="str">
        <f ca="1"/>
        <v>info@flordeneroli.com</v>
      </c>
    </row>
    <row r="161" spans="8:8">
      <c r="H161" t="str">
        <f ca="1"/>
        <v>pedidos@puertovera.com</v>
      </c>
    </row>
    <row r="162" spans="8:8">
      <c r="H162" t="str">
        <f ca="1"/>
        <v>herdiman@herdiman.es</v>
      </c>
    </row>
    <row r="163" spans="8:8">
      <c r="H163" t="str">
        <f ca="1"/>
        <v>loren-carrasco@herboristeriaginkgobiloba.com</v>
      </c>
    </row>
    <row r="164" spans="8:8">
      <c r="H164" t="str">
        <f ca="1"/>
        <v>info@herbolarioteverde.es</v>
      </c>
    </row>
    <row r="165" spans="8:8">
      <c r="H165" t="str">
        <f ca="1"/>
        <v>maripepaparla@hotmail.com</v>
      </c>
    </row>
    <row r="166" spans="8:8">
      <c r="H166" t="str">
        <f ca="1"/>
        <v>info@biolema.es</v>
      </c>
    </row>
    <row r="167" spans="8:8">
      <c r="H167" t="str">
        <f ca="1"/>
        <v>info@sevifarma.com</v>
      </c>
    </row>
    <row r="168" spans="8:8">
      <c r="H168" t="str">
        <f ca="1"/>
        <v>herbolariotoledo@gmail.com</v>
      </c>
    </row>
    <row r="169" spans="8:8">
      <c r="H169" t="str">
        <f ca="1"/>
        <v>hola@yogaentoledo.es</v>
      </c>
    </row>
    <row r="170" spans="8:8">
      <c r="H170" t="str">
        <f ca="1"/>
        <v>xalumedix@xalumedix.com</v>
      </c>
    </row>
    <row r="171" spans="8:8">
      <c r="H171" t="str">
        <f ca="1"/>
        <v>atc@naturlider.com</v>
      </c>
    </row>
    <row r="172" spans="8:8">
      <c r="H172" t="str">
        <f ca="1"/>
        <v>incidencias@panaceaquintanar.es</v>
      </c>
    </row>
    <row r="173" spans="8:8">
      <c r="H173" t="str">
        <f ca="1"/>
        <v>slimbody23@gmail.com</v>
      </c>
    </row>
    <row r="174" spans="8:8">
      <c r="H174" t="str">
        <f ca="1"/>
        <v>info@herbolariolotoazul.es</v>
      </c>
    </row>
    <row r="175" spans="8:8">
      <c r="H175" t="str">
        <f ca="1"/>
        <v>info@henonatural.com</v>
      </c>
    </row>
    <row r="176" spans="8:8">
      <c r="H176" t="str">
        <f ca="1"/>
        <v>eltiloherbolario@gmail.com</v>
      </c>
    </row>
    <row r="177" spans="8:8">
      <c r="H177" t="str">
        <f ca="1"/>
        <v>bunatur@gmail.com</v>
      </c>
    </row>
    <row r="178" spans="8:8">
      <c r="H178" t="str">
        <f ca="1"/>
        <v>info@laboticadelaura.com</v>
      </c>
    </row>
    <row r="179" spans="8:8">
      <c r="H179" t="str">
        <f ca="1"/>
        <v>logo_@2x.png</v>
      </c>
    </row>
    <row r="180" spans="8:8">
      <c r="H180" t="str">
        <f ca="1"/>
        <v>criscamara@hotmail.es</v>
      </c>
    </row>
    <row r="181" spans="8:8">
      <c r="H181" t="str">
        <f ca="1"/>
        <v>info@sauceblanco.es</v>
      </c>
    </row>
    <row r="182" spans="8:8">
      <c r="H182" t="str">
        <f ca="1"/>
        <v>terranatura@terranat.es</v>
      </c>
    </row>
    <row r="183" spans="8:8">
      <c r="H183" t="str">
        <f ca="1"/>
        <v>info@parafarmaciaespacio.com</v>
      </c>
    </row>
    <row r="184" spans="8:8">
      <c r="H184" t="str">
        <f ca="1"/>
        <v>apiterapialeon@yahoo.es</v>
      </c>
    </row>
    <row r="185" spans="8:8">
      <c r="H185" t="str">
        <f ca="1"/>
        <v>hola@abastosponferrada.es</v>
      </c>
    </row>
    <row r="186" spans="8:8">
      <c r="H186" t="str">
        <f ca="1"/>
        <v>info@herbolariosusalud.com</v>
      </c>
    </row>
    <row r="187" spans="8:8">
      <c r="H187" t="str">
        <f ca="1"/>
        <v>tienda@herbolariodharma.com</v>
      </c>
    </row>
    <row r="188" spans="8:8">
      <c r="H188" t="str">
        <f ca="1"/>
        <v>bionature@ono.com</v>
      </c>
    </row>
    <row r="189" spans="8:8">
      <c r="H189" t="str">
        <f ca="1"/>
        <v>info@dietanatura.com</v>
      </c>
    </row>
    <row r="190" spans="8:8">
      <c r="H190" t="str">
        <f ca="1"/>
        <v>info@herbolariovitanatura.es</v>
      </c>
    </row>
    <row r="191" spans="8:8">
      <c r="H191" t="str">
        <f ca="1"/>
        <v>santiveripuentecolgante@hotmail.com</v>
      </c>
    </row>
    <row r="192" spans="8:8">
      <c r="H192" t="str">
        <f ca="1"/>
        <v>info@doctorluisblasco.es</v>
      </c>
    </row>
    <row r="193" spans="8:8">
      <c r="H193" t="str">
        <f ca="1"/>
        <v>info@elmundonatural.es</v>
      </c>
    </row>
    <row r="194" spans="8:8">
      <c r="H194" t="str">
        <f ca="1"/>
        <v>info@liashi.es</v>
      </c>
    </row>
    <row r="195" spans="8:8">
      <c r="H195" t="str">
        <f ca="1"/>
        <v>info@herbolariovalladolid.com</v>
      </c>
    </row>
    <row r="196" spans="8:8">
      <c r="H196" t="str">
        <f ca="1"/>
        <v>farmaturalvalladolid@gmail.com</v>
      </c>
    </row>
    <row r="197" spans="8:8">
      <c r="H197" t="str">
        <f ca="1"/>
        <v>hola@ecosdelduero.com</v>
      </c>
    </row>
    <row r="198" spans="8:8">
      <c r="H198" t="str">
        <f ca="1"/>
        <v>herboristeriamics@gmail.com</v>
      </c>
    </row>
    <row r="199" spans="8:8">
      <c r="H199" t="str">
        <f ca="1"/>
        <v>info@herbolaridelcel.com</v>
      </c>
    </row>
    <row r="200" spans="8:8">
      <c r="H200" t="str">
        <f ca="1"/>
        <v>info@elreco.com</v>
      </c>
    </row>
    <row r="201" spans="8:8">
      <c r="H201" t="str">
        <f ca="1"/>
        <v>hola@latrini.cat</v>
      </c>
    </row>
    <row r="202" spans="8:8">
      <c r="H202" t="str">
        <f ca="1"/>
        <v>info@mariacasasbiologa.es</v>
      </c>
    </row>
    <row r="203" spans="8:8">
      <c r="H203" t="str">
        <f ca="1"/>
        <v>//formspree.io/dietetica@herbesimelgloria.com</v>
      </c>
    </row>
    <row r="204" spans="8:8">
      <c r="H204" t="str">
        <f ca="1"/>
        <v>info@herboristeriaelnogal.com</v>
      </c>
    </row>
    <row r="205" spans="8:8">
      <c r="H205" t="str">
        <f ca="1"/>
        <v>info@annavilarrasa.com</v>
      </c>
    </row>
    <row r="206" spans="8:8">
      <c r="H206" t="str">
        <f ca="1"/>
        <v>info@manantial-salud.com</v>
      </c>
    </row>
    <row r="207" spans="8:8">
      <c r="H207" t="str">
        <f ca="1"/>
        <v>info@serveisactius.cat</v>
      </c>
    </row>
    <row r="208" spans="8:8">
      <c r="H208" t="str">
        <f ca="1"/>
        <v>bioshop@live.com</v>
      </c>
    </row>
    <row r="209" spans="8:8">
      <c r="H209" t="str">
        <f ca="1"/>
        <v>info@graciadivina.com</v>
      </c>
    </row>
    <row r="210" spans="8:8">
      <c r="H210" t="str">
        <f ca="1"/>
        <v>tienda@cosmetica-arnica-barcelona.es</v>
      </c>
    </row>
    <row r="211" spans="8:8">
      <c r="H211" t="str">
        <f ca="1"/>
        <v>wordpress@lherbolari.com</v>
      </c>
    </row>
    <row r="212" spans="8:8">
      <c r="H212" t="str">
        <f ca="1"/>
        <v>mzucles@gmail.com</v>
      </c>
    </row>
    <row r="213" spans="8:8">
      <c r="H213" t="str">
        <f ca="1"/>
        <v>info@ladeessadelbosc.com</v>
      </c>
    </row>
    <row r="214" spans="8:8">
      <c r="H214" t="str">
        <f ca="1"/>
        <v>intersection-observer-polyfill@0.1.0</v>
      </c>
    </row>
    <row r="215" spans="8:8">
      <c r="H215" t="str">
        <f ca="1"/>
        <v>barcelona@elrefugidelesherbes.com</v>
      </c>
    </row>
    <row r="216" spans="8:8">
      <c r="H216" t="str">
        <f ca="1"/>
        <v>info@cebanatural.com</v>
      </c>
    </row>
    <row r="217" spans="8:8">
      <c r="H217" t="str">
        <f ca="1"/>
        <v>info@komesano.es</v>
      </c>
    </row>
    <row r="218" spans="8:8">
      <c r="H218" t="str">
        <f ca="1"/>
        <v>terradesalut@gmail.com</v>
      </c>
    </row>
    <row r="219" spans="8:8">
      <c r="H219" t="str">
        <f ca="1"/>
        <v>info@manantialnatural.com</v>
      </c>
    </row>
    <row r="220" spans="8:8">
      <c r="H220" t="str">
        <f ca="1"/>
        <v>dierema113@hotmail.com</v>
      </c>
    </row>
    <row r="221" spans="8:8">
      <c r="H221" t="str">
        <f ca="1"/>
        <v>info@hierbassalvajes.com</v>
      </c>
    </row>
    <row r="222" spans="8:8">
      <c r="H222" t="str">
        <f ca="1"/>
        <v>info@naturprat.com</v>
      </c>
    </row>
    <row r="223" spans="8:8">
      <c r="H223" t="str">
        <f ca="1"/>
        <v>info@planrevolution.com</v>
      </c>
    </row>
    <row r="224" spans="8:8">
      <c r="H224" t="str">
        <f ca="1"/>
        <v>info@adriannapal.com</v>
      </c>
    </row>
    <row r="225" spans="8:8">
      <c r="H225" t="str">
        <f ca="1"/>
        <v>info@onesdellum.es</v>
      </c>
    </row>
    <row r="226" spans="8:8">
      <c r="H226" t="str">
        <f ca="1"/>
        <v>dieteticaricard@dieteticaricard.com</v>
      </c>
    </row>
    <row r="227" spans="8:8">
      <c r="H227" t="str">
        <f ca="1"/>
        <v>jaderegalos@gmail.com</v>
      </c>
    </row>
    <row r="228" spans="8:8">
      <c r="H228" t="str">
        <f ca="1"/>
        <v>hola@raconatural.com</v>
      </c>
    </row>
    <row r="229" spans="8:8">
      <c r="H229" t="str">
        <f ca="1"/>
        <v>correu@primerpla.cat</v>
      </c>
    </row>
    <row r="230" spans="8:8">
      <c r="H230" t="str">
        <f ca="1"/>
        <v>info@mentnatural.com</v>
      </c>
    </row>
    <row r="231" spans="8:8">
      <c r="H231" t="str">
        <f ca="1"/>
        <v>naturdesma@naturdesma.com</v>
      </c>
    </row>
    <row r="232" spans="8:8">
      <c r="H232" t="str">
        <f ca="1"/>
        <v>botiga@herbesicoses.com</v>
      </c>
    </row>
    <row r="233" spans="8:8">
      <c r="H233" t="str">
        <f ca="1"/>
        <v>info@dieteticapiedad.com</v>
      </c>
    </row>
    <row r="234" spans="8:8">
      <c r="H234" t="str">
        <f ca="1"/>
        <v>info@thecbdside.com</v>
      </c>
    </row>
    <row r="235" spans="8:8">
      <c r="H235" t="str">
        <f ca="1"/>
        <v>info@adartia.net</v>
      </c>
    </row>
    <row r="236" spans="8:8">
      <c r="H236" t="str">
        <f ca="1"/>
        <v>info@juchheim-methode.de</v>
      </c>
    </row>
    <row r="237" spans="8:8">
      <c r="H237" t="str">
        <f ca="1"/>
        <v>vnimaka@gmail.com</v>
      </c>
    </row>
    <row r="238" spans="8:8">
      <c r="H238" t="str">
        <f ca="1"/>
        <v>info@saudavelherbolario.es</v>
      </c>
    </row>
    <row r="239" spans="8:8">
      <c r="H239" t="str">
        <f ca="1"/>
        <v>hola@herbolarioalegria.com</v>
      </c>
    </row>
    <row r="240" spans="8:8">
      <c r="H240" t="str">
        <f ca="1"/>
        <v>herbolariolahiedra@gmail.com</v>
      </c>
    </row>
    <row r="241" spans="8:8">
      <c r="H241" t="str">
        <f ca="1"/>
        <v>bioticlleida@gmail.com</v>
      </c>
    </row>
    <row r="242" spans="8:8">
      <c r="H242" t="str">
        <f ca="1"/>
        <v>info@herbesdelaltpirineu.com</v>
      </c>
    </row>
    <row r="243" spans="8:8">
      <c r="H243" t="str">
        <f ca="1"/>
        <v>tienda.online@simply.ecological.es</v>
      </c>
    </row>
    <row r="244" spans="8:8">
      <c r="H244" t="str">
        <f ca="1"/>
        <v>nutri.ecological@gmail.com</v>
      </c>
    </row>
    <row r="245" spans="8:8">
      <c r="H245" t="str">
        <f ca="1"/>
        <v>info@herbolariopires.com</v>
      </c>
    </row>
    <row r="246" spans="8:8">
      <c r="H246" t="str">
        <f ca="1"/>
        <v>su-email@ejemplo.com</v>
      </c>
    </row>
    <row r="247" spans="8:8">
      <c r="H247" t="str">
        <f ca="1"/>
        <v>info@dieteticaonline.es</v>
      </c>
    </row>
    <row r="248" spans="8:8">
      <c r="H248" t="str">
        <f ca="1"/>
        <v>info@espaisalud.es</v>
      </c>
    </row>
    <row r="249" spans="8:8">
      <c r="H249" t="str">
        <f ca="1"/>
        <v>info@herbolarioecovital.es</v>
      </c>
    </row>
    <row r="250" spans="8:8">
      <c r="H250" t="str">
        <f ca="1"/>
        <v>contacto@santiveri.net</v>
      </c>
    </row>
    <row r="251" spans="8:8">
      <c r="H251" t="str">
        <f ca="1"/>
        <v>pedidos@herboristeriaquinto.com</v>
      </c>
    </row>
    <row r="252" spans="8:8">
      <c r="H252" t="str">
        <f ca="1"/>
        <v>info@eljardindenung.com</v>
      </c>
    </row>
    <row r="253" spans="8:8">
      <c r="H253" t="str">
        <f ca="1"/>
        <v>info@radha-kunda.com</v>
      </c>
    </row>
    <row r="254" spans="8:8">
      <c r="H254" t="str">
        <f ca="1"/>
        <v>info@denatural.es</v>
      </c>
    </row>
    <row r="255" spans="8:8">
      <c r="H255" t="str">
        <f ca="1"/>
        <v>pedidos@herbodiet.com</v>
      </c>
    </row>
    <row r="256" spans="8:8">
      <c r="H256" t="str">
        <f ca="1"/>
        <v>info@herbolarioartemisa.es</v>
      </c>
    </row>
    <row r="257" spans="8:8">
      <c r="H257" t="str">
        <f ca="1"/>
        <v>asesor7229@tlvpaginasamarillas.es</v>
      </c>
    </row>
    <row r="258" spans="8:8">
      <c r="H258" t="str">
        <f ca="1"/>
        <v>info@irissaludnatural.es</v>
      </c>
    </row>
    <row r="259" spans="8:8">
      <c r="H259" t="str">
        <f ca="1"/>
        <v>info@latiendaamarilla.com</v>
      </c>
    </row>
    <row r="260" spans="8:8">
      <c r="H260" t="str">
        <f ca="1"/>
        <v>nievesmarsosalud@gmail.com</v>
      </c>
    </row>
    <row r="261" spans="8:8">
      <c r="H261" t="str">
        <f ca="1"/>
        <v>info@ikigaisaludconsciente.com</v>
      </c>
    </row>
    <row r="262" spans="8:8">
      <c r="H262" t="str">
        <f ca="1"/>
        <v>hola@herbolariolasgemelas.com</v>
      </c>
    </row>
    <row r="263" spans="8:8">
      <c r="H263" t="str">
        <f ca="1"/>
        <v>autenticooriginalbibi@gmail.com</v>
      </c>
    </row>
    <row r="264" spans="8:8">
      <c r="H264" t="str">
        <f ca="1"/>
        <v>tiendaonline@mhenta.com</v>
      </c>
    </row>
    <row r="265" spans="8:8">
      <c r="H265" t="str">
        <f ca="1"/>
        <v>info@laboticadeamalia.com</v>
      </c>
    </row>
    <row r="266" spans="8:8">
      <c r="H266" t="str">
        <f ca="1"/>
        <v>info@somostorrevieja.com</v>
      </c>
    </row>
    <row r="267" spans="8:8">
      <c r="H267" t="str">
        <f ca="1"/>
        <v>no-reply@inciensosnaturales.com</v>
      </c>
    </row>
    <row r="268" spans="8:8">
      <c r="H268" t="str">
        <f ca="1"/>
        <v>info@herbodieteticamariola.com</v>
      </c>
    </row>
    <row r="269" spans="8:8">
      <c r="H269" t="str">
        <f ca="1"/>
        <v>info@zenianatural.es</v>
      </c>
    </row>
    <row r="270" spans="8:8">
      <c r="H270" t="str">
        <f ca="1"/>
        <v>info@laventananaturalbenissa.com</v>
      </c>
    </row>
    <row r="271" spans="8:8">
      <c r="H271" t="str">
        <f ca="1"/>
        <v>info@laboratoriosnale.com</v>
      </c>
    </row>
    <row r="272" spans="8:8">
      <c r="H272" t="str">
        <f ca="1"/>
        <v>info@herbolariocastellon.es</v>
      </c>
    </row>
    <row r="273" spans="8:8">
      <c r="H273" t="str">
        <f ca="1"/>
        <v>webmaster@naturaldea.es</v>
      </c>
    </row>
    <row r="274" spans="8:8">
      <c r="H274" t="str">
        <f ca="1"/>
        <v>herbolarifernandotel@gmail.com</v>
      </c>
    </row>
    <row r="275" spans="8:8">
      <c r="H275" t="str">
        <f ca="1"/>
        <v>tienda@sabordelmonte.es</v>
      </c>
    </row>
    <row r="276" spans="8:8">
      <c r="H276" t="str">
        <f ca="1"/>
        <v>info@herbolariosnavarro.com</v>
      </c>
    </row>
    <row r="277" spans="8:8">
      <c r="H277" t="str">
        <f ca="1"/>
        <v>lesherbetes@gmail.com</v>
      </c>
    </row>
    <row r="278" spans="8:8">
      <c r="H278" t="str">
        <f ca="1"/>
        <v>info@ecoasisvalencia.com</v>
      </c>
    </row>
    <row r="279" spans="8:8">
      <c r="H279" t="str">
        <f ca="1"/>
        <v>lorena@herbesiarrels.com</v>
      </c>
    </row>
    <row r="280" spans="8:8">
      <c r="H280" t="str">
        <f ca="1"/>
        <v>biocesta@yahoo.es</v>
      </c>
    </row>
    <row r="281" spans="8:8">
      <c r="H281" t="str">
        <f ca="1"/>
        <v>contacto@herbolarioquart.es</v>
      </c>
    </row>
    <row r="282" spans="8:8">
      <c r="H282" t="str">
        <f ca="1"/>
        <v>info@yerbasvivas.es</v>
      </c>
    </row>
    <row r="283" spans="8:8">
      <c r="H283" t="str">
        <f ca="1"/>
        <v>admin@verdesalud.com</v>
      </c>
    </row>
    <row r="284" spans="8:8">
      <c r="H284" t="str">
        <f ca="1"/>
        <v>info@florvida.net</v>
      </c>
    </row>
    <row r="285" spans="8:8">
      <c r="H285" t="str">
        <f ca="1"/>
        <v>info@avetnatural.com</v>
      </c>
    </row>
    <row r="286" spans="8:8">
      <c r="H286" t="str">
        <f ca="1"/>
        <v>vidamassana.net@gmail.com</v>
      </c>
    </row>
    <row r="287" spans="8:8">
      <c r="H287" t="str">
        <f ca="1"/>
        <v>info@timonet.es</v>
      </c>
    </row>
    <row r="288" spans="8:8">
      <c r="H288" t="str">
        <f ca="1"/>
        <v>info@yourdomain.com</v>
      </c>
    </row>
    <row r="289" spans="8:8">
      <c r="H289" t="str">
        <f ca="1"/>
        <v>tienda@monnatural.es</v>
      </c>
    </row>
    <row r="290" spans="8:8">
      <c r="H290" t="str">
        <f ca="1"/>
        <v>info@herbalmarket.es</v>
      </c>
    </row>
    <row r="291" spans="8:8">
      <c r="H291" t="str">
        <f ca="1"/>
        <v>info@bionisimo.es</v>
      </c>
    </row>
    <row r="292" spans="8:8">
      <c r="H292" t="str">
        <f ca="1"/>
        <v>mascuidarse@gmail.com</v>
      </c>
    </row>
    <row r="293" spans="8:8">
      <c r="H293" t="str">
        <f ca="1"/>
        <v>lperezm6644@hotmail.com</v>
      </c>
    </row>
    <row r="294" spans="8:8">
      <c r="H294" t="str">
        <f ca="1"/>
        <v>info@naturbio.es</v>
      </c>
    </row>
    <row r="295" spans="8:8">
      <c r="H295" t="str">
        <f ca="1"/>
        <v>clientes@natursany.com</v>
      </c>
    </row>
    <row r="296" spans="8:8">
      <c r="H296" t="str">
        <f ca="1"/>
        <v>info@herbolariohierbabuena.net</v>
      </c>
    </row>
    <row r="297" spans="8:8">
      <c r="H297" t="str">
        <f ca="1"/>
        <v>info@herbolariocandy.com</v>
      </c>
    </row>
    <row r="298" spans="8:8">
      <c r="H298" t="str">
        <f ca="1"/>
        <v>info@alternativecbd.es</v>
      </c>
    </row>
    <row r="299" spans="8:8">
      <c r="H299" t="str">
        <f ca="1"/>
        <v>info@sitecuidas.com</v>
      </c>
    </row>
    <row r="300" spans="8:8">
      <c r="H300" t="str">
        <f ca="1"/>
        <v>info@melfror.com</v>
      </c>
    </row>
    <row r="301" spans="8:8">
      <c r="H301" t="str">
        <f ca="1"/>
        <v>info@terapiasnovaera.com</v>
      </c>
    </row>
    <row r="302" spans="8:8">
      <c r="H302" t="str">
        <f ca="1"/>
        <v>ecoespazovitriol@gmail.com</v>
      </c>
    </row>
    <row r="303" spans="8:8">
      <c r="H303" t="str">
        <f ca="1"/>
        <v>info@santiverimonforte.com</v>
      </c>
    </row>
    <row r="304" spans="8:8">
      <c r="H304" t="str">
        <f ca="1"/>
        <v>info@herbolarioallariz.com</v>
      </c>
    </row>
    <row r="305" spans="8:8">
      <c r="H305" t="str">
        <f ca="1"/>
        <v>info@herbolarioasMarbelas.es</v>
      </c>
    </row>
    <row r="306" spans="8:8">
      <c r="H306" t="str">
        <f ca="1"/>
        <v>info@herboristeriasenega.es</v>
      </c>
    </row>
    <row r="307" spans="8:8">
      <c r="H307" t="str">
        <f ca="1"/>
        <v>tienda@milhflor.com</v>
      </c>
    </row>
    <row r="308" spans="8:8">
      <c r="H308" t="str">
        <f ca="1"/>
        <v>correo@elbazarnatural.com</v>
      </c>
    </row>
    <row r="309" spans="8:8">
      <c r="H309" t="str">
        <f ca="1"/>
        <v>info@gaiacontigo.com</v>
      </c>
    </row>
    <row r="310" spans="8:8">
      <c r="H310" t="str">
        <f ca="1"/>
        <v>your@email.com</v>
      </c>
    </row>
    <row r="311" spans="8:8">
      <c r="H311" t="str">
        <f ca="1"/>
        <v>central@sraflorinda.com</v>
      </c>
    </row>
    <row r="312" spans="8:8">
      <c r="H312" t="str">
        <f ca="1"/>
        <v>hola@miempresa.es</v>
      </c>
    </row>
    <row r="313" spans="8:8">
      <c r="H313" t="str">
        <f ca="1"/>
        <v>herbolario@hortelan.com</v>
      </c>
    </row>
    <row r="314" spans="8:8">
      <c r="H314" t="str">
        <f ca="1"/>
        <v>david@ecocash.es</v>
      </c>
    </row>
    <row r="315" spans="8:8">
      <c r="H315" t="str">
        <f ca="1"/>
        <v>info@naturshop.es</v>
      </c>
    </row>
    <row r="316" spans="8:8">
      <c r="H316" t="str">
        <f ca="1"/>
        <v>info@kaizenbio.es</v>
      </c>
    </row>
    <row r="317" spans="8:8">
      <c r="H317" t="str">
        <f ca="1"/>
        <v>info@salnesclick.es</v>
      </c>
    </row>
    <row r="318" spans="8:8">
      <c r="H318" t="str">
        <f ca="1"/>
        <v>info@orecunchodeartemisa.com</v>
      </c>
    </row>
    <row r="319" spans="8:8">
      <c r="H319" t="str">
        <f ca="1"/>
        <v>info@pharmagreen.es</v>
      </c>
    </row>
    <row r="320" spans="8:8">
      <c r="H320" t="str">
        <f ca="1"/>
        <v>tienda@arboredavida.es</v>
      </c>
    </row>
    <row r="321" spans="8:8">
      <c r="H321" t="str">
        <f ca="1"/>
        <v>info@mimatesaludnatural.com</v>
      </c>
    </row>
    <row r="322" spans="8:8">
      <c r="H322" t="str">
        <f ca="1"/>
        <v>elixirbiotienda@gmail.com</v>
      </c>
    </row>
    <row r="323" spans="8:8">
      <c r="H323" t="str">
        <f ca="1"/>
        <v>info@aigclassic.com</v>
      </c>
    </row>
    <row r="324" spans="8:8">
      <c r="H324" t="str">
        <f ca="1"/>
        <v>aloe@euroexito.com</v>
      </c>
    </row>
    <row r="325" spans="8:8">
      <c r="H325" t="str">
        <f ca="1"/>
        <v>info@herboristeriaflorida33.com</v>
      </c>
    </row>
    <row r="326" spans="8:8">
      <c r="H326" t="str">
        <f ca="1"/>
        <v>info@entreplantastui.com</v>
      </c>
    </row>
    <row r="327" spans="8:8">
      <c r="H327" t="str">
        <f ca="1"/>
        <v>info@herbolariobodyandsoul.com</v>
      </c>
    </row>
    <row r="328" spans="8:8">
      <c r="H328" t="str">
        <f ca="1"/>
        <v>susanahierbabuena@gmail.com</v>
      </c>
    </row>
    <row r="329" spans="8:8">
      <c r="H329" t="str">
        <f ca="1"/>
        <v>catanatura@catanatura.com</v>
      </c>
    </row>
    <row r="330" spans="8:8">
      <c r="H330" t="str">
        <f ca="1"/>
        <v>jacaranda821@hotmail.com</v>
      </c>
    </row>
    <row r="331" spans="8:8">
      <c r="H331" t="str">
        <f ca="1"/>
        <v>centrodieteticogasteiz@yahoo.es</v>
      </c>
    </row>
    <row r="332" spans="8:8">
      <c r="H332" t="str">
        <f ca="1"/>
        <v>jangelralfaro@gmail.com</v>
      </c>
    </row>
    <row r="333" spans="8:8">
      <c r="H333" t="str">
        <f ca="1"/>
        <v>info@beginvegan.es</v>
      </c>
    </row>
    <row r="334" spans="8:8">
      <c r="H334" t="str">
        <f ca="1"/>
        <v>info@herbodieteticasalviasl.com</v>
      </c>
    </row>
    <row r="335" spans="8:8">
      <c r="H335" t="str">
        <f ca="1"/>
        <v>molinaespa@hotmail.com</v>
      </c>
    </row>
    <row r="336" spans="8:8">
      <c r="H336" t="str">
        <f ca="1"/>
        <v>info@laventananaturalmurcia.com</v>
      </c>
    </row>
    <row r="337" spans="8:8">
      <c r="H337" t="str">
        <f ca="1"/>
        <v>herbolario.laflota@gmail.com</v>
      </c>
    </row>
    <row r="338" spans="8:8">
      <c r="H338" t="str">
        <f ca="1"/>
        <v>naturalex@naturalex.net</v>
      </c>
    </row>
    <row r="339" spans="8:8">
      <c r="H339" t="str">
        <f ca="1"/>
        <v>info@herbolariolidia.com</v>
      </c>
    </row>
    <row r="340" spans="8:8">
      <c r="H340" t="str">
        <f ca="1"/>
        <v>info@verzonalaguia.es</v>
      </c>
    </row>
    <row r="341" spans="8:8">
      <c r="H341" t="str">
        <f ca="1"/>
        <v>info@herbolariogreen.com</v>
      </c>
    </row>
    <row r="342" spans="8:8">
      <c r="H342" t="str">
        <f ca="1"/>
        <v>info@herbarium.es</v>
      </c>
    </row>
    <row r="343" spans="8:8">
      <c r="H343" t="str">
        <f ca="1"/>
        <v>info@herbolariogaia.es</v>
      </c>
    </row>
    <row r="344" spans="8:8">
      <c r="H344" t="str">
        <f ca="1"/>
        <v>esenciasbionatura@gmail.com</v>
      </c>
    </row>
    <row r="345" spans="8:8">
      <c r="H345" t="str">
        <f ca="1"/>
        <v>info@infutisa.es</v>
      </c>
    </row>
    <row r="346" spans="8:8">
      <c r="H346" t="str">
        <f ca="1"/>
        <v>alguien@muherb.com</v>
      </c>
    </row>
    <row r="347" spans="8:8">
      <c r="H347" t="str">
        <f ca="1"/>
        <v>contacto@readyme.es</v>
      </c>
    </row>
    <row r="348" spans="8:8">
      <c r="H348" t="str">
        <f ca="1"/>
        <v>info@latiendaverde.es</v>
      </c>
    </row>
    <row r="349" spans="8:8">
      <c r="H349" t="str">
        <f ca="1"/>
        <v>infusiones@infutisa.net</v>
      </c>
    </row>
    <row r="350" spans="8:8">
      <c r="H350" t="str">
        <f ca="1"/>
        <v>info@herbolariodulcemaria.com</v>
      </c>
    </row>
    <row r="351" spans="8:8">
      <c r="H351" t="str">
        <f ca="1"/>
        <v>info@herbolariolaunion.com</v>
      </c>
    </row>
    <row r="352" spans="8:8">
      <c r="H352" t="str">
        <f ca="1"/>
        <v>info@tutiendaverde.es</v>
      </c>
    </row>
    <row r="353" spans="8:8">
      <c r="H353" t="str">
        <f ca="1"/>
        <v>info@vivonatural.es</v>
      </c>
    </row>
    <row r="354" spans="8:8">
      <c r="H354" t="str">
        <f ca="1"/>
        <v>boticacarmen@hotmail.com</v>
      </c>
    </row>
    <row r="355" spans="8:8">
      <c r="H355" t="str">
        <f ca="1"/>
        <v>tienda@ayanareposteria.es</v>
      </c>
    </row>
    <row r="356" spans="8:8">
      <c r="H356" t="str">
        <f ca="1"/>
        <v>info@herbolariohedera.com</v>
      </c>
    </row>
    <row r="357" spans="8:8">
      <c r="H357" t="str">
        <f ca="1"/>
        <v>raicesherboristeria@gmail.com</v>
      </c>
    </row>
    <row r="358" spans="8:8">
      <c r="H358" t="str">
        <f ca="1"/>
        <v>belarraherboristeria@live.com</v>
      </c>
    </row>
    <row r="359" spans="8:8">
      <c r="H359" t="str">
        <f ca="1"/>
        <v>herbolarioandromeda@gmail.com</v>
      </c>
    </row>
    <row r="360" spans="8:8">
      <c r="H360" t="str">
        <f ca="1"/>
        <v>info@infoiris.com</v>
      </c>
    </row>
    <row r="361" spans="8:8">
      <c r="H361" t="str">
        <f ca="1"/>
        <v>contacto@ynsadiet.com</v>
      </c>
    </row>
    <row r="362" spans="8:8">
      <c r="H362" t="str">
        <f ca="1"/>
        <v>sendargi@gmail.com</v>
      </c>
    </row>
    <row r="363" spans="8:8">
      <c r="H363" t="str">
        <f ca="1"/>
        <v>centrosarabe@gmail.com</v>
      </c>
    </row>
    <row r="364" spans="8:8">
      <c r="H364" t="str">
        <f ca="1"/>
        <v>info@naturisherbal.com</v>
      </c>
    </row>
    <row r="365" spans="8:8">
      <c r="H365" t="str">
        <f ca="1"/>
        <v>info@herboristeriaamatxi.com</v>
      </c>
    </row>
    <row r="366" spans="8:8">
      <c r="H366" t="str">
        <f ca="1"/>
        <v>info@fisioquercus.com</v>
      </c>
    </row>
    <row r="367" spans="8:8">
      <c r="H367" t="str">
        <f ca="1"/>
        <v>lacolmenateayuda@gmail.com</v>
      </c>
    </row>
    <row r="368" spans="8:8">
      <c r="H368" t="str">
        <f ca="1"/>
        <v>herbolera@hotmail.com</v>
      </c>
    </row>
    <row r="369" spans="8:8">
      <c r="H369" t="str">
        <f ca="1"/>
        <v>info@goyasalud com</v>
      </c>
    </row>
    <row r="370" spans="8:8">
      <c r="H370" t="str">
        <f ca="1"/>
        <v>info@nomaspeso.com</v>
      </c>
    </row>
    <row r="371" spans="8:8">
      <c r="H371" t="str">
        <f ca="1"/>
        <v>consulta@carolinacornide.es</v>
      </c>
    </row>
    <row r="372" spans="8:8">
      <c r="H372" t="str">
        <f ca="1"/>
        <v>latisaneria@gmail.com</v>
      </c>
    </row>
    <row r="373" spans="8:8">
      <c r="H373" t="str">
        <f ca="1"/>
        <v>herbosa@productosherbosa.es</v>
      </c>
    </row>
    <row r="374" spans="8:8">
      <c r="H374" t="str">
        <f ca="1"/>
        <v>artasolo@hotmail.com</v>
      </c>
    </row>
    <row r="375" spans="8:8">
      <c r="H375" t="str">
        <f ca="1"/>
        <v>hola@dieteticaaltea.com</v>
      </c>
    </row>
    <row r="376" spans="8:8">
      <c r="H376" t="str">
        <f ca="1"/>
        <v>erikadiet@hotmail.com</v>
      </c>
    </row>
    <row r="377" spans="8:8">
      <c r="H377" t="str">
        <f ca="1"/>
        <v>lopd@okira.es</v>
      </c>
    </row>
    <row r="378" spans="8:8">
      <c r="H378" t="str">
        <f ca="1"/>
        <v>eko-lurra@hotmail.com</v>
      </c>
    </row>
    <row r="379" spans="8:8">
      <c r="H379" t="str">
        <f ca="1"/>
        <v>info@alimentacionnaturalplan.com</v>
      </c>
    </row>
    <row r="380" spans="8:8">
      <c r="H380" t="str">
        <f ca="1"/>
        <v>info@dendago.com</v>
      </c>
    </row>
    <row r="381" spans="8:8">
      <c r="H381" t="str">
        <f ca="1"/>
        <v>contacto@elherbolarioencasa.com</v>
      </c>
    </row>
    <row r="382" spans="8:8">
      <c r="H382" t="str">
        <f ca="1"/>
        <v>info@zelaialai.es</v>
      </c>
    </row>
    <row r="383" spans="8:8">
      <c r="H383" t="str">
        <f ca="1"/>
        <v>info@organic49.com</v>
      </c>
    </row>
    <row r="384" spans="8:8">
      <c r="H384" t="str">
        <f ca="1"/>
        <v>maitecirculo@yahoo.es</v>
      </c>
    </row>
    <row r="385" spans="8:8">
      <c r="H385" t="str">
        <f ca="1"/>
        <v>info@zabagvegan.es</v>
      </c>
    </row>
    <row r="386" spans="8:8">
      <c r="H386" t="str">
        <f ca="1"/>
        <v>holiboulevard@gmail.com</v>
      </c>
    </row>
    <row r="387" spans="8:8">
      <c r="H387" t="str">
        <f ca="1"/>
        <v>maite@iratze.es</v>
      </c>
    </row>
    <row r="388" spans="8:8">
      <c r="H388" t="str">
        <f ca="1"/>
        <v>zenit@herboristeriazenit.com</v>
      </c>
    </row>
    <row r="389" spans="8:8">
      <c r="H389" t="str">
        <f ca="1"/>
        <v>info@herboristeriaharitza.com</v>
      </c>
    </row>
    <row r="390" spans="8:8">
      <c r="H390" t="str">
        <f ca="1"/>
        <v>bizilegorreta@gmail.com</v>
      </c>
    </row>
    <row r="391" spans="8:8">
      <c r="H391" t="str">
        <f ca="1"/>
        <v>uztarria@ukt.eus</v>
      </c>
    </row>
    <row r="392" spans="8:8">
      <c r="H392" t="str">
        <f ca="1"/>
        <v>info@amalurbelardenda.com</v>
      </c>
    </row>
    <row r="393" spans="8:8">
      <c r="H393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04E-CB95-4871-9367-56D8C5D367B4}">
  <dimension ref="A1"/>
  <sheetViews>
    <sheetView workbookViewId="0">
      <selection activeCell="A11" sqref="A11"/>
    </sheetView>
  </sheetViews>
  <sheetFormatPr defaultColWidth="11.42578125" defaultRowHeight="14.45"/>
  <cols>
    <col min="1" max="1" width="87.140625" customWidth="1"/>
  </cols>
  <sheetData>
    <row r="1" spans="1:1" ht="87">
      <c r="A1" s="2" t="s">
        <v>8233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2A6B-19C9-495A-A8F1-A2585B1EB8CD}">
  <dimension ref="A1:I102"/>
  <sheetViews>
    <sheetView workbookViewId="0">
      <selection activeCell="I2" sqref="I2"/>
    </sheetView>
  </sheetViews>
  <sheetFormatPr defaultRowHeight="15"/>
  <cols>
    <col min="1" max="1" width="53.7109375" customWidth="1"/>
    <col min="2" max="2" width="21.140625" customWidth="1"/>
    <col min="8" max="8" width="49.42578125" customWidth="1"/>
    <col min="9" max="9" width="1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435</v>
      </c>
      <c r="B2" t="s">
        <v>10</v>
      </c>
      <c r="C2" t="s">
        <v>436</v>
      </c>
      <c r="D2" t="s">
        <v>427</v>
      </c>
      <c r="E2" t="s">
        <v>225</v>
      </c>
      <c r="F2" t="s">
        <v>437</v>
      </c>
      <c r="G2" t="s">
        <v>438</v>
      </c>
      <c r="H2" t="s">
        <v>439</v>
      </c>
      <c r="I2" t="b">
        <v>1</v>
      </c>
    </row>
    <row r="3" spans="1:9">
      <c r="A3" t="s">
        <v>545</v>
      </c>
      <c r="B3" t="s">
        <v>10</v>
      </c>
      <c r="C3" t="s">
        <v>546</v>
      </c>
      <c r="D3" t="s">
        <v>214</v>
      </c>
      <c r="E3" t="s">
        <v>214</v>
      </c>
      <c r="F3" t="s">
        <v>547</v>
      </c>
      <c r="G3" t="s">
        <v>548</v>
      </c>
      <c r="H3" t="s">
        <v>549</v>
      </c>
      <c r="I3" t="b">
        <v>1</v>
      </c>
    </row>
    <row r="4" spans="1:9">
      <c r="A4" t="s">
        <v>578</v>
      </c>
      <c r="B4" t="s">
        <v>10</v>
      </c>
      <c r="C4" t="s">
        <v>579</v>
      </c>
      <c r="D4" t="s">
        <v>580</v>
      </c>
      <c r="E4" t="s">
        <v>214</v>
      </c>
      <c r="F4" t="s">
        <v>581</v>
      </c>
      <c r="G4" t="s">
        <v>582</v>
      </c>
      <c r="H4" t="s">
        <v>583</v>
      </c>
      <c r="I4" t="b">
        <v>1</v>
      </c>
    </row>
    <row r="5" spans="1:9">
      <c r="A5" t="s">
        <v>584</v>
      </c>
      <c r="B5" t="s">
        <v>10</v>
      </c>
      <c r="C5" t="s">
        <v>585</v>
      </c>
      <c r="D5" t="s">
        <v>586</v>
      </c>
      <c r="E5" t="s">
        <v>214</v>
      </c>
      <c r="F5" t="s">
        <v>587</v>
      </c>
      <c r="G5" t="s">
        <v>588</v>
      </c>
      <c r="H5" t="s">
        <v>589</v>
      </c>
      <c r="I5" t="b">
        <v>1</v>
      </c>
    </row>
    <row r="6" spans="1:9">
      <c r="A6" t="s">
        <v>657</v>
      </c>
      <c r="B6" t="s">
        <v>10</v>
      </c>
      <c r="C6" t="s">
        <v>658</v>
      </c>
      <c r="D6" t="s">
        <v>630</v>
      </c>
      <c r="E6" t="s">
        <v>214</v>
      </c>
      <c r="F6" t="s">
        <v>659</v>
      </c>
      <c r="G6" t="s">
        <v>660</v>
      </c>
      <c r="H6" t="s">
        <v>661</v>
      </c>
      <c r="I6" t="b">
        <v>1</v>
      </c>
    </row>
    <row r="7" spans="1:9">
      <c r="A7" t="s">
        <v>708</v>
      </c>
      <c r="B7" t="s">
        <v>10</v>
      </c>
      <c r="C7" t="s">
        <v>709</v>
      </c>
      <c r="D7" t="s">
        <v>190</v>
      </c>
      <c r="E7" t="s">
        <v>190</v>
      </c>
      <c r="F7" t="s">
        <v>710</v>
      </c>
      <c r="G7" t="s">
        <v>711</v>
      </c>
      <c r="H7" t="s">
        <v>712</v>
      </c>
      <c r="I7" t="b">
        <v>1</v>
      </c>
    </row>
    <row r="8" spans="1:9">
      <c r="A8" t="s">
        <v>850</v>
      </c>
      <c r="B8" t="s">
        <v>10</v>
      </c>
      <c r="C8" t="s">
        <v>851</v>
      </c>
      <c r="D8" t="s">
        <v>852</v>
      </c>
      <c r="E8" t="s">
        <v>190</v>
      </c>
      <c r="F8" t="s">
        <v>853</v>
      </c>
      <c r="G8" t="s">
        <v>854</v>
      </c>
      <c r="H8" t="s">
        <v>855</v>
      </c>
      <c r="I8" t="b">
        <v>1</v>
      </c>
    </row>
    <row r="9" spans="1:9">
      <c r="A9" t="s">
        <v>900</v>
      </c>
      <c r="B9" t="s">
        <v>10</v>
      </c>
      <c r="C9" t="s">
        <v>901</v>
      </c>
      <c r="D9" t="s">
        <v>902</v>
      </c>
      <c r="E9" t="s">
        <v>190</v>
      </c>
      <c r="F9" t="s">
        <v>903</v>
      </c>
      <c r="G9" t="s">
        <v>904</v>
      </c>
      <c r="H9" t="s">
        <v>905</v>
      </c>
      <c r="I9" t="b">
        <v>1</v>
      </c>
    </row>
    <row r="10" spans="1:9">
      <c r="A10" t="s">
        <v>954</v>
      </c>
      <c r="B10" t="s">
        <v>10</v>
      </c>
      <c r="C10" t="s">
        <v>955</v>
      </c>
      <c r="D10" t="s">
        <v>952</v>
      </c>
      <c r="E10" t="s">
        <v>952</v>
      </c>
      <c r="F10" t="s">
        <v>956</v>
      </c>
      <c r="G10" t="s">
        <v>957</v>
      </c>
      <c r="H10" t="s">
        <v>958</v>
      </c>
      <c r="I10" t="b">
        <v>1</v>
      </c>
    </row>
    <row r="11" spans="1:9">
      <c r="A11" t="s">
        <v>967</v>
      </c>
      <c r="B11" t="s">
        <v>10</v>
      </c>
      <c r="C11" t="s">
        <v>968</v>
      </c>
      <c r="D11" t="s">
        <v>952</v>
      </c>
      <c r="E11" t="s">
        <v>952</v>
      </c>
      <c r="F11" t="s">
        <v>969</v>
      </c>
      <c r="G11" t="s">
        <v>970</v>
      </c>
      <c r="H11" t="s">
        <v>971</v>
      </c>
      <c r="I11" t="b">
        <v>1</v>
      </c>
    </row>
    <row r="12" spans="1:9">
      <c r="A12" t="s">
        <v>977</v>
      </c>
      <c r="B12" t="s">
        <v>10</v>
      </c>
      <c r="C12" t="s">
        <v>978</v>
      </c>
      <c r="D12" t="s">
        <v>952</v>
      </c>
      <c r="E12" t="s">
        <v>952</v>
      </c>
      <c r="F12" t="s">
        <v>979</v>
      </c>
      <c r="G12" t="s">
        <v>980</v>
      </c>
      <c r="H12" s="1" t="s">
        <v>981</v>
      </c>
      <c r="I12" t="b">
        <v>1</v>
      </c>
    </row>
    <row r="13" spans="1:9">
      <c r="A13" t="s">
        <v>1323</v>
      </c>
      <c r="B13" t="s">
        <v>10</v>
      </c>
      <c r="C13" t="s">
        <v>1324</v>
      </c>
      <c r="D13" t="s">
        <v>1129</v>
      </c>
      <c r="E13" t="s">
        <v>473</v>
      </c>
      <c r="F13" t="s">
        <v>1325</v>
      </c>
      <c r="G13" t="s">
        <v>1326</v>
      </c>
      <c r="H13" t="s">
        <v>1327</v>
      </c>
      <c r="I13" t="b">
        <v>1</v>
      </c>
    </row>
    <row r="14" spans="1:9">
      <c r="A14" t="s">
        <v>1363</v>
      </c>
      <c r="B14" t="s">
        <v>10</v>
      </c>
      <c r="C14" t="s">
        <v>1364</v>
      </c>
      <c r="D14" t="s">
        <v>1333</v>
      </c>
      <c r="E14" t="s">
        <v>473</v>
      </c>
      <c r="F14" t="s">
        <v>1365</v>
      </c>
      <c r="G14" t="s">
        <v>1366</v>
      </c>
      <c r="H14" t="s">
        <v>1367</v>
      </c>
      <c r="I14" t="b">
        <v>1</v>
      </c>
    </row>
    <row r="15" spans="1:9">
      <c r="A15" t="s">
        <v>1748</v>
      </c>
      <c r="B15" t="s">
        <v>10</v>
      </c>
      <c r="C15" t="s">
        <v>1749</v>
      </c>
      <c r="D15" t="s">
        <v>1614</v>
      </c>
      <c r="E15" t="s">
        <v>1614</v>
      </c>
      <c r="F15" t="s">
        <v>1750</v>
      </c>
      <c r="G15" t="s">
        <v>1751</v>
      </c>
      <c r="H15" t="s">
        <v>1752</v>
      </c>
      <c r="I15" t="b">
        <v>1</v>
      </c>
    </row>
    <row r="16" spans="1:9">
      <c r="A16" t="s">
        <v>1753</v>
      </c>
      <c r="B16" t="s">
        <v>10</v>
      </c>
      <c r="C16" t="s">
        <v>1754</v>
      </c>
      <c r="D16" t="s">
        <v>1614</v>
      </c>
      <c r="E16" t="s">
        <v>1614</v>
      </c>
      <c r="F16" t="s">
        <v>1755</v>
      </c>
      <c r="G16" t="s">
        <v>1756</v>
      </c>
      <c r="H16" t="s">
        <v>1757</v>
      </c>
      <c r="I16" t="b">
        <v>1</v>
      </c>
    </row>
    <row r="17" spans="1:9">
      <c r="A17" t="s">
        <v>1831</v>
      </c>
      <c r="B17" t="s">
        <v>10</v>
      </c>
      <c r="C17" t="s">
        <v>1832</v>
      </c>
      <c r="D17" t="s">
        <v>1614</v>
      </c>
      <c r="E17" t="s">
        <v>1614</v>
      </c>
      <c r="F17" t="s">
        <v>1833</v>
      </c>
      <c r="G17" t="s">
        <v>1834</v>
      </c>
      <c r="H17" t="s">
        <v>1835</v>
      </c>
      <c r="I17" t="b">
        <v>1</v>
      </c>
    </row>
    <row r="18" spans="1:9">
      <c r="A18" t="s">
        <v>1859</v>
      </c>
      <c r="B18" t="s">
        <v>10</v>
      </c>
      <c r="C18" t="s">
        <v>1860</v>
      </c>
      <c r="D18" t="s">
        <v>1614</v>
      </c>
      <c r="E18" t="s">
        <v>1614</v>
      </c>
      <c r="F18" t="s">
        <v>1861</v>
      </c>
      <c r="G18" t="s">
        <v>1862</v>
      </c>
      <c r="H18" t="s">
        <v>1863</v>
      </c>
      <c r="I18" t="b">
        <v>1</v>
      </c>
    </row>
    <row r="19" spans="1:9">
      <c r="A19" t="s">
        <v>1992</v>
      </c>
      <c r="B19" t="s">
        <v>10</v>
      </c>
      <c r="C19" t="s">
        <v>1993</v>
      </c>
      <c r="D19" t="s">
        <v>1994</v>
      </c>
      <c r="E19" t="s">
        <v>1995</v>
      </c>
      <c r="F19" t="s">
        <v>1996</v>
      </c>
      <c r="G19" t="s">
        <v>1997</v>
      </c>
      <c r="H19" t="s">
        <v>1998</v>
      </c>
      <c r="I19" t="b">
        <v>1</v>
      </c>
    </row>
    <row r="20" spans="1:9">
      <c r="A20" t="s">
        <v>1999</v>
      </c>
      <c r="B20" t="s">
        <v>10</v>
      </c>
      <c r="C20" t="s">
        <v>2000</v>
      </c>
      <c r="D20" t="s">
        <v>2001</v>
      </c>
      <c r="E20" t="s">
        <v>2002</v>
      </c>
      <c r="F20" t="s">
        <v>2003</v>
      </c>
      <c r="G20" t="s">
        <v>2004</v>
      </c>
      <c r="H20" t="s">
        <v>2005</v>
      </c>
      <c r="I20" t="b">
        <v>1</v>
      </c>
    </row>
    <row r="21" spans="1:9">
      <c r="A21" t="s">
        <v>2036</v>
      </c>
      <c r="B21" t="s">
        <v>10</v>
      </c>
      <c r="C21" t="s">
        <v>2037</v>
      </c>
      <c r="D21" t="s">
        <v>2013</v>
      </c>
      <c r="E21" t="s">
        <v>1661</v>
      </c>
      <c r="F21" t="s">
        <v>2038</v>
      </c>
      <c r="G21" t="s">
        <v>2039</v>
      </c>
      <c r="H21" t="s">
        <v>2040</v>
      </c>
      <c r="I21" t="b">
        <v>1</v>
      </c>
    </row>
    <row r="22" spans="1:9">
      <c r="A22" t="s">
        <v>2047</v>
      </c>
      <c r="B22" t="s">
        <v>10</v>
      </c>
      <c r="C22" t="s">
        <v>2048</v>
      </c>
      <c r="D22" t="s">
        <v>2018</v>
      </c>
      <c r="E22" t="s">
        <v>1661</v>
      </c>
      <c r="F22" t="s">
        <v>2049</v>
      </c>
      <c r="G22" t="s">
        <v>2050</v>
      </c>
      <c r="H22" t="s">
        <v>2051</v>
      </c>
      <c r="I22" t="b">
        <v>1</v>
      </c>
    </row>
    <row r="23" spans="1:9">
      <c r="A23" t="s">
        <v>2060</v>
      </c>
      <c r="B23" t="s">
        <v>10</v>
      </c>
      <c r="C23" t="s">
        <v>2061</v>
      </c>
      <c r="D23" t="s">
        <v>2013</v>
      </c>
      <c r="E23" t="s">
        <v>1661</v>
      </c>
      <c r="F23" t="s">
        <v>2062</v>
      </c>
      <c r="G23" t="s">
        <v>2063</v>
      </c>
      <c r="H23" t="s">
        <v>2064</v>
      </c>
      <c r="I23" t="b">
        <v>1</v>
      </c>
    </row>
    <row r="24" spans="1:9">
      <c r="A24" t="s">
        <v>2236</v>
      </c>
      <c r="B24" t="s">
        <v>10</v>
      </c>
      <c r="C24" t="s">
        <v>2237</v>
      </c>
      <c r="D24" t="s">
        <v>2018</v>
      </c>
      <c r="E24" t="s">
        <v>1661</v>
      </c>
      <c r="F24" t="s">
        <v>2238</v>
      </c>
      <c r="G24" t="s">
        <v>2239</v>
      </c>
      <c r="H24" t="s">
        <v>2240</v>
      </c>
      <c r="I24" t="b">
        <v>1</v>
      </c>
    </row>
    <row r="25" spans="1:9">
      <c r="A25" t="s">
        <v>2337</v>
      </c>
      <c r="B25" t="s">
        <v>10</v>
      </c>
      <c r="C25" t="s">
        <v>2338</v>
      </c>
      <c r="D25" t="s">
        <v>2298</v>
      </c>
      <c r="E25" t="s">
        <v>2299</v>
      </c>
      <c r="F25" t="s">
        <v>2339</v>
      </c>
      <c r="G25" t="s">
        <v>2340</v>
      </c>
      <c r="H25" t="s">
        <v>2341</v>
      </c>
      <c r="I25" t="b">
        <v>1</v>
      </c>
    </row>
    <row r="26" spans="1:9">
      <c r="A26" t="s">
        <v>2723</v>
      </c>
      <c r="B26" t="s">
        <v>10</v>
      </c>
      <c r="C26" t="s">
        <v>2724</v>
      </c>
      <c r="D26" t="s">
        <v>2725</v>
      </c>
      <c r="E26" t="s">
        <v>2510</v>
      </c>
      <c r="F26" t="s">
        <v>2726</v>
      </c>
      <c r="G26" t="s">
        <v>2727</v>
      </c>
      <c r="H26" t="s">
        <v>2728</v>
      </c>
      <c r="I26" t="b">
        <v>1</v>
      </c>
    </row>
    <row r="27" spans="1:9">
      <c r="A27" t="s">
        <v>2735</v>
      </c>
      <c r="B27" t="s">
        <v>10</v>
      </c>
      <c r="C27" t="s">
        <v>2736</v>
      </c>
      <c r="D27" t="s">
        <v>2737</v>
      </c>
      <c r="E27" t="s">
        <v>2510</v>
      </c>
      <c r="F27" t="s">
        <v>2738</v>
      </c>
      <c r="G27" t="s">
        <v>2739</v>
      </c>
      <c r="H27" t="s">
        <v>2740</v>
      </c>
      <c r="I27" t="b">
        <v>1</v>
      </c>
    </row>
    <row r="28" spans="1:9">
      <c r="A28" t="s">
        <v>2788</v>
      </c>
      <c r="B28" t="s">
        <v>10</v>
      </c>
      <c r="C28" t="s">
        <v>2789</v>
      </c>
      <c r="D28" t="s">
        <v>2790</v>
      </c>
      <c r="E28" t="s">
        <v>2781</v>
      </c>
      <c r="F28" t="s">
        <v>2791</v>
      </c>
      <c r="G28" t="s">
        <v>2792</v>
      </c>
      <c r="H28" t="s">
        <v>2793</v>
      </c>
      <c r="I28" t="b">
        <v>1</v>
      </c>
    </row>
    <row r="29" spans="1:9">
      <c r="A29" t="s">
        <v>2917</v>
      </c>
      <c r="B29" t="s">
        <v>10</v>
      </c>
      <c r="C29" t="s">
        <v>23</v>
      </c>
      <c r="D29" t="s">
        <v>2869</v>
      </c>
      <c r="E29" t="s">
        <v>23</v>
      </c>
      <c r="F29" t="s">
        <v>2918</v>
      </c>
      <c r="G29" t="s">
        <v>23</v>
      </c>
      <c r="H29" t="s">
        <v>2919</v>
      </c>
      <c r="I29" t="b">
        <v>1</v>
      </c>
    </row>
    <row r="30" spans="1:9">
      <c r="A30" t="s">
        <v>3003</v>
      </c>
      <c r="B30" t="s">
        <v>10</v>
      </c>
      <c r="C30" t="s">
        <v>3004</v>
      </c>
      <c r="D30" t="s">
        <v>2790</v>
      </c>
      <c r="E30" t="s">
        <v>2781</v>
      </c>
      <c r="F30" t="s">
        <v>3005</v>
      </c>
      <c r="G30" t="s">
        <v>3006</v>
      </c>
      <c r="H30" t="s">
        <v>3007</v>
      </c>
      <c r="I30" t="b">
        <v>1</v>
      </c>
    </row>
    <row r="31" spans="1:9">
      <c r="A31" t="s">
        <v>3017</v>
      </c>
      <c r="B31" t="s">
        <v>10</v>
      </c>
      <c r="C31" t="s">
        <v>3018</v>
      </c>
      <c r="D31" t="s">
        <v>2938</v>
      </c>
      <c r="E31" t="s">
        <v>2781</v>
      </c>
      <c r="F31" t="s">
        <v>3019</v>
      </c>
      <c r="G31" t="s">
        <v>2997</v>
      </c>
      <c r="H31" t="s">
        <v>3020</v>
      </c>
      <c r="I31" t="b">
        <v>1</v>
      </c>
    </row>
    <row r="32" spans="1:9">
      <c r="A32" t="s">
        <v>3024</v>
      </c>
      <c r="B32" t="s">
        <v>10</v>
      </c>
      <c r="C32" t="s">
        <v>3025</v>
      </c>
      <c r="D32" t="s">
        <v>3026</v>
      </c>
      <c r="E32" t="s">
        <v>2781</v>
      </c>
      <c r="F32" t="s">
        <v>3027</v>
      </c>
      <c r="G32" t="s">
        <v>3028</v>
      </c>
      <c r="H32" t="s">
        <v>3029</v>
      </c>
      <c r="I32" t="b">
        <v>1</v>
      </c>
    </row>
    <row r="33" spans="1:9">
      <c r="A33" t="s">
        <v>3055</v>
      </c>
      <c r="B33" t="s">
        <v>10</v>
      </c>
      <c r="C33" t="s">
        <v>3056</v>
      </c>
      <c r="D33" t="s">
        <v>3014</v>
      </c>
      <c r="E33" t="s">
        <v>2781</v>
      </c>
      <c r="F33" t="s">
        <v>3057</v>
      </c>
      <c r="G33" t="s">
        <v>3058</v>
      </c>
      <c r="H33" t="s">
        <v>3059</v>
      </c>
      <c r="I33" t="b">
        <v>1</v>
      </c>
    </row>
    <row r="34" spans="1:9">
      <c r="A34" t="s">
        <v>3095</v>
      </c>
      <c r="B34" t="s">
        <v>10</v>
      </c>
      <c r="C34" t="s">
        <v>3096</v>
      </c>
      <c r="D34" t="s">
        <v>3097</v>
      </c>
      <c r="E34" t="s">
        <v>2282</v>
      </c>
      <c r="F34" t="s">
        <v>3098</v>
      </c>
      <c r="G34" t="s">
        <v>3099</v>
      </c>
      <c r="H34" t="s">
        <v>3100</v>
      </c>
      <c r="I34" t="b">
        <v>1</v>
      </c>
    </row>
    <row r="35" spans="1:9">
      <c r="A35" t="s">
        <v>3168</v>
      </c>
      <c r="B35" t="s">
        <v>10</v>
      </c>
      <c r="C35" t="s">
        <v>3169</v>
      </c>
      <c r="D35" t="s">
        <v>3170</v>
      </c>
      <c r="E35" t="s">
        <v>2282</v>
      </c>
      <c r="F35" t="s">
        <v>3171</v>
      </c>
      <c r="G35" t="s">
        <v>3172</v>
      </c>
      <c r="H35" t="s">
        <v>3173</v>
      </c>
      <c r="I35" t="b">
        <v>1</v>
      </c>
    </row>
    <row r="36" spans="1:9">
      <c r="A36" t="s">
        <v>3230</v>
      </c>
      <c r="B36" t="s">
        <v>10</v>
      </c>
      <c r="C36" t="s">
        <v>3231</v>
      </c>
      <c r="D36" t="s">
        <v>1684</v>
      </c>
      <c r="E36" t="s">
        <v>1684</v>
      </c>
      <c r="F36" t="s">
        <v>3232</v>
      </c>
      <c r="G36" t="s">
        <v>3233</v>
      </c>
      <c r="H36" t="s">
        <v>3234</v>
      </c>
      <c r="I36" t="b">
        <v>1</v>
      </c>
    </row>
    <row r="37" spans="1:9">
      <c r="A37" t="s">
        <v>3308</v>
      </c>
      <c r="B37" t="s">
        <v>10</v>
      </c>
      <c r="C37" t="s">
        <v>3309</v>
      </c>
      <c r="D37" t="s">
        <v>3304</v>
      </c>
      <c r="E37" t="s">
        <v>3305</v>
      </c>
      <c r="F37" t="s">
        <v>3310</v>
      </c>
      <c r="G37" t="s">
        <v>3311</v>
      </c>
      <c r="H37" t="s">
        <v>3312</v>
      </c>
      <c r="I37" t="b">
        <v>1</v>
      </c>
    </row>
    <row r="38" spans="1:9">
      <c r="A38" t="s">
        <v>3349</v>
      </c>
      <c r="B38" t="s">
        <v>10</v>
      </c>
      <c r="C38" t="s">
        <v>3350</v>
      </c>
      <c r="D38" t="s">
        <v>3351</v>
      </c>
      <c r="E38" t="s">
        <v>3305</v>
      </c>
      <c r="F38" t="s">
        <v>3352</v>
      </c>
      <c r="G38" t="s">
        <v>3353</v>
      </c>
      <c r="H38" t="s">
        <v>3354</v>
      </c>
      <c r="I38" t="b">
        <v>1</v>
      </c>
    </row>
    <row r="39" spans="1:9">
      <c r="A39" t="s">
        <v>3393</v>
      </c>
      <c r="B39" t="s">
        <v>10</v>
      </c>
      <c r="C39" t="s">
        <v>3394</v>
      </c>
      <c r="D39" t="s">
        <v>3395</v>
      </c>
      <c r="E39" t="s">
        <v>3305</v>
      </c>
      <c r="F39" t="s">
        <v>3396</v>
      </c>
      <c r="G39" t="s">
        <v>3397</v>
      </c>
      <c r="H39" t="s">
        <v>3398</v>
      </c>
      <c r="I39" t="b">
        <v>1</v>
      </c>
    </row>
    <row r="40" spans="1:9">
      <c r="A40" t="s">
        <v>1845</v>
      </c>
      <c r="B40" t="s">
        <v>10</v>
      </c>
      <c r="C40" t="s">
        <v>3502</v>
      </c>
      <c r="D40" t="s">
        <v>3500</v>
      </c>
      <c r="E40" t="s">
        <v>3500</v>
      </c>
      <c r="F40" t="s">
        <v>3503</v>
      </c>
      <c r="G40" t="s">
        <v>3504</v>
      </c>
      <c r="H40" t="s">
        <v>3505</v>
      </c>
      <c r="I40" t="b">
        <v>1</v>
      </c>
    </row>
    <row r="41" spans="1:9">
      <c r="A41" t="s">
        <v>3529</v>
      </c>
      <c r="B41" t="s">
        <v>10</v>
      </c>
      <c r="C41" t="s">
        <v>3530</v>
      </c>
      <c r="D41" t="s">
        <v>3531</v>
      </c>
      <c r="E41" t="s">
        <v>3500</v>
      </c>
      <c r="F41" t="s">
        <v>3532</v>
      </c>
      <c r="G41" t="s">
        <v>3533</v>
      </c>
      <c r="H41" t="s">
        <v>3534</v>
      </c>
      <c r="I41" t="b">
        <v>1</v>
      </c>
    </row>
    <row r="42" spans="1:9">
      <c r="A42" t="s">
        <v>3568</v>
      </c>
      <c r="B42" t="s">
        <v>10</v>
      </c>
      <c r="C42" t="s">
        <v>3569</v>
      </c>
      <c r="D42" t="s">
        <v>3570</v>
      </c>
      <c r="E42" t="s">
        <v>3500</v>
      </c>
      <c r="F42" t="s">
        <v>3571</v>
      </c>
      <c r="G42" t="s">
        <v>3572</v>
      </c>
      <c r="H42" t="s">
        <v>3573</v>
      </c>
      <c r="I42" t="b">
        <v>1</v>
      </c>
    </row>
    <row r="43" spans="1:9">
      <c r="A43" t="s">
        <v>3627</v>
      </c>
      <c r="B43" t="s">
        <v>10</v>
      </c>
      <c r="C43" t="s">
        <v>3628</v>
      </c>
      <c r="D43" t="s">
        <v>3601</v>
      </c>
      <c r="E43" t="s">
        <v>3500</v>
      </c>
      <c r="F43" t="s">
        <v>3629</v>
      </c>
      <c r="G43" t="s">
        <v>3630</v>
      </c>
      <c r="H43" t="s">
        <v>3631</v>
      </c>
      <c r="I43" t="b">
        <v>1</v>
      </c>
    </row>
    <row r="44" spans="1:9">
      <c r="A44" t="s">
        <v>3696</v>
      </c>
      <c r="B44" t="s">
        <v>10</v>
      </c>
      <c r="C44" t="s">
        <v>3697</v>
      </c>
      <c r="D44" t="s">
        <v>693</v>
      </c>
      <c r="E44" t="s">
        <v>693</v>
      </c>
      <c r="F44" t="s">
        <v>3698</v>
      </c>
      <c r="G44" t="s">
        <v>3699</v>
      </c>
      <c r="H44" t="s">
        <v>3700</v>
      </c>
      <c r="I44" t="b">
        <v>1</v>
      </c>
    </row>
    <row r="45" spans="1:9">
      <c r="A45" t="s">
        <v>3758</v>
      </c>
      <c r="B45" t="s">
        <v>10</v>
      </c>
      <c r="C45" t="s">
        <v>3759</v>
      </c>
      <c r="D45" t="s">
        <v>3225</v>
      </c>
      <c r="E45" t="s">
        <v>3225</v>
      </c>
      <c r="F45" t="s">
        <v>3760</v>
      </c>
      <c r="G45" t="s">
        <v>3761</v>
      </c>
      <c r="H45" t="s">
        <v>3762</v>
      </c>
      <c r="I45" t="b">
        <v>1</v>
      </c>
    </row>
    <row r="46" spans="1:9">
      <c r="A46" t="s">
        <v>3842</v>
      </c>
      <c r="B46" t="s">
        <v>10</v>
      </c>
      <c r="C46" t="s">
        <v>3843</v>
      </c>
      <c r="D46" t="s">
        <v>3844</v>
      </c>
      <c r="E46" t="s">
        <v>3845</v>
      </c>
      <c r="F46" t="s">
        <v>3846</v>
      </c>
      <c r="G46" t="s">
        <v>3847</v>
      </c>
      <c r="H46" t="s">
        <v>3848</v>
      </c>
      <c r="I46" t="b">
        <v>1</v>
      </c>
    </row>
    <row r="47" spans="1:9">
      <c r="A47" t="s">
        <v>4142</v>
      </c>
      <c r="B47" t="s">
        <v>10</v>
      </c>
      <c r="C47" t="s">
        <v>4143</v>
      </c>
      <c r="D47" t="s">
        <v>3745</v>
      </c>
      <c r="E47" t="s">
        <v>3745</v>
      </c>
      <c r="F47" t="s">
        <v>4144</v>
      </c>
      <c r="G47" t="s">
        <v>4145</v>
      </c>
      <c r="H47" t="s">
        <v>4146</v>
      </c>
      <c r="I47" t="b">
        <v>1</v>
      </c>
    </row>
    <row r="48" spans="1:9">
      <c r="A48" t="s">
        <v>4248</v>
      </c>
      <c r="B48" t="s">
        <v>10</v>
      </c>
      <c r="C48" t="s">
        <v>4249</v>
      </c>
      <c r="D48" t="s">
        <v>3745</v>
      </c>
      <c r="E48" t="s">
        <v>3745</v>
      </c>
      <c r="F48" t="s">
        <v>4250</v>
      </c>
      <c r="G48" t="s">
        <v>4251</v>
      </c>
      <c r="H48" t="s">
        <v>4252</v>
      </c>
      <c r="I48" t="b">
        <v>1</v>
      </c>
    </row>
    <row r="49" spans="1:9">
      <c r="A49" t="s">
        <v>4348</v>
      </c>
      <c r="B49" t="s">
        <v>10</v>
      </c>
      <c r="C49" t="s">
        <v>4349</v>
      </c>
      <c r="D49" t="s">
        <v>4350</v>
      </c>
      <c r="E49" t="s">
        <v>1651</v>
      </c>
      <c r="F49" t="s">
        <v>4351</v>
      </c>
      <c r="G49" t="s">
        <v>4352</v>
      </c>
      <c r="H49" t="s">
        <v>4353</v>
      </c>
      <c r="I49" t="b">
        <v>1</v>
      </c>
    </row>
    <row r="50" spans="1:9">
      <c r="A50" t="s">
        <v>4491</v>
      </c>
      <c r="B50" t="s">
        <v>10</v>
      </c>
      <c r="C50" t="s">
        <v>4492</v>
      </c>
      <c r="D50" t="s">
        <v>1651</v>
      </c>
      <c r="E50" t="s">
        <v>1651</v>
      </c>
      <c r="F50" t="s">
        <v>4493</v>
      </c>
      <c r="G50" t="s">
        <v>4494</v>
      </c>
      <c r="H50" t="s">
        <v>4495</v>
      </c>
      <c r="I50" t="b">
        <v>1</v>
      </c>
    </row>
    <row r="51" spans="1:9">
      <c r="A51" t="s">
        <v>4514</v>
      </c>
      <c r="B51" t="s">
        <v>10</v>
      </c>
      <c r="C51" t="s">
        <v>4515</v>
      </c>
      <c r="D51" t="s">
        <v>1651</v>
      </c>
      <c r="E51" t="s">
        <v>1651</v>
      </c>
      <c r="F51" t="s">
        <v>4516</v>
      </c>
      <c r="G51" t="s">
        <v>4517</v>
      </c>
      <c r="H51" t="s">
        <v>4518</v>
      </c>
      <c r="I51" t="b">
        <v>1</v>
      </c>
    </row>
    <row r="52" spans="1:9">
      <c r="A52" t="s">
        <v>4560</v>
      </c>
      <c r="B52" t="s">
        <v>10</v>
      </c>
      <c r="C52" t="s">
        <v>4346</v>
      </c>
      <c r="D52" t="s">
        <v>1651</v>
      </c>
      <c r="E52" t="s">
        <v>1651</v>
      </c>
      <c r="F52" t="s">
        <v>4561</v>
      </c>
      <c r="G52" t="s">
        <v>4347</v>
      </c>
      <c r="H52" t="s">
        <v>4562</v>
      </c>
      <c r="I52" t="b">
        <v>1</v>
      </c>
    </row>
    <row r="53" spans="1:9">
      <c r="A53" t="s">
        <v>4599</v>
      </c>
      <c r="B53" t="s">
        <v>10</v>
      </c>
      <c r="C53" t="s">
        <v>4600</v>
      </c>
      <c r="D53" t="s">
        <v>1651</v>
      </c>
      <c r="E53" t="s">
        <v>1651</v>
      </c>
      <c r="F53" t="s">
        <v>4601</v>
      </c>
      <c r="G53" t="s">
        <v>4602</v>
      </c>
      <c r="H53" t="s">
        <v>4603</v>
      </c>
      <c r="I53" t="b">
        <v>1</v>
      </c>
    </row>
    <row r="54" spans="1:9">
      <c r="A54" t="s">
        <v>4640</v>
      </c>
      <c r="B54" t="s">
        <v>10</v>
      </c>
      <c r="C54" t="s">
        <v>4641</v>
      </c>
      <c r="D54" t="s">
        <v>1651</v>
      </c>
      <c r="E54" t="s">
        <v>1651</v>
      </c>
      <c r="F54" t="s">
        <v>4642</v>
      </c>
      <c r="G54" t="s">
        <v>4643</v>
      </c>
      <c r="H54" t="s">
        <v>4644</v>
      </c>
      <c r="I54" t="b">
        <v>1</v>
      </c>
    </row>
    <row r="55" spans="1:9">
      <c r="A55" t="s">
        <v>4672</v>
      </c>
      <c r="B55" t="s">
        <v>10</v>
      </c>
      <c r="C55" t="s">
        <v>4673</v>
      </c>
      <c r="D55" t="s">
        <v>4509</v>
      </c>
      <c r="E55" t="s">
        <v>1651</v>
      </c>
      <c r="F55" t="s">
        <v>4674</v>
      </c>
      <c r="G55" t="s">
        <v>4675</v>
      </c>
      <c r="H55" t="s">
        <v>4676</v>
      </c>
      <c r="I55" t="b">
        <v>1</v>
      </c>
    </row>
    <row r="56" spans="1:9">
      <c r="A56" t="s">
        <v>4750</v>
      </c>
      <c r="B56" t="s">
        <v>10</v>
      </c>
      <c r="C56" t="s">
        <v>4751</v>
      </c>
      <c r="D56" t="s">
        <v>4509</v>
      </c>
      <c r="E56" t="s">
        <v>1651</v>
      </c>
      <c r="F56" t="s">
        <v>4752</v>
      </c>
      <c r="G56" t="s">
        <v>4753</v>
      </c>
      <c r="H56" t="s">
        <v>4754</v>
      </c>
      <c r="I56" t="b">
        <v>1</v>
      </c>
    </row>
    <row r="57" spans="1:9">
      <c r="A57" t="s">
        <v>4758</v>
      </c>
      <c r="B57" t="s">
        <v>10</v>
      </c>
      <c r="C57" t="s">
        <v>4759</v>
      </c>
      <c r="D57" t="s">
        <v>4509</v>
      </c>
      <c r="E57" t="s">
        <v>1651</v>
      </c>
      <c r="F57" t="s">
        <v>4760</v>
      </c>
      <c r="G57" t="s">
        <v>4761</v>
      </c>
      <c r="H57" t="s">
        <v>4762</v>
      </c>
      <c r="I57" t="b">
        <v>1</v>
      </c>
    </row>
    <row r="58" spans="1:9">
      <c r="A58" t="s">
        <v>4811</v>
      </c>
      <c r="B58" t="s">
        <v>10</v>
      </c>
      <c r="C58" t="s">
        <v>4812</v>
      </c>
      <c r="D58" t="s">
        <v>4813</v>
      </c>
      <c r="E58" t="s">
        <v>1651</v>
      </c>
      <c r="F58" t="s">
        <v>4814</v>
      </c>
      <c r="G58" t="s">
        <v>4815</v>
      </c>
      <c r="H58" t="s">
        <v>4816</v>
      </c>
      <c r="I58" t="b">
        <v>1</v>
      </c>
    </row>
    <row r="59" spans="1:9">
      <c r="A59" t="s">
        <v>5072</v>
      </c>
      <c r="B59" t="s">
        <v>10</v>
      </c>
      <c r="C59" t="s">
        <v>5073</v>
      </c>
      <c r="D59" t="s">
        <v>4962</v>
      </c>
      <c r="E59" t="s">
        <v>4927</v>
      </c>
      <c r="F59" t="s">
        <v>5074</v>
      </c>
      <c r="G59" t="s">
        <v>5075</v>
      </c>
      <c r="H59" t="s">
        <v>5076</v>
      </c>
      <c r="I59" t="b">
        <v>1</v>
      </c>
    </row>
    <row r="60" spans="1:9">
      <c r="A60" t="s">
        <v>5116</v>
      </c>
      <c r="B60" t="s">
        <v>10</v>
      </c>
      <c r="C60" t="s">
        <v>5117</v>
      </c>
      <c r="D60" t="s">
        <v>5118</v>
      </c>
      <c r="E60" t="s">
        <v>5118</v>
      </c>
      <c r="F60" t="s">
        <v>5119</v>
      </c>
      <c r="G60" t="s">
        <v>5120</v>
      </c>
      <c r="H60" t="s">
        <v>5121</v>
      </c>
      <c r="I60" t="b">
        <v>1</v>
      </c>
    </row>
    <row r="61" spans="1:9">
      <c r="A61" t="s">
        <v>5136</v>
      </c>
      <c r="B61" t="s">
        <v>10</v>
      </c>
      <c r="C61" t="s">
        <v>5137</v>
      </c>
      <c r="D61" t="s">
        <v>5124</v>
      </c>
      <c r="E61" t="s">
        <v>5125</v>
      </c>
      <c r="F61" t="s">
        <v>5138</v>
      </c>
      <c r="G61" t="s">
        <v>5139</v>
      </c>
      <c r="H61" t="s">
        <v>5140</v>
      </c>
      <c r="I61" t="b">
        <v>1</v>
      </c>
    </row>
    <row r="62" spans="1:9">
      <c r="A62" t="s">
        <v>5276</v>
      </c>
      <c r="B62" t="s">
        <v>10</v>
      </c>
      <c r="C62" t="s">
        <v>5277</v>
      </c>
      <c r="D62" t="s">
        <v>5095</v>
      </c>
      <c r="E62" t="s">
        <v>5095</v>
      </c>
      <c r="F62" t="s">
        <v>5278</v>
      </c>
      <c r="G62" t="s">
        <v>5279</v>
      </c>
      <c r="H62" t="s">
        <v>5280</v>
      </c>
      <c r="I62" t="b">
        <v>1</v>
      </c>
    </row>
    <row r="63" spans="1:9">
      <c r="A63" t="s">
        <v>5562</v>
      </c>
      <c r="B63" t="s">
        <v>10</v>
      </c>
      <c r="C63" t="s">
        <v>5563</v>
      </c>
      <c r="D63" t="s">
        <v>4340</v>
      </c>
      <c r="E63" t="s">
        <v>1995</v>
      </c>
      <c r="F63" t="s">
        <v>5564</v>
      </c>
      <c r="G63" t="s">
        <v>5565</v>
      </c>
      <c r="H63" t="s">
        <v>5566</v>
      </c>
      <c r="I63" t="b">
        <v>1</v>
      </c>
    </row>
    <row r="64" spans="1:9">
      <c r="A64" t="s">
        <v>5657</v>
      </c>
      <c r="B64" t="s">
        <v>10</v>
      </c>
      <c r="C64" t="s">
        <v>5658</v>
      </c>
      <c r="D64" t="s">
        <v>5616</v>
      </c>
      <c r="E64" t="s">
        <v>1995</v>
      </c>
      <c r="F64" t="s">
        <v>5659</v>
      </c>
      <c r="G64" t="s">
        <v>5660</v>
      </c>
      <c r="H64" t="s">
        <v>5661</v>
      </c>
      <c r="I64" t="b">
        <v>1</v>
      </c>
    </row>
    <row r="65" spans="1:9">
      <c r="A65" t="s">
        <v>5707</v>
      </c>
      <c r="B65" t="s">
        <v>10</v>
      </c>
      <c r="C65" t="s">
        <v>5708</v>
      </c>
      <c r="D65" t="s">
        <v>5682</v>
      </c>
      <c r="E65" t="s">
        <v>1995</v>
      </c>
      <c r="F65" t="s">
        <v>5709</v>
      </c>
      <c r="G65" t="s">
        <v>5710</v>
      </c>
      <c r="H65" t="s">
        <v>5711</v>
      </c>
      <c r="I65" t="b">
        <v>1</v>
      </c>
    </row>
    <row r="66" spans="1:9">
      <c r="A66" t="s">
        <v>5882</v>
      </c>
      <c r="B66" t="s">
        <v>10</v>
      </c>
      <c r="C66" t="s">
        <v>5883</v>
      </c>
      <c r="D66" t="s">
        <v>5884</v>
      </c>
      <c r="E66" t="s">
        <v>1709</v>
      </c>
      <c r="F66" t="s">
        <v>5885</v>
      </c>
      <c r="G66" t="s">
        <v>5886</v>
      </c>
      <c r="H66" t="s">
        <v>5887</v>
      </c>
      <c r="I66" t="b">
        <v>1</v>
      </c>
    </row>
    <row r="67" spans="1:9">
      <c r="A67" t="s">
        <v>5901</v>
      </c>
      <c r="B67" t="s">
        <v>10</v>
      </c>
      <c r="C67" t="s">
        <v>5902</v>
      </c>
      <c r="D67" t="s">
        <v>5903</v>
      </c>
      <c r="E67" t="s">
        <v>1709</v>
      </c>
      <c r="F67" t="s">
        <v>5904</v>
      </c>
      <c r="G67" t="s">
        <v>5905</v>
      </c>
      <c r="H67" t="s">
        <v>5906</v>
      </c>
      <c r="I67" t="b">
        <v>1</v>
      </c>
    </row>
    <row r="68" spans="1:9">
      <c r="A68" t="s">
        <v>5956</v>
      </c>
      <c r="B68" t="s">
        <v>10</v>
      </c>
      <c r="C68" t="s">
        <v>5957</v>
      </c>
      <c r="D68" t="s">
        <v>1546</v>
      </c>
      <c r="E68" t="s">
        <v>1546</v>
      </c>
      <c r="F68" t="s">
        <v>5958</v>
      </c>
      <c r="G68" t="s">
        <v>5959</v>
      </c>
      <c r="H68" t="s">
        <v>5960</v>
      </c>
      <c r="I68" t="b">
        <v>1</v>
      </c>
    </row>
    <row r="69" spans="1:9">
      <c r="A69" t="s">
        <v>5996</v>
      </c>
      <c r="B69" t="s">
        <v>10</v>
      </c>
      <c r="C69" t="s">
        <v>5997</v>
      </c>
      <c r="D69" t="s">
        <v>1546</v>
      </c>
      <c r="E69" t="s">
        <v>1546</v>
      </c>
      <c r="F69" t="s">
        <v>5998</v>
      </c>
      <c r="G69" t="s">
        <v>5999</v>
      </c>
      <c r="H69" t="s">
        <v>6000</v>
      </c>
      <c r="I69" t="b">
        <v>1</v>
      </c>
    </row>
    <row r="70" spans="1:9">
      <c r="A70" t="s">
        <v>6133</v>
      </c>
      <c r="B70" t="s">
        <v>10</v>
      </c>
      <c r="C70" t="s">
        <v>6134</v>
      </c>
      <c r="D70" t="s">
        <v>1546</v>
      </c>
      <c r="E70" t="s">
        <v>1546</v>
      </c>
      <c r="F70" t="s">
        <v>6135</v>
      </c>
      <c r="G70" t="s">
        <v>6136</v>
      </c>
      <c r="H70" t="s">
        <v>6137</v>
      </c>
      <c r="I70" t="b">
        <v>1</v>
      </c>
    </row>
    <row r="71" spans="1:9">
      <c r="A71" t="s">
        <v>6309</v>
      </c>
      <c r="B71" t="s">
        <v>10</v>
      </c>
      <c r="C71" t="s">
        <v>6310</v>
      </c>
      <c r="D71" t="s">
        <v>6311</v>
      </c>
      <c r="E71" t="s">
        <v>1546</v>
      </c>
      <c r="F71" t="s">
        <v>6312</v>
      </c>
      <c r="G71" t="s">
        <v>6313</v>
      </c>
      <c r="H71" t="s">
        <v>6314</v>
      </c>
      <c r="I71" t="b">
        <v>1</v>
      </c>
    </row>
    <row r="72" spans="1:9">
      <c r="A72" t="s">
        <v>6401</v>
      </c>
      <c r="B72" t="s">
        <v>10</v>
      </c>
      <c r="C72" t="s">
        <v>6402</v>
      </c>
      <c r="D72" t="s">
        <v>6345</v>
      </c>
      <c r="E72" t="s">
        <v>6317</v>
      </c>
      <c r="F72" t="s">
        <v>6403</v>
      </c>
      <c r="G72" t="s">
        <v>23</v>
      </c>
      <c r="H72" t="s">
        <v>6404</v>
      </c>
      <c r="I72" t="b">
        <v>1</v>
      </c>
    </row>
    <row r="73" spans="1:9">
      <c r="A73" t="s">
        <v>6557</v>
      </c>
      <c r="B73" t="s">
        <v>10</v>
      </c>
      <c r="C73" t="s">
        <v>6558</v>
      </c>
      <c r="D73" t="s">
        <v>6555</v>
      </c>
      <c r="E73" t="s">
        <v>2264</v>
      </c>
      <c r="F73" t="s">
        <v>6559</v>
      </c>
      <c r="G73" t="s">
        <v>6560</v>
      </c>
      <c r="H73" t="s">
        <v>6561</v>
      </c>
      <c r="I73" t="b">
        <v>1</v>
      </c>
    </row>
    <row r="74" spans="1:9">
      <c r="A74" t="s">
        <v>6620</v>
      </c>
      <c r="B74" t="s">
        <v>10</v>
      </c>
      <c r="C74" t="s">
        <v>6621</v>
      </c>
      <c r="D74" t="s">
        <v>6602</v>
      </c>
      <c r="E74" t="s">
        <v>6622</v>
      </c>
      <c r="F74" t="s">
        <v>6623</v>
      </c>
      <c r="G74" t="s">
        <v>6624</v>
      </c>
      <c r="H74" t="s">
        <v>6625</v>
      </c>
      <c r="I74" t="b">
        <v>1</v>
      </c>
    </row>
    <row r="75" spans="1:9">
      <c r="A75" t="s">
        <v>6635</v>
      </c>
      <c r="B75" t="s">
        <v>10</v>
      </c>
      <c r="C75" t="s">
        <v>6636</v>
      </c>
      <c r="D75" t="s">
        <v>6602</v>
      </c>
      <c r="E75" t="s">
        <v>6602</v>
      </c>
      <c r="F75" t="s">
        <v>6637</v>
      </c>
      <c r="G75" t="s">
        <v>6638</v>
      </c>
      <c r="H75" t="s">
        <v>6639</v>
      </c>
      <c r="I75" t="b">
        <v>1</v>
      </c>
    </row>
    <row r="76" spans="1:9">
      <c r="A76" t="s">
        <v>6734</v>
      </c>
      <c r="B76" t="s">
        <v>10</v>
      </c>
      <c r="C76" t="s">
        <v>6735</v>
      </c>
      <c r="D76" t="s">
        <v>6736</v>
      </c>
      <c r="E76" t="s">
        <v>5118</v>
      </c>
      <c r="F76" t="s">
        <v>6737</v>
      </c>
      <c r="G76" t="s">
        <v>6738</v>
      </c>
      <c r="H76" t="s">
        <v>6739</v>
      </c>
      <c r="I76" t="b">
        <v>1</v>
      </c>
    </row>
    <row r="77" spans="1:9">
      <c r="A77" t="s">
        <v>6754</v>
      </c>
      <c r="B77" t="s">
        <v>10</v>
      </c>
      <c r="C77" t="s">
        <v>6755</v>
      </c>
      <c r="D77" t="s">
        <v>6756</v>
      </c>
      <c r="E77" t="s">
        <v>5118</v>
      </c>
      <c r="F77" t="s">
        <v>6757</v>
      </c>
      <c r="G77" t="s">
        <v>6758</v>
      </c>
      <c r="H77" t="s">
        <v>6759</v>
      </c>
      <c r="I77" t="b">
        <v>1</v>
      </c>
    </row>
    <row r="78" spans="1:9">
      <c r="A78" t="s">
        <v>6876</v>
      </c>
      <c r="B78" t="s">
        <v>10</v>
      </c>
      <c r="C78" t="s">
        <v>6877</v>
      </c>
      <c r="D78" t="s">
        <v>5433</v>
      </c>
      <c r="E78" t="s">
        <v>5118</v>
      </c>
      <c r="F78" t="s">
        <v>6878</v>
      </c>
      <c r="G78" t="s">
        <v>6879</v>
      </c>
      <c r="H78" t="s">
        <v>6880</v>
      </c>
      <c r="I78" t="b">
        <v>1</v>
      </c>
    </row>
    <row r="79" spans="1:9">
      <c r="A79" t="s">
        <v>6921</v>
      </c>
      <c r="B79" t="s">
        <v>10</v>
      </c>
      <c r="C79" t="s">
        <v>6922</v>
      </c>
      <c r="D79" t="s">
        <v>5433</v>
      </c>
      <c r="E79" t="s">
        <v>5118</v>
      </c>
      <c r="F79" t="s">
        <v>6923</v>
      </c>
      <c r="G79" t="s">
        <v>6924</v>
      </c>
      <c r="H79" t="s">
        <v>6925</v>
      </c>
      <c r="I79" t="b">
        <v>1</v>
      </c>
    </row>
    <row r="80" spans="1:9">
      <c r="A80" t="s">
        <v>6973</v>
      </c>
      <c r="B80" t="s">
        <v>10</v>
      </c>
      <c r="C80" t="s">
        <v>6974</v>
      </c>
      <c r="D80" t="s">
        <v>3844</v>
      </c>
      <c r="E80" t="s">
        <v>3845</v>
      </c>
      <c r="F80" t="s">
        <v>6975</v>
      </c>
      <c r="G80" t="s">
        <v>6976</v>
      </c>
      <c r="H80" t="s">
        <v>6977</v>
      </c>
      <c r="I80" t="b">
        <v>1</v>
      </c>
    </row>
    <row r="81" spans="1:9">
      <c r="A81" t="s">
        <v>6992</v>
      </c>
      <c r="B81" t="s">
        <v>10</v>
      </c>
      <c r="C81" t="s">
        <v>6993</v>
      </c>
      <c r="D81" t="s">
        <v>3844</v>
      </c>
      <c r="E81" t="s">
        <v>3845</v>
      </c>
      <c r="F81" t="s">
        <v>6994</v>
      </c>
      <c r="G81" t="s">
        <v>6995</v>
      </c>
      <c r="H81" t="s">
        <v>6996</v>
      </c>
      <c r="I81" t="b">
        <v>1</v>
      </c>
    </row>
    <row r="82" spans="1:9">
      <c r="A82" t="s">
        <v>7018</v>
      </c>
      <c r="B82" t="s">
        <v>10</v>
      </c>
      <c r="C82" t="s">
        <v>7019</v>
      </c>
      <c r="D82" t="s">
        <v>3844</v>
      </c>
      <c r="E82" t="s">
        <v>3845</v>
      </c>
      <c r="F82" t="s">
        <v>7020</v>
      </c>
      <c r="G82" t="s">
        <v>7021</v>
      </c>
      <c r="H82" t="s">
        <v>7022</v>
      </c>
      <c r="I82" t="b">
        <v>1</v>
      </c>
    </row>
    <row r="83" spans="1:9">
      <c r="A83" t="s">
        <v>7036</v>
      </c>
      <c r="B83" t="s">
        <v>10</v>
      </c>
      <c r="C83" t="s">
        <v>7037</v>
      </c>
      <c r="D83" t="s">
        <v>3844</v>
      </c>
      <c r="E83" t="s">
        <v>3845</v>
      </c>
      <c r="F83" t="s">
        <v>7038</v>
      </c>
      <c r="G83" t="s">
        <v>7039</v>
      </c>
      <c r="H83" t="s">
        <v>7040</v>
      </c>
      <c r="I83" t="b">
        <v>1</v>
      </c>
    </row>
    <row r="84" spans="1:9">
      <c r="A84" t="s">
        <v>7102</v>
      </c>
      <c r="B84" t="s">
        <v>10</v>
      </c>
      <c r="C84" t="s">
        <v>7103</v>
      </c>
      <c r="D84" t="s">
        <v>5107</v>
      </c>
      <c r="E84" t="s">
        <v>5107</v>
      </c>
      <c r="F84" t="s">
        <v>7104</v>
      </c>
      <c r="G84" t="s">
        <v>7105</v>
      </c>
      <c r="H84" t="s">
        <v>7106</v>
      </c>
      <c r="I84" t="b">
        <v>1</v>
      </c>
    </row>
    <row r="85" spans="1:9">
      <c r="A85" t="s">
        <v>7212</v>
      </c>
      <c r="B85" t="s">
        <v>10</v>
      </c>
      <c r="C85" t="s">
        <v>7213</v>
      </c>
      <c r="D85" t="s">
        <v>7214</v>
      </c>
      <c r="E85" t="s">
        <v>5107</v>
      </c>
      <c r="F85" t="s">
        <v>7215</v>
      </c>
      <c r="G85" t="s">
        <v>7216</v>
      </c>
      <c r="H85" t="s">
        <v>7217</v>
      </c>
      <c r="I85" t="b">
        <v>1</v>
      </c>
    </row>
    <row r="86" spans="1:9">
      <c r="A86" t="s">
        <v>7374</v>
      </c>
      <c r="B86" t="s">
        <v>10</v>
      </c>
      <c r="C86" t="s">
        <v>7375</v>
      </c>
      <c r="D86" t="s">
        <v>7376</v>
      </c>
      <c r="E86" t="s">
        <v>5107</v>
      </c>
      <c r="F86" t="s">
        <v>7377</v>
      </c>
      <c r="G86" t="s">
        <v>7378</v>
      </c>
      <c r="H86" t="s">
        <v>7379</v>
      </c>
      <c r="I86" t="b">
        <v>1</v>
      </c>
    </row>
    <row r="87" spans="1:9">
      <c r="A87" t="s">
        <v>7380</v>
      </c>
      <c r="B87" t="s">
        <v>10</v>
      </c>
      <c r="C87" t="s">
        <v>7381</v>
      </c>
      <c r="D87" t="s">
        <v>7382</v>
      </c>
      <c r="E87" t="s">
        <v>5107</v>
      </c>
      <c r="F87" t="s">
        <v>7383</v>
      </c>
      <c r="G87" t="s">
        <v>7384</v>
      </c>
      <c r="H87" t="s">
        <v>7385</v>
      </c>
      <c r="I87" t="b">
        <v>1</v>
      </c>
    </row>
    <row r="88" spans="1:9">
      <c r="A88" t="s">
        <v>7436</v>
      </c>
      <c r="B88" t="s">
        <v>10</v>
      </c>
      <c r="C88" t="s">
        <v>7437</v>
      </c>
      <c r="D88" t="s">
        <v>7438</v>
      </c>
      <c r="E88" t="s">
        <v>1631</v>
      </c>
      <c r="F88" t="s">
        <v>7439</v>
      </c>
      <c r="G88" t="s">
        <v>7440</v>
      </c>
      <c r="H88" t="s">
        <v>7441</v>
      </c>
      <c r="I88" t="b">
        <v>1</v>
      </c>
    </row>
    <row r="89" spans="1:9">
      <c r="A89" t="s">
        <v>7458</v>
      </c>
      <c r="B89" t="s">
        <v>10</v>
      </c>
      <c r="C89" t="s">
        <v>7459</v>
      </c>
      <c r="D89" t="s">
        <v>1630</v>
      </c>
      <c r="E89" t="s">
        <v>1631</v>
      </c>
      <c r="F89" t="s">
        <v>7460</v>
      </c>
      <c r="G89" t="s">
        <v>7461</v>
      </c>
      <c r="H89" t="s">
        <v>7462</v>
      </c>
      <c r="I89" t="b">
        <v>1</v>
      </c>
    </row>
    <row r="90" spans="1:9">
      <c r="A90" t="s">
        <v>7466</v>
      </c>
      <c r="B90" t="s">
        <v>10</v>
      </c>
      <c r="C90" t="s">
        <v>7467</v>
      </c>
      <c r="D90" t="s">
        <v>7438</v>
      </c>
      <c r="E90" t="s">
        <v>1631</v>
      </c>
      <c r="F90" t="s">
        <v>7468</v>
      </c>
      <c r="G90" t="s">
        <v>7469</v>
      </c>
      <c r="H90" t="s">
        <v>7470</v>
      </c>
      <c r="I90" t="b">
        <v>1</v>
      </c>
    </row>
    <row r="91" spans="1:9">
      <c r="A91" t="s">
        <v>7510</v>
      </c>
      <c r="B91" t="s">
        <v>10</v>
      </c>
      <c r="C91" t="s">
        <v>7511</v>
      </c>
      <c r="D91" t="s">
        <v>1630</v>
      </c>
      <c r="E91" t="s">
        <v>1631</v>
      </c>
      <c r="F91" t="s">
        <v>7512</v>
      </c>
      <c r="G91" t="s">
        <v>7513</v>
      </c>
      <c r="H91" t="s">
        <v>7514</v>
      </c>
      <c r="I91" t="b">
        <v>1</v>
      </c>
    </row>
    <row r="92" spans="1:9">
      <c r="A92" t="s">
        <v>7551</v>
      </c>
      <c r="B92" t="s">
        <v>10</v>
      </c>
      <c r="C92" t="s">
        <v>7552</v>
      </c>
      <c r="D92" t="s">
        <v>7549</v>
      </c>
      <c r="E92" t="s">
        <v>1631</v>
      </c>
      <c r="F92" t="s">
        <v>7553</v>
      </c>
      <c r="G92" t="s">
        <v>7554</v>
      </c>
      <c r="H92" t="s">
        <v>7555</v>
      </c>
      <c r="I92" t="b">
        <v>1</v>
      </c>
    </row>
    <row r="93" spans="1:9">
      <c r="A93" t="s">
        <v>1197</v>
      </c>
      <c r="B93" t="s">
        <v>10</v>
      </c>
      <c r="C93" t="s">
        <v>7596</v>
      </c>
      <c r="D93" t="s">
        <v>1630</v>
      </c>
      <c r="E93" t="s">
        <v>1631</v>
      </c>
      <c r="F93" t="s">
        <v>7597</v>
      </c>
      <c r="G93" t="s">
        <v>7598</v>
      </c>
      <c r="H93" t="s">
        <v>7599</v>
      </c>
      <c r="I93" t="b">
        <v>1</v>
      </c>
    </row>
    <row r="94" spans="1:9">
      <c r="A94" t="s">
        <v>7645</v>
      </c>
      <c r="B94" t="s">
        <v>10</v>
      </c>
      <c r="C94" t="s">
        <v>7646</v>
      </c>
      <c r="D94" t="s">
        <v>5427</v>
      </c>
      <c r="E94" t="s">
        <v>3189</v>
      </c>
      <c r="F94" t="s">
        <v>7647</v>
      </c>
      <c r="G94" t="s">
        <v>7648</v>
      </c>
      <c r="H94" t="s">
        <v>7649</v>
      </c>
      <c r="I94" t="b">
        <v>1</v>
      </c>
    </row>
    <row r="95" spans="1:9">
      <c r="A95" t="s">
        <v>7722</v>
      </c>
      <c r="B95" t="s">
        <v>10</v>
      </c>
      <c r="C95" t="s">
        <v>7723</v>
      </c>
      <c r="D95" t="s">
        <v>5427</v>
      </c>
      <c r="E95" t="s">
        <v>3197</v>
      </c>
      <c r="F95" t="s">
        <v>7724</v>
      </c>
      <c r="G95" t="s">
        <v>7725</v>
      </c>
      <c r="H95" t="s">
        <v>7726</v>
      </c>
      <c r="I95" t="b">
        <v>1</v>
      </c>
    </row>
    <row r="96" spans="1:9">
      <c r="A96" t="s">
        <v>7730</v>
      </c>
      <c r="B96" t="s">
        <v>10</v>
      </c>
      <c r="C96" t="s">
        <v>7731</v>
      </c>
      <c r="D96" t="s">
        <v>3221</v>
      </c>
      <c r="E96" t="s">
        <v>3189</v>
      </c>
      <c r="F96" t="s">
        <v>7732</v>
      </c>
      <c r="G96" t="s">
        <v>7733</v>
      </c>
      <c r="H96" t="s">
        <v>7734</v>
      </c>
      <c r="I96" t="b">
        <v>1</v>
      </c>
    </row>
    <row r="97" spans="1:9">
      <c r="A97" t="s">
        <v>7756</v>
      </c>
      <c r="B97" t="s">
        <v>10</v>
      </c>
      <c r="C97" t="s">
        <v>7757</v>
      </c>
      <c r="D97" t="s">
        <v>7758</v>
      </c>
      <c r="E97" t="s">
        <v>3197</v>
      </c>
      <c r="F97" t="s">
        <v>7759</v>
      </c>
      <c r="G97" t="s">
        <v>7760</v>
      </c>
      <c r="H97" t="s">
        <v>7761</v>
      </c>
      <c r="I97" t="b">
        <v>1</v>
      </c>
    </row>
    <row r="98" spans="1:9">
      <c r="A98" t="s">
        <v>7790</v>
      </c>
      <c r="B98" t="s">
        <v>10</v>
      </c>
      <c r="C98" t="s">
        <v>7791</v>
      </c>
      <c r="D98" t="s">
        <v>7679</v>
      </c>
      <c r="E98" t="s">
        <v>3197</v>
      </c>
      <c r="F98" t="s">
        <v>7792</v>
      </c>
      <c r="G98" t="s">
        <v>7793</v>
      </c>
      <c r="H98" t="s">
        <v>7794</v>
      </c>
      <c r="I98" t="b">
        <v>1</v>
      </c>
    </row>
    <row r="99" spans="1:9">
      <c r="A99" t="s">
        <v>7831</v>
      </c>
      <c r="B99" t="s">
        <v>10</v>
      </c>
      <c r="C99" t="s">
        <v>23</v>
      </c>
      <c r="D99" t="s">
        <v>7631</v>
      </c>
      <c r="E99" t="s">
        <v>23</v>
      </c>
      <c r="F99" t="s">
        <v>7832</v>
      </c>
      <c r="G99" t="s">
        <v>23</v>
      </c>
      <c r="H99" t="s">
        <v>7833</v>
      </c>
      <c r="I99" t="b">
        <v>1</v>
      </c>
    </row>
    <row r="100" spans="1:9">
      <c r="A100" t="s">
        <v>7854</v>
      </c>
      <c r="B100" t="s">
        <v>10</v>
      </c>
      <c r="C100" t="s">
        <v>7855</v>
      </c>
      <c r="D100" t="s">
        <v>7856</v>
      </c>
      <c r="E100" t="s">
        <v>3197</v>
      </c>
      <c r="F100" t="s">
        <v>7857</v>
      </c>
      <c r="G100" t="s">
        <v>7858</v>
      </c>
      <c r="H100" t="s">
        <v>7859</v>
      </c>
      <c r="I100" t="b">
        <v>1</v>
      </c>
    </row>
    <row r="101" spans="1:9">
      <c r="A101" t="s">
        <v>8039</v>
      </c>
      <c r="B101" t="s">
        <v>10</v>
      </c>
      <c r="C101" t="s">
        <v>8040</v>
      </c>
      <c r="D101" t="s">
        <v>7962</v>
      </c>
      <c r="E101" t="s">
        <v>7890</v>
      </c>
      <c r="F101" t="s">
        <v>8041</v>
      </c>
      <c r="G101" t="s">
        <v>8042</v>
      </c>
      <c r="H101" t="s">
        <v>8043</v>
      </c>
      <c r="I101" t="b">
        <v>1</v>
      </c>
    </row>
    <row r="102" spans="1:9">
      <c r="A102" t="s">
        <v>8175</v>
      </c>
      <c r="B102" t="s">
        <v>10</v>
      </c>
      <c r="C102" t="s">
        <v>8176</v>
      </c>
      <c r="D102" t="s">
        <v>8177</v>
      </c>
      <c r="E102" t="s">
        <v>7890</v>
      </c>
      <c r="F102" t="s">
        <v>8178</v>
      </c>
      <c r="G102" t="s">
        <v>8179</v>
      </c>
      <c r="H102" t="s">
        <v>8180</v>
      </c>
      <c r="I102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458DB5-420F-4B6C-AB57-252653D4813F}"/>
</file>

<file path=customXml/itemProps2.xml><?xml version="1.0" encoding="utf-8"?>
<ds:datastoreItem xmlns:ds="http://schemas.openxmlformats.org/officeDocument/2006/customXml" ds:itemID="{E7EBDFC9-861A-482C-AC90-414C77B2C89D}"/>
</file>

<file path=customXml/itemProps3.xml><?xml version="1.0" encoding="utf-8"?>
<ds:datastoreItem xmlns:ds="http://schemas.openxmlformats.org/officeDocument/2006/customXml" ds:itemID="{16BC0C60-E36D-4A83-A8BC-4C6082ACC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2022-06-07T09:48:33Z</dcterms:created>
  <dcterms:modified xsi:type="dcterms:W3CDTF">2023-11-12T16:00:32Z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